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9. STE 2/"/>
    </mc:Choice>
  </mc:AlternateContent>
  <xr:revisionPtr revIDLastSave="6754" documentId="8_{57F737D6-FD7C-42CD-A0CC-586B59E9A0F2}" xr6:coauthVersionLast="47" xr6:coauthVersionMax="47" xr10:uidLastSave="{C1246126-C430-4C44-83A4-55C627D349B3}"/>
  <bookViews>
    <workbookView xWindow="-120" yWindow="-120" windowWidth="29040" windowHeight="15720" activeTab="3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Input!$C$6:$R$5314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34" l="1"/>
  <c r="O14" i="34"/>
  <c r="P14" i="34"/>
  <c r="Q14" i="34"/>
  <c r="R14" i="34"/>
  <c r="S14" i="34"/>
  <c r="N15" i="34"/>
  <c r="O15" i="34"/>
  <c r="P15" i="34"/>
  <c r="Q15" i="34"/>
  <c r="R15" i="34"/>
  <c r="S15" i="34"/>
  <c r="N16" i="34"/>
  <c r="O16" i="34"/>
  <c r="P16" i="34"/>
  <c r="Q16" i="34"/>
  <c r="R16" i="34"/>
  <c r="S16" i="34"/>
  <c r="N17" i="34"/>
  <c r="O17" i="34"/>
  <c r="P17" i="34"/>
  <c r="Q17" i="34"/>
  <c r="R17" i="34"/>
  <c r="S17" i="34"/>
  <c r="N18" i="34"/>
  <c r="O18" i="34"/>
  <c r="P18" i="34"/>
  <c r="Q18" i="34"/>
  <c r="R18" i="34"/>
  <c r="S18" i="34"/>
  <c r="N19" i="34"/>
  <c r="O19" i="34"/>
  <c r="P19" i="34"/>
  <c r="Q19" i="34"/>
  <c r="R19" i="34"/>
  <c r="S19" i="34"/>
  <c r="N21" i="34"/>
  <c r="O21" i="34"/>
  <c r="P21" i="34"/>
  <c r="Q21" i="34"/>
  <c r="R21" i="34"/>
  <c r="S21" i="34"/>
  <c r="N22" i="34"/>
  <c r="O22" i="34"/>
  <c r="P22" i="34"/>
  <c r="Q22" i="34"/>
  <c r="R22" i="34"/>
  <c r="S22" i="34"/>
  <c r="N23" i="34"/>
  <c r="O23" i="34"/>
  <c r="P23" i="34"/>
  <c r="Q23" i="34"/>
  <c r="R23" i="34"/>
  <c r="S23" i="34"/>
  <c r="N24" i="34"/>
  <c r="O24" i="34"/>
  <c r="P24" i="34"/>
  <c r="Q24" i="34"/>
  <c r="R24" i="34"/>
  <c r="S24" i="34"/>
  <c r="N25" i="34"/>
  <c r="O25" i="34"/>
  <c r="P25" i="34"/>
  <c r="Q25" i="34"/>
  <c r="R25" i="34"/>
  <c r="S25" i="34"/>
  <c r="N26" i="34"/>
  <c r="O26" i="34"/>
  <c r="P26" i="34"/>
  <c r="Q26" i="34"/>
  <c r="R26" i="34"/>
  <c r="S26" i="34"/>
  <c r="N33" i="34"/>
  <c r="O33" i="34"/>
  <c r="P33" i="34"/>
  <c r="Q33" i="34"/>
  <c r="R33" i="34"/>
  <c r="S33" i="34"/>
  <c r="N34" i="34"/>
  <c r="O34" i="34"/>
  <c r="P34" i="34"/>
  <c r="Q34" i="34"/>
  <c r="R34" i="34"/>
  <c r="S34" i="34"/>
  <c r="N35" i="34"/>
  <c r="O35" i="34"/>
  <c r="P35" i="34"/>
  <c r="Q35" i="34"/>
  <c r="R35" i="34"/>
  <c r="S35" i="34"/>
  <c r="N36" i="34"/>
  <c r="O36" i="34"/>
  <c r="P36" i="34"/>
  <c r="Q36" i="34"/>
  <c r="R36" i="34"/>
  <c r="S36" i="34"/>
  <c r="N37" i="34"/>
  <c r="O37" i="34"/>
  <c r="P37" i="34"/>
  <c r="Q37" i="34"/>
  <c r="R37" i="34"/>
  <c r="S37" i="34"/>
  <c r="N38" i="34"/>
  <c r="O38" i="34"/>
  <c r="P38" i="34"/>
  <c r="Q38" i="34"/>
  <c r="R38" i="34"/>
  <c r="S38" i="34"/>
  <c r="N40" i="34"/>
  <c r="O40" i="34"/>
  <c r="P40" i="34"/>
  <c r="Q40" i="34"/>
  <c r="R40" i="34"/>
  <c r="S40" i="34"/>
  <c r="N41" i="34"/>
  <c r="O41" i="34"/>
  <c r="P41" i="34"/>
  <c r="Q41" i="34"/>
  <c r="R41" i="34"/>
  <c r="S41" i="34"/>
  <c r="N42" i="34"/>
  <c r="O42" i="34"/>
  <c r="P42" i="34"/>
  <c r="Q42" i="34"/>
  <c r="R42" i="34"/>
  <c r="S42" i="34"/>
  <c r="N43" i="34"/>
  <c r="O43" i="34"/>
  <c r="P43" i="34"/>
  <c r="Q43" i="34"/>
  <c r="R43" i="34"/>
  <c r="S43" i="34"/>
  <c r="N44" i="34"/>
  <c r="O44" i="34"/>
  <c r="P44" i="34"/>
  <c r="Q44" i="34"/>
  <c r="R44" i="34"/>
  <c r="S44" i="34"/>
  <c r="N45" i="34"/>
  <c r="O45" i="34"/>
  <c r="P45" i="34"/>
  <c r="Q45" i="34"/>
  <c r="R45" i="34"/>
  <c r="S45" i="34"/>
  <c r="M44" i="34"/>
  <c r="M43" i="34"/>
  <c r="M42" i="34"/>
  <c r="M41" i="34"/>
  <c r="M40" i="34"/>
  <c r="M37" i="34"/>
  <c r="M36" i="34"/>
  <c r="M35" i="34"/>
  <c r="M34" i="34"/>
  <c r="M33" i="34"/>
  <c r="M25" i="34"/>
  <c r="M24" i="34"/>
  <c r="M23" i="34"/>
  <c r="M22" i="34"/>
  <c r="M45" i="34"/>
  <c r="M38" i="34"/>
  <c r="M26" i="34"/>
  <c r="M19" i="34"/>
  <c r="M21" i="34"/>
  <c r="M18" i="34"/>
  <c r="M17" i="34"/>
  <c r="M16" i="34"/>
  <c r="M15" i="34"/>
  <c r="M14" i="34"/>
  <c r="N31" i="34" l="1"/>
  <c r="O31" i="34"/>
  <c r="P31" i="34"/>
  <c r="Q31" i="34"/>
  <c r="R31" i="34"/>
  <c r="S31" i="34"/>
  <c r="M31" i="34"/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L31" i="34" s="1"/>
  <c r="K29" i="34"/>
  <c r="L29" i="34" s="1"/>
  <c r="K28" i="34"/>
  <c r="L28" i="34" s="1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J45" i="34"/>
  <c r="I45" i="34"/>
  <c r="H45" i="34"/>
  <c r="G45" i="34"/>
  <c r="F45" i="34"/>
  <c r="E45" i="34"/>
  <c r="D45" i="34"/>
  <c r="J44" i="34"/>
  <c r="I44" i="34"/>
  <c r="H44" i="34"/>
  <c r="G44" i="34"/>
  <c r="F44" i="34"/>
  <c r="E44" i="34"/>
  <c r="D44" i="34"/>
  <c r="J43" i="34"/>
  <c r="I43" i="34"/>
  <c r="H43" i="34"/>
  <c r="G43" i="34"/>
  <c r="F43" i="34"/>
  <c r="E43" i="34"/>
  <c r="D43" i="34"/>
  <c r="J42" i="34"/>
  <c r="I42" i="34"/>
  <c r="H42" i="34"/>
  <c r="G42" i="34"/>
  <c r="F42" i="34"/>
  <c r="E42" i="34"/>
  <c r="D42" i="34"/>
  <c r="J41" i="34"/>
  <c r="I41" i="34"/>
  <c r="H41" i="34"/>
  <c r="G41" i="34"/>
  <c r="F41" i="34"/>
  <c r="E41" i="34"/>
  <c r="D41" i="34"/>
  <c r="J40" i="34"/>
  <c r="I40" i="34"/>
  <c r="H40" i="34"/>
  <c r="G40" i="34"/>
  <c r="F40" i="34"/>
  <c r="E40" i="34"/>
  <c r="D40" i="34"/>
  <c r="J38" i="34"/>
  <c r="I38" i="34"/>
  <c r="H38" i="34"/>
  <c r="G38" i="34"/>
  <c r="F38" i="34"/>
  <c r="E38" i="34"/>
  <c r="D38" i="34"/>
  <c r="J37" i="34"/>
  <c r="I37" i="34"/>
  <c r="H37" i="34"/>
  <c r="G37" i="34"/>
  <c r="F37" i="34"/>
  <c r="E37" i="34"/>
  <c r="D37" i="34"/>
  <c r="J36" i="34"/>
  <c r="I36" i="34"/>
  <c r="H36" i="34"/>
  <c r="G36" i="34"/>
  <c r="F36" i="34"/>
  <c r="E36" i="34"/>
  <c r="D36" i="34"/>
  <c r="J35" i="34"/>
  <c r="I35" i="34"/>
  <c r="H35" i="34"/>
  <c r="G35" i="34"/>
  <c r="F35" i="34"/>
  <c r="E35" i="34"/>
  <c r="D35" i="34"/>
  <c r="J34" i="34"/>
  <c r="I34" i="34"/>
  <c r="H34" i="34"/>
  <c r="G34" i="34"/>
  <c r="F34" i="34"/>
  <c r="E34" i="34"/>
  <c r="D34" i="34"/>
  <c r="J33" i="34"/>
  <c r="I33" i="34"/>
  <c r="H33" i="34"/>
  <c r="G33" i="34"/>
  <c r="F33" i="34"/>
  <c r="E33" i="34"/>
  <c r="D33" i="34"/>
  <c r="K30" i="34"/>
  <c r="L30" i="34" s="1"/>
  <c r="J26" i="34"/>
  <c r="I26" i="34"/>
  <c r="H26" i="34"/>
  <c r="G26" i="34"/>
  <c r="F26" i="34"/>
  <c r="E26" i="34"/>
  <c r="D26" i="34"/>
  <c r="J25" i="34"/>
  <c r="I25" i="34"/>
  <c r="H25" i="34"/>
  <c r="G25" i="34"/>
  <c r="F25" i="34"/>
  <c r="E25" i="34"/>
  <c r="D25" i="34"/>
  <c r="J24" i="34"/>
  <c r="I24" i="34"/>
  <c r="H24" i="34"/>
  <c r="G24" i="34"/>
  <c r="F24" i="34"/>
  <c r="E24" i="34"/>
  <c r="D24" i="34"/>
  <c r="J23" i="34"/>
  <c r="I23" i="34"/>
  <c r="H23" i="34"/>
  <c r="G23" i="34"/>
  <c r="F23" i="34"/>
  <c r="E23" i="34"/>
  <c r="D23" i="34"/>
  <c r="J22" i="34"/>
  <c r="I22" i="34"/>
  <c r="H22" i="34"/>
  <c r="G22" i="34"/>
  <c r="F22" i="34"/>
  <c r="E22" i="34"/>
  <c r="D22" i="34"/>
  <c r="J21" i="34"/>
  <c r="I21" i="34"/>
  <c r="H21" i="34"/>
  <c r="G21" i="34"/>
  <c r="F21" i="34"/>
  <c r="E21" i="34"/>
  <c r="D21" i="34"/>
  <c r="J19" i="34"/>
  <c r="I19" i="34"/>
  <c r="H19" i="34"/>
  <c r="G19" i="34"/>
  <c r="F19" i="34"/>
  <c r="E19" i="34"/>
  <c r="D19" i="34"/>
  <c r="J18" i="34"/>
  <c r="I18" i="34"/>
  <c r="H18" i="34"/>
  <c r="G18" i="34"/>
  <c r="F18" i="34"/>
  <c r="E18" i="34"/>
  <c r="D18" i="34"/>
  <c r="J17" i="34"/>
  <c r="I17" i="34"/>
  <c r="H17" i="34"/>
  <c r="G17" i="34"/>
  <c r="F17" i="34"/>
  <c r="E17" i="34"/>
  <c r="D17" i="34"/>
  <c r="J16" i="34"/>
  <c r="I16" i="34"/>
  <c r="H16" i="34"/>
  <c r="G16" i="34"/>
  <c r="F16" i="34"/>
  <c r="E16" i="34"/>
  <c r="D16" i="34"/>
  <c r="J15" i="34"/>
  <c r="I15" i="34"/>
  <c r="H15" i="34"/>
  <c r="G15" i="34"/>
  <c r="F15" i="34"/>
  <c r="E15" i="34"/>
  <c r="D15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<sst xmlns="http://schemas.openxmlformats.org/spreadsheetml/2006/main" count="53111" uniqueCount="157">
  <si>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</si>
  <si>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</si>
  <si>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</si>
  <si>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</si>
  <si>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</si>
  <si>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</si>
  <si>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</si>
  <si>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</si>
  <si>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</si>
  <si>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</si>
  <si>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</si>
  <si>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</si>
  <si>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</si>
  <si>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</si>
  <si>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</si>
  <si>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</si>
  <si>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</si>
  <si>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</si>
  <si>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</si>
  <si>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</si>
  <si>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</si>
  <si>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</si>
  <si>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</si>
  <si>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</si>
  <si>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</si>
  <si>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</si>
  <si>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</si>
  <si>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</si>
  <si>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</si>
  <si>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</si>
  <si>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</si>
  <si>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</si>
  <si>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</si>
  <si>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</si>
  <si>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</si>
  <si>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</si>
  <si>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</si>
  <si>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</si>
  <si>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</si>
  <si>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Stock</t>
  </si>
  <si>
    <t>menor_200</t>
  </si>
  <si>
    <t>EU-area</t>
  </si>
  <si>
    <t>1-REAL</t>
  </si>
  <si>
    <t>menor_100</t>
  </si>
  <si>
    <t>menor_400</t>
  </si>
  <si>
    <t>Garantia Residencial</t>
  </si>
  <si>
    <t>menor_500</t>
  </si>
  <si>
    <t>Garantia Comercial</t>
  </si>
  <si>
    <t>menor_300</t>
  </si>
  <si>
    <t>SANTANDER</t>
  </si>
  <si>
    <t>Sem dados</t>
  </si>
  <si>
    <t>7-SIN DATO</t>
  </si>
  <si>
    <t>maior_500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</si>
  <si>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</si>
  <si>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</si>
  <si>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</si>
  <si>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</si>
  <si>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</si>
  <si>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</si>
  <si>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</si>
  <si>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</si>
  <si>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</si>
  <si>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</si>
  <si>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</si>
  <si>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</si>
  <si>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</si>
  <si>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</si>
  <si>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</si>
  <si>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</si>
  <si>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</si>
  <si>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</si>
  <si>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</si>
  <si>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</si>
  <si>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</si>
  <si>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</si>
  <si>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</si>
  <si>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</si>
  <si>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</si>
  <si>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</si>
  <si>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</si>
  <si>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</si>
  <si>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</si>
  <si>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</si>
  <si>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</si>
  <si>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</si>
  <si>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</si>
  <si>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</si>
  <si>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</si>
  <si>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</si>
  <si>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</si>
  <si>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</si>
  <si>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</si>
  <si>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</si>
  <si>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</si>
  <si>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</si>
  <si>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</si>
  <si>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</si>
  <si>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</si>
  <si>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</si>
  <si>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</si>
  <si>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</si>
  <si>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</si>
  <si>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</si>
  <si>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</si>
  <si>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</si>
  <si>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</si>
  <si>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</si>
  <si>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</si>
  <si>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STE 2 Granular_v2.0.sql" e </t>
    </r>
    <r>
      <rPr>
        <i/>
        <sz val="9"/>
        <color theme="1"/>
        <rFont val="Calibri"/>
        <family val="2"/>
        <scheme val="minor"/>
      </rPr>
      <t>"BS_Geracao Template STE 2 Agregado_v2.0.sql".</t>
    </r>
  </si>
  <si>
    <t>- A query está dependente da introdução da data de referência dos dados (campo 'ref_date'), data de inicio do ano de reporte (campo 'ref_date_ini') e data de referência do ano de reporte anterior (campo 'ref_date_ant'), pelo que antes da corrida da query deverão 
ser definidas as datas de referência nas caixas de conteúdo apresentadas abaixo:</t>
  </si>
  <si>
    <t>tipo_colateral</t>
  </si>
  <si>
    <t>epc_label</t>
  </si>
  <si>
    <t>ep_score</t>
  </si>
  <si>
    <t>european_union</t>
  </si>
  <si>
    <t>amount</t>
  </si>
  <si>
    <t>quality_score</t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</si>
  <si>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</si>
  <si>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</si>
  <si>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</si>
  <si>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</si>
  <si>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</si>
  <si>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</si>
  <si>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</si>
  <si>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</si>
  <si>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</si>
  <si>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source_code</t>
  </si>
  <si>
    <t>MESG3</t>
  </si>
  <si>
    <t>NBF3</t>
  </si>
  <si>
    <t>PEPS1</t>
  </si>
  <si>
    <t>PEPC3</t>
  </si>
  <si>
    <t>LTV1</t>
  </si>
  <si>
    <t>ESTIMADO</t>
  </si>
  <si>
    <t>2-MUY ALTA</t>
  </si>
  <si>
    <t>MESG4</t>
  </si>
  <si>
    <t>NBF1</t>
  </si>
  <si>
    <t>LTV4</t>
  </si>
  <si>
    <t>PEPC1</t>
  </si>
  <si>
    <t>LTV3</t>
  </si>
  <si>
    <t>B-</t>
  </si>
  <si>
    <t>PEPC2</t>
  </si>
  <si>
    <t>4-MEDIA</t>
  </si>
  <si>
    <t>MESG2</t>
  </si>
  <si>
    <t>LTV2</t>
  </si>
  <si>
    <t>PEPC4</t>
  </si>
  <si>
    <t>NBF2</t>
  </si>
  <si>
    <t>3-ALTA</t>
  </si>
  <si>
    <t>5-MEDIA BAJA</t>
  </si>
  <si>
    <t>MESG1</t>
  </si>
  <si>
    <t>PEPC6</t>
  </si>
  <si>
    <t>A+</t>
  </si>
  <si>
    <t>LTV5</t>
  </si>
  <si>
    <t>PEPS7</t>
  </si>
  <si>
    <t>PEPC5</t>
  </si>
  <si>
    <t>MESG5</t>
  </si>
  <si>
    <t>6-BAJA</t>
  </si>
  <si>
    <t>PEPC7</t>
  </si>
  <si>
    <t>PEPC8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</si>
</sst>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/>
    <xf numFmtId="0" fontId="6" fillId="3" borderId="0" xfId="0" applyFont="1" applyFill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2" xfId="0" applyFont="1" applyFill="1" applyBorder="1" applyAlignment="1">
      <alignment vertical="center"/>
    </xf>
    <xf numFmtId="0" fontId="6" fillId="6" borderId="22" xfId="0" applyFont="1" applyFill="1" applyBorder="1"/>
    <xf numFmtId="0" fontId="23" fillId="6" borderId="22" xfId="0" applyFont="1" applyFill="1" applyBorder="1"/>
    <xf numFmtId="0" fontId="12" fillId="4" borderId="0" xfId="0" applyFont="1" applyFill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12" xfId="0" applyFont="1" applyBorder="1" applyProtection="1">
      <protection locked="0"/>
    </xf>
    <xf numFmtId="0" fontId="8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1" fillId="4" borderId="0" xfId="0" applyFont="1" applyFill="1" applyAlignment="1" applyProtection="1">
      <alignment horizontal="left"/>
      <protection locked="0"/>
    </xf>
    <xf numFmtId="0" fontId="6" fillId="4" borderId="0" xfId="0" applyFont="1" applyFill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left" vertical="center" wrapText="1"/>
    </xf>
    <xf numFmtId="0" fontId="3" fillId="2" borderId="8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25" fillId="2" borderId="8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left" indent="1"/>
    </xf>
    <xf numFmtId="0" fontId="1" fillId="2" borderId="3" xfId="0" applyFont="1" applyFill="1" applyBorder="1" applyAlignment="1">
      <alignment horizontal="left" indent="1"/>
    </xf>
    <xf numFmtId="0" fontId="1" fillId="0" borderId="23" xfId="0" applyFont="1" applyBorder="1" applyAlignment="1">
      <alignment horizontal="left" indent="1"/>
    </xf>
    <xf numFmtId="10" fontId="3" fillId="9" borderId="2" xfId="0" applyNumberFormat="1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indent="1"/>
    </xf>
    <xf numFmtId="0" fontId="25" fillId="0" borderId="8" xfId="0" applyFont="1" applyBorder="1" applyAlignment="1">
      <alignment vertical="center" wrapText="1"/>
    </xf>
    <xf numFmtId="0" fontId="1" fillId="0" borderId="2" xfId="0" applyFont="1" applyBorder="1" applyAlignment="1">
      <alignment horizontal="left" indent="1"/>
    </xf>
    <xf numFmtId="0" fontId="27" fillId="2" borderId="0" xfId="0" applyFont="1" applyFill="1"/>
    <xf numFmtId="0" fontId="1" fillId="0" borderId="8" xfId="0" applyFont="1" applyBorder="1" applyAlignment="1">
      <alignment horizontal="left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2" borderId="0" xfId="0" applyFont="1" applyFill="1" applyAlignment="1" applyProtection="1">
      <alignment horizontal="center" vertical="center" wrapText="1"/>
      <protection locked="0"/>
    </xf>
    <xf numFmtId="10" fontId="3" fillId="2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Font="1" applyFill="1" applyAlignment="1" applyProtection="1">
      <alignment horizontal="center" vertical="center"/>
      <protection locked="0"/>
    </xf>
    <xf numFmtId="0" fontId="25" fillId="2" borderId="0" xfId="0" applyFont="1" applyFill="1" applyAlignment="1">
      <alignment horizontal="left"/>
    </xf>
    <xf numFmtId="3" fontId="28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 wrapText="1"/>
    </xf>
    <xf numFmtId="3" fontId="27" fillId="2" borderId="0" xfId="0" applyNumberFormat="1" applyFont="1" applyFill="1"/>
    <xf numFmtId="0" fontId="15" fillId="2" borderId="0" xfId="0" applyFont="1" applyFill="1"/>
    <xf numFmtId="0" fontId="15" fillId="2" borderId="0" xfId="0" applyFont="1" applyFill="1" applyAlignment="1">
      <alignment vertical="center"/>
    </xf>
    <xf numFmtId="3" fontId="3" fillId="0" borderId="8" xfId="0" applyNumberFormat="1" applyFont="1" applyBorder="1" applyAlignment="1">
      <alignment horizontal="center" vertical="center" wrapText="1"/>
    </xf>
    <xf numFmtId="9" fontId="3" fillId="0" borderId="8" xfId="0" applyNumberFormat="1" applyFont="1" applyBorder="1" applyAlignment="1">
      <alignment horizontal="center" vertical="center" wrapText="1"/>
    </xf>
    <xf numFmtId="3" fontId="3" fillId="0" borderId="3" xfId="0" applyNumberFormat="1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 vertical="center" wrapText="1"/>
    </xf>
    <xf numFmtId="10" fontId="3" fillId="0" borderId="2" xfId="0" applyNumberFormat="1" applyFont="1" applyBorder="1" applyAlignment="1">
      <alignment horizontal="center" vertical="center" wrapText="1"/>
    </xf>
    <xf numFmtId="3" fontId="3" fillId="0" borderId="2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5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4" fontId="26" fillId="2" borderId="9" xfId="0" applyNumberFormat="1" applyFont="1" applyFill="1" applyBorder="1" applyAlignment="1">
      <alignment horizontal="left" vertical="center"/>
    </xf>
    <xf numFmtId="4" fontId="26" fillId="2" borderId="10" xfId="0" applyNumberFormat="1" applyFont="1" applyFill="1" applyBorder="1" applyAlignment="1">
      <alignment horizontal="left" vertical="center"/>
    </xf>
    <xf numFmtId="4" fontId="26" fillId="2" borderId="7" xfId="0" applyNumberFormat="1" applyFont="1" applyFill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1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26" fillId="2" borderId="10" xfId="0" applyFont="1" applyFill="1" applyBorder="1" applyAlignment="1">
      <alignment horizontal="left" vertical="center"/>
    </xf>
    <xf numFmtId="0" fontId="26" fillId="2" borderId="7" xfId="0" applyFont="1" applyFill="1" applyBorder="1" applyAlignment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751900" y="1803400"/>
          <a:ext cx="1518765" cy="21295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00000000-0008-0000-0000-000010000000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00000000-0008-0000-0000-000011000000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00000000-0008-0000-0000-000015000000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00000000-0008-0000-0000-000016000000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000-000017000000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00000000-0008-0000-0000-000018000000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000-000019000000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000-00001A000000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000-00001B000000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00000000-0008-0000-0000-00000E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00000000-0008-0000-0000-00000F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843892" y="2578982"/>
          <a:ext cx="1516295" cy="13539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802816"/>
          <a:ext cx="1532170" cy="21301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00000000-0008-0000-0000-00002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000-00002C000000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00000000-0008-0000-0000-00002D000000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00000000-0008-0000-0000-00002E000000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00000000-0008-0000-0000-00002F000000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00000000-0008-0000-0000-000030000000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00000000-0008-0000-0000-000031000000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00000000-0008-0000-0000-000032000000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00000000-0008-0000-0000-000033000000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000-000034000000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94504"/>
          <a:ext cx="578933" cy="6373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173990</xdr:rowOff>
    </xdr:from>
    <xdr:to>
      <xdr:col>2</xdr:col>
      <xdr:colOff>930587</xdr:colOff>
      <xdr:row>1</xdr:row>
      <xdr:rowOff>173990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topLeftCell="B1" zoomScaleNormal="100" workbookViewId="0">
      <pane ySplit="4" topLeftCell="A25" activePane="bottomLeft" state="frozen"/>
      <selection pane="bottomLeft" activeCell="H30" sqref="H30:T31"/>
    </sheetView>
  </sheetViews>
  <sheetFormatPr defaultColWidth="0" defaultRowHeight="14.85" customHeight="1" zeroHeight="1" x14ac:dyDescent="0.25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ht="1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ht="1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1"/>
    </row>
    <row r="5" spans="1:22" s="7" customFormat="1" ht="15.75" thickTop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2" ht="15" customHeight="1" x14ac:dyDescent="0.25">
      <c r="A6" s="4"/>
      <c r="B6" s="14" t="s">
        <v>78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4"/>
    </row>
    <row r="7" spans="1:22" ht="8.1" customHeight="1" x14ac:dyDescent="0.25">
      <c r="A7" s="4"/>
      <c r="B7" s="8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1:22" s="7" customFormat="1" ht="15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2" ht="15" x14ac:dyDescent="0.25"/>
    <row r="10" spans="1:22" ht="15" x14ac:dyDescent="0.25"/>
    <row r="11" spans="1:22" ht="15" x14ac:dyDescent="0.25"/>
    <row r="12" spans="1:22" ht="15" x14ac:dyDescent="0.25"/>
    <row r="13" spans="1:22" ht="15" x14ac:dyDescent="0.25"/>
    <row r="14" spans="1:22" ht="15" x14ac:dyDescent="0.25"/>
    <row r="15" spans="1:22" ht="15" x14ac:dyDescent="0.25"/>
    <row r="16" spans="1:22" ht="15" x14ac:dyDescent="0.25"/>
    <row r="17" spans="2:20" ht="15" x14ac:dyDescent="0.25"/>
    <row r="18" spans="2:20" ht="15" x14ac:dyDescent="0.25"/>
    <row r="19" spans="2:20" ht="15" x14ac:dyDescent="0.25"/>
    <row r="20" spans="2:20" ht="15" x14ac:dyDescent="0.25"/>
    <row r="21" spans="2:20" ht="15" x14ac:dyDescent="0.25"/>
    <row r="22" spans="2:20" ht="15" x14ac:dyDescent="0.25"/>
    <row r="23" spans="2:20" ht="15" x14ac:dyDescent="0.25"/>
    <row r="24" spans="2:20" ht="13.35" customHeight="1" x14ac:dyDescent="0.25">
      <c r="B24" s="92" t="s">
        <v>58</v>
      </c>
      <c r="C24" s="92"/>
      <c r="D24" s="92"/>
      <c r="E24" s="9"/>
      <c r="F24" s="93" t="s">
        <v>108</v>
      </c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10"/>
      <c r="R24" s="10"/>
      <c r="S24" s="10"/>
      <c r="T24" s="10"/>
    </row>
    <row r="25" spans="2:20" ht="13.35" customHeight="1" x14ac:dyDescent="0.25">
      <c r="B25" s="92"/>
      <c r="C25" s="92"/>
      <c r="D25" s="92"/>
      <c r="E25" s="9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10"/>
      <c r="R25" s="10"/>
      <c r="S25" s="10"/>
      <c r="T25" s="10"/>
    </row>
    <row r="26" spans="2:20" ht="8.1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2:20" ht="12" customHeight="1" x14ac:dyDescent="0.25">
      <c r="B27" s="11"/>
      <c r="C27" s="90" t="s">
        <v>59</v>
      </c>
      <c r="D27" s="90"/>
      <c r="E27" s="90"/>
      <c r="F27" s="90"/>
      <c r="G27" s="9"/>
      <c r="H27" s="91" t="s">
        <v>80</v>
      </c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</row>
    <row r="28" spans="2:20" ht="12" customHeight="1" x14ac:dyDescent="0.25">
      <c r="B28" s="11"/>
      <c r="C28" s="90"/>
      <c r="D28" s="90"/>
      <c r="E28" s="90"/>
      <c r="F28" s="90"/>
      <c r="G28" s="9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</row>
    <row r="29" spans="2:20" ht="3" customHeight="1" x14ac:dyDescent="0.25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2:20" ht="12" customHeight="1" x14ac:dyDescent="0.25">
      <c r="B30" s="11"/>
      <c r="C30" s="90" t="s">
        <v>60</v>
      </c>
      <c r="D30" s="90"/>
      <c r="E30" s="90"/>
      <c r="F30" s="90"/>
      <c r="G30" s="9"/>
      <c r="H30" s="94" t="s">
        <v>109</v>
      </c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</row>
    <row r="31" spans="2:20" ht="12" customHeight="1" x14ac:dyDescent="0.25">
      <c r="B31" s="11"/>
      <c r="C31" s="90"/>
      <c r="D31" s="90"/>
      <c r="E31" s="90"/>
      <c r="F31" s="90"/>
      <c r="G31" s="9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</row>
    <row r="32" spans="2:20" ht="12" customHeight="1" x14ac:dyDescent="0.25">
      <c r="B32" s="11"/>
      <c r="C32" s="90"/>
      <c r="D32" s="90"/>
      <c r="E32" s="90"/>
      <c r="F32" s="90"/>
      <c r="G32" s="9"/>
      <c r="H32" s="13" t="s">
        <v>81</v>
      </c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2:20" ht="12" customHeight="1" x14ac:dyDescent="0.25">
      <c r="B33" s="11"/>
      <c r="C33" s="90"/>
      <c r="D33" s="90"/>
      <c r="E33" s="90"/>
      <c r="F33" s="90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2:20" ht="12" customHeight="1" x14ac:dyDescent="0.25">
      <c r="B34" s="11"/>
      <c r="C34" s="90"/>
      <c r="D34" s="90"/>
      <c r="E34" s="90"/>
      <c r="F34" s="90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2:20" ht="12" customHeight="1" x14ac:dyDescent="0.25">
      <c r="B35" s="11"/>
      <c r="C35" s="90"/>
      <c r="D35" s="90"/>
      <c r="E35" s="90"/>
      <c r="F35" s="90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2:20" ht="12" customHeight="1" x14ac:dyDescent="0.25">
      <c r="B36" s="11"/>
      <c r="C36" s="90"/>
      <c r="D36" s="90"/>
      <c r="E36" s="90"/>
      <c r="F36" s="90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2:20" ht="3" customHeight="1" x14ac:dyDescent="0.25"/>
    <row r="38" spans="2:20" ht="12" customHeight="1" x14ac:dyDescent="0.25">
      <c r="B38" s="11"/>
      <c r="C38" s="90" t="s">
        <v>61</v>
      </c>
      <c r="D38" s="90"/>
      <c r="E38" s="90"/>
      <c r="F38" s="90"/>
      <c r="G38" s="9"/>
      <c r="H38" s="13" t="s">
        <v>62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2:20" ht="12" customHeight="1" x14ac:dyDescent="0.25">
      <c r="B39" s="11"/>
      <c r="C39" s="90"/>
      <c r="D39" s="90"/>
      <c r="E39" s="90"/>
      <c r="F39" s="90"/>
      <c r="G39" s="9"/>
      <c r="H39" s="13" t="s">
        <v>63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2:20" ht="3" customHeight="1" x14ac:dyDescent="0.25"/>
    <row r="41" spans="2:20" ht="12" customHeight="1" x14ac:dyDescent="0.25">
      <c r="B41" s="11"/>
      <c r="C41" s="90" t="s">
        <v>64</v>
      </c>
      <c r="D41" s="90"/>
      <c r="E41" s="90"/>
      <c r="F41" s="90"/>
      <c r="G41" s="9"/>
      <c r="H41" s="13" t="s">
        <v>65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2:20" ht="12" customHeight="1" x14ac:dyDescent="0.25">
      <c r="B42" s="11"/>
      <c r="C42" s="90"/>
      <c r="D42" s="90"/>
      <c r="E42" s="90"/>
      <c r="F42" s="90"/>
      <c r="G42" s="9"/>
      <c r="H42" s="13" t="s">
        <v>66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2:20" ht="10.35" customHeight="1" x14ac:dyDescent="0.25"/>
    <row r="44" spans="2:20" ht="13.35" customHeight="1" x14ac:dyDescent="0.25">
      <c r="B44" s="92" t="s">
        <v>67</v>
      </c>
      <c r="C44" s="92"/>
      <c r="D44" s="92"/>
      <c r="E44" s="9"/>
      <c r="F44" s="93" t="s">
        <v>74</v>
      </c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10"/>
      <c r="R44" s="10"/>
      <c r="S44" s="10"/>
      <c r="T44" s="10"/>
    </row>
    <row r="45" spans="2:20" ht="13.35" customHeight="1" x14ac:dyDescent="0.25">
      <c r="B45" s="92"/>
      <c r="C45" s="92"/>
      <c r="D45" s="92"/>
      <c r="E45" s="9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10"/>
      <c r="R45" s="10"/>
      <c r="S45" s="10"/>
      <c r="T45" s="10"/>
    </row>
    <row r="46" spans="2:20" ht="8.1" customHeight="1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2:20" ht="12" customHeight="1" x14ac:dyDescent="0.25">
      <c r="B47" s="11"/>
      <c r="C47" s="90" t="s">
        <v>68</v>
      </c>
      <c r="D47" s="90"/>
      <c r="E47" s="90"/>
      <c r="F47" s="90"/>
      <c r="G47" s="9"/>
      <c r="H47" s="91" t="s">
        <v>69</v>
      </c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</row>
    <row r="48" spans="2:20" ht="12" customHeight="1" x14ac:dyDescent="0.25">
      <c r="B48" s="11"/>
      <c r="C48" s="90"/>
      <c r="D48" s="90"/>
      <c r="E48" s="90"/>
      <c r="F48" s="90"/>
      <c r="G48" s="9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</row>
    <row r="49" spans="2:20" ht="3" customHeight="1" x14ac:dyDescent="0.25"/>
    <row r="50" spans="2:20" ht="12" customHeight="1" x14ac:dyDescent="0.25">
      <c r="B50" s="11"/>
      <c r="C50" s="90" t="s">
        <v>70</v>
      </c>
      <c r="D50" s="90"/>
      <c r="E50" s="90"/>
      <c r="F50" s="90"/>
      <c r="G50" s="9"/>
      <c r="H50" s="91" t="s">
        <v>75</v>
      </c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</row>
    <row r="51" spans="2:20" ht="12" customHeight="1" x14ac:dyDescent="0.25">
      <c r="B51" s="11"/>
      <c r="C51" s="90"/>
      <c r="D51" s="90"/>
      <c r="E51" s="90"/>
      <c r="F51" s="90"/>
      <c r="G51" s="9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</row>
    <row r="52" spans="2:20" ht="3" customHeight="1" x14ac:dyDescent="0.25"/>
    <row r="53" spans="2:20" ht="12" customHeight="1" x14ac:dyDescent="0.25">
      <c r="B53" s="11"/>
      <c r="C53" s="90" t="s">
        <v>71</v>
      </c>
      <c r="D53" s="90"/>
      <c r="E53" s="90"/>
      <c r="F53" s="90"/>
      <c r="G53" s="9"/>
      <c r="H53" s="91" t="s">
        <v>76</v>
      </c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</row>
    <row r="54" spans="2:20" ht="12" customHeight="1" x14ac:dyDescent="0.25">
      <c r="B54" s="11"/>
      <c r="C54" s="90"/>
      <c r="D54" s="90"/>
      <c r="E54" s="90"/>
      <c r="F54" s="90"/>
      <c r="G54" s="9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</row>
    <row r="55" spans="2:20" ht="3" customHeight="1" x14ac:dyDescent="0.25"/>
    <row r="56" spans="2:20" ht="12" customHeight="1" x14ac:dyDescent="0.25">
      <c r="B56" s="11"/>
      <c r="C56" s="90" t="s">
        <v>72</v>
      </c>
      <c r="D56" s="90"/>
      <c r="E56" s="90"/>
      <c r="F56" s="90"/>
      <c r="G56" s="9"/>
      <c r="H56" s="91" t="s">
        <v>82</v>
      </c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</row>
    <row r="57" spans="2:20" ht="12" customHeight="1" x14ac:dyDescent="0.25">
      <c r="B57" s="11"/>
      <c r="C57" s="90"/>
      <c r="D57" s="90"/>
      <c r="E57" s="90"/>
      <c r="F57" s="90"/>
      <c r="G57" s="9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</row>
    <row r="58" spans="2:20" ht="10.35" customHeight="1" x14ac:dyDescent="0.25"/>
    <row r="59" spans="2:20" ht="13.35" customHeight="1" x14ac:dyDescent="0.25">
      <c r="B59" s="92" t="s">
        <v>73</v>
      </c>
      <c r="C59" s="92"/>
      <c r="D59" s="92"/>
      <c r="E59" s="9"/>
      <c r="F59" s="93" t="s">
        <v>77</v>
      </c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10"/>
      <c r="R59" s="10"/>
      <c r="S59" s="10"/>
      <c r="T59" s="10"/>
    </row>
    <row r="60" spans="2:20" ht="13.35" customHeight="1" x14ac:dyDescent="0.25">
      <c r="B60" s="92"/>
      <c r="C60" s="92"/>
      <c r="D60" s="92"/>
      <c r="E60" s="9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10"/>
      <c r="R60" s="10"/>
      <c r="S60" s="10"/>
      <c r="T60" s="10"/>
    </row>
    <row r="61" spans="2:20" ht="15" x14ac:dyDescent="0.25"/>
    <row r="62" spans="2:20" ht="15" hidden="1" x14ac:dyDescent="0.25"/>
  </sheetData>
  <mergeCells count="20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H14" sqref="H14"/>
    </sheetView>
  </sheetViews>
  <sheetFormatPr defaultColWidth="0" defaultRowHeight="0" customHeight="1" zeroHeight="1" x14ac:dyDescent="0.25"/>
  <cols>
    <col min="1" max="2" width="3.5703125" style="25" customWidth="1"/>
    <col min="3" max="4" width="10.5703125" style="25" customWidth="1"/>
    <col min="5" max="5" width="5.5703125" style="25" customWidth="1"/>
    <col min="6" max="6" width="10.5703125" style="25" customWidth="1"/>
    <col min="7" max="7" width="8.5703125" style="25" customWidth="1"/>
    <col min="8" max="8" width="3.5703125" style="25" customWidth="1"/>
    <col min="9" max="13" width="10.5703125" style="25" hidden="1" customWidth="1"/>
    <col min="14" max="16384" width="8.5703125" style="25" hidden="1"/>
  </cols>
  <sheetData>
    <row r="1" spans="1:8" s="18" customFormat="1" ht="15" x14ac:dyDescent="0.25"/>
    <row r="2" spans="1:8" s="18" customFormat="1" ht="5.0999999999999996" customHeight="1" x14ac:dyDescent="0.25"/>
    <row r="3" spans="1:8" s="18" customFormat="1" ht="15" x14ac:dyDescent="0.25"/>
    <row r="4" spans="1:8" s="18" customFormat="1" ht="5.0999999999999996" customHeight="1" thickBot="1" x14ac:dyDescent="0.3">
      <c r="A4" s="19"/>
      <c r="B4" s="20"/>
      <c r="C4" s="20"/>
      <c r="D4" s="20"/>
      <c r="E4" s="20"/>
      <c r="F4" s="20"/>
      <c r="G4" s="20"/>
    </row>
    <row r="5" spans="1:8" s="18" customFormat="1" ht="8.1" customHeight="1" thickTop="1" x14ac:dyDescent="0.25">
      <c r="A5" s="21"/>
      <c r="B5" s="21"/>
      <c r="C5" s="21"/>
      <c r="D5" s="21"/>
      <c r="E5" s="21"/>
      <c r="F5" s="21"/>
      <c r="G5" s="21"/>
      <c r="H5" s="21"/>
    </row>
    <row r="6" spans="1:8" s="26" customFormat="1" ht="15" x14ac:dyDescent="0.25">
      <c r="A6" s="22"/>
      <c r="B6" s="23" t="s">
        <v>54</v>
      </c>
      <c r="C6" s="24"/>
      <c r="D6" s="24"/>
      <c r="E6" s="24"/>
      <c r="F6" s="24"/>
      <c r="G6" s="24"/>
      <c r="H6" s="25"/>
    </row>
    <row r="7" spans="1:8" s="26" customFormat="1" ht="4.3499999999999996" customHeight="1" x14ac:dyDescent="0.25">
      <c r="A7" s="22"/>
      <c r="B7" s="27"/>
      <c r="C7" s="22"/>
      <c r="D7" s="22"/>
      <c r="E7" s="22"/>
      <c r="F7" s="22"/>
      <c r="G7" s="22"/>
      <c r="H7" s="25"/>
    </row>
    <row r="8" spans="1:8" s="26" customFormat="1" ht="8.1" customHeight="1" x14ac:dyDescent="0.25">
      <c r="A8" s="22"/>
      <c r="B8" s="28"/>
      <c r="C8" s="29"/>
      <c r="D8" s="29"/>
      <c r="E8" s="29"/>
      <c r="F8" s="29"/>
      <c r="G8" s="30"/>
      <c r="H8" s="25"/>
    </row>
    <row r="9" spans="1:8" s="26" customFormat="1" ht="15" x14ac:dyDescent="0.25">
      <c r="A9" s="25"/>
      <c r="B9" s="31"/>
      <c r="C9" s="32" t="s">
        <v>55</v>
      </c>
      <c r="D9" s="32"/>
      <c r="E9" s="33"/>
      <c r="F9" s="34">
        <v>46022</v>
      </c>
      <c r="G9" s="35"/>
      <c r="H9" s="25"/>
    </row>
    <row r="10" spans="1:8" s="26" customFormat="1" ht="8.1" customHeight="1" x14ac:dyDescent="0.25">
      <c r="A10" s="25"/>
      <c r="B10" s="31"/>
      <c r="C10" s="36"/>
      <c r="D10" s="36"/>
      <c r="E10" s="1"/>
      <c r="F10" s="17" t="str">
        <f>YEAR(F9)&amp;"-"&amp;TEXT(MONTH(F9),"00")&amp;"-"&amp;TEXT(DAY(F9),"00")</f>
        <v>2025-12-31</v>
      </c>
      <c r="G10" s="41"/>
      <c r="H10" s="25"/>
    </row>
    <row r="11" spans="1:8" s="26" customFormat="1" ht="8.1" customHeight="1" x14ac:dyDescent="0.25">
      <c r="A11" s="25"/>
      <c r="B11" s="31"/>
      <c r="C11" s="18"/>
      <c r="D11" s="18"/>
      <c r="E11" s="18"/>
      <c r="F11" s="18"/>
      <c r="G11" s="35"/>
      <c r="H11" s="25"/>
    </row>
    <row r="12" spans="1:8" s="26" customFormat="1" ht="15" x14ac:dyDescent="0.25">
      <c r="A12" s="25"/>
      <c r="B12" s="31"/>
      <c r="C12" s="32" t="s">
        <v>56</v>
      </c>
      <c r="D12" s="32"/>
      <c r="E12" s="33"/>
      <c r="F12" s="33"/>
      <c r="G12" s="35"/>
      <c r="H12" s="25"/>
    </row>
    <row r="13" spans="1:8" s="26" customFormat="1" ht="8.1" customHeight="1" x14ac:dyDescent="0.25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" customHeight="1" x14ac:dyDescent="0.25">
      <c r="A14" s="25"/>
      <c r="B14" s="31"/>
      <c r="C14" s="18"/>
      <c r="D14" s="18"/>
      <c r="E14" s="18"/>
      <c r="F14" s="18"/>
      <c r="G14" s="35"/>
      <c r="H14" s="25"/>
    </row>
    <row r="15" spans="1:8" s="26" customFormat="1" ht="15" x14ac:dyDescent="0.25">
      <c r="A15" s="25"/>
      <c r="B15" s="31"/>
      <c r="C15" s="32" t="s">
        <v>57</v>
      </c>
      <c r="D15" s="32"/>
      <c r="E15" s="33"/>
      <c r="F15" s="33"/>
      <c r="G15" s="35"/>
      <c r="H15" s="25"/>
    </row>
    <row r="16" spans="1:8" s="26" customFormat="1" ht="8.1" customHeight="1" x14ac:dyDescent="0.25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" customHeight="1" x14ac:dyDescent="0.25">
      <c r="A17" s="25"/>
      <c r="B17" s="37"/>
      <c r="C17" s="38"/>
      <c r="D17" s="38"/>
      <c r="E17" s="38"/>
      <c r="F17" s="38"/>
      <c r="G17" s="39"/>
      <c r="H17" s="25"/>
    </row>
    <row r="18" spans="1:8" s="26" customFormat="1" ht="15" x14ac:dyDescent="0.25">
      <c r="A18" s="25"/>
      <c r="B18" s="25"/>
      <c r="C18" s="25"/>
      <c r="D18" s="25"/>
      <c r="E18" s="25"/>
      <c r="F18" s="25"/>
      <c r="G18" s="25"/>
      <c r="H18" s="25"/>
    </row>
    <row r="19" spans="1:8" ht="15" hidden="1" x14ac:dyDescent="0.25"/>
    <row r="20" spans="1:8" ht="15" hidden="1" x14ac:dyDescent="0.25"/>
    <row r="21" spans="1:8" ht="15" hidden="1" x14ac:dyDescent="0.25"/>
    <row r="22" spans="1:8" ht="15" hidden="1" x14ac:dyDescent="0.25">
      <c r="F22" s="40"/>
      <c r="G22" s="40"/>
    </row>
    <row r="23" spans="1:8" ht="15" hidden="1" x14ac:dyDescent="0.25"/>
    <row r="24" spans="1:8" ht="15" hidden="1" x14ac:dyDescent="0.25"/>
    <row r="25" spans="1:8" ht="15" hidden="1" x14ac:dyDescent="0.25"/>
    <row r="26" spans="1:8" ht="15" hidden="1" x14ac:dyDescent="0.25"/>
    <row r="27" spans="1:8" ht="15" hidden="1" x14ac:dyDescent="0.2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AB5315"/>
  <sheetViews>
    <sheetView showGridLines="0" workbookViewId="0">
      <pane ySplit="1" topLeftCell="A5177" activePane="bottomLeft" state="frozen"/>
      <selection pane="bottomLeft" activeCell="G14" sqref="G14:G5314"/>
    </sheetView>
  </sheetViews>
  <sheetFormatPr defaultColWidth="0" defaultRowHeight="15" zeroHeight="1" x14ac:dyDescent="0.25"/>
  <cols>
    <col min="1" max="2" width="3.5703125" customWidth="1"/>
    <col min="3" max="3" width="17.85546875" customWidth="1"/>
    <col min="4" max="4" width="9.85546875" customWidth="1"/>
    <col min="5" max="5" width="10.42578125" customWidth="1"/>
    <col min="6" max="10" width="14.5703125" customWidth="1"/>
    <col min="11" max="11" width="17" bestFit="1" customWidth="1"/>
    <col min="12" max="12" width="21.140625" bestFit="1" customWidth="1"/>
    <col min="13" max="16" width="14.5703125" customWidth="1"/>
    <col min="17" max="18" width="12.5703125" customWidth="1"/>
    <col min="19" max="20" width="3.5703125" customWidth="1"/>
    <col min="21" max="28" width="0" hidden="1" customWidth="1"/>
    <col min="29" max="16384" width="8.5703125" hidden="1"/>
  </cols>
  <sheetData>
    <row r="1" spans="3:18" x14ac:dyDescent="0.25"/>
    <row r="2" spans="3:18" x14ac:dyDescent="0.25"/>
    <row r="3" spans="3:18" x14ac:dyDescent="0.25"/>
    <row r="4" spans="3:18" x14ac:dyDescent="0.25"/>
    <row r="5" spans="3:18" x14ac:dyDescent="0.25"/>
    <row r="6" spans="3:18" x14ac:dyDescent="0.25">
      <c r="C6" t="s">
        <v>110</v>
      </c>
      <c r="D6" t="s">
        <v>111</v>
      </c>
      <c r="E6" t="s">
        <v>112</v>
      </c>
      <c r="F6" t="s">
        <v>113</v>
      </c>
      <c r="G6" t="s">
        <v>114</v>
      </c>
      <c r="H6" t="s">
        <v>115</v>
      </c>
      <c r="I6" t="s">
        <v>116</v>
      </c>
      <c r="J6" t="s">
        <v>117</v>
      </c>
      <c r="K6" t="s">
        <v>118</v>
      </c>
      <c r="L6" t="s">
        <v>119</v>
      </c>
      <c r="M6" t="s">
        <v>120</v>
      </c>
      <c r="N6" t="s">
        <v>121</v>
      </c>
      <c r="O6" t="s">
        <v>122</v>
      </c>
      <c r="P6" t="s">
        <v>123</v>
      </c>
      <c r="Q6" t="s">
        <v>124</v>
      </c>
      <c r="R6" t="s">
        <v>125</v>
      </c>
    </row>
    <row r="7" spans="3:18" hidden="1" x14ac:dyDescent="0.25">
      <c r="C7" t="s">
        <v>45</v>
      </c>
      <c r="D7" t="s">
        <v>21</v>
      </c>
      <c r="E7" t="s">
        <v>44</v>
      </c>
      <c r="F7" t="s">
        <v>41</v>
      </c>
      <c r="G7" s="89">
        <v>22909</v>
      </c>
      <c r="H7" t="s">
        <v>42</v>
      </c>
      <c r="I7" t="s">
        <v>126</v>
      </c>
      <c r="J7" s="89">
        <v>251999</v>
      </c>
      <c r="K7" t="s">
        <v>127</v>
      </c>
      <c r="L7" t="s">
        <v>128</v>
      </c>
      <c r="M7" t="s">
        <v>129</v>
      </c>
      <c r="N7">
        <v>1</v>
      </c>
      <c r="O7" s="89">
        <v>687.27</v>
      </c>
      <c r="P7" s="89">
        <v>7559.97</v>
      </c>
      <c r="Q7" t="s">
        <v>130</v>
      </c>
      <c r="R7" t="s">
        <v>131</v>
      </c>
    </row>
    <row r="8" spans="3:18" hidden="1" x14ac:dyDescent="0.25">
      <c r="C8" t="s">
        <v>45</v>
      </c>
      <c r="D8" t="s">
        <v>20</v>
      </c>
      <c r="E8" t="s">
        <v>43</v>
      </c>
      <c r="F8" t="s">
        <v>41</v>
      </c>
      <c r="G8" s="89">
        <v>104951</v>
      </c>
      <c r="H8" t="s">
        <v>132</v>
      </c>
      <c r="I8" t="s">
        <v>133</v>
      </c>
      <c r="J8" s="89">
        <v>2518824</v>
      </c>
      <c r="K8" t="s">
        <v>134</v>
      </c>
      <c r="L8" t="s">
        <v>128</v>
      </c>
      <c r="N8">
        <v>1</v>
      </c>
      <c r="O8" s="89">
        <v>3148.53</v>
      </c>
      <c r="P8" s="89">
        <v>99703.45</v>
      </c>
      <c r="Q8" t="s">
        <v>135</v>
      </c>
      <c r="R8" t="s">
        <v>131</v>
      </c>
    </row>
    <row r="9" spans="3:18" hidden="1" x14ac:dyDescent="0.25">
      <c r="C9" t="s">
        <v>45</v>
      </c>
      <c r="D9" t="s">
        <v>19</v>
      </c>
      <c r="E9" t="s">
        <v>43</v>
      </c>
      <c r="F9" t="s">
        <v>53</v>
      </c>
      <c r="G9" s="89">
        <v>366898</v>
      </c>
      <c r="H9" t="s">
        <v>42</v>
      </c>
      <c r="I9" t="s">
        <v>133</v>
      </c>
      <c r="J9" s="89">
        <v>8805552</v>
      </c>
      <c r="K9" t="s">
        <v>127</v>
      </c>
      <c r="L9" t="s">
        <v>128</v>
      </c>
      <c r="M9" t="s">
        <v>136</v>
      </c>
      <c r="N9">
        <v>1</v>
      </c>
      <c r="O9" s="89">
        <v>18344.900000000001</v>
      </c>
      <c r="P9" s="89">
        <v>238483.7</v>
      </c>
      <c r="Q9" t="s">
        <v>137</v>
      </c>
      <c r="R9" t="s">
        <v>131</v>
      </c>
    </row>
    <row r="10" spans="3:18" hidden="1" x14ac:dyDescent="0.25">
      <c r="C10" t="s">
        <v>45</v>
      </c>
      <c r="D10" t="s">
        <v>138</v>
      </c>
      <c r="E10" t="s">
        <v>44</v>
      </c>
      <c r="F10" t="s">
        <v>41</v>
      </c>
      <c r="G10" s="89">
        <v>46752</v>
      </c>
      <c r="H10" t="s">
        <v>42</v>
      </c>
      <c r="I10" t="s">
        <v>133</v>
      </c>
      <c r="J10" s="89">
        <v>1355808</v>
      </c>
      <c r="K10" t="s">
        <v>127</v>
      </c>
      <c r="L10" t="s">
        <v>128</v>
      </c>
      <c r="M10" t="s">
        <v>139</v>
      </c>
      <c r="N10">
        <v>1</v>
      </c>
      <c r="O10" s="89">
        <v>1402.56</v>
      </c>
      <c r="P10" s="89">
        <v>38336.639999999999</v>
      </c>
      <c r="Q10" t="s">
        <v>135</v>
      </c>
      <c r="R10" t="s">
        <v>131</v>
      </c>
    </row>
    <row r="11" spans="3:18" hidden="1" x14ac:dyDescent="0.25">
      <c r="C11" t="s">
        <v>45</v>
      </c>
      <c r="D11" t="s">
        <v>24</v>
      </c>
      <c r="E11" t="s">
        <v>48</v>
      </c>
      <c r="F11" t="s">
        <v>41</v>
      </c>
      <c r="G11" s="89">
        <v>2849274</v>
      </c>
      <c r="H11" t="s">
        <v>140</v>
      </c>
      <c r="I11" t="s">
        <v>141</v>
      </c>
      <c r="J11" s="89">
        <v>22794192</v>
      </c>
      <c r="K11" t="s">
        <v>127</v>
      </c>
      <c r="L11" t="s">
        <v>128</v>
      </c>
      <c r="N11">
        <v>1</v>
      </c>
      <c r="O11" s="89">
        <v>113970.96</v>
      </c>
      <c r="P11" s="89">
        <v>1367651.52</v>
      </c>
      <c r="Q11" t="s">
        <v>142</v>
      </c>
      <c r="R11" t="s">
        <v>131</v>
      </c>
    </row>
    <row r="12" spans="3:18" hidden="1" x14ac:dyDescent="0.25">
      <c r="C12" t="s">
        <v>45</v>
      </c>
      <c r="D12" t="s">
        <v>22</v>
      </c>
      <c r="E12" t="s">
        <v>48</v>
      </c>
      <c r="F12" t="s">
        <v>41</v>
      </c>
      <c r="G12" s="89">
        <v>1476444</v>
      </c>
      <c r="H12" t="s">
        <v>42</v>
      </c>
      <c r="I12" t="s">
        <v>126</v>
      </c>
      <c r="J12" s="89">
        <v>23623104</v>
      </c>
      <c r="K12" t="s">
        <v>127</v>
      </c>
      <c r="L12" t="s">
        <v>128</v>
      </c>
      <c r="M12" t="s">
        <v>143</v>
      </c>
      <c r="N12">
        <v>1</v>
      </c>
      <c r="O12" s="89">
        <v>44293.32</v>
      </c>
      <c r="P12" s="89">
        <v>752986.44</v>
      </c>
      <c r="Q12" t="s">
        <v>142</v>
      </c>
      <c r="R12" t="s">
        <v>131</v>
      </c>
    </row>
    <row r="13" spans="3:18" hidden="1" x14ac:dyDescent="0.25">
      <c r="C13" t="s">
        <v>45</v>
      </c>
      <c r="D13" t="s">
        <v>21</v>
      </c>
      <c r="E13" t="s">
        <v>40</v>
      </c>
      <c r="F13" t="s">
        <v>41</v>
      </c>
      <c r="G13" s="89">
        <v>2098955</v>
      </c>
      <c r="H13" t="s">
        <v>140</v>
      </c>
      <c r="I13" t="s">
        <v>141</v>
      </c>
      <c r="J13" s="89">
        <v>16791640</v>
      </c>
      <c r="K13" t="s">
        <v>127</v>
      </c>
      <c r="L13" t="s">
        <v>128</v>
      </c>
      <c r="N13">
        <v>1</v>
      </c>
      <c r="O13" s="89">
        <v>62968.65</v>
      </c>
      <c r="P13" s="89">
        <v>986508.85</v>
      </c>
      <c r="Q13" t="s">
        <v>142</v>
      </c>
      <c r="R13" t="s">
        <v>131</v>
      </c>
    </row>
    <row r="14" spans="3:18" x14ac:dyDescent="0.25">
      <c r="C14" t="s">
        <v>47</v>
      </c>
      <c r="D14" t="s">
        <v>23</v>
      </c>
      <c r="E14" t="s">
        <v>48</v>
      </c>
      <c r="F14" t="s">
        <v>41</v>
      </c>
      <c r="G14" s="89">
        <v>200368</v>
      </c>
      <c r="H14" t="s">
        <v>140</v>
      </c>
      <c r="I14" t="s">
        <v>126</v>
      </c>
      <c r="J14" s="89">
        <v>2604784</v>
      </c>
      <c r="K14" t="s">
        <v>144</v>
      </c>
      <c r="N14">
        <v>1</v>
      </c>
      <c r="O14" s="89">
        <v>8014.72</v>
      </c>
      <c r="P14" s="89">
        <v>194356.96</v>
      </c>
      <c r="Q14" t="s">
        <v>135</v>
      </c>
      <c r="R14" t="s">
        <v>131</v>
      </c>
    </row>
    <row r="15" spans="3:18" x14ac:dyDescent="0.25">
      <c r="C15" t="s">
        <v>47</v>
      </c>
      <c r="D15" t="s">
        <v>21</v>
      </c>
      <c r="E15" t="s">
        <v>40</v>
      </c>
      <c r="F15" t="s">
        <v>41</v>
      </c>
      <c r="G15" s="89">
        <v>24727</v>
      </c>
      <c r="H15" t="s">
        <v>145</v>
      </c>
      <c r="I15" t="s">
        <v>126</v>
      </c>
      <c r="J15" s="89">
        <v>346178</v>
      </c>
      <c r="K15" t="s">
        <v>144</v>
      </c>
      <c r="N15">
        <v>1</v>
      </c>
      <c r="O15" s="89">
        <v>989.08</v>
      </c>
      <c r="P15" s="89">
        <v>2472.6999999999998</v>
      </c>
      <c r="Q15" t="s">
        <v>130</v>
      </c>
      <c r="R15" t="s">
        <v>131</v>
      </c>
    </row>
    <row r="16" spans="3:18" hidden="1" x14ac:dyDescent="0.25">
      <c r="C16" t="s">
        <v>45</v>
      </c>
      <c r="D16" t="s">
        <v>24</v>
      </c>
      <c r="E16" t="s">
        <v>48</v>
      </c>
      <c r="F16" t="s">
        <v>41</v>
      </c>
      <c r="G16" s="89">
        <v>205070</v>
      </c>
      <c r="H16" t="s">
        <v>145</v>
      </c>
      <c r="I16" t="s">
        <v>126</v>
      </c>
      <c r="J16" s="89">
        <v>3076050</v>
      </c>
      <c r="K16" t="s">
        <v>144</v>
      </c>
      <c r="N16">
        <v>1</v>
      </c>
      <c r="O16" s="89">
        <v>6152.1</v>
      </c>
      <c r="P16" s="89">
        <v>96382.9</v>
      </c>
      <c r="Q16" t="s">
        <v>142</v>
      </c>
      <c r="R16" t="s">
        <v>131</v>
      </c>
    </row>
    <row r="17" spans="3:18" hidden="1" x14ac:dyDescent="0.25">
      <c r="C17" t="s">
        <v>45</v>
      </c>
      <c r="D17" t="s">
        <v>23</v>
      </c>
      <c r="E17" t="s">
        <v>43</v>
      </c>
      <c r="F17" t="s">
        <v>41</v>
      </c>
      <c r="G17" s="89">
        <v>240596</v>
      </c>
      <c r="H17" t="s">
        <v>140</v>
      </c>
      <c r="I17" t="s">
        <v>133</v>
      </c>
      <c r="J17" s="89">
        <v>6977284</v>
      </c>
      <c r="K17" t="s">
        <v>134</v>
      </c>
      <c r="L17" t="s">
        <v>128</v>
      </c>
      <c r="N17">
        <v>1</v>
      </c>
      <c r="O17" s="89">
        <v>7217.88</v>
      </c>
      <c r="P17" s="89">
        <v>91426.48</v>
      </c>
      <c r="Q17" t="s">
        <v>130</v>
      </c>
      <c r="R17" t="s">
        <v>131</v>
      </c>
    </row>
    <row r="18" spans="3:18" hidden="1" x14ac:dyDescent="0.25">
      <c r="C18" t="s">
        <v>45</v>
      </c>
      <c r="D18" t="s">
        <v>19</v>
      </c>
      <c r="E18" t="s">
        <v>43</v>
      </c>
      <c r="F18" t="s">
        <v>41</v>
      </c>
      <c r="G18" s="89">
        <v>79411501</v>
      </c>
      <c r="H18" t="s">
        <v>42</v>
      </c>
      <c r="I18" t="s">
        <v>133</v>
      </c>
      <c r="J18" s="89">
        <v>2699991034</v>
      </c>
      <c r="K18" t="s">
        <v>127</v>
      </c>
      <c r="L18" t="s">
        <v>128</v>
      </c>
      <c r="M18" t="s">
        <v>136</v>
      </c>
      <c r="N18">
        <v>1</v>
      </c>
      <c r="O18" s="89">
        <v>2382345.0299999998</v>
      </c>
      <c r="P18" s="89">
        <v>65911545.829999998</v>
      </c>
      <c r="Q18" t="s">
        <v>135</v>
      </c>
      <c r="R18" t="s">
        <v>131</v>
      </c>
    </row>
    <row r="19" spans="3:18" hidden="1" x14ac:dyDescent="0.25">
      <c r="C19" t="s">
        <v>45</v>
      </c>
      <c r="D19" t="s">
        <v>20</v>
      </c>
      <c r="E19" t="s">
        <v>43</v>
      </c>
      <c r="F19" t="s">
        <v>41</v>
      </c>
      <c r="G19" s="89">
        <v>940529</v>
      </c>
      <c r="H19" t="s">
        <v>145</v>
      </c>
      <c r="I19" t="s">
        <v>141</v>
      </c>
      <c r="J19" s="89">
        <v>6583703</v>
      </c>
      <c r="K19" t="s">
        <v>127</v>
      </c>
      <c r="L19" t="s">
        <v>128</v>
      </c>
      <c r="N19">
        <v>1</v>
      </c>
      <c r="O19" s="89">
        <v>28215.87</v>
      </c>
      <c r="P19" s="89">
        <v>451453.92</v>
      </c>
      <c r="Q19" t="s">
        <v>142</v>
      </c>
      <c r="R19" t="s">
        <v>131</v>
      </c>
    </row>
    <row r="20" spans="3:18" hidden="1" x14ac:dyDescent="0.25">
      <c r="C20" t="s">
        <v>45</v>
      </c>
      <c r="D20" t="s">
        <v>21</v>
      </c>
      <c r="E20" t="s">
        <v>48</v>
      </c>
      <c r="F20" t="s">
        <v>41</v>
      </c>
      <c r="G20" s="89">
        <v>100403</v>
      </c>
      <c r="H20" t="s">
        <v>42</v>
      </c>
      <c r="I20" t="s">
        <v>133</v>
      </c>
      <c r="J20" s="89">
        <v>3915717</v>
      </c>
      <c r="K20" t="s">
        <v>134</v>
      </c>
      <c r="L20" t="s">
        <v>128</v>
      </c>
      <c r="M20" t="s">
        <v>129</v>
      </c>
      <c r="N20">
        <v>1</v>
      </c>
      <c r="O20" s="89">
        <v>3012.09</v>
      </c>
      <c r="P20" s="89">
        <v>77310.31</v>
      </c>
      <c r="Q20" t="s">
        <v>137</v>
      </c>
      <c r="R20" t="s">
        <v>42</v>
      </c>
    </row>
    <row r="21" spans="3:18" x14ac:dyDescent="0.25">
      <c r="C21" t="s">
        <v>47</v>
      </c>
      <c r="D21" t="s">
        <v>22</v>
      </c>
      <c r="E21" t="s">
        <v>40</v>
      </c>
      <c r="F21" t="s">
        <v>41</v>
      </c>
      <c r="G21" s="89">
        <v>50016</v>
      </c>
      <c r="H21" t="s">
        <v>146</v>
      </c>
      <c r="I21" t="s">
        <v>141</v>
      </c>
      <c r="J21" s="89">
        <v>450144</v>
      </c>
      <c r="K21" t="s">
        <v>144</v>
      </c>
      <c r="N21">
        <v>1</v>
      </c>
      <c r="O21" s="89">
        <v>2000.64</v>
      </c>
      <c r="P21" s="89">
        <v>33010.559999999998</v>
      </c>
      <c r="Q21" t="s">
        <v>137</v>
      </c>
      <c r="R21" t="s">
        <v>131</v>
      </c>
    </row>
    <row r="22" spans="3:18" x14ac:dyDescent="0.25">
      <c r="C22" t="s">
        <v>47</v>
      </c>
      <c r="D22" t="s">
        <v>22</v>
      </c>
      <c r="E22" t="s">
        <v>43</v>
      </c>
      <c r="F22" t="s">
        <v>41</v>
      </c>
      <c r="G22" s="89">
        <v>1788642</v>
      </c>
      <c r="H22" t="s">
        <v>42</v>
      </c>
      <c r="I22" t="s">
        <v>141</v>
      </c>
      <c r="J22" s="89">
        <v>12520494</v>
      </c>
      <c r="K22" t="s">
        <v>127</v>
      </c>
      <c r="L22" t="s">
        <v>128</v>
      </c>
      <c r="M22" t="s">
        <v>143</v>
      </c>
      <c r="N22">
        <v>1</v>
      </c>
      <c r="O22" s="89">
        <v>53659.26</v>
      </c>
      <c r="P22" s="89">
        <v>268296.3</v>
      </c>
      <c r="Q22" t="s">
        <v>130</v>
      </c>
      <c r="R22" t="s">
        <v>131</v>
      </c>
    </row>
    <row r="23" spans="3:18" x14ac:dyDescent="0.25">
      <c r="C23" t="s">
        <v>47</v>
      </c>
      <c r="D23" t="s">
        <v>22</v>
      </c>
      <c r="E23" t="s">
        <v>40</v>
      </c>
      <c r="F23" t="s">
        <v>41</v>
      </c>
      <c r="G23" s="89">
        <v>57147</v>
      </c>
      <c r="H23" t="s">
        <v>145</v>
      </c>
      <c r="I23" t="s">
        <v>141</v>
      </c>
      <c r="J23" s="89">
        <v>571470</v>
      </c>
      <c r="K23" t="s">
        <v>144</v>
      </c>
      <c r="N23">
        <v>1</v>
      </c>
      <c r="O23" s="89">
        <v>2285.88</v>
      </c>
      <c r="P23" s="89">
        <v>35431.14</v>
      </c>
      <c r="Q23" t="s">
        <v>137</v>
      </c>
      <c r="R23" t="s">
        <v>131</v>
      </c>
    </row>
    <row r="24" spans="3:18" hidden="1" x14ac:dyDescent="0.25">
      <c r="C24" t="s">
        <v>45</v>
      </c>
      <c r="D24" t="s">
        <v>20</v>
      </c>
      <c r="E24" t="s">
        <v>43</v>
      </c>
      <c r="F24" t="s">
        <v>41</v>
      </c>
      <c r="G24" s="89">
        <v>709772</v>
      </c>
      <c r="H24" t="s">
        <v>140</v>
      </c>
      <c r="I24" t="s">
        <v>126</v>
      </c>
      <c r="J24" s="89">
        <v>11356352</v>
      </c>
      <c r="K24" t="s">
        <v>144</v>
      </c>
      <c r="N24">
        <v>1</v>
      </c>
      <c r="O24" s="89">
        <v>21293.16</v>
      </c>
      <c r="P24" s="89">
        <v>149052.12</v>
      </c>
      <c r="Q24" t="s">
        <v>130</v>
      </c>
      <c r="R24" t="s">
        <v>131</v>
      </c>
    </row>
    <row r="25" spans="3:18" hidden="1" x14ac:dyDescent="0.25">
      <c r="C25" t="s">
        <v>45</v>
      </c>
      <c r="D25" t="s">
        <v>22</v>
      </c>
      <c r="E25" t="s">
        <v>48</v>
      </c>
      <c r="F25" t="s">
        <v>41</v>
      </c>
      <c r="G25" s="89">
        <v>29744</v>
      </c>
      <c r="H25" t="s">
        <v>42</v>
      </c>
      <c r="I25" t="s">
        <v>147</v>
      </c>
      <c r="J25" s="89">
        <v>118976</v>
      </c>
      <c r="K25" t="s">
        <v>127</v>
      </c>
      <c r="L25" t="s">
        <v>128</v>
      </c>
      <c r="M25" t="s">
        <v>143</v>
      </c>
      <c r="N25">
        <v>1</v>
      </c>
      <c r="O25" s="89">
        <v>892.32</v>
      </c>
      <c r="P25" s="89">
        <v>8923.2000000000007</v>
      </c>
      <c r="Q25" t="s">
        <v>130</v>
      </c>
      <c r="R25" t="s">
        <v>131</v>
      </c>
    </row>
    <row r="26" spans="3:18" hidden="1" x14ac:dyDescent="0.25">
      <c r="C26" t="s">
        <v>45</v>
      </c>
      <c r="D26" t="s">
        <v>24</v>
      </c>
      <c r="E26" t="s">
        <v>44</v>
      </c>
      <c r="F26" t="s">
        <v>41</v>
      </c>
      <c r="G26" s="89">
        <v>3382539</v>
      </c>
      <c r="H26" t="s">
        <v>42</v>
      </c>
      <c r="I26" t="s">
        <v>133</v>
      </c>
      <c r="J26" s="89">
        <v>111623787</v>
      </c>
      <c r="K26" t="s">
        <v>127</v>
      </c>
      <c r="L26" t="s">
        <v>128</v>
      </c>
      <c r="M26" t="s">
        <v>148</v>
      </c>
      <c r="N26">
        <v>1</v>
      </c>
      <c r="O26" s="89">
        <v>101476.17</v>
      </c>
      <c r="P26" s="89">
        <v>2807507.37</v>
      </c>
      <c r="Q26" t="s">
        <v>135</v>
      </c>
      <c r="R26" t="s">
        <v>42</v>
      </c>
    </row>
    <row r="27" spans="3:18" hidden="1" x14ac:dyDescent="0.25">
      <c r="C27" t="s">
        <v>39</v>
      </c>
      <c r="D27" t="s">
        <v>23</v>
      </c>
      <c r="E27" t="s">
        <v>48</v>
      </c>
      <c r="F27" t="s">
        <v>41</v>
      </c>
      <c r="G27" s="89">
        <v>693076</v>
      </c>
      <c r="H27" t="s">
        <v>140</v>
      </c>
      <c r="I27" t="s">
        <v>133</v>
      </c>
      <c r="J27" s="89"/>
      <c r="N27">
        <v>0</v>
      </c>
      <c r="O27" s="89"/>
      <c r="P27" s="89"/>
      <c r="R27" t="s">
        <v>131</v>
      </c>
    </row>
    <row r="28" spans="3:18" hidden="1" x14ac:dyDescent="0.25">
      <c r="C28" t="s">
        <v>39</v>
      </c>
      <c r="D28" t="s">
        <v>22</v>
      </c>
      <c r="E28" t="s">
        <v>40</v>
      </c>
      <c r="F28" t="s">
        <v>41</v>
      </c>
      <c r="G28" s="89">
        <v>21506562</v>
      </c>
      <c r="H28" t="s">
        <v>140</v>
      </c>
      <c r="I28" t="s">
        <v>133</v>
      </c>
      <c r="J28" s="89"/>
      <c r="N28">
        <v>0</v>
      </c>
      <c r="O28" s="89"/>
      <c r="P28" s="89"/>
      <c r="R28" t="s">
        <v>131</v>
      </c>
    </row>
    <row r="29" spans="3:18" x14ac:dyDescent="0.25">
      <c r="C29" t="s">
        <v>47</v>
      </c>
      <c r="D29" t="s">
        <v>21</v>
      </c>
      <c r="E29" t="s">
        <v>43</v>
      </c>
      <c r="F29" t="s">
        <v>41</v>
      </c>
      <c r="G29" s="89">
        <v>13586131</v>
      </c>
      <c r="H29" t="s">
        <v>140</v>
      </c>
      <c r="I29" t="s">
        <v>126</v>
      </c>
      <c r="J29" s="89">
        <v>203791965</v>
      </c>
      <c r="K29" t="s">
        <v>127</v>
      </c>
      <c r="L29" t="s">
        <v>128</v>
      </c>
      <c r="N29">
        <v>1</v>
      </c>
      <c r="O29" s="89">
        <v>543445.24</v>
      </c>
      <c r="P29" s="89">
        <v>8830985.1500000004</v>
      </c>
      <c r="Q29" t="s">
        <v>137</v>
      </c>
      <c r="R29" t="s">
        <v>131</v>
      </c>
    </row>
    <row r="30" spans="3:18" hidden="1" x14ac:dyDescent="0.25">
      <c r="C30" t="s">
        <v>45</v>
      </c>
      <c r="D30" t="s">
        <v>149</v>
      </c>
      <c r="E30" t="s">
        <v>43</v>
      </c>
      <c r="F30" t="s">
        <v>41</v>
      </c>
      <c r="G30" s="89">
        <v>2144273</v>
      </c>
      <c r="H30" t="s">
        <v>42</v>
      </c>
      <c r="I30" t="s">
        <v>133</v>
      </c>
      <c r="J30" s="89">
        <v>66472463</v>
      </c>
      <c r="K30" t="s">
        <v>144</v>
      </c>
      <c r="N30">
        <v>1</v>
      </c>
      <c r="O30" s="89">
        <v>64328.19</v>
      </c>
      <c r="P30" s="89">
        <v>1093579.23</v>
      </c>
      <c r="Q30" t="s">
        <v>142</v>
      </c>
      <c r="R30" t="s">
        <v>131</v>
      </c>
    </row>
    <row r="31" spans="3:18" hidden="1" x14ac:dyDescent="0.25">
      <c r="C31" t="s">
        <v>45</v>
      </c>
      <c r="D31" t="s">
        <v>22</v>
      </c>
      <c r="E31" t="s">
        <v>48</v>
      </c>
      <c r="F31" t="s">
        <v>41</v>
      </c>
      <c r="G31" s="89">
        <v>1288103</v>
      </c>
      <c r="H31" t="s">
        <v>42</v>
      </c>
      <c r="I31" t="s">
        <v>126</v>
      </c>
      <c r="J31" s="89">
        <v>20609648</v>
      </c>
      <c r="K31" t="s">
        <v>144</v>
      </c>
      <c r="N31">
        <v>1</v>
      </c>
      <c r="O31" s="89">
        <v>38643.089999999997</v>
      </c>
      <c r="P31" s="89">
        <v>322025.75</v>
      </c>
      <c r="Q31" t="s">
        <v>130</v>
      </c>
      <c r="R31" t="s">
        <v>42</v>
      </c>
    </row>
    <row r="32" spans="3:18" hidden="1" x14ac:dyDescent="0.25">
      <c r="C32" t="s">
        <v>45</v>
      </c>
      <c r="D32" t="s">
        <v>138</v>
      </c>
      <c r="E32" t="s">
        <v>43</v>
      </c>
      <c r="F32" t="s">
        <v>41</v>
      </c>
      <c r="G32" s="89">
        <v>478400</v>
      </c>
      <c r="H32" t="s">
        <v>42</v>
      </c>
      <c r="I32" t="s">
        <v>141</v>
      </c>
      <c r="J32" s="89">
        <v>3827200</v>
      </c>
      <c r="K32" t="s">
        <v>127</v>
      </c>
      <c r="L32" t="s">
        <v>128</v>
      </c>
      <c r="M32" t="s">
        <v>139</v>
      </c>
      <c r="N32">
        <v>1</v>
      </c>
      <c r="O32" s="89">
        <v>14352</v>
      </c>
      <c r="P32" s="89">
        <v>105248</v>
      </c>
      <c r="Q32" t="s">
        <v>130</v>
      </c>
      <c r="R32" t="s">
        <v>42</v>
      </c>
    </row>
    <row r="33" spans="3:18" x14ac:dyDescent="0.25">
      <c r="C33" t="s">
        <v>47</v>
      </c>
      <c r="D33" t="s">
        <v>19</v>
      </c>
      <c r="E33" t="s">
        <v>43</v>
      </c>
      <c r="F33" t="s">
        <v>41</v>
      </c>
      <c r="G33" s="89">
        <v>52780</v>
      </c>
      <c r="H33" t="s">
        <v>146</v>
      </c>
      <c r="I33" t="s">
        <v>147</v>
      </c>
      <c r="J33" s="89"/>
      <c r="K33" t="s">
        <v>127</v>
      </c>
      <c r="L33" t="s">
        <v>128</v>
      </c>
      <c r="N33">
        <v>0</v>
      </c>
      <c r="O33" s="89">
        <v>1055.5999999999999</v>
      </c>
      <c r="P33" s="89">
        <v>527.79999999999995</v>
      </c>
      <c r="Q33" t="s">
        <v>130</v>
      </c>
      <c r="R33" t="s">
        <v>131</v>
      </c>
    </row>
    <row r="34" spans="3:18" hidden="1" x14ac:dyDescent="0.25">
      <c r="C34" t="s">
        <v>45</v>
      </c>
      <c r="D34" t="s">
        <v>21</v>
      </c>
      <c r="E34" t="s">
        <v>40</v>
      </c>
      <c r="F34" t="s">
        <v>41</v>
      </c>
      <c r="G34" s="89">
        <v>9075931</v>
      </c>
      <c r="H34" t="s">
        <v>140</v>
      </c>
      <c r="I34" t="s">
        <v>147</v>
      </c>
      <c r="J34" s="89">
        <v>27227793</v>
      </c>
      <c r="K34" t="s">
        <v>127</v>
      </c>
      <c r="L34" t="s">
        <v>128</v>
      </c>
      <c r="N34">
        <v>1</v>
      </c>
      <c r="O34" s="89">
        <v>272277.93</v>
      </c>
      <c r="P34" s="89">
        <v>1089111.72</v>
      </c>
      <c r="Q34" t="s">
        <v>130</v>
      </c>
      <c r="R34" t="s">
        <v>131</v>
      </c>
    </row>
    <row r="35" spans="3:18" hidden="1" x14ac:dyDescent="0.25">
      <c r="C35" t="s">
        <v>45</v>
      </c>
      <c r="D35" t="s">
        <v>23</v>
      </c>
      <c r="E35" t="s">
        <v>48</v>
      </c>
      <c r="F35" t="s">
        <v>53</v>
      </c>
      <c r="G35" s="89">
        <v>901924</v>
      </c>
      <c r="H35" t="s">
        <v>42</v>
      </c>
      <c r="I35" t="s">
        <v>133</v>
      </c>
      <c r="J35" s="89">
        <v>31567340</v>
      </c>
      <c r="K35" t="s">
        <v>144</v>
      </c>
      <c r="N35">
        <v>1</v>
      </c>
      <c r="O35" s="89">
        <v>27057.72</v>
      </c>
      <c r="P35" s="89">
        <v>748596.92</v>
      </c>
      <c r="Q35" t="s">
        <v>135</v>
      </c>
      <c r="R35" t="s">
        <v>42</v>
      </c>
    </row>
    <row r="36" spans="3:18" hidden="1" x14ac:dyDescent="0.25">
      <c r="C36" t="s">
        <v>45</v>
      </c>
      <c r="D36" t="s">
        <v>138</v>
      </c>
      <c r="E36" t="s">
        <v>40</v>
      </c>
      <c r="F36" t="s">
        <v>41</v>
      </c>
      <c r="G36" s="89">
        <v>113919</v>
      </c>
      <c r="H36" t="s">
        <v>146</v>
      </c>
      <c r="I36" t="s">
        <v>133</v>
      </c>
      <c r="J36" s="89">
        <v>2847975</v>
      </c>
      <c r="K36" t="s">
        <v>127</v>
      </c>
      <c r="L36" t="s">
        <v>128</v>
      </c>
      <c r="N36">
        <v>1</v>
      </c>
      <c r="O36" s="89">
        <v>3417.57</v>
      </c>
      <c r="P36" s="89">
        <v>31897.32</v>
      </c>
      <c r="Q36" t="s">
        <v>130</v>
      </c>
      <c r="R36" t="s">
        <v>131</v>
      </c>
    </row>
    <row r="37" spans="3:18" hidden="1" x14ac:dyDescent="0.25">
      <c r="C37" t="s">
        <v>45</v>
      </c>
      <c r="D37" t="s">
        <v>22</v>
      </c>
      <c r="E37" t="s">
        <v>40</v>
      </c>
      <c r="F37" t="s">
        <v>41</v>
      </c>
      <c r="G37" s="89">
        <v>5650405</v>
      </c>
      <c r="H37" t="s">
        <v>132</v>
      </c>
      <c r="I37" t="s">
        <v>141</v>
      </c>
      <c r="J37" s="89">
        <v>45203240</v>
      </c>
      <c r="K37" t="s">
        <v>127</v>
      </c>
      <c r="L37" t="s">
        <v>128</v>
      </c>
      <c r="N37">
        <v>1</v>
      </c>
      <c r="O37" s="89">
        <v>169512.15</v>
      </c>
      <c r="P37" s="89">
        <v>2655690.35</v>
      </c>
      <c r="Q37" t="s">
        <v>142</v>
      </c>
      <c r="R37" t="s">
        <v>131</v>
      </c>
    </row>
    <row r="38" spans="3:18" hidden="1" x14ac:dyDescent="0.25">
      <c r="C38" t="s">
        <v>45</v>
      </c>
      <c r="D38" t="s">
        <v>19</v>
      </c>
      <c r="E38" t="s">
        <v>43</v>
      </c>
      <c r="F38" t="s">
        <v>41</v>
      </c>
      <c r="G38" s="89">
        <v>553121</v>
      </c>
      <c r="H38" t="s">
        <v>42</v>
      </c>
      <c r="I38" t="s">
        <v>126</v>
      </c>
      <c r="J38" s="89">
        <v>9403057</v>
      </c>
      <c r="K38" t="s">
        <v>144</v>
      </c>
      <c r="N38">
        <v>1</v>
      </c>
      <c r="O38" s="89">
        <v>16593.63</v>
      </c>
      <c r="P38" s="89">
        <v>138280.25</v>
      </c>
      <c r="Q38" t="s">
        <v>130</v>
      </c>
      <c r="R38" t="s">
        <v>131</v>
      </c>
    </row>
    <row r="39" spans="3:18" hidden="1" x14ac:dyDescent="0.25">
      <c r="C39" t="s">
        <v>45</v>
      </c>
      <c r="D39" t="s">
        <v>24</v>
      </c>
      <c r="E39" t="s">
        <v>48</v>
      </c>
      <c r="F39" t="s">
        <v>53</v>
      </c>
      <c r="G39" s="89">
        <v>98869</v>
      </c>
      <c r="H39" t="s">
        <v>140</v>
      </c>
      <c r="I39" t="s">
        <v>133</v>
      </c>
      <c r="J39" s="89">
        <v>2372856</v>
      </c>
      <c r="K39" t="s">
        <v>144</v>
      </c>
      <c r="N39">
        <v>1</v>
      </c>
      <c r="O39" s="89">
        <v>6920.83</v>
      </c>
      <c r="P39" s="89">
        <v>47457.120000000003</v>
      </c>
      <c r="Q39" t="s">
        <v>142</v>
      </c>
      <c r="R39" t="s">
        <v>131</v>
      </c>
    </row>
    <row r="40" spans="3:18" hidden="1" x14ac:dyDescent="0.25">
      <c r="C40" t="s">
        <v>45</v>
      </c>
      <c r="D40" t="s">
        <v>138</v>
      </c>
      <c r="E40" t="s">
        <v>43</v>
      </c>
      <c r="F40" t="s">
        <v>41</v>
      </c>
      <c r="G40" s="89">
        <v>12005076</v>
      </c>
      <c r="H40" t="s">
        <v>145</v>
      </c>
      <c r="I40" t="s">
        <v>126</v>
      </c>
      <c r="J40" s="89">
        <v>180076140</v>
      </c>
      <c r="K40" t="s">
        <v>127</v>
      </c>
      <c r="L40" t="s">
        <v>128</v>
      </c>
      <c r="N40">
        <v>1</v>
      </c>
      <c r="O40" s="89">
        <v>360152.28</v>
      </c>
      <c r="P40" s="89">
        <v>3361421.28</v>
      </c>
      <c r="Q40" t="s">
        <v>130</v>
      </c>
      <c r="R40" t="s">
        <v>131</v>
      </c>
    </row>
    <row r="41" spans="3:18" hidden="1" x14ac:dyDescent="0.25">
      <c r="C41" t="s">
        <v>45</v>
      </c>
      <c r="D41" t="s">
        <v>21</v>
      </c>
      <c r="E41" t="s">
        <v>43</v>
      </c>
      <c r="F41" t="s">
        <v>41</v>
      </c>
      <c r="G41" s="89">
        <v>27094</v>
      </c>
      <c r="H41" t="s">
        <v>42</v>
      </c>
      <c r="I41" t="s">
        <v>126</v>
      </c>
      <c r="J41" s="89">
        <v>433504</v>
      </c>
      <c r="K41" t="s">
        <v>127</v>
      </c>
      <c r="L41" t="s">
        <v>128</v>
      </c>
      <c r="M41" t="s">
        <v>129</v>
      </c>
      <c r="N41">
        <v>1</v>
      </c>
      <c r="O41" s="89">
        <v>1354.7</v>
      </c>
      <c r="P41" s="89">
        <v>39828.18</v>
      </c>
      <c r="Q41" t="s">
        <v>150</v>
      </c>
      <c r="R41" t="s">
        <v>131</v>
      </c>
    </row>
    <row r="42" spans="3:18" hidden="1" x14ac:dyDescent="0.25">
      <c r="C42" t="s">
        <v>45</v>
      </c>
      <c r="D42" t="s">
        <v>24</v>
      </c>
      <c r="E42" t="s">
        <v>44</v>
      </c>
      <c r="F42" t="s">
        <v>41</v>
      </c>
      <c r="G42" s="89">
        <v>63548</v>
      </c>
      <c r="H42" t="s">
        <v>42</v>
      </c>
      <c r="I42" t="s">
        <v>126</v>
      </c>
      <c r="J42" s="89">
        <v>889672</v>
      </c>
      <c r="K42" t="s">
        <v>134</v>
      </c>
      <c r="L42" t="s">
        <v>128</v>
      </c>
      <c r="M42" t="s">
        <v>148</v>
      </c>
      <c r="N42">
        <v>1</v>
      </c>
      <c r="O42" s="89">
        <v>1906.44</v>
      </c>
      <c r="P42" s="89">
        <v>37493.32</v>
      </c>
      <c r="Q42" t="s">
        <v>142</v>
      </c>
      <c r="R42" t="s">
        <v>42</v>
      </c>
    </row>
    <row r="43" spans="3:18" hidden="1" x14ac:dyDescent="0.25">
      <c r="C43" t="s">
        <v>45</v>
      </c>
      <c r="D43" t="s">
        <v>21</v>
      </c>
      <c r="E43" t="s">
        <v>40</v>
      </c>
      <c r="F43" t="s">
        <v>41</v>
      </c>
      <c r="G43" s="89">
        <v>265271546</v>
      </c>
      <c r="H43" t="s">
        <v>42</v>
      </c>
      <c r="I43" t="s">
        <v>133</v>
      </c>
      <c r="J43" s="89">
        <v>9815047202</v>
      </c>
      <c r="K43" t="s">
        <v>144</v>
      </c>
      <c r="N43">
        <v>1</v>
      </c>
      <c r="O43" s="89">
        <v>7958146.3799999999</v>
      </c>
      <c r="P43" s="89">
        <v>238744391.40000001</v>
      </c>
      <c r="Q43" t="s">
        <v>135</v>
      </c>
      <c r="R43" t="s">
        <v>42</v>
      </c>
    </row>
    <row r="44" spans="3:18" hidden="1" x14ac:dyDescent="0.25">
      <c r="C44" t="s">
        <v>45</v>
      </c>
      <c r="D44" t="s">
        <v>21</v>
      </c>
      <c r="E44" t="s">
        <v>43</v>
      </c>
      <c r="F44" t="s">
        <v>41</v>
      </c>
      <c r="G44" s="89">
        <v>3335582</v>
      </c>
      <c r="H44" t="s">
        <v>140</v>
      </c>
      <c r="I44" t="s">
        <v>126</v>
      </c>
      <c r="J44" s="89">
        <v>50033730</v>
      </c>
      <c r="K44" t="s">
        <v>144</v>
      </c>
      <c r="N44">
        <v>1</v>
      </c>
      <c r="O44" s="89">
        <v>100067.46</v>
      </c>
      <c r="P44" s="89">
        <v>2268195.7599999998</v>
      </c>
      <c r="Q44" t="s">
        <v>137</v>
      </c>
      <c r="R44" t="s">
        <v>131</v>
      </c>
    </row>
    <row r="45" spans="3:18" hidden="1" x14ac:dyDescent="0.25">
      <c r="C45" t="s">
        <v>45</v>
      </c>
      <c r="D45" t="s">
        <v>24</v>
      </c>
      <c r="E45" t="s">
        <v>52</v>
      </c>
      <c r="F45" t="s">
        <v>41</v>
      </c>
      <c r="G45" s="89">
        <v>63886</v>
      </c>
      <c r="H45" t="s">
        <v>42</v>
      </c>
      <c r="I45" t="s">
        <v>126</v>
      </c>
      <c r="J45" s="89">
        <v>958290</v>
      </c>
      <c r="K45" t="s">
        <v>127</v>
      </c>
      <c r="L45" t="s">
        <v>128</v>
      </c>
      <c r="M45" t="s">
        <v>148</v>
      </c>
      <c r="N45">
        <v>1</v>
      </c>
      <c r="O45" s="89">
        <v>1916.58</v>
      </c>
      <c r="P45" s="89">
        <v>75385.48</v>
      </c>
      <c r="Q45" t="s">
        <v>150</v>
      </c>
      <c r="R45" t="s">
        <v>42</v>
      </c>
    </row>
    <row r="46" spans="3:18" hidden="1" x14ac:dyDescent="0.25">
      <c r="C46" t="s">
        <v>45</v>
      </c>
      <c r="D46" t="s">
        <v>149</v>
      </c>
      <c r="E46" t="s">
        <v>43</v>
      </c>
      <c r="F46" t="s">
        <v>41</v>
      </c>
      <c r="G46" s="89">
        <v>935347</v>
      </c>
      <c r="H46" t="s">
        <v>145</v>
      </c>
      <c r="I46" t="s">
        <v>141</v>
      </c>
      <c r="J46" s="89">
        <v>7482776</v>
      </c>
      <c r="K46" t="s">
        <v>127</v>
      </c>
      <c r="L46" t="s">
        <v>128</v>
      </c>
      <c r="N46">
        <v>1</v>
      </c>
      <c r="O46" s="89">
        <v>28060.41</v>
      </c>
      <c r="P46" s="89">
        <v>224483.28</v>
      </c>
      <c r="Q46" t="s">
        <v>130</v>
      </c>
      <c r="R46" t="s">
        <v>131</v>
      </c>
    </row>
    <row r="47" spans="3:18" x14ac:dyDescent="0.25">
      <c r="C47" t="s">
        <v>47</v>
      </c>
      <c r="D47" t="s">
        <v>22</v>
      </c>
      <c r="E47" t="s">
        <v>40</v>
      </c>
      <c r="F47" t="s">
        <v>41</v>
      </c>
      <c r="G47" s="89">
        <v>155242</v>
      </c>
      <c r="H47" t="s">
        <v>42</v>
      </c>
      <c r="I47" t="s">
        <v>141</v>
      </c>
      <c r="J47" s="89">
        <v>931452</v>
      </c>
      <c r="K47" t="s">
        <v>127</v>
      </c>
      <c r="L47" t="s">
        <v>128</v>
      </c>
      <c r="M47" t="s">
        <v>143</v>
      </c>
      <c r="N47">
        <v>1</v>
      </c>
      <c r="O47" s="89">
        <v>6209.68</v>
      </c>
      <c r="P47" s="89">
        <v>69858.899999999994</v>
      </c>
      <c r="Q47" t="s">
        <v>142</v>
      </c>
      <c r="R47" t="s">
        <v>42</v>
      </c>
    </row>
    <row r="48" spans="3:18" hidden="1" x14ac:dyDescent="0.25">
      <c r="C48" t="s">
        <v>45</v>
      </c>
      <c r="D48" t="s">
        <v>22</v>
      </c>
      <c r="E48" t="s">
        <v>43</v>
      </c>
      <c r="F48" t="s">
        <v>41</v>
      </c>
      <c r="G48" s="89">
        <v>644073</v>
      </c>
      <c r="H48" t="s">
        <v>132</v>
      </c>
      <c r="I48" t="s">
        <v>133</v>
      </c>
      <c r="J48" s="89">
        <v>17389971</v>
      </c>
      <c r="K48" t="s">
        <v>144</v>
      </c>
      <c r="N48">
        <v>1</v>
      </c>
      <c r="O48" s="89">
        <v>19322.189999999999</v>
      </c>
      <c r="P48" s="89">
        <v>322036.5</v>
      </c>
      <c r="Q48" t="s">
        <v>142</v>
      </c>
      <c r="R48" t="s">
        <v>131</v>
      </c>
    </row>
    <row r="49" spans="3:18" hidden="1" x14ac:dyDescent="0.25">
      <c r="C49" t="s">
        <v>45</v>
      </c>
      <c r="D49" t="s">
        <v>138</v>
      </c>
      <c r="E49" t="s">
        <v>43</v>
      </c>
      <c r="F49" t="s">
        <v>41</v>
      </c>
      <c r="G49" s="89">
        <v>82303</v>
      </c>
      <c r="H49" t="s">
        <v>145</v>
      </c>
      <c r="I49" t="s">
        <v>141</v>
      </c>
      <c r="J49" s="89">
        <v>823030</v>
      </c>
      <c r="K49" t="s">
        <v>134</v>
      </c>
      <c r="L49" t="s">
        <v>128</v>
      </c>
      <c r="N49">
        <v>1</v>
      </c>
      <c r="O49" s="89">
        <v>2469.09</v>
      </c>
      <c r="P49" s="89">
        <v>42797.56</v>
      </c>
      <c r="Q49" t="s">
        <v>142</v>
      </c>
      <c r="R49" t="s">
        <v>131</v>
      </c>
    </row>
    <row r="50" spans="3:18" hidden="1" x14ac:dyDescent="0.25">
      <c r="C50" t="s">
        <v>45</v>
      </c>
      <c r="D50" t="s">
        <v>22</v>
      </c>
      <c r="E50" t="s">
        <v>40</v>
      </c>
      <c r="F50" t="s">
        <v>41</v>
      </c>
      <c r="G50" s="89">
        <v>24079772</v>
      </c>
      <c r="H50" t="s">
        <v>42</v>
      </c>
      <c r="I50" t="s">
        <v>133</v>
      </c>
      <c r="J50" s="89">
        <v>746472932</v>
      </c>
      <c r="K50" t="s">
        <v>144</v>
      </c>
      <c r="N50">
        <v>1</v>
      </c>
      <c r="O50" s="89">
        <v>722393.16</v>
      </c>
      <c r="P50" s="89">
        <v>12280683.720000001</v>
      </c>
      <c r="Q50" t="s">
        <v>142</v>
      </c>
      <c r="R50" t="s">
        <v>131</v>
      </c>
    </row>
    <row r="51" spans="3:18" hidden="1" x14ac:dyDescent="0.25">
      <c r="C51" t="s">
        <v>45</v>
      </c>
      <c r="D51" t="s">
        <v>20</v>
      </c>
      <c r="E51" t="s">
        <v>40</v>
      </c>
      <c r="F51" t="s">
        <v>41</v>
      </c>
      <c r="G51" s="89">
        <v>2015050</v>
      </c>
      <c r="H51" t="s">
        <v>42</v>
      </c>
      <c r="I51" t="s">
        <v>147</v>
      </c>
      <c r="J51" s="89">
        <v>2015050</v>
      </c>
      <c r="K51" t="s">
        <v>127</v>
      </c>
      <c r="L51" t="s">
        <v>128</v>
      </c>
      <c r="M51" t="s">
        <v>139</v>
      </c>
      <c r="N51">
        <v>1</v>
      </c>
      <c r="O51" s="89">
        <v>100752.5</v>
      </c>
      <c r="P51" s="89">
        <v>302257.5</v>
      </c>
      <c r="Q51" t="s">
        <v>130</v>
      </c>
      <c r="R51" t="s">
        <v>131</v>
      </c>
    </row>
    <row r="52" spans="3:18" hidden="1" x14ac:dyDescent="0.25">
      <c r="C52" t="s">
        <v>45</v>
      </c>
      <c r="D52" t="s">
        <v>20</v>
      </c>
      <c r="E52" t="s">
        <v>43</v>
      </c>
      <c r="F52" t="s">
        <v>41</v>
      </c>
      <c r="G52" s="89">
        <v>462968</v>
      </c>
      <c r="H52" t="s">
        <v>42</v>
      </c>
      <c r="I52" t="s">
        <v>126</v>
      </c>
      <c r="J52" s="89">
        <v>6018584</v>
      </c>
      <c r="K52" t="s">
        <v>127</v>
      </c>
      <c r="L52" t="s">
        <v>128</v>
      </c>
      <c r="M52" t="s">
        <v>129</v>
      </c>
      <c r="N52">
        <v>1</v>
      </c>
      <c r="O52" s="89">
        <v>13889.04</v>
      </c>
      <c r="P52" s="89">
        <v>101852.96</v>
      </c>
      <c r="Q52" t="s">
        <v>130</v>
      </c>
      <c r="R52" t="s">
        <v>42</v>
      </c>
    </row>
    <row r="53" spans="3:18" hidden="1" x14ac:dyDescent="0.25">
      <c r="C53" t="s">
        <v>45</v>
      </c>
      <c r="D53" t="s">
        <v>21</v>
      </c>
      <c r="E53" t="s">
        <v>43</v>
      </c>
      <c r="F53" t="s">
        <v>41</v>
      </c>
      <c r="G53" s="89">
        <v>78282</v>
      </c>
      <c r="H53" t="s">
        <v>145</v>
      </c>
      <c r="I53" t="s">
        <v>126</v>
      </c>
      <c r="J53" s="89">
        <v>1095948</v>
      </c>
      <c r="K53" t="s">
        <v>127</v>
      </c>
      <c r="L53" t="s">
        <v>151</v>
      </c>
      <c r="N53">
        <v>1</v>
      </c>
      <c r="O53" s="89">
        <v>2348.46</v>
      </c>
      <c r="P53" s="89">
        <v>10959.48</v>
      </c>
      <c r="Q53" t="s">
        <v>130</v>
      </c>
      <c r="R53" t="s">
        <v>131</v>
      </c>
    </row>
    <row r="54" spans="3:18" hidden="1" x14ac:dyDescent="0.25">
      <c r="C54" t="s">
        <v>45</v>
      </c>
      <c r="D54" t="s">
        <v>24</v>
      </c>
      <c r="E54" t="s">
        <v>48</v>
      </c>
      <c r="F54" t="s">
        <v>41</v>
      </c>
      <c r="G54" s="89">
        <v>164350</v>
      </c>
      <c r="H54" t="s">
        <v>42</v>
      </c>
      <c r="I54" t="s">
        <v>126</v>
      </c>
      <c r="J54" s="89">
        <v>3122650</v>
      </c>
      <c r="K54" t="s">
        <v>127</v>
      </c>
      <c r="L54" t="s">
        <v>128</v>
      </c>
      <c r="M54" t="s">
        <v>148</v>
      </c>
      <c r="N54">
        <v>1</v>
      </c>
      <c r="O54" s="89">
        <v>6574</v>
      </c>
      <c r="P54" s="89">
        <v>115045</v>
      </c>
      <c r="Q54" t="s">
        <v>137</v>
      </c>
      <c r="R54" t="s">
        <v>42</v>
      </c>
    </row>
    <row r="55" spans="3:18" hidden="1" x14ac:dyDescent="0.25">
      <c r="C55" t="s">
        <v>45</v>
      </c>
      <c r="D55" t="s">
        <v>22</v>
      </c>
      <c r="E55" t="s">
        <v>40</v>
      </c>
      <c r="F55" t="s">
        <v>41</v>
      </c>
      <c r="G55" s="89">
        <v>225328</v>
      </c>
      <c r="H55" t="s">
        <v>132</v>
      </c>
      <c r="I55" t="s">
        <v>126</v>
      </c>
      <c r="J55" s="89">
        <v>3605248</v>
      </c>
      <c r="K55" t="s">
        <v>134</v>
      </c>
      <c r="L55" t="s">
        <v>128</v>
      </c>
      <c r="N55">
        <v>1</v>
      </c>
      <c r="O55" s="89">
        <v>6759.84</v>
      </c>
      <c r="P55" s="89">
        <v>65345.120000000003</v>
      </c>
      <c r="Q55" t="s">
        <v>130</v>
      </c>
      <c r="R55" t="s">
        <v>131</v>
      </c>
    </row>
    <row r="56" spans="3:18" hidden="1" x14ac:dyDescent="0.25">
      <c r="C56" t="s">
        <v>45</v>
      </c>
      <c r="D56" t="s">
        <v>21</v>
      </c>
      <c r="E56" t="s">
        <v>43</v>
      </c>
      <c r="F56" t="s">
        <v>41</v>
      </c>
      <c r="G56" s="89">
        <v>6362007</v>
      </c>
      <c r="H56" t="s">
        <v>42</v>
      </c>
      <c r="I56" t="s">
        <v>133</v>
      </c>
      <c r="J56" s="89">
        <v>190860210</v>
      </c>
      <c r="K56" t="s">
        <v>134</v>
      </c>
      <c r="L56" t="s">
        <v>128</v>
      </c>
      <c r="M56" t="s">
        <v>129</v>
      </c>
      <c r="N56">
        <v>1</v>
      </c>
      <c r="O56" s="89">
        <v>190860.21</v>
      </c>
      <c r="P56" s="89">
        <v>4580645.04</v>
      </c>
      <c r="Q56" t="s">
        <v>137</v>
      </c>
      <c r="R56" t="s">
        <v>131</v>
      </c>
    </row>
    <row r="57" spans="3:18" x14ac:dyDescent="0.25">
      <c r="C57" t="s">
        <v>47</v>
      </c>
      <c r="D57" t="s">
        <v>24</v>
      </c>
      <c r="E57" t="s">
        <v>40</v>
      </c>
      <c r="F57" t="s">
        <v>41</v>
      </c>
      <c r="G57" s="89">
        <v>219505</v>
      </c>
      <c r="H57" t="s">
        <v>146</v>
      </c>
      <c r="I57" t="s">
        <v>147</v>
      </c>
      <c r="J57" s="89">
        <v>1097525</v>
      </c>
      <c r="K57" t="s">
        <v>127</v>
      </c>
      <c r="L57" t="s">
        <v>128</v>
      </c>
      <c r="N57">
        <v>1</v>
      </c>
      <c r="O57" s="89">
        <v>6585.15</v>
      </c>
      <c r="P57" s="89">
        <v>96582.2</v>
      </c>
      <c r="Q57" t="s">
        <v>142</v>
      </c>
      <c r="R57" t="s">
        <v>131</v>
      </c>
    </row>
    <row r="58" spans="3:18" x14ac:dyDescent="0.25">
      <c r="C58" t="s">
        <v>47</v>
      </c>
      <c r="D58" t="s">
        <v>21</v>
      </c>
      <c r="E58" t="s">
        <v>43</v>
      </c>
      <c r="F58" t="s">
        <v>41</v>
      </c>
      <c r="G58" s="89">
        <v>72410</v>
      </c>
      <c r="H58" t="s">
        <v>132</v>
      </c>
      <c r="I58" t="s">
        <v>133</v>
      </c>
      <c r="J58" s="89">
        <v>2389530</v>
      </c>
      <c r="K58" t="s">
        <v>127</v>
      </c>
      <c r="L58" t="s">
        <v>128</v>
      </c>
      <c r="N58">
        <v>1</v>
      </c>
      <c r="O58" s="89">
        <v>2172.3000000000002</v>
      </c>
      <c r="P58" s="89">
        <v>47790.6</v>
      </c>
      <c r="Q58" t="s">
        <v>137</v>
      </c>
      <c r="R58" t="s">
        <v>131</v>
      </c>
    </row>
    <row r="59" spans="3:18" hidden="1" x14ac:dyDescent="0.25">
      <c r="C59" t="s">
        <v>45</v>
      </c>
      <c r="D59" t="s">
        <v>138</v>
      </c>
      <c r="E59" t="s">
        <v>43</v>
      </c>
      <c r="F59" t="s">
        <v>41</v>
      </c>
      <c r="G59" s="89">
        <v>42564699</v>
      </c>
      <c r="H59" t="s">
        <v>42</v>
      </c>
      <c r="I59" t="s">
        <v>133</v>
      </c>
      <c r="J59" s="89">
        <v>1447199766</v>
      </c>
      <c r="K59" t="s">
        <v>144</v>
      </c>
      <c r="N59">
        <v>1</v>
      </c>
      <c r="O59" s="89">
        <v>1276940.97</v>
      </c>
      <c r="P59" s="89">
        <v>30220936.289999999</v>
      </c>
      <c r="Q59" t="s">
        <v>137</v>
      </c>
      <c r="R59" t="s">
        <v>42</v>
      </c>
    </row>
    <row r="60" spans="3:18" hidden="1" x14ac:dyDescent="0.25">
      <c r="C60" t="s">
        <v>45</v>
      </c>
      <c r="D60" t="s">
        <v>24</v>
      </c>
      <c r="E60" t="s">
        <v>48</v>
      </c>
      <c r="F60" t="s">
        <v>41</v>
      </c>
      <c r="G60" s="89">
        <v>235714</v>
      </c>
      <c r="H60" t="s">
        <v>145</v>
      </c>
      <c r="I60" t="s">
        <v>133</v>
      </c>
      <c r="J60" s="89">
        <v>7071420</v>
      </c>
      <c r="K60" t="s">
        <v>127</v>
      </c>
      <c r="L60" t="s">
        <v>128</v>
      </c>
      <c r="N60">
        <v>1</v>
      </c>
      <c r="O60" s="89">
        <v>9428.56</v>
      </c>
      <c r="P60" s="89">
        <v>287571.08</v>
      </c>
      <c r="Q60" t="s">
        <v>150</v>
      </c>
      <c r="R60" t="s">
        <v>131</v>
      </c>
    </row>
    <row r="61" spans="3:18" hidden="1" x14ac:dyDescent="0.25">
      <c r="C61" t="s">
        <v>45</v>
      </c>
      <c r="D61" t="s">
        <v>19</v>
      </c>
      <c r="E61" t="s">
        <v>43</v>
      </c>
      <c r="F61" t="s">
        <v>41</v>
      </c>
      <c r="G61" s="89">
        <v>5281479</v>
      </c>
      <c r="H61" t="s">
        <v>140</v>
      </c>
      <c r="I61" t="s">
        <v>133</v>
      </c>
      <c r="J61" s="89">
        <v>163725849</v>
      </c>
      <c r="K61" t="s">
        <v>127</v>
      </c>
      <c r="L61" t="s">
        <v>128</v>
      </c>
      <c r="N61">
        <v>1</v>
      </c>
      <c r="O61" s="89">
        <v>158444.37</v>
      </c>
      <c r="P61" s="89">
        <v>6443404.3799999999</v>
      </c>
      <c r="Q61" t="s">
        <v>150</v>
      </c>
      <c r="R61" t="s">
        <v>131</v>
      </c>
    </row>
    <row r="62" spans="3:18" x14ac:dyDescent="0.25">
      <c r="C62" t="s">
        <v>47</v>
      </c>
      <c r="D62" t="s">
        <v>24</v>
      </c>
      <c r="E62" t="s">
        <v>48</v>
      </c>
      <c r="F62" t="s">
        <v>41</v>
      </c>
      <c r="G62" s="89">
        <v>758000</v>
      </c>
      <c r="H62" t="s">
        <v>140</v>
      </c>
      <c r="I62" t="s">
        <v>141</v>
      </c>
      <c r="J62" s="89">
        <v>6822000</v>
      </c>
      <c r="K62" t="s">
        <v>127</v>
      </c>
      <c r="L62" t="s">
        <v>128</v>
      </c>
      <c r="N62">
        <v>1</v>
      </c>
      <c r="O62" s="89">
        <v>22740</v>
      </c>
      <c r="P62" s="89">
        <v>962660</v>
      </c>
      <c r="Q62" t="s">
        <v>150</v>
      </c>
      <c r="R62" t="s">
        <v>131</v>
      </c>
    </row>
    <row r="63" spans="3:18" hidden="1" x14ac:dyDescent="0.25">
      <c r="C63" t="s">
        <v>45</v>
      </c>
      <c r="D63" t="s">
        <v>149</v>
      </c>
      <c r="E63" t="s">
        <v>40</v>
      </c>
      <c r="F63" t="s">
        <v>41</v>
      </c>
      <c r="G63" s="89">
        <v>1194821</v>
      </c>
      <c r="H63" t="s">
        <v>42</v>
      </c>
      <c r="I63" t="s">
        <v>147</v>
      </c>
      <c r="J63" s="89">
        <v>2389642</v>
      </c>
      <c r="K63" t="s">
        <v>127</v>
      </c>
      <c r="L63" t="s">
        <v>128</v>
      </c>
      <c r="M63" t="s">
        <v>136</v>
      </c>
      <c r="N63">
        <v>1</v>
      </c>
      <c r="O63" s="89">
        <v>47792.84</v>
      </c>
      <c r="P63" s="89">
        <v>310653.46000000002</v>
      </c>
      <c r="Q63" t="s">
        <v>130</v>
      </c>
      <c r="R63" t="s">
        <v>131</v>
      </c>
    </row>
    <row r="64" spans="3:18" hidden="1" x14ac:dyDescent="0.25">
      <c r="C64" t="s">
        <v>45</v>
      </c>
      <c r="D64" t="s">
        <v>149</v>
      </c>
      <c r="E64" t="s">
        <v>43</v>
      </c>
      <c r="F64" t="s">
        <v>41</v>
      </c>
      <c r="G64" s="89">
        <v>705475</v>
      </c>
      <c r="H64" t="s">
        <v>146</v>
      </c>
      <c r="I64" t="s">
        <v>126</v>
      </c>
      <c r="J64" s="89">
        <v>10582125</v>
      </c>
      <c r="K64" t="s">
        <v>127</v>
      </c>
      <c r="L64" t="s">
        <v>128</v>
      </c>
      <c r="N64">
        <v>1</v>
      </c>
      <c r="O64" s="89">
        <v>21164.25</v>
      </c>
      <c r="P64" s="89">
        <v>155204.5</v>
      </c>
      <c r="Q64" t="s">
        <v>130</v>
      </c>
      <c r="R64" t="s">
        <v>131</v>
      </c>
    </row>
    <row r="65" spans="3:18" hidden="1" x14ac:dyDescent="0.25">
      <c r="C65" t="s">
        <v>45</v>
      </c>
      <c r="D65" t="s">
        <v>21</v>
      </c>
      <c r="E65" t="s">
        <v>48</v>
      </c>
      <c r="F65" t="s">
        <v>41</v>
      </c>
      <c r="G65" s="89">
        <v>16279</v>
      </c>
      <c r="H65" t="s">
        <v>42</v>
      </c>
      <c r="I65" t="s">
        <v>126</v>
      </c>
      <c r="J65" s="89">
        <v>260464</v>
      </c>
      <c r="K65" t="s">
        <v>127</v>
      </c>
      <c r="L65" t="s">
        <v>128</v>
      </c>
      <c r="M65" t="s">
        <v>143</v>
      </c>
      <c r="N65">
        <v>1</v>
      </c>
      <c r="O65" s="89">
        <v>488.37</v>
      </c>
      <c r="P65" s="89">
        <v>2767.43</v>
      </c>
      <c r="Q65" t="s">
        <v>130</v>
      </c>
      <c r="R65" t="s">
        <v>42</v>
      </c>
    </row>
    <row r="66" spans="3:18" x14ac:dyDescent="0.25">
      <c r="C66" t="s">
        <v>47</v>
      </c>
      <c r="D66" t="s">
        <v>21</v>
      </c>
      <c r="E66" t="s">
        <v>40</v>
      </c>
      <c r="F66" t="s">
        <v>41</v>
      </c>
      <c r="G66" s="89">
        <v>1325041</v>
      </c>
      <c r="H66" t="s">
        <v>145</v>
      </c>
      <c r="I66" t="s">
        <v>141</v>
      </c>
      <c r="J66" s="89">
        <v>10600328</v>
      </c>
      <c r="K66" t="s">
        <v>127</v>
      </c>
      <c r="L66" t="s">
        <v>128</v>
      </c>
      <c r="N66">
        <v>1</v>
      </c>
      <c r="O66" s="89">
        <v>53001.64</v>
      </c>
      <c r="P66" s="89">
        <v>874527.06</v>
      </c>
      <c r="Q66" t="s">
        <v>137</v>
      </c>
      <c r="R66" t="s">
        <v>131</v>
      </c>
    </row>
    <row r="67" spans="3:18" hidden="1" x14ac:dyDescent="0.25">
      <c r="C67" t="s">
        <v>45</v>
      </c>
      <c r="D67" t="s">
        <v>19</v>
      </c>
      <c r="E67" t="s">
        <v>43</v>
      </c>
      <c r="F67" t="s">
        <v>41</v>
      </c>
      <c r="G67" s="89">
        <v>61489</v>
      </c>
      <c r="H67" t="s">
        <v>42</v>
      </c>
      <c r="I67" t="s">
        <v>126</v>
      </c>
      <c r="J67" s="89">
        <v>1045313</v>
      </c>
      <c r="K67" t="s">
        <v>127</v>
      </c>
      <c r="L67" t="s">
        <v>128</v>
      </c>
      <c r="M67" t="s">
        <v>139</v>
      </c>
      <c r="N67">
        <v>1</v>
      </c>
      <c r="O67" s="89">
        <v>2459.56</v>
      </c>
      <c r="P67" s="89">
        <v>33818.949999999997</v>
      </c>
      <c r="Q67" t="s">
        <v>142</v>
      </c>
      <c r="R67" t="s">
        <v>42</v>
      </c>
    </row>
    <row r="68" spans="3:18" hidden="1" x14ac:dyDescent="0.25">
      <c r="C68" t="s">
        <v>45</v>
      </c>
      <c r="D68" t="s">
        <v>21</v>
      </c>
      <c r="E68" t="s">
        <v>43</v>
      </c>
      <c r="F68" t="s">
        <v>41</v>
      </c>
      <c r="G68" s="89">
        <v>1907085</v>
      </c>
      <c r="H68" t="s">
        <v>132</v>
      </c>
      <c r="I68" t="s">
        <v>141</v>
      </c>
      <c r="J68" s="89">
        <v>15256680</v>
      </c>
      <c r="K68" t="s">
        <v>127</v>
      </c>
      <c r="L68" t="s">
        <v>128</v>
      </c>
      <c r="N68">
        <v>1</v>
      </c>
      <c r="O68" s="89">
        <v>76283.399999999994</v>
      </c>
      <c r="P68" s="89">
        <v>1220534.3999999999</v>
      </c>
      <c r="Q68" t="s">
        <v>137</v>
      </c>
      <c r="R68" t="s">
        <v>131</v>
      </c>
    </row>
    <row r="69" spans="3:18" hidden="1" x14ac:dyDescent="0.25">
      <c r="C69" t="s">
        <v>45</v>
      </c>
      <c r="D69" t="s">
        <v>23</v>
      </c>
      <c r="E69" t="s">
        <v>40</v>
      </c>
      <c r="F69" t="s">
        <v>41</v>
      </c>
      <c r="G69" s="89">
        <v>248696</v>
      </c>
      <c r="H69" t="s">
        <v>132</v>
      </c>
      <c r="I69" t="s">
        <v>126</v>
      </c>
      <c r="J69" s="89">
        <v>4476528</v>
      </c>
      <c r="K69" t="s">
        <v>127</v>
      </c>
      <c r="L69" t="s">
        <v>128</v>
      </c>
      <c r="N69">
        <v>1</v>
      </c>
      <c r="O69" s="89">
        <v>9947.84</v>
      </c>
      <c r="P69" s="89">
        <v>268591.68</v>
      </c>
      <c r="Q69" t="s">
        <v>150</v>
      </c>
      <c r="R69" t="s">
        <v>131</v>
      </c>
    </row>
    <row r="70" spans="3:18" hidden="1" x14ac:dyDescent="0.25">
      <c r="C70" t="s">
        <v>45</v>
      </c>
      <c r="D70" t="s">
        <v>24</v>
      </c>
      <c r="E70" t="s">
        <v>48</v>
      </c>
      <c r="F70" t="s">
        <v>41</v>
      </c>
      <c r="G70" s="89">
        <v>546785</v>
      </c>
      <c r="H70" t="s">
        <v>132</v>
      </c>
      <c r="I70" t="s">
        <v>133</v>
      </c>
      <c r="J70" s="89">
        <v>16403550</v>
      </c>
      <c r="K70" t="s">
        <v>144</v>
      </c>
      <c r="N70">
        <v>1</v>
      </c>
      <c r="O70" s="89">
        <v>16403.55</v>
      </c>
      <c r="P70" s="89">
        <v>284328.2</v>
      </c>
      <c r="Q70" t="s">
        <v>142</v>
      </c>
      <c r="R70" t="s">
        <v>131</v>
      </c>
    </row>
    <row r="71" spans="3:18" hidden="1" x14ac:dyDescent="0.25">
      <c r="C71" t="s">
        <v>45</v>
      </c>
      <c r="D71" t="s">
        <v>24</v>
      </c>
      <c r="E71" t="s">
        <v>48</v>
      </c>
      <c r="F71" t="s">
        <v>41</v>
      </c>
      <c r="G71" s="89">
        <v>3744994</v>
      </c>
      <c r="H71" t="s">
        <v>42</v>
      </c>
      <c r="I71" t="s">
        <v>133</v>
      </c>
      <c r="J71" s="89">
        <v>116094814</v>
      </c>
      <c r="K71" t="s">
        <v>144</v>
      </c>
      <c r="N71">
        <v>1</v>
      </c>
      <c r="O71" s="89">
        <v>112349.82</v>
      </c>
      <c r="P71" s="89">
        <v>1909946.94</v>
      </c>
      <c r="Q71" t="s">
        <v>142</v>
      </c>
      <c r="R71" t="s">
        <v>131</v>
      </c>
    </row>
    <row r="72" spans="3:18" x14ac:dyDescent="0.25">
      <c r="C72" t="s">
        <v>47</v>
      </c>
      <c r="D72" t="s">
        <v>21</v>
      </c>
      <c r="E72" t="s">
        <v>48</v>
      </c>
      <c r="F72" t="s">
        <v>41</v>
      </c>
      <c r="G72" s="89">
        <v>100000</v>
      </c>
      <c r="H72" t="s">
        <v>140</v>
      </c>
      <c r="I72" t="s">
        <v>141</v>
      </c>
      <c r="J72" s="89">
        <v>700000</v>
      </c>
      <c r="K72" t="s">
        <v>127</v>
      </c>
      <c r="L72" t="s">
        <v>128</v>
      </c>
      <c r="N72">
        <v>1</v>
      </c>
      <c r="O72" s="89">
        <v>7000</v>
      </c>
      <c r="P72" s="89">
        <v>118000</v>
      </c>
      <c r="Q72" t="s">
        <v>150</v>
      </c>
      <c r="R72" t="s">
        <v>131</v>
      </c>
    </row>
    <row r="73" spans="3:18" hidden="1" x14ac:dyDescent="0.25">
      <c r="C73" t="s">
        <v>45</v>
      </c>
      <c r="D73" t="s">
        <v>22</v>
      </c>
      <c r="E73" t="s">
        <v>48</v>
      </c>
      <c r="F73" t="s">
        <v>41</v>
      </c>
      <c r="G73" s="89">
        <v>165394</v>
      </c>
      <c r="H73" t="s">
        <v>42</v>
      </c>
      <c r="I73" t="s">
        <v>141</v>
      </c>
      <c r="J73" s="89">
        <v>1157758</v>
      </c>
      <c r="K73" t="s">
        <v>134</v>
      </c>
      <c r="N73">
        <v>1</v>
      </c>
      <c r="O73" s="89">
        <v>4961.82</v>
      </c>
      <c r="P73" s="89">
        <v>49618.2</v>
      </c>
      <c r="Q73" t="s">
        <v>130</v>
      </c>
      <c r="R73" t="s">
        <v>42</v>
      </c>
    </row>
    <row r="74" spans="3:18" x14ac:dyDescent="0.25">
      <c r="C74" t="s">
        <v>47</v>
      </c>
      <c r="D74" t="s">
        <v>24</v>
      </c>
      <c r="E74" t="s">
        <v>52</v>
      </c>
      <c r="F74" t="s">
        <v>41</v>
      </c>
      <c r="G74" s="89">
        <v>275245</v>
      </c>
      <c r="H74" t="s">
        <v>42</v>
      </c>
      <c r="I74" t="s">
        <v>141</v>
      </c>
      <c r="J74" s="89">
        <v>2752450</v>
      </c>
      <c r="K74" t="s">
        <v>144</v>
      </c>
      <c r="N74">
        <v>1</v>
      </c>
      <c r="O74" s="89">
        <v>11009.8</v>
      </c>
      <c r="P74" s="89">
        <v>184414.15</v>
      </c>
      <c r="Q74" t="s">
        <v>137</v>
      </c>
      <c r="R74" t="s">
        <v>42</v>
      </c>
    </row>
    <row r="75" spans="3:18" hidden="1" x14ac:dyDescent="0.25">
      <c r="C75" t="s">
        <v>45</v>
      </c>
      <c r="D75" t="s">
        <v>23</v>
      </c>
      <c r="E75" t="s">
        <v>44</v>
      </c>
      <c r="F75" t="s">
        <v>53</v>
      </c>
      <c r="G75" s="89">
        <v>622563</v>
      </c>
      <c r="H75" t="s">
        <v>42</v>
      </c>
      <c r="I75" t="s">
        <v>133</v>
      </c>
      <c r="J75" s="89">
        <v>20544579</v>
      </c>
      <c r="K75" t="s">
        <v>144</v>
      </c>
      <c r="N75">
        <v>1</v>
      </c>
      <c r="O75" s="89">
        <v>18676.89</v>
      </c>
      <c r="P75" s="89">
        <v>522952.92</v>
      </c>
      <c r="Q75" t="s">
        <v>135</v>
      </c>
      <c r="R75" t="s">
        <v>42</v>
      </c>
    </row>
    <row r="76" spans="3:18" x14ac:dyDescent="0.25">
      <c r="C76" t="s">
        <v>47</v>
      </c>
      <c r="D76" t="s">
        <v>21</v>
      </c>
      <c r="E76" t="s">
        <v>43</v>
      </c>
      <c r="F76" t="s">
        <v>41</v>
      </c>
      <c r="G76" s="89">
        <v>1643024</v>
      </c>
      <c r="H76" t="s">
        <v>145</v>
      </c>
      <c r="I76" t="s">
        <v>126</v>
      </c>
      <c r="J76" s="89">
        <v>16430240</v>
      </c>
      <c r="K76" t="s">
        <v>134</v>
      </c>
      <c r="L76" t="s">
        <v>128</v>
      </c>
      <c r="N76">
        <v>1</v>
      </c>
      <c r="O76" s="89">
        <v>65720.960000000006</v>
      </c>
      <c r="P76" s="89">
        <v>837942.24</v>
      </c>
      <c r="Q76" t="s">
        <v>142</v>
      </c>
      <c r="R76" t="s">
        <v>131</v>
      </c>
    </row>
    <row r="77" spans="3:18" hidden="1" x14ac:dyDescent="0.25">
      <c r="C77" t="s">
        <v>45</v>
      </c>
      <c r="D77" t="s">
        <v>23</v>
      </c>
      <c r="E77" t="s">
        <v>48</v>
      </c>
      <c r="F77" t="s">
        <v>41</v>
      </c>
      <c r="G77" s="89">
        <v>65562</v>
      </c>
      <c r="H77" t="s">
        <v>146</v>
      </c>
      <c r="I77" t="s">
        <v>141</v>
      </c>
      <c r="J77" s="89">
        <v>458934</v>
      </c>
      <c r="K77" t="s">
        <v>127</v>
      </c>
      <c r="L77" t="s">
        <v>128</v>
      </c>
      <c r="N77">
        <v>1</v>
      </c>
      <c r="O77" s="89">
        <v>2622.48</v>
      </c>
      <c r="P77" s="89">
        <v>46549.02</v>
      </c>
      <c r="Q77" t="s">
        <v>137</v>
      </c>
      <c r="R77" t="s">
        <v>131</v>
      </c>
    </row>
    <row r="78" spans="3:18" hidden="1" x14ac:dyDescent="0.25">
      <c r="C78" t="s">
        <v>45</v>
      </c>
      <c r="D78" t="s">
        <v>21</v>
      </c>
      <c r="E78" t="s">
        <v>40</v>
      </c>
      <c r="F78" t="s">
        <v>41</v>
      </c>
      <c r="G78" s="89">
        <v>49894</v>
      </c>
      <c r="H78" t="s">
        <v>42</v>
      </c>
      <c r="I78" t="s">
        <v>126</v>
      </c>
      <c r="J78" s="89">
        <v>498940</v>
      </c>
      <c r="K78" t="s">
        <v>127</v>
      </c>
      <c r="L78" t="s">
        <v>128</v>
      </c>
      <c r="M78" t="s">
        <v>136</v>
      </c>
      <c r="N78">
        <v>1</v>
      </c>
      <c r="O78" s="89">
        <v>1496.82</v>
      </c>
      <c r="P78" s="89">
        <v>17961.84</v>
      </c>
      <c r="Q78" t="s">
        <v>130</v>
      </c>
      <c r="R78" t="s">
        <v>131</v>
      </c>
    </row>
    <row r="79" spans="3:18" x14ac:dyDescent="0.25">
      <c r="C79" t="s">
        <v>47</v>
      </c>
      <c r="D79" t="s">
        <v>23</v>
      </c>
      <c r="E79" t="s">
        <v>40</v>
      </c>
      <c r="F79" t="s">
        <v>41</v>
      </c>
      <c r="G79" s="89">
        <v>36193</v>
      </c>
      <c r="H79" t="s">
        <v>140</v>
      </c>
      <c r="I79" t="s">
        <v>147</v>
      </c>
      <c r="J79" s="89">
        <v>144772</v>
      </c>
      <c r="K79" t="s">
        <v>127</v>
      </c>
      <c r="L79" t="s">
        <v>128</v>
      </c>
      <c r="N79">
        <v>1</v>
      </c>
      <c r="O79" s="89">
        <v>1085.79</v>
      </c>
      <c r="P79" s="89">
        <v>26420.89</v>
      </c>
      <c r="Q79" t="s">
        <v>137</v>
      </c>
      <c r="R79" t="s">
        <v>131</v>
      </c>
    </row>
    <row r="80" spans="3:18" x14ac:dyDescent="0.25">
      <c r="C80" t="s">
        <v>47</v>
      </c>
      <c r="D80" t="s">
        <v>138</v>
      </c>
      <c r="E80" t="s">
        <v>48</v>
      </c>
      <c r="F80" t="s">
        <v>41</v>
      </c>
      <c r="G80" s="89">
        <v>36244</v>
      </c>
      <c r="H80" t="s">
        <v>140</v>
      </c>
      <c r="I80" t="s">
        <v>126</v>
      </c>
      <c r="J80" s="89">
        <v>688636</v>
      </c>
      <c r="K80" t="s">
        <v>127</v>
      </c>
      <c r="L80" t="s">
        <v>128</v>
      </c>
      <c r="N80">
        <v>1</v>
      </c>
      <c r="O80" s="89">
        <v>1812.2</v>
      </c>
      <c r="P80" s="89">
        <v>22108.84</v>
      </c>
      <c r="Q80" t="s">
        <v>137</v>
      </c>
      <c r="R80" t="s">
        <v>131</v>
      </c>
    </row>
    <row r="81" spans="3:18" hidden="1" x14ac:dyDescent="0.25">
      <c r="C81" t="s">
        <v>45</v>
      </c>
      <c r="D81" t="s">
        <v>22</v>
      </c>
      <c r="E81" t="s">
        <v>43</v>
      </c>
      <c r="F81" t="s">
        <v>41</v>
      </c>
      <c r="G81" s="89">
        <v>138489</v>
      </c>
      <c r="H81" t="s">
        <v>42</v>
      </c>
      <c r="I81" t="s">
        <v>133</v>
      </c>
      <c r="J81" s="89">
        <v>5262582</v>
      </c>
      <c r="K81" t="s">
        <v>127</v>
      </c>
      <c r="L81" t="s">
        <v>128</v>
      </c>
      <c r="M81" t="s">
        <v>152</v>
      </c>
      <c r="N81">
        <v>1</v>
      </c>
      <c r="O81" s="89">
        <v>4154.67</v>
      </c>
      <c r="P81" s="89">
        <v>99712.08</v>
      </c>
      <c r="Q81" t="s">
        <v>137</v>
      </c>
      <c r="R81" t="s">
        <v>42</v>
      </c>
    </row>
    <row r="82" spans="3:18" hidden="1" x14ac:dyDescent="0.25">
      <c r="C82" t="s">
        <v>45</v>
      </c>
      <c r="D82" t="s">
        <v>21</v>
      </c>
      <c r="E82" t="s">
        <v>43</v>
      </c>
      <c r="F82" t="s">
        <v>53</v>
      </c>
      <c r="G82" s="89">
        <v>19660</v>
      </c>
      <c r="H82" t="s">
        <v>132</v>
      </c>
      <c r="I82" t="s">
        <v>141</v>
      </c>
      <c r="J82" s="89">
        <v>117960</v>
      </c>
      <c r="K82" t="s">
        <v>127</v>
      </c>
      <c r="L82" t="s">
        <v>128</v>
      </c>
      <c r="N82">
        <v>1</v>
      </c>
      <c r="O82" s="89">
        <v>589.79999999999995</v>
      </c>
      <c r="P82" s="89">
        <v>3145.6</v>
      </c>
      <c r="Q82" t="s">
        <v>130</v>
      </c>
      <c r="R82" t="s">
        <v>131</v>
      </c>
    </row>
    <row r="83" spans="3:18" x14ac:dyDescent="0.25">
      <c r="C83" t="s">
        <v>47</v>
      </c>
      <c r="D83" t="s">
        <v>23</v>
      </c>
      <c r="E83" t="s">
        <v>40</v>
      </c>
      <c r="F83" t="s">
        <v>41</v>
      </c>
      <c r="G83" s="89">
        <v>5795064</v>
      </c>
      <c r="H83" t="s">
        <v>140</v>
      </c>
      <c r="I83" t="s">
        <v>153</v>
      </c>
      <c r="J83" s="89"/>
      <c r="K83" t="s">
        <v>127</v>
      </c>
      <c r="L83" t="s">
        <v>128</v>
      </c>
      <c r="N83">
        <v>0</v>
      </c>
      <c r="O83" s="89">
        <v>521555.76</v>
      </c>
      <c r="P83" s="89">
        <v>405654.48</v>
      </c>
      <c r="Q83" t="s">
        <v>130</v>
      </c>
      <c r="R83" t="s">
        <v>131</v>
      </c>
    </row>
    <row r="84" spans="3:18" x14ac:dyDescent="0.25">
      <c r="C84" t="s">
        <v>47</v>
      </c>
      <c r="D84" t="s">
        <v>23</v>
      </c>
      <c r="E84" t="s">
        <v>40</v>
      </c>
      <c r="F84" t="s">
        <v>41</v>
      </c>
      <c r="G84" s="89">
        <v>3036710</v>
      </c>
      <c r="H84" t="s">
        <v>145</v>
      </c>
      <c r="I84" t="s">
        <v>147</v>
      </c>
      <c r="J84" s="89">
        <v>9110130</v>
      </c>
      <c r="K84" t="s">
        <v>127</v>
      </c>
      <c r="L84" t="s">
        <v>128</v>
      </c>
      <c r="N84">
        <v>1</v>
      </c>
      <c r="O84" s="89">
        <v>151835.5</v>
      </c>
      <c r="P84" s="89">
        <v>880645.9</v>
      </c>
      <c r="Q84" t="s">
        <v>130</v>
      </c>
      <c r="R84" t="s">
        <v>131</v>
      </c>
    </row>
    <row r="85" spans="3:18" hidden="1" x14ac:dyDescent="0.25">
      <c r="C85" t="s">
        <v>45</v>
      </c>
      <c r="D85" t="s">
        <v>20</v>
      </c>
      <c r="E85" t="s">
        <v>43</v>
      </c>
      <c r="F85" t="s">
        <v>41</v>
      </c>
      <c r="G85" s="89">
        <v>297142</v>
      </c>
      <c r="H85" t="s">
        <v>42</v>
      </c>
      <c r="I85" t="s">
        <v>133</v>
      </c>
      <c r="J85" s="89">
        <v>9805686</v>
      </c>
      <c r="K85" t="s">
        <v>127</v>
      </c>
      <c r="L85" t="s">
        <v>128</v>
      </c>
      <c r="M85" t="s">
        <v>129</v>
      </c>
      <c r="N85">
        <v>1</v>
      </c>
      <c r="O85" s="89">
        <v>8914.26</v>
      </c>
      <c r="P85" s="89">
        <v>270399.21999999997</v>
      </c>
      <c r="Q85" t="s">
        <v>135</v>
      </c>
      <c r="R85" t="s">
        <v>42</v>
      </c>
    </row>
    <row r="86" spans="3:18" hidden="1" x14ac:dyDescent="0.25">
      <c r="C86" t="s">
        <v>45</v>
      </c>
      <c r="D86" t="s">
        <v>20</v>
      </c>
      <c r="E86" t="s">
        <v>43</v>
      </c>
      <c r="F86" t="s">
        <v>41</v>
      </c>
      <c r="G86" s="89">
        <v>275947</v>
      </c>
      <c r="H86" t="s">
        <v>42</v>
      </c>
      <c r="I86" t="s">
        <v>141</v>
      </c>
      <c r="J86" s="89">
        <v>2483523</v>
      </c>
      <c r="K86" t="s">
        <v>144</v>
      </c>
      <c r="N86">
        <v>1</v>
      </c>
      <c r="O86" s="89">
        <v>8278.41</v>
      </c>
      <c r="P86" s="89">
        <v>74505.69</v>
      </c>
      <c r="Q86" t="s">
        <v>130</v>
      </c>
      <c r="R86" t="s">
        <v>42</v>
      </c>
    </row>
    <row r="87" spans="3:18" hidden="1" x14ac:dyDescent="0.25">
      <c r="C87" t="s">
        <v>45</v>
      </c>
      <c r="D87" t="s">
        <v>22</v>
      </c>
      <c r="E87" t="s">
        <v>40</v>
      </c>
      <c r="F87" t="s">
        <v>41</v>
      </c>
      <c r="G87" s="89">
        <v>102278</v>
      </c>
      <c r="H87" t="s">
        <v>42</v>
      </c>
      <c r="I87" t="s">
        <v>133</v>
      </c>
      <c r="J87" s="89">
        <v>3477452</v>
      </c>
      <c r="K87" t="s">
        <v>127</v>
      </c>
      <c r="L87" t="s">
        <v>128</v>
      </c>
      <c r="M87" t="s">
        <v>136</v>
      </c>
      <c r="N87">
        <v>1</v>
      </c>
      <c r="O87" s="89">
        <v>3068.34</v>
      </c>
      <c r="P87" s="89">
        <v>53184.56</v>
      </c>
      <c r="Q87" t="s">
        <v>142</v>
      </c>
      <c r="R87" t="s">
        <v>131</v>
      </c>
    </row>
    <row r="88" spans="3:18" hidden="1" x14ac:dyDescent="0.25">
      <c r="C88" t="s">
        <v>45</v>
      </c>
      <c r="D88" t="s">
        <v>149</v>
      </c>
      <c r="E88" t="s">
        <v>40</v>
      </c>
      <c r="F88" t="s">
        <v>41</v>
      </c>
      <c r="G88" s="89">
        <v>412527</v>
      </c>
      <c r="H88" t="s">
        <v>42</v>
      </c>
      <c r="I88" t="s">
        <v>126</v>
      </c>
      <c r="J88" s="89">
        <v>6187905</v>
      </c>
      <c r="K88" t="s">
        <v>127</v>
      </c>
      <c r="L88" t="s">
        <v>128</v>
      </c>
      <c r="M88" t="s">
        <v>136</v>
      </c>
      <c r="N88">
        <v>1</v>
      </c>
      <c r="O88" s="89">
        <v>12375.81</v>
      </c>
      <c r="P88" s="89">
        <v>218639.31</v>
      </c>
      <c r="Q88" t="s">
        <v>142</v>
      </c>
      <c r="R88" t="s">
        <v>131</v>
      </c>
    </row>
    <row r="89" spans="3:18" hidden="1" x14ac:dyDescent="0.25">
      <c r="C89" t="s">
        <v>45</v>
      </c>
      <c r="D89" t="s">
        <v>19</v>
      </c>
      <c r="E89" t="s">
        <v>43</v>
      </c>
      <c r="F89" t="s">
        <v>41</v>
      </c>
      <c r="G89" s="89">
        <v>740688</v>
      </c>
      <c r="H89" t="s">
        <v>140</v>
      </c>
      <c r="I89" t="s">
        <v>126</v>
      </c>
      <c r="J89" s="89">
        <v>11851008</v>
      </c>
      <c r="K89" t="s">
        <v>144</v>
      </c>
      <c r="N89">
        <v>1</v>
      </c>
      <c r="O89" s="89">
        <v>22220.639999999999</v>
      </c>
      <c r="P89" s="89">
        <v>518481.6</v>
      </c>
      <c r="Q89" t="s">
        <v>137</v>
      </c>
      <c r="R89" t="s">
        <v>131</v>
      </c>
    </row>
    <row r="90" spans="3:18" hidden="1" x14ac:dyDescent="0.25">
      <c r="C90" t="s">
        <v>45</v>
      </c>
      <c r="D90" t="s">
        <v>24</v>
      </c>
      <c r="E90" t="s">
        <v>40</v>
      </c>
      <c r="F90" t="s">
        <v>41</v>
      </c>
      <c r="G90" s="89">
        <v>2475752</v>
      </c>
      <c r="H90" t="s">
        <v>132</v>
      </c>
      <c r="I90" t="s">
        <v>133</v>
      </c>
      <c r="J90" s="89">
        <v>71796808</v>
      </c>
      <c r="K90" t="s">
        <v>127</v>
      </c>
      <c r="L90" t="s">
        <v>128</v>
      </c>
      <c r="N90">
        <v>1</v>
      </c>
      <c r="O90" s="89">
        <v>74272.56</v>
      </c>
      <c r="P90" s="89">
        <v>1733026.4</v>
      </c>
      <c r="Q90" t="s">
        <v>137</v>
      </c>
      <c r="R90" t="s">
        <v>131</v>
      </c>
    </row>
    <row r="91" spans="3:18" x14ac:dyDescent="0.25">
      <c r="C91" t="s">
        <v>47</v>
      </c>
      <c r="D91" t="s">
        <v>25</v>
      </c>
      <c r="E91" t="s">
        <v>44</v>
      </c>
      <c r="F91" t="s">
        <v>41</v>
      </c>
      <c r="G91" s="89">
        <v>89071</v>
      </c>
      <c r="H91" t="s">
        <v>145</v>
      </c>
      <c r="I91" t="s">
        <v>141</v>
      </c>
      <c r="J91" s="89">
        <v>712568</v>
      </c>
      <c r="K91" t="s">
        <v>127</v>
      </c>
      <c r="L91" t="s">
        <v>128</v>
      </c>
      <c r="N91">
        <v>1</v>
      </c>
      <c r="O91" s="89">
        <v>3562.84</v>
      </c>
      <c r="P91" s="89">
        <v>49879.76</v>
      </c>
      <c r="Q91" t="s">
        <v>142</v>
      </c>
      <c r="R91" t="s">
        <v>131</v>
      </c>
    </row>
    <row r="92" spans="3:18" hidden="1" x14ac:dyDescent="0.25">
      <c r="C92" t="s">
        <v>45</v>
      </c>
      <c r="D92" t="s">
        <v>149</v>
      </c>
      <c r="E92" t="s">
        <v>43</v>
      </c>
      <c r="F92" t="s">
        <v>53</v>
      </c>
      <c r="G92" s="89">
        <v>1564381</v>
      </c>
      <c r="H92" t="s">
        <v>42</v>
      </c>
      <c r="I92" t="s">
        <v>133</v>
      </c>
      <c r="J92" s="89">
        <v>48495811</v>
      </c>
      <c r="K92" t="s">
        <v>144</v>
      </c>
      <c r="N92">
        <v>1</v>
      </c>
      <c r="O92" s="89">
        <v>46931.43</v>
      </c>
      <c r="P92" s="89">
        <v>829121.93</v>
      </c>
      <c r="Q92" t="s">
        <v>142</v>
      </c>
      <c r="R92" t="s">
        <v>42</v>
      </c>
    </row>
    <row r="93" spans="3:18" hidden="1" x14ac:dyDescent="0.25">
      <c r="C93" t="s">
        <v>45</v>
      </c>
      <c r="D93" t="s">
        <v>21</v>
      </c>
      <c r="E93" t="s">
        <v>43</v>
      </c>
      <c r="F93" t="s">
        <v>41</v>
      </c>
      <c r="G93" s="89">
        <v>2479958</v>
      </c>
      <c r="H93" t="s">
        <v>145</v>
      </c>
      <c r="I93" t="s">
        <v>133</v>
      </c>
      <c r="J93" s="89">
        <v>76878698</v>
      </c>
      <c r="K93" t="s">
        <v>144</v>
      </c>
      <c r="N93">
        <v>1</v>
      </c>
      <c r="O93" s="89">
        <v>74398.740000000005</v>
      </c>
      <c r="P93" s="89">
        <v>2058365.14</v>
      </c>
      <c r="Q93" t="s">
        <v>135</v>
      </c>
      <c r="R93" t="s">
        <v>131</v>
      </c>
    </row>
    <row r="94" spans="3:18" hidden="1" x14ac:dyDescent="0.25">
      <c r="C94" t="s">
        <v>45</v>
      </c>
      <c r="D94" t="s">
        <v>149</v>
      </c>
      <c r="E94" t="s">
        <v>43</v>
      </c>
      <c r="F94" t="s">
        <v>53</v>
      </c>
      <c r="G94" s="89">
        <v>176157</v>
      </c>
      <c r="H94" t="s">
        <v>42</v>
      </c>
      <c r="I94" t="s">
        <v>126</v>
      </c>
      <c r="J94" s="89">
        <v>3523140</v>
      </c>
      <c r="K94" t="s">
        <v>144</v>
      </c>
      <c r="N94">
        <v>1</v>
      </c>
      <c r="O94" s="89">
        <v>5284.71</v>
      </c>
      <c r="P94" s="89">
        <v>89840.07</v>
      </c>
      <c r="Q94" t="s">
        <v>142</v>
      </c>
      <c r="R94" t="s">
        <v>131</v>
      </c>
    </row>
    <row r="95" spans="3:18" hidden="1" x14ac:dyDescent="0.25">
      <c r="C95" t="s">
        <v>45</v>
      </c>
      <c r="D95" t="s">
        <v>25</v>
      </c>
      <c r="E95" t="s">
        <v>48</v>
      </c>
      <c r="F95" t="s">
        <v>41</v>
      </c>
      <c r="G95" s="89">
        <v>6800</v>
      </c>
      <c r="H95" t="s">
        <v>145</v>
      </c>
      <c r="I95" t="s">
        <v>126</v>
      </c>
      <c r="J95" s="89">
        <v>122400</v>
      </c>
      <c r="K95" t="s">
        <v>127</v>
      </c>
      <c r="L95" t="s">
        <v>128</v>
      </c>
      <c r="N95">
        <v>1</v>
      </c>
      <c r="O95" s="89">
        <v>136</v>
      </c>
      <c r="P95" s="89">
        <v>10200</v>
      </c>
      <c r="Q95" t="s">
        <v>150</v>
      </c>
      <c r="R95" t="s">
        <v>131</v>
      </c>
    </row>
    <row r="96" spans="3:18" hidden="1" x14ac:dyDescent="0.25">
      <c r="C96" t="s">
        <v>45</v>
      </c>
      <c r="D96" t="s">
        <v>21</v>
      </c>
      <c r="E96" t="s">
        <v>40</v>
      </c>
      <c r="F96" t="s">
        <v>41</v>
      </c>
      <c r="G96" s="89">
        <v>114353</v>
      </c>
      <c r="H96" t="s">
        <v>42</v>
      </c>
      <c r="I96" t="s">
        <v>141</v>
      </c>
      <c r="J96" s="89">
        <v>1029177</v>
      </c>
      <c r="K96" t="s">
        <v>127</v>
      </c>
      <c r="L96" t="s">
        <v>128</v>
      </c>
      <c r="M96" t="s">
        <v>129</v>
      </c>
      <c r="N96">
        <v>1</v>
      </c>
      <c r="O96" s="89">
        <v>3430.59</v>
      </c>
      <c r="P96" s="89">
        <v>73185.919999999998</v>
      </c>
      <c r="Q96" t="s">
        <v>137</v>
      </c>
      <c r="R96" t="s">
        <v>131</v>
      </c>
    </row>
    <row r="97" spans="3:18" x14ac:dyDescent="0.25">
      <c r="C97" t="s">
        <v>47</v>
      </c>
      <c r="D97" t="s">
        <v>50</v>
      </c>
      <c r="E97" t="s">
        <v>50</v>
      </c>
      <c r="F97" t="s">
        <v>41</v>
      </c>
      <c r="G97" s="89">
        <v>1708573</v>
      </c>
      <c r="H97" t="s">
        <v>79</v>
      </c>
      <c r="I97" t="s">
        <v>147</v>
      </c>
      <c r="J97" s="89"/>
      <c r="K97" t="s">
        <v>127</v>
      </c>
      <c r="N97">
        <v>0</v>
      </c>
      <c r="O97" s="89">
        <v>34171.46</v>
      </c>
      <c r="P97" s="89">
        <v>205028.76</v>
      </c>
      <c r="Q97" t="s">
        <v>130</v>
      </c>
      <c r="R97" t="s">
        <v>79</v>
      </c>
    </row>
    <row r="98" spans="3:18" hidden="1" x14ac:dyDescent="0.25">
      <c r="C98" t="s">
        <v>45</v>
      </c>
      <c r="D98" t="s">
        <v>23</v>
      </c>
      <c r="E98" t="s">
        <v>40</v>
      </c>
      <c r="F98" t="s">
        <v>41</v>
      </c>
      <c r="G98" s="89">
        <v>78648</v>
      </c>
      <c r="H98" t="s">
        <v>146</v>
      </c>
      <c r="I98" t="s">
        <v>126</v>
      </c>
      <c r="J98" s="89">
        <v>1494312</v>
      </c>
      <c r="K98" t="s">
        <v>144</v>
      </c>
      <c r="N98">
        <v>1</v>
      </c>
      <c r="O98" s="89">
        <v>2359.44</v>
      </c>
      <c r="P98" s="89">
        <v>14943.12</v>
      </c>
      <c r="Q98" t="s">
        <v>130</v>
      </c>
      <c r="R98" t="s">
        <v>131</v>
      </c>
    </row>
    <row r="99" spans="3:18" hidden="1" x14ac:dyDescent="0.25">
      <c r="C99" t="s">
        <v>45</v>
      </c>
      <c r="D99" t="s">
        <v>22</v>
      </c>
      <c r="E99" t="s">
        <v>40</v>
      </c>
      <c r="F99" t="s">
        <v>41</v>
      </c>
      <c r="G99" s="89">
        <v>498485</v>
      </c>
      <c r="H99" t="s">
        <v>42</v>
      </c>
      <c r="I99" t="s">
        <v>133</v>
      </c>
      <c r="J99" s="89">
        <v>12462125</v>
      </c>
      <c r="K99" t="s">
        <v>134</v>
      </c>
      <c r="L99" t="s">
        <v>128</v>
      </c>
      <c r="M99" t="s">
        <v>143</v>
      </c>
      <c r="N99">
        <v>1</v>
      </c>
      <c r="O99" s="89">
        <v>14954.55</v>
      </c>
      <c r="P99" s="89">
        <v>343954.65</v>
      </c>
      <c r="Q99" t="s">
        <v>137</v>
      </c>
      <c r="R99" t="s">
        <v>42</v>
      </c>
    </row>
    <row r="100" spans="3:18" hidden="1" x14ac:dyDescent="0.25">
      <c r="C100" t="s">
        <v>45</v>
      </c>
      <c r="D100" t="s">
        <v>23</v>
      </c>
      <c r="E100" t="s">
        <v>44</v>
      </c>
      <c r="F100" t="s">
        <v>41</v>
      </c>
      <c r="G100" s="89">
        <v>1109250</v>
      </c>
      <c r="H100" t="s">
        <v>42</v>
      </c>
      <c r="I100" t="s">
        <v>126</v>
      </c>
      <c r="J100" s="89">
        <v>17748000</v>
      </c>
      <c r="K100" t="s">
        <v>127</v>
      </c>
      <c r="L100" t="s">
        <v>128</v>
      </c>
      <c r="M100" t="s">
        <v>152</v>
      </c>
      <c r="N100">
        <v>1</v>
      </c>
      <c r="O100" s="89">
        <v>33277.5</v>
      </c>
      <c r="P100" s="89">
        <v>288405</v>
      </c>
      <c r="Q100" t="s">
        <v>130</v>
      </c>
      <c r="R100" t="s">
        <v>42</v>
      </c>
    </row>
    <row r="101" spans="3:18" x14ac:dyDescent="0.25">
      <c r="C101" t="s">
        <v>47</v>
      </c>
      <c r="D101" t="s">
        <v>19</v>
      </c>
      <c r="E101" t="s">
        <v>40</v>
      </c>
      <c r="F101" t="s">
        <v>41</v>
      </c>
      <c r="G101" s="89">
        <v>2210808</v>
      </c>
      <c r="H101" t="s">
        <v>140</v>
      </c>
      <c r="I101" t="s">
        <v>126</v>
      </c>
      <c r="J101" s="89">
        <v>24318888</v>
      </c>
      <c r="K101" t="s">
        <v>127</v>
      </c>
      <c r="L101" t="s">
        <v>128</v>
      </c>
      <c r="N101">
        <v>1</v>
      </c>
      <c r="O101" s="89">
        <v>88432.320000000007</v>
      </c>
      <c r="P101" s="89">
        <v>884323.2</v>
      </c>
      <c r="Q101" t="s">
        <v>142</v>
      </c>
      <c r="R101" t="s">
        <v>131</v>
      </c>
    </row>
    <row r="102" spans="3:18" hidden="1" x14ac:dyDescent="0.25">
      <c r="C102" t="s">
        <v>45</v>
      </c>
      <c r="D102" t="s">
        <v>21</v>
      </c>
      <c r="E102" t="s">
        <v>43</v>
      </c>
      <c r="F102" t="s">
        <v>41</v>
      </c>
      <c r="G102" s="89">
        <v>132575735</v>
      </c>
      <c r="H102" t="s">
        <v>140</v>
      </c>
      <c r="I102" t="s">
        <v>126</v>
      </c>
      <c r="J102" s="89">
        <v>1988636025</v>
      </c>
      <c r="K102" t="s">
        <v>127</v>
      </c>
      <c r="L102" t="s">
        <v>128</v>
      </c>
      <c r="N102">
        <v>1</v>
      </c>
      <c r="O102" s="89">
        <v>3977272.05</v>
      </c>
      <c r="P102" s="89">
        <v>34469691.100000001</v>
      </c>
      <c r="Q102" t="s">
        <v>130</v>
      </c>
      <c r="R102" t="s">
        <v>131</v>
      </c>
    </row>
    <row r="103" spans="3:18" hidden="1" x14ac:dyDescent="0.25">
      <c r="C103" t="s">
        <v>45</v>
      </c>
      <c r="D103" t="s">
        <v>24</v>
      </c>
      <c r="E103" t="s">
        <v>44</v>
      </c>
      <c r="F103" t="s">
        <v>41</v>
      </c>
      <c r="G103" s="89">
        <v>38622</v>
      </c>
      <c r="H103" t="s">
        <v>42</v>
      </c>
      <c r="I103" t="s">
        <v>126</v>
      </c>
      <c r="J103" s="89">
        <v>772440</v>
      </c>
      <c r="K103" t="s">
        <v>127</v>
      </c>
      <c r="L103" t="s">
        <v>128</v>
      </c>
      <c r="M103" t="s">
        <v>148</v>
      </c>
      <c r="N103">
        <v>1</v>
      </c>
      <c r="O103" s="89">
        <v>1158.6600000000001</v>
      </c>
      <c r="P103" s="89">
        <v>42484.2</v>
      </c>
      <c r="Q103" t="s">
        <v>150</v>
      </c>
      <c r="R103" t="s">
        <v>131</v>
      </c>
    </row>
    <row r="104" spans="3:18" hidden="1" x14ac:dyDescent="0.25">
      <c r="C104" t="s">
        <v>45</v>
      </c>
      <c r="D104" t="s">
        <v>23</v>
      </c>
      <c r="E104" t="s">
        <v>40</v>
      </c>
      <c r="F104" t="s">
        <v>41</v>
      </c>
      <c r="G104" s="89">
        <v>2839581</v>
      </c>
      <c r="H104" t="s">
        <v>145</v>
      </c>
      <c r="I104" t="s">
        <v>133</v>
      </c>
      <c r="J104" s="89">
        <v>88027011</v>
      </c>
      <c r="K104" t="s">
        <v>144</v>
      </c>
      <c r="N104">
        <v>1</v>
      </c>
      <c r="O104" s="89">
        <v>85187.43</v>
      </c>
      <c r="P104" s="89">
        <v>1391394.69</v>
      </c>
      <c r="Q104" t="s">
        <v>142</v>
      </c>
      <c r="R104" t="s">
        <v>131</v>
      </c>
    </row>
    <row r="105" spans="3:18" hidden="1" x14ac:dyDescent="0.25">
      <c r="C105" t="s">
        <v>45</v>
      </c>
      <c r="D105" t="s">
        <v>138</v>
      </c>
      <c r="E105" t="s">
        <v>43</v>
      </c>
      <c r="F105" t="s">
        <v>41</v>
      </c>
      <c r="G105" s="89">
        <v>98552</v>
      </c>
      <c r="H105" t="s">
        <v>146</v>
      </c>
      <c r="I105" t="s">
        <v>141</v>
      </c>
      <c r="J105" s="89">
        <v>788416</v>
      </c>
      <c r="K105" t="s">
        <v>144</v>
      </c>
      <c r="N105">
        <v>1</v>
      </c>
      <c r="O105" s="89">
        <v>2956.56</v>
      </c>
      <c r="P105" s="89">
        <v>24638</v>
      </c>
      <c r="Q105" t="s">
        <v>130</v>
      </c>
      <c r="R105" t="s">
        <v>131</v>
      </c>
    </row>
    <row r="106" spans="3:18" hidden="1" x14ac:dyDescent="0.25">
      <c r="C106" t="s">
        <v>45</v>
      </c>
      <c r="D106" t="s">
        <v>19</v>
      </c>
      <c r="E106" t="s">
        <v>43</v>
      </c>
      <c r="F106" t="s">
        <v>41</v>
      </c>
      <c r="G106" s="89">
        <v>430574</v>
      </c>
      <c r="H106" t="s">
        <v>146</v>
      </c>
      <c r="I106" t="s">
        <v>126</v>
      </c>
      <c r="J106" s="89">
        <v>7319758</v>
      </c>
      <c r="K106" t="s">
        <v>127</v>
      </c>
      <c r="L106" t="s">
        <v>128</v>
      </c>
      <c r="N106">
        <v>1</v>
      </c>
      <c r="O106" s="89">
        <v>21528.7</v>
      </c>
      <c r="P106" s="89">
        <v>365987.9</v>
      </c>
      <c r="Q106" t="s">
        <v>135</v>
      </c>
      <c r="R106" t="s">
        <v>131</v>
      </c>
    </row>
    <row r="107" spans="3:18" x14ac:dyDescent="0.25">
      <c r="C107" t="s">
        <v>47</v>
      </c>
      <c r="D107" t="s">
        <v>22</v>
      </c>
      <c r="E107" t="s">
        <v>40</v>
      </c>
      <c r="F107" t="s">
        <v>41</v>
      </c>
      <c r="G107" s="89">
        <v>182101</v>
      </c>
      <c r="H107" t="s">
        <v>140</v>
      </c>
      <c r="I107" t="s">
        <v>126</v>
      </c>
      <c r="J107" s="89">
        <v>2549414</v>
      </c>
      <c r="K107" t="s">
        <v>144</v>
      </c>
      <c r="N107">
        <v>1</v>
      </c>
      <c r="O107" s="89">
        <v>7284.04</v>
      </c>
      <c r="P107" s="89">
        <v>107439.59</v>
      </c>
      <c r="Q107" t="s">
        <v>142</v>
      </c>
      <c r="R107" t="s">
        <v>131</v>
      </c>
    </row>
    <row r="108" spans="3:18" hidden="1" x14ac:dyDescent="0.25">
      <c r="C108" t="s">
        <v>45</v>
      </c>
      <c r="D108" t="s">
        <v>23</v>
      </c>
      <c r="E108" t="s">
        <v>48</v>
      </c>
      <c r="F108" t="s">
        <v>41</v>
      </c>
      <c r="G108" s="89">
        <v>3134546</v>
      </c>
      <c r="H108" t="s">
        <v>140</v>
      </c>
      <c r="I108" t="s">
        <v>141</v>
      </c>
      <c r="J108" s="89">
        <v>25076368</v>
      </c>
      <c r="K108" t="s">
        <v>127</v>
      </c>
      <c r="L108" t="s">
        <v>128</v>
      </c>
      <c r="N108">
        <v>1</v>
      </c>
      <c r="O108" s="89">
        <v>125381.84</v>
      </c>
      <c r="P108" s="89">
        <v>1473236.62</v>
      </c>
      <c r="Q108" t="s">
        <v>142</v>
      </c>
      <c r="R108" t="s">
        <v>131</v>
      </c>
    </row>
    <row r="109" spans="3:18" x14ac:dyDescent="0.25">
      <c r="C109" t="s">
        <v>47</v>
      </c>
      <c r="D109" t="s">
        <v>20</v>
      </c>
      <c r="E109" t="s">
        <v>43</v>
      </c>
      <c r="F109" t="s">
        <v>41</v>
      </c>
      <c r="G109" s="89">
        <v>1497114</v>
      </c>
      <c r="H109" t="s">
        <v>140</v>
      </c>
      <c r="I109" t="s">
        <v>141</v>
      </c>
      <c r="J109" s="89">
        <v>10479798</v>
      </c>
      <c r="K109" t="s">
        <v>127</v>
      </c>
      <c r="L109" t="s">
        <v>128</v>
      </c>
      <c r="N109">
        <v>1</v>
      </c>
      <c r="O109" s="89">
        <v>59884.56</v>
      </c>
      <c r="P109" s="89">
        <v>374278.5</v>
      </c>
      <c r="Q109" t="s">
        <v>130</v>
      </c>
      <c r="R109" t="s">
        <v>131</v>
      </c>
    </row>
    <row r="110" spans="3:18" hidden="1" x14ac:dyDescent="0.25">
      <c r="C110" t="s">
        <v>45</v>
      </c>
      <c r="D110" t="s">
        <v>138</v>
      </c>
      <c r="E110" t="s">
        <v>43</v>
      </c>
      <c r="F110" t="s">
        <v>41</v>
      </c>
      <c r="G110" s="89">
        <v>55061</v>
      </c>
      <c r="H110" t="s">
        <v>42</v>
      </c>
      <c r="I110" t="s">
        <v>126</v>
      </c>
      <c r="J110" s="89">
        <v>936037</v>
      </c>
      <c r="K110" t="s">
        <v>127</v>
      </c>
      <c r="L110" t="s">
        <v>128</v>
      </c>
      <c r="M110" t="s">
        <v>143</v>
      </c>
      <c r="N110">
        <v>1</v>
      </c>
      <c r="O110" s="89">
        <v>2753.05</v>
      </c>
      <c r="P110" s="89">
        <v>30283.55</v>
      </c>
      <c r="Q110" t="s">
        <v>142</v>
      </c>
      <c r="R110" t="s">
        <v>42</v>
      </c>
    </row>
    <row r="111" spans="3:18" hidden="1" x14ac:dyDescent="0.25">
      <c r="C111" t="s">
        <v>45</v>
      </c>
      <c r="D111" t="s">
        <v>21</v>
      </c>
      <c r="E111" t="s">
        <v>43</v>
      </c>
      <c r="F111" t="s">
        <v>41</v>
      </c>
      <c r="G111" s="89">
        <v>21294</v>
      </c>
      <c r="H111" t="s">
        <v>146</v>
      </c>
      <c r="I111" t="s">
        <v>147</v>
      </c>
      <c r="J111" s="89">
        <v>63882</v>
      </c>
      <c r="K111" t="s">
        <v>127</v>
      </c>
      <c r="L111" t="s">
        <v>128</v>
      </c>
      <c r="N111">
        <v>1</v>
      </c>
      <c r="O111" s="89">
        <v>1064.7</v>
      </c>
      <c r="P111" s="89">
        <v>14692.86</v>
      </c>
      <c r="Q111" t="s">
        <v>137</v>
      </c>
      <c r="R111" t="s">
        <v>131</v>
      </c>
    </row>
    <row r="112" spans="3:18" hidden="1" x14ac:dyDescent="0.25">
      <c r="C112" t="s">
        <v>45</v>
      </c>
      <c r="D112" t="s">
        <v>21</v>
      </c>
      <c r="E112" t="s">
        <v>43</v>
      </c>
      <c r="F112" t="s">
        <v>41</v>
      </c>
      <c r="G112" s="89">
        <v>1784661</v>
      </c>
      <c r="H112" t="s">
        <v>132</v>
      </c>
      <c r="I112" t="s">
        <v>133</v>
      </c>
      <c r="J112" s="89">
        <v>49970508</v>
      </c>
      <c r="K112" t="s">
        <v>127</v>
      </c>
      <c r="L112" t="s">
        <v>128</v>
      </c>
      <c r="N112">
        <v>1</v>
      </c>
      <c r="O112" s="89">
        <v>53539.83</v>
      </c>
      <c r="P112" s="89">
        <v>2141593.2000000002</v>
      </c>
      <c r="Q112" t="s">
        <v>150</v>
      </c>
      <c r="R112" t="s">
        <v>131</v>
      </c>
    </row>
    <row r="113" spans="3:18" hidden="1" x14ac:dyDescent="0.25">
      <c r="C113" t="s">
        <v>45</v>
      </c>
      <c r="D113" t="s">
        <v>24</v>
      </c>
      <c r="E113" t="s">
        <v>48</v>
      </c>
      <c r="F113" t="s">
        <v>41</v>
      </c>
      <c r="G113" s="89">
        <v>2351751</v>
      </c>
      <c r="H113" t="s">
        <v>145</v>
      </c>
      <c r="I113" t="s">
        <v>133</v>
      </c>
      <c r="J113" s="89">
        <v>77607783</v>
      </c>
      <c r="K113" t="s">
        <v>144</v>
      </c>
      <c r="N113">
        <v>1</v>
      </c>
      <c r="O113" s="89">
        <v>70552.53</v>
      </c>
      <c r="P113" s="89">
        <v>1669743.21</v>
      </c>
      <c r="Q113" t="s">
        <v>137</v>
      </c>
      <c r="R113" t="s">
        <v>131</v>
      </c>
    </row>
    <row r="114" spans="3:18" x14ac:dyDescent="0.25">
      <c r="C114" t="s">
        <v>47</v>
      </c>
      <c r="D114" t="s">
        <v>138</v>
      </c>
      <c r="E114" t="s">
        <v>43</v>
      </c>
      <c r="F114" t="s">
        <v>41</v>
      </c>
      <c r="G114" s="89">
        <v>899326</v>
      </c>
      <c r="H114" t="s">
        <v>42</v>
      </c>
      <c r="I114" t="s">
        <v>147</v>
      </c>
      <c r="J114" s="89">
        <v>3597304</v>
      </c>
      <c r="K114" t="s">
        <v>127</v>
      </c>
      <c r="L114" t="s">
        <v>128</v>
      </c>
      <c r="M114" t="s">
        <v>139</v>
      </c>
      <c r="N114">
        <v>1</v>
      </c>
      <c r="O114" s="89">
        <v>8993.26</v>
      </c>
      <c r="P114" s="89">
        <v>368723.66</v>
      </c>
      <c r="Q114" t="s">
        <v>142</v>
      </c>
      <c r="R114" t="s">
        <v>131</v>
      </c>
    </row>
    <row r="115" spans="3:18" hidden="1" x14ac:dyDescent="0.25">
      <c r="C115" t="s">
        <v>45</v>
      </c>
      <c r="D115" t="s">
        <v>23</v>
      </c>
      <c r="E115" t="s">
        <v>48</v>
      </c>
      <c r="F115" t="s">
        <v>41</v>
      </c>
      <c r="G115" s="89">
        <v>93085</v>
      </c>
      <c r="H115" t="s">
        <v>140</v>
      </c>
      <c r="I115" t="s">
        <v>133</v>
      </c>
      <c r="J115" s="89">
        <v>2234040</v>
      </c>
      <c r="K115" t="s">
        <v>127</v>
      </c>
      <c r="L115" t="s">
        <v>151</v>
      </c>
      <c r="N115">
        <v>1</v>
      </c>
      <c r="O115" s="89">
        <v>4654.25</v>
      </c>
      <c r="P115" s="89">
        <v>22340.400000000001</v>
      </c>
      <c r="Q115" t="s">
        <v>130</v>
      </c>
      <c r="R115" t="s">
        <v>131</v>
      </c>
    </row>
    <row r="116" spans="3:18" hidden="1" x14ac:dyDescent="0.25">
      <c r="C116" t="s">
        <v>45</v>
      </c>
      <c r="D116" t="s">
        <v>23</v>
      </c>
      <c r="E116" t="s">
        <v>40</v>
      </c>
      <c r="F116" t="s">
        <v>41</v>
      </c>
      <c r="G116" s="89">
        <v>47039130</v>
      </c>
      <c r="H116" t="s">
        <v>140</v>
      </c>
      <c r="I116" t="s">
        <v>133</v>
      </c>
      <c r="J116" s="89">
        <v>1223017380</v>
      </c>
      <c r="K116" t="s">
        <v>127</v>
      </c>
      <c r="L116" t="s">
        <v>128</v>
      </c>
      <c r="N116">
        <v>1</v>
      </c>
      <c r="O116" s="89">
        <v>1411173.9</v>
      </c>
      <c r="P116" s="89">
        <v>13641347.699999999</v>
      </c>
      <c r="Q116" t="s">
        <v>130</v>
      </c>
      <c r="R116" t="s">
        <v>131</v>
      </c>
    </row>
    <row r="117" spans="3:18" x14ac:dyDescent="0.25">
      <c r="C117" t="s">
        <v>47</v>
      </c>
      <c r="D117" t="s">
        <v>24</v>
      </c>
      <c r="E117" t="s">
        <v>48</v>
      </c>
      <c r="F117" t="s">
        <v>41</v>
      </c>
      <c r="G117" s="89">
        <v>193579</v>
      </c>
      <c r="H117" t="s">
        <v>42</v>
      </c>
      <c r="I117" t="s">
        <v>141</v>
      </c>
      <c r="J117" s="89">
        <v>1548632</v>
      </c>
      <c r="K117" t="s">
        <v>127</v>
      </c>
      <c r="L117" t="s">
        <v>128</v>
      </c>
      <c r="M117" t="s">
        <v>148</v>
      </c>
      <c r="N117">
        <v>1</v>
      </c>
      <c r="O117" s="89">
        <v>5807.37</v>
      </c>
      <c r="P117" s="89">
        <v>104532.66</v>
      </c>
      <c r="Q117" t="s">
        <v>142</v>
      </c>
      <c r="R117" t="s">
        <v>131</v>
      </c>
    </row>
    <row r="118" spans="3:18" hidden="1" x14ac:dyDescent="0.25">
      <c r="C118" t="s">
        <v>45</v>
      </c>
      <c r="D118" t="s">
        <v>22</v>
      </c>
      <c r="E118" t="s">
        <v>40</v>
      </c>
      <c r="F118" t="s">
        <v>41</v>
      </c>
      <c r="G118" s="89">
        <v>2619645</v>
      </c>
      <c r="H118" t="s">
        <v>42</v>
      </c>
      <c r="I118" t="s">
        <v>126</v>
      </c>
      <c r="J118" s="89">
        <v>41914320</v>
      </c>
      <c r="K118" t="s">
        <v>144</v>
      </c>
      <c r="N118">
        <v>1</v>
      </c>
      <c r="O118" s="89">
        <v>78589.350000000006</v>
      </c>
      <c r="P118" s="89">
        <v>1859947.95</v>
      </c>
      <c r="Q118" t="s">
        <v>137</v>
      </c>
      <c r="R118" t="s">
        <v>131</v>
      </c>
    </row>
    <row r="119" spans="3:18" hidden="1" x14ac:dyDescent="0.25">
      <c r="C119" t="s">
        <v>45</v>
      </c>
      <c r="D119" t="s">
        <v>21</v>
      </c>
      <c r="E119" t="s">
        <v>43</v>
      </c>
      <c r="F119" t="s">
        <v>41</v>
      </c>
      <c r="G119" s="89">
        <v>3674362</v>
      </c>
      <c r="H119" t="s">
        <v>42</v>
      </c>
      <c r="I119" t="s">
        <v>126</v>
      </c>
      <c r="J119" s="89">
        <v>55115430</v>
      </c>
      <c r="K119" t="s">
        <v>144</v>
      </c>
      <c r="N119">
        <v>1</v>
      </c>
      <c r="O119" s="89">
        <v>110230.86</v>
      </c>
      <c r="P119" s="89">
        <v>992077.74</v>
      </c>
      <c r="Q119" t="s">
        <v>130</v>
      </c>
      <c r="R119" t="s">
        <v>131</v>
      </c>
    </row>
    <row r="120" spans="3:18" x14ac:dyDescent="0.25">
      <c r="C120" t="s">
        <v>47</v>
      </c>
      <c r="D120" t="s">
        <v>21</v>
      </c>
      <c r="E120" t="s">
        <v>40</v>
      </c>
      <c r="F120" t="s">
        <v>41</v>
      </c>
      <c r="G120" s="89">
        <v>864449</v>
      </c>
      <c r="H120" t="s">
        <v>146</v>
      </c>
      <c r="I120" t="s">
        <v>147</v>
      </c>
      <c r="J120" s="89">
        <v>3457796</v>
      </c>
      <c r="K120" t="s">
        <v>127</v>
      </c>
      <c r="L120" t="s">
        <v>128</v>
      </c>
      <c r="N120">
        <v>1</v>
      </c>
      <c r="O120" s="89">
        <v>34577.96</v>
      </c>
      <c r="P120" s="89">
        <v>596469.81000000006</v>
      </c>
      <c r="Q120" t="s">
        <v>137</v>
      </c>
      <c r="R120" t="s">
        <v>131</v>
      </c>
    </row>
    <row r="121" spans="3:18" hidden="1" x14ac:dyDescent="0.25">
      <c r="C121" t="s">
        <v>45</v>
      </c>
      <c r="D121" t="s">
        <v>22</v>
      </c>
      <c r="E121" t="s">
        <v>48</v>
      </c>
      <c r="F121" t="s">
        <v>41</v>
      </c>
      <c r="G121" s="89">
        <v>179523762</v>
      </c>
      <c r="H121" t="s">
        <v>42</v>
      </c>
      <c r="I121" t="s">
        <v>133</v>
      </c>
      <c r="J121" s="89">
        <v>6642379194</v>
      </c>
      <c r="K121" t="s">
        <v>144</v>
      </c>
      <c r="N121">
        <v>1</v>
      </c>
      <c r="O121" s="89">
        <v>5385712.8600000003</v>
      </c>
      <c r="P121" s="89">
        <v>161571385.80000001</v>
      </c>
      <c r="Q121" t="s">
        <v>135</v>
      </c>
      <c r="R121" t="s">
        <v>42</v>
      </c>
    </row>
    <row r="122" spans="3:18" x14ac:dyDescent="0.25">
      <c r="C122" t="s">
        <v>47</v>
      </c>
      <c r="D122" t="s">
        <v>24</v>
      </c>
      <c r="E122" t="s">
        <v>40</v>
      </c>
      <c r="F122" t="s">
        <v>41</v>
      </c>
      <c r="G122" s="89">
        <v>14497</v>
      </c>
      <c r="H122" t="s">
        <v>140</v>
      </c>
      <c r="I122" t="s">
        <v>153</v>
      </c>
      <c r="J122" s="89"/>
      <c r="K122" t="s">
        <v>127</v>
      </c>
      <c r="L122" t="s">
        <v>128</v>
      </c>
      <c r="N122">
        <v>0</v>
      </c>
      <c r="O122" s="89">
        <v>869.82</v>
      </c>
      <c r="P122" s="89">
        <v>724.85</v>
      </c>
      <c r="Q122" t="s">
        <v>130</v>
      </c>
      <c r="R122" t="s">
        <v>131</v>
      </c>
    </row>
    <row r="123" spans="3:18" hidden="1" x14ac:dyDescent="0.25">
      <c r="C123" t="s">
        <v>45</v>
      </c>
      <c r="D123" t="s">
        <v>138</v>
      </c>
      <c r="E123" t="s">
        <v>40</v>
      </c>
      <c r="F123" t="s">
        <v>41</v>
      </c>
      <c r="G123" s="89">
        <v>1810495</v>
      </c>
      <c r="H123" t="s">
        <v>42</v>
      </c>
      <c r="I123" t="s">
        <v>133</v>
      </c>
      <c r="J123" s="89">
        <v>48883365</v>
      </c>
      <c r="K123" t="s">
        <v>127</v>
      </c>
      <c r="L123" t="s">
        <v>128</v>
      </c>
      <c r="M123" t="s">
        <v>139</v>
      </c>
      <c r="N123">
        <v>1</v>
      </c>
      <c r="O123" s="89">
        <v>54314.85</v>
      </c>
      <c r="P123" s="89">
        <v>470728.7</v>
      </c>
      <c r="Q123" t="s">
        <v>130</v>
      </c>
      <c r="R123" t="s">
        <v>42</v>
      </c>
    </row>
    <row r="124" spans="3:18" hidden="1" x14ac:dyDescent="0.25">
      <c r="C124" t="s">
        <v>45</v>
      </c>
      <c r="D124" t="s">
        <v>24</v>
      </c>
      <c r="E124" t="s">
        <v>40</v>
      </c>
      <c r="F124" t="s">
        <v>41</v>
      </c>
      <c r="G124" s="89">
        <v>492389</v>
      </c>
      <c r="H124" t="s">
        <v>42</v>
      </c>
      <c r="I124" t="s">
        <v>133</v>
      </c>
      <c r="J124" s="89">
        <v>17726004</v>
      </c>
      <c r="K124" t="s">
        <v>134</v>
      </c>
      <c r="L124" t="s">
        <v>128</v>
      </c>
      <c r="M124" t="s">
        <v>148</v>
      </c>
      <c r="N124">
        <v>1</v>
      </c>
      <c r="O124" s="89">
        <v>14771.67</v>
      </c>
      <c r="P124" s="89">
        <v>398835.09</v>
      </c>
      <c r="Q124" t="s">
        <v>135</v>
      </c>
      <c r="R124" t="s">
        <v>131</v>
      </c>
    </row>
    <row r="125" spans="3:18" x14ac:dyDescent="0.25">
      <c r="C125" t="s">
        <v>47</v>
      </c>
      <c r="D125" t="s">
        <v>21</v>
      </c>
      <c r="E125" t="s">
        <v>40</v>
      </c>
      <c r="F125" t="s">
        <v>41</v>
      </c>
      <c r="G125" s="89">
        <v>160102</v>
      </c>
      <c r="H125" t="s">
        <v>145</v>
      </c>
      <c r="I125" t="s">
        <v>126</v>
      </c>
      <c r="J125" s="89">
        <v>1921224</v>
      </c>
      <c r="K125" t="s">
        <v>144</v>
      </c>
      <c r="N125">
        <v>1</v>
      </c>
      <c r="O125" s="89">
        <v>6404.08</v>
      </c>
      <c r="P125" s="89">
        <v>134485.68</v>
      </c>
      <c r="Q125" t="s">
        <v>135</v>
      </c>
      <c r="R125" t="s">
        <v>131</v>
      </c>
    </row>
    <row r="126" spans="3:18" hidden="1" x14ac:dyDescent="0.25">
      <c r="C126" t="s">
        <v>45</v>
      </c>
      <c r="D126" t="s">
        <v>24</v>
      </c>
      <c r="E126" t="s">
        <v>48</v>
      </c>
      <c r="F126" t="s">
        <v>41</v>
      </c>
      <c r="G126" s="89">
        <v>96017</v>
      </c>
      <c r="H126" t="s">
        <v>42</v>
      </c>
      <c r="I126" t="s">
        <v>133</v>
      </c>
      <c r="J126" s="89">
        <v>2304408</v>
      </c>
      <c r="K126" t="s">
        <v>127</v>
      </c>
      <c r="L126" t="s">
        <v>128</v>
      </c>
      <c r="M126" t="s">
        <v>143</v>
      </c>
      <c r="N126">
        <v>1</v>
      </c>
      <c r="O126" s="89">
        <v>2880.51</v>
      </c>
      <c r="P126" s="89">
        <v>25924.59</v>
      </c>
      <c r="Q126" t="s">
        <v>130</v>
      </c>
      <c r="R126" t="s">
        <v>131</v>
      </c>
    </row>
    <row r="127" spans="3:18" hidden="1" x14ac:dyDescent="0.25">
      <c r="C127" t="s">
        <v>45</v>
      </c>
      <c r="D127" t="s">
        <v>24</v>
      </c>
      <c r="E127" t="s">
        <v>48</v>
      </c>
      <c r="F127" t="s">
        <v>41</v>
      </c>
      <c r="G127" s="89">
        <v>24428</v>
      </c>
      <c r="H127" t="s">
        <v>132</v>
      </c>
      <c r="I127" t="s">
        <v>126</v>
      </c>
      <c r="J127" s="89">
        <v>464132</v>
      </c>
      <c r="K127" t="s">
        <v>144</v>
      </c>
      <c r="N127">
        <v>1</v>
      </c>
      <c r="O127" s="89">
        <v>732.84</v>
      </c>
      <c r="P127" s="89">
        <v>19053.84</v>
      </c>
      <c r="Q127" t="s">
        <v>137</v>
      </c>
      <c r="R127" t="s">
        <v>131</v>
      </c>
    </row>
    <row r="128" spans="3:18" hidden="1" x14ac:dyDescent="0.25">
      <c r="C128" t="s">
        <v>39</v>
      </c>
      <c r="D128" t="s">
        <v>21</v>
      </c>
      <c r="E128" t="s">
        <v>43</v>
      </c>
      <c r="F128" t="s">
        <v>41</v>
      </c>
      <c r="G128" s="89">
        <v>855291</v>
      </c>
      <c r="H128" t="s">
        <v>146</v>
      </c>
      <c r="I128" t="s">
        <v>133</v>
      </c>
      <c r="J128" s="89"/>
      <c r="N128">
        <v>0</v>
      </c>
      <c r="O128" s="89"/>
      <c r="P128" s="89"/>
      <c r="R128" t="s">
        <v>131</v>
      </c>
    </row>
    <row r="129" spans="3:18" hidden="1" x14ac:dyDescent="0.25">
      <c r="C129" t="s">
        <v>45</v>
      </c>
      <c r="D129" t="s">
        <v>21</v>
      </c>
      <c r="E129" t="s">
        <v>43</v>
      </c>
      <c r="F129" t="s">
        <v>41</v>
      </c>
      <c r="G129" s="89">
        <v>51329</v>
      </c>
      <c r="H129" t="s">
        <v>146</v>
      </c>
      <c r="I129" t="s">
        <v>133</v>
      </c>
      <c r="J129" s="89">
        <v>1026580</v>
      </c>
      <c r="K129" t="s">
        <v>127</v>
      </c>
      <c r="L129" t="s">
        <v>151</v>
      </c>
      <c r="N129">
        <v>1</v>
      </c>
      <c r="O129" s="89">
        <v>1539.87</v>
      </c>
      <c r="P129" s="89">
        <v>32850.559999999998</v>
      </c>
      <c r="Q129" t="s">
        <v>137</v>
      </c>
      <c r="R129" t="s">
        <v>131</v>
      </c>
    </row>
    <row r="130" spans="3:18" hidden="1" x14ac:dyDescent="0.25">
      <c r="C130" t="s">
        <v>45</v>
      </c>
      <c r="D130" t="s">
        <v>22</v>
      </c>
      <c r="E130" t="s">
        <v>46</v>
      </c>
      <c r="F130" t="s">
        <v>41</v>
      </c>
      <c r="G130" s="89">
        <v>1850062</v>
      </c>
      <c r="H130" t="s">
        <v>42</v>
      </c>
      <c r="I130" t="s">
        <v>133</v>
      </c>
      <c r="J130" s="89">
        <v>49951674</v>
      </c>
      <c r="K130" t="s">
        <v>127</v>
      </c>
      <c r="L130" t="s">
        <v>128</v>
      </c>
      <c r="M130" t="s">
        <v>143</v>
      </c>
      <c r="N130">
        <v>1</v>
      </c>
      <c r="O130" s="89">
        <v>55501.86</v>
      </c>
      <c r="P130" s="89">
        <v>906530.38</v>
      </c>
      <c r="Q130" t="s">
        <v>142</v>
      </c>
      <c r="R130" t="s">
        <v>42</v>
      </c>
    </row>
    <row r="131" spans="3:18" hidden="1" x14ac:dyDescent="0.25">
      <c r="C131" t="s">
        <v>45</v>
      </c>
      <c r="D131" t="s">
        <v>22</v>
      </c>
      <c r="E131" t="s">
        <v>43</v>
      </c>
      <c r="F131" t="s">
        <v>41</v>
      </c>
      <c r="G131" s="89">
        <v>297190</v>
      </c>
      <c r="H131" t="s">
        <v>42</v>
      </c>
      <c r="I131" t="s">
        <v>141</v>
      </c>
      <c r="J131" s="89">
        <v>2377520</v>
      </c>
      <c r="K131" t="s">
        <v>127</v>
      </c>
      <c r="L131" t="s">
        <v>128</v>
      </c>
      <c r="M131" t="s">
        <v>143</v>
      </c>
      <c r="N131">
        <v>1</v>
      </c>
      <c r="O131" s="89">
        <v>8915.7000000000007</v>
      </c>
      <c r="P131" s="89">
        <v>62409.9</v>
      </c>
      <c r="Q131" t="s">
        <v>130</v>
      </c>
      <c r="R131" t="s">
        <v>42</v>
      </c>
    </row>
    <row r="132" spans="3:18" hidden="1" x14ac:dyDescent="0.25">
      <c r="C132" t="s">
        <v>45</v>
      </c>
      <c r="D132" t="s">
        <v>23</v>
      </c>
      <c r="E132" t="s">
        <v>48</v>
      </c>
      <c r="F132" t="s">
        <v>41</v>
      </c>
      <c r="G132" s="89">
        <v>163600</v>
      </c>
      <c r="H132" t="s">
        <v>42</v>
      </c>
      <c r="I132" t="s">
        <v>133</v>
      </c>
      <c r="J132" s="89">
        <v>4744400</v>
      </c>
      <c r="K132" t="s">
        <v>127</v>
      </c>
      <c r="L132" t="s">
        <v>128</v>
      </c>
      <c r="M132" t="s">
        <v>152</v>
      </c>
      <c r="N132">
        <v>1</v>
      </c>
      <c r="O132" s="89">
        <v>4908</v>
      </c>
      <c r="P132" s="89">
        <v>166872</v>
      </c>
      <c r="Q132" t="s">
        <v>150</v>
      </c>
      <c r="R132" t="s">
        <v>42</v>
      </c>
    </row>
    <row r="133" spans="3:18" hidden="1" x14ac:dyDescent="0.25">
      <c r="C133" t="s">
        <v>45</v>
      </c>
      <c r="D133" t="s">
        <v>24</v>
      </c>
      <c r="E133" t="s">
        <v>43</v>
      </c>
      <c r="F133" t="s">
        <v>41</v>
      </c>
      <c r="G133" s="89">
        <v>1663831</v>
      </c>
      <c r="H133" t="s">
        <v>42</v>
      </c>
      <c r="I133" t="s">
        <v>126</v>
      </c>
      <c r="J133" s="89">
        <v>24957465</v>
      </c>
      <c r="K133" t="s">
        <v>127</v>
      </c>
      <c r="L133" t="s">
        <v>128</v>
      </c>
      <c r="M133" t="s">
        <v>148</v>
      </c>
      <c r="N133">
        <v>1</v>
      </c>
      <c r="O133" s="89">
        <v>49914.93</v>
      </c>
      <c r="P133" s="89">
        <v>449234.37</v>
      </c>
      <c r="Q133" t="s">
        <v>130</v>
      </c>
      <c r="R133" t="s">
        <v>131</v>
      </c>
    </row>
    <row r="134" spans="3:18" x14ac:dyDescent="0.25">
      <c r="C134" t="s">
        <v>47</v>
      </c>
      <c r="D134" t="s">
        <v>138</v>
      </c>
      <c r="E134" t="s">
        <v>40</v>
      </c>
      <c r="F134" t="s">
        <v>41</v>
      </c>
      <c r="G134" s="89">
        <v>303885</v>
      </c>
      <c r="H134" t="s">
        <v>42</v>
      </c>
      <c r="I134" t="s">
        <v>126</v>
      </c>
      <c r="J134" s="89">
        <v>4254390</v>
      </c>
      <c r="K134" t="s">
        <v>144</v>
      </c>
      <c r="N134">
        <v>1</v>
      </c>
      <c r="O134" s="89">
        <v>15194.25</v>
      </c>
      <c r="P134" s="89">
        <v>167136.75</v>
      </c>
      <c r="Q134" t="s">
        <v>142</v>
      </c>
      <c r="R134" t="s">
        <v>131</v>
      </c>
    </row>
    <row r="135" spans="3:18" hidden="1" x14ac:dyDescent="0.25">
      <c r="C135" t="s">
        <v>45</v>
      </c>
      <c r="D135" t="s">
        <v>138</v>
      </c>
      <c r="E135" t="s">
        <v>43</v>
      </c>
      <c r="F135" t="s">
        <v>41</v>
      </c>
      <c r="G135" s="89">
        <v>110428</v>
      </c>
      <c r="H135" t="s">
        <v>145</v>
      </c>
      <c r="I135" t="s">
        <v>133</v>
      </c>
      <c r="J135" s="89">
        <v>3423268</v>
      </c>
      <c r="K135" t="s">
        <v>134</v>
      </c>
      <c r="L135" t="s">
        <v>128</v>
      </c>
      <c r="N135">
        <v>1</v>
      </c>
      <c r="O135" s="89">
        <v>3312.84</v>
      </c>
      <c r="P135" s="89">
        <v>89446.68</v>
      </c>
      <c r="Q135" t="s">
        <v>135</v>
      </c>
      <c r="R135" t="s">
        <v>131</v>
      </c>
    </row>
    <row r="136" spans="3:18" x14ac:dyDescent="0.25">
      <c r="C136" t="s">
        <v>47</v>
      </c>
      <c r="D136" t="s">
        <v>22</v>
      </c>
      <c r="E136" t="s">
        <v>40</v>
      </c>
      <c r="F136" t="s">
        <v>41</v>
      </c>
      <c r="G136" s="89">
        <v>39074068</v>
      </c>
      <c r="H136" t="s">
        <v>140</v>
      </c>
      <c r="I136" t="s">
        <v>126</v>
      </c>
      <c r="J136" s="89">
        <v>429814748</v>
      </c>
      <c r="K136" t="s">
        <v>127</v>
      </c>
      <c r="L136" t="s">
        <v>128</v>
      </c>
      <c r="N136">
        <v>1</v>
      </c>
      <c r="O136" s="89">
        <v>1562962.72</v>
      </c>
      <c r="P136" s="89">
        <v>19146293.32</v>
      </c>
      <c r="Q136" t="s">
        <v>142</v>
      </c>
      <c r="R136" t="s">
        <v>131</v>
      </c>
    </row>
    <row r="137" spans="3:18" hidden="1" x14ac:dyDescent="0.25">
      <c r="C137" t="s">
        <v>45</v>
      </c>
      <c r="D137" t="s">
        <v>24</v>
      </c>
      <c r="E137" t="s">
        <v>48</v>
      </c>
      <c r="F137" t="s">
        <v>41</v>
      </c>
      <c r="G137" s="89">
        <v>2768812</v>
      </c>
      <c r="H137" t="s">
        <v>140</v>
      </c>
      <c r="I137" t="s">
        <v>126</v>
      </c>
      <c r="J137" s="89">
        <v>44300992</v>
      </c>
      <c r="K137" t="s">
        <v>144</v>
      </c>
      <c r="N137">
        <v>1</v>
      </c>
      <c r="O137" s="89">
        <v>83064.36</v>
      </c>
      <c r="P137" s="89">
        <v>747579.24</v>
      </c>
      <c r="Q137" t="s">
        <v>130</v>
      </c>
      <c r="R137" t="s">
        <v>131</v>
      </c>
    </row>
    <row r="138" spans="3:18" hidden="1" x14ac:dyDescent="0.25">
      <c r="C138" t="s">
        <v>45</v>
      </c>
      <c r="D138" t="s">
        <v>23</v>
      </c>
      <c r="E138" t="s">
        <v>43</v>
      </c>
      <c r="F138" t="s">
        <v>41</v>
      </c>
      <c r="G138" s="89">
        <v>9843690</v>
      </c>
      <c r="H138" t="s">
        <v>42</v>
      </c>
      <c r="I138" t="s">
        <v>133</v>
      </c>
      <c r="J138" s="89">
        <v>324841770</v>
      </c>
      <c r="K138" t="s">
        <v>127</v>
      </c>
      <c r="L138" t="s">
        <v>128</v>
      </c>
      <c r="M138" t="s">
        <v>152</v>
      </c>
      <c r="N138">
        <v>1</v>
      </c>
      <c r="O138" s="89">
        <v>295310.7</v>
      </c>
      <c r="P138" s="89">
        <v>8071825.7999999998</v>
      </c>
      <c r="Q138" t="s">
        <v>135</v>
      </c>
      <c r="R138" t="s">
        <v>131</v>
      </c>
    </row>
    <row r="139" spans="3:18" x14ac:dyDescent="0.25">
      <c r="C139" t="s">
        <v>47</v>
      </c>
      <c r="D139" t="s">
        <v>138</v>
      </c>
      <c r="E139" t="s">
        <v>40</v>
      </c>
      <c r="F139" t="s">
        <v>41</v>
      </c>
      <c r="G139" s="89">
        <v>3493088</v>
      </c>
      <c r="H139" t="s">
        <v>145</v>
      </c>
      <c r="I139" t="s">
        <v>141</v>
      </c>
      <c r="J139" s="89">
        <v>24451616</v>
      </c>
      <c r="K139" t="s">
        <v>127</v>
      </c>
      <c r="L139" t="s">
        <v>128</v>
      </c>
      <c r="N139">
        <v>1</v>
      </c>
      <c r="O139" s="89">
        <v>139723.51999999999</v>
      </c>
      <c r="P139" s="89">
        <v>1746544</v>
      </c>
      <c r="Q139" t="s">
        <v>142</v>
      </c>
      <c r="R139" t="s">
        <v>131</v>
      </c>
    </row>
    <row r="140" spans="3:18" hidden="1" x14ac:dyDescent="0.25">
      <c r="C140" t="s">
        <v>45</v>
      </c>
      <c r="D140" t="s">
        <v>149</v>
      </c>
      <c r="E140" t="s">
        <v>43</v>
      </c>
      <c r="F140" t="s">
        <v>41</v>
      </c>
      <c r="G140" s="89">
        <v>59548</v>
      </c>
      <c r="H140" t="s">
        <v>145</v>
      </c>
      <c r="I140" t="s">
        <v>133</v>
      </c>
      <c r="J140" s="89">
        <v>1190960</v>
      </c>
      <c r="K140" t="s">
        <v>127</v>
      </c>
      <c r="L140" t="s">
        <v>151</v>
      </c>
      <c r="N140">
        <v>1</v>
      </c>
      <c r="O140" s="89">
        <v>1786.44</v>
      </c>
      <c r="P140" s="89">
        <v>26796.6</v>
      </c>
      <c r="Q140" t="s">
        <v>142</v>
      </c>
      <c r="R140" t="s">
        <v>131</v>
      </c>
    </row>
    <row r="141" spans="3:18" hidden="1" x14ac:dyDescent="0.25">
      <c r="C141" t="s">
        <v>45</v>
      </c>
      <c r="D141" t="s">
        <v>24</v>
      </c>
      <c r="E141" t="s">
        <v>44</v>
      </c>
      <c r="F141" t="s">
        <v>41</v>
      </c>
      <c r="G141" s="89">
        <v>2857029</v>
      </c>
      <c r="H141" t="s">
        <v>140</v>
      </c>
      <c r="I141" t="s">
        <v>126</v>
      </c>
      <c r="J141" s="89">
        <v>48569493</v>
      </c>
      <c r="K141" t="s">
        <v>127</v>
      </c>
      <c r="L141" t="s">
        <v>128</v>
      </c>
      <c r="N141">
        <v>1</v>
      </c>
      <c r="O141" s="89">
        <v>114281.16</v>
      </c>
      <c r="P141" s="89">
        <v>1942779.72</v>
      </c>
      <c r="Q141" t="s">
        <v>137</v>
      </c>
      <c r="R141" t="s">
        <v>131</v>
      </c>
    </row>
    <row r="142" spans="3:18" hidden="1" x14ac:dyDescent="0.25">
      <c r="C142" t="s">
        <v>45</v>
      </c>
      <c r="D142" t="s">
        <v>23</v>
      </c>
      <c r="E142" t="s">
        <v>43</v>
      </c>
      <c r="F142" t="s">
        <v>41</v>
      </c>
      <c r="G142" s="89">
        <v>8969997</v>
      </c>
      <c r="H142" t="s">
        <v>42</v>
      </c>
      <c r="I142" t="s">
        <v>133</v>
      </c>
      <c r="J142" s="89">
        <v>251159916</v>
      </c>
      <c r="K142" t="s">
        <v>127</v>
      </c>
      <c r="L142" t="s">
        <v>128</v>
      </c>
      <c r="M142" t="s">
        <v>152</v>
      </c>
      <c r="N142">
        <v>1</v>
      </c>
      <c r="O142" s="89">
        <v>269099.90999999997</v>
      </c>
      <c r="P142" s="89">
        <v>2601299.13</v>
      </c>
      <c r="Q142" t="s">
        <v>130</v>
      </c>
      <c r="R142" t="s">
        <v>131</v>
      </c>
    </row>
    <row r="143" spans="3:18" hidden="1" x14ac:dyDescent="0.25">
      <c r="C143" t="s">
        <v>45</v>
      </c>
      <c r="D143" t="s">
        <v>23</v>
      </c>
      <c r="E143" t="s">
        <v>40</v>
      </c>
      <c r="F143" t="s">
        <v>41</v>
      </c>
      <c r="G143" s="89">
        <v>57859</v>
      </c>
      <c r="H143" t="s">
        <v>42</v>
      </c>
      <c r="I143" t="s">
        <v>126</v>
      </c>
      <c r="J143" s="89">
        <v>1157180</v>
      </c>
      <c r="K143" t="s">
        <v>134</v>
      </c>
      <c r="L143" t="s">
        <v>128</v>
      </c>
      <c r="M143" t="s">
        <v>152</v>
      </c>
      <c r="N143">
        <v>1</v>
      </c>
      <c r="O143" s="89">
        <v>1735.77</v>
      </c>
      <c r="P143" s="89">
        <v>50337.33</v>
      </c>
      <c r="Q143" t="s">
        <v>135</v>
      </c>
      <c r="R143" t="s">
        <v>131</v>
      </c>
    </row>
    <row r="144" spans="3:18" hidden="1" x14ac:dyDescent="0.25">
      <c r="C144" t="s">
        <v>45</v>
      </c>
      <c r="D144" t="s">
        <v>20</v>
      </c>
      <c r="E144" t="s">
        <v>43</v>
      </c>
      <c r="F144" t="s">
        <v>41</v>
      </c>
      <c r="G144" s="89">
        <v>66005</v>
      </c>
      <c r="H144" t="s">
        <v>42</v>
      </c>
      <c r="I144" t="s">
        <v>126</v>
      </c>
      <c r="J144" s="89">
        <v>660050</v>
      </c>
      <c r="K144" t="s">
        <v>127</v>
      </c>
      <c r="L144" t="s">
        <v>128</v>
      </c>
      <c r="M144" t="s">
        <v>136</v>
      </c>
      <c r="N144">
        <v>1</v>
      </c>
      <c r="O144" s="89">
        <v>1980.15</v>
      </c>
      <c r="P144" s="89">
        <v>50823.85</v>
      </c>
      <c r="Q144" t="s">
        <v>137</v>
      </c>
      <c r="R144" t="s">
        <v>42</v>
      </c>
    </row>
    <row r="145" spans="3:18" x14ac:dyDescent="0.25">
      <c r="C145" t="s">
        <v>47</v>
      </c>
      <c r="D145" t="s">
        <v>138</v>
      </c>
      <c r="E145" t="s">
        <v>40</v>
      </c>
      <c r="F145" t="s">
        <v>41</v>
      </c>
      <c r="G145" s="89">
        <v>95712</v>
      </c>
      <c r="H145" t="s">
        <v>132</v>
      </c>
      <c r="I145" t="s">
        <v>126</v>
      </c>
      <c r="J145" s="89">
        <v>1627104</v>
      </c>
      <c r="K145" t="s">
        <v>127</v>
      </c>
      <c r="L145" t="s">
        <v>128</v>
      </c>
      <c r="N145">
        <v>1</v>
      </c>
      <c r="O145" s="89">
        <v>3828.48</v>
      </c>
      <c r="P145" s="89">
        <v>66041.279999999999</v>
      </c>
      <c r="Q145" t="s">
        <v>137</v>
      </c>
      <c r="R145" t="s">
        <v>131</v>
      </c>
    </row>
    <row r="146" spans="3:18" hidden="1" x14ac:dyDescent="0.25">
      <c r="C146" t="s">
        <v>45</v>
      </c>
      <c r="D146" t="s">
        <v>138</v>
      </c>
      <c r="E146" t="s">
        <v>43</v>
      </c>
      <c r="F146" t="s">
        <v>41</v>
      </c>
      <c r="G146" s="89">
        <v>56157</v>
      </c>
      <c r="H146" t="s">
        <v>42</v>
      </c>
      <c r="I146" t="s">
        <v>141</v>
      </c>
      <c r="J146" s="89">
        <v>561570</v>
      </c>
      <c r="K146" t="s">
        <v>134</v>
      </c>
      <c r="L146" t="s">
        <v>128</v>
      </c>
      <c r="M146" t="s">
        <v>139</v>
      </c>
      <c r="N146">
        <v>1</v>
      </c>
      <c r="O146" s="89">
        <v>1684.71</v>
      </c>
      <c r="P146" s="89">
        <v>14039.25</v>
      </c>
      <c r="Q146" t="s">
        <v>130</v>
      </c>
      <c r="R146" t="s">
        <v>42</v>
      </c>
    </row>
    <row r="147" spans="3:18" hidden="1" x14ac:dyDescent="0.25">
      <c r="C147" t="s">
        <v>45</v>
      </c>
      <c r="D147" t="s">
        <v>23</v>
      </c>
      <c r="E147" t="s">
        <v>40</v>
      </c>
      <c r="F147" t="s">
        <v>41</v>
      </c>
      <c r="G147" s="89">
        <v>35500</v>
      </c>
      <c r="H147" t="s">
        <v>146</v>
      </c>
      <c r="I147" t="s">
        <v>141</v>
      </c>
      <c r="J147" s="89">
        <v>319500</v>
      </c>
      <c r="K147" t="s">
        <v>127</v>
      </c>
      <c r="L147" t="s">
        <v>128</v>
      </c>
      <c r="N147">
        <v>1</v>
      </c>
      <c r="O147" s="89">
        <v>1065</v>
      </c>
      <c r="P147" s="89">
        <v>53250</v>
      </c>
      <c r="Q147" t="s">
        <v>150</v>
      </c>
      <c r="R147" t="s">
        <v>131</v>
      </c>
    </row>
    <row r="148" spans="3:18" hidden="1" x14ac:dyDescent="0.25">
      <c r="C148" t="s">
        <v>45</v>
      </c>
      <c r="D148" t="s">
        <v>22</v>
      </c>
      <c r="E148" t="s">
        <v>40</v>
      </c>
      <c r="F148" t="s">
        <v>41</v>
      </c>
      <c r="G148" s="89">
        <v>342967</v>
      </c>
      <c r="H148" t="s">
        <v>42</v>
      </c>
      <c r="I148" t="s">
        <v>126</v>
      </c>
      <c r="J148" s="89">
        <v>6516373</v>
      </c>
      <c r="K148" t="s">
        <v>127</v>
      </c>
      <c r="L148" t="s">
        <v>128</v>
      </c>
      <c r="M148" t="s">
        <v>143</v>
      </c>
      <c r="N148">
        <v>1</v>
      </c>
      <c r="O148" s="89">
        <v>10289.01</v>
      </c>
      <c r="P148" s="89">
        <v>277803.27</v>
      </c>
      <c r="Q148" t="s">
        <v>135</v>
      </c>
      <c r="R148" t="s">
        <v>42</v>
      </c>
    </row>
    <row r="149" spans="3:18" hidden="1" x14ac:dyDescent="0.25">
      <c r="C149" t="s">
        <v>45</v>
      </c>
      <c r="D149" t="s">
        <v>21</v>
      </c>
      <c r="E149" t="s">
        <v>43</v>
      </c>
      <c r="F149" t="s">
        <v>41</v>
      </c>
      <c r="G149" s="89">
        <v>11305</v>
      </c>
      <c r="H149" t="s">
        <v>145</v>
      </c>
      <c r="I149" t="s">
        <v>147</v>
      </c>
      <c r="J149" s="89">
        <v>33915</v>
      </c>
      <c r="K149" t="s">
        <v>134</v>
      </c>
      <c r="L149" t="s">
        <v>151</v>
      </c>
      <c r="N149">
        <v>1</v>
      </c>
      <c r="O149" s="89">
        <v>452.2</v>
      </c>
      <c r="P149" s="89">
        <v>1469.65</v>
      </c>
      <c r="Q149" t="s">
        <v>130</v>
      </c>
      <c r="R149" t="s">
        <v>131</v>
      </c>
    </row>
    <row r="150" spans="3:18" hidden="1" x14ac:dyDescent="0.25">
      <c r="C150" t="s">
        <v>45</v>
      </c>
      <c r="D150" t="s">
        <v>23</v>
      </c>
      <c r="E150" t="s">
        <v>52</v>
      </c>
      <c r="F150" t="s">
        <v>41</v>
      </c>
      <c r="G150" s="89">
        <v>981056</v>
      </c>
      <c r="H150" t="s">
        <v>42</v>
      </c>
      <c r="I150" t="s">
        <v>133</v>
      </c>
      <c r="J150" s="89">
        <v>26488512</v>
      </c>
      <c r="K150" t="s">
        <v>127</v>
      </c>
      <c r="L150" t="s">
        <v>128</v>
      </c>
      <c r="M150" t="s">
        <v>152</v>
      </c>
      <c r="N150">
        <v>1</v>
      </c>
      <c r="O150" s="89">
        <v>29431.68</v>
      </c>
      <c r="P150" s="89">
        <v>274695.67999999999</v>
      </c>
      <c r="Q150" t="s">
        <v>130</v>
      </c>
      <c r="R150" t="s">
        <v>42</v>
      </c>
    </row>
    <row r="151" spans="3:18" hidden="1" x14ac:dyDescent="0.25">
      <c r="C151" t="s">
        <v>45</v>
      </c>
      <c r="D151" t="s">
        <v>24</v>
      </c>
      <c r="E151" t="s">
        <v>48</v>
      </c>
      <c r="F151" t="s">
        <v>41</v>
      </c>
      <c r="G151" s="89">
        <v>384838</v>
      </c>
      <c r="H151" t="s">
        <v>146</v>
      </c>
      <c r="I151" t="s">
        <v>141</v>
      </c>
      <c r="J151" s="89">
        <v>3078704</v>
      </c>
      <c r="K151" t="s">
        <v>127</v>
      </c>
      <c r="L151" t="s">
        <v>128</v>
      </c>
      <c r="N151">
        <v>1</v>
      </c>
      <c r="O151" s="89">
        <v>11545.14</v>
      </c>
      <c r="P151" s="89">
        <v>184722.24</v>
      </c>
      <c r="Q151" t="s">
        <v>142</v>
      </c>
      <c r="R151" t="s">
        <v>131</v>
      </c>
    </row>
    <row r="152" spans="3:18" hidden="1" x14ac:dyDescent="0.25">
      <c r="C152" t="s">
        <v>45</v>
      </c>
      <c r="D152" t="s">
        <v>24</v>
      </c>
      <c r="E152" t="s">
        <v>52</v>
      </c>
      <c r="F152" t="s">
        <v>41</v>
      </c>
      <c r="G152" s="89">
        <v>147309</v>
      </c>
      <c r="H152" t="s">
        <v>42</v>
      </c>
      <c r="I152" t="s">
        <v>133</v>
      </c>
      <c r="J152" s="89">
        <v>4419270</v>
      </c>
      <c r="K152" t="s">
        <v>134</v>
      </c>
      <c r="L152" t="s">
        <v>128</v>
      </c>
      <c r="M152" t="s">
        <v>148</v>
      </c>
      <c r="N152">
        <v>1</v>
      </c>
      <c r="O152" s="89">
        <v>4419.2700000000004</v>
      </c>
      <c r="P152" s="89">
        <v>110481.75</v>
      </c>
      <c r="Q152" t="s">
        <v>137</v>
      </c>
      <c r="R152" t="s">
        <v>42</v>
      </c>
    </row>
    <row r="153" spans="3:18" hidden="1" x14ac:dyDescent="0.25">
      <c r="C153" t="s">
        <v>45</v>
      </c>
      <c r="D153" t="s">
        <v>23</v>
      </c>
      <c r="E153" t="s">
        <v>52</v>
      </c>
      <c r="F153" t="s">
        <v>41</v>
      </c>
      <c r="G153" s="89">
        <v>30225</v>
      </c>
      <c r="H153" t="s">
        <v>42</v>
      </c>
      <c r="I153" t="s">
        <v>133</v>
      </c>
      <c r="J153" s="89">
        <v>846300</v>
      </c>
      <c r="K153" t="s">
        <v>134</v>
      </c>
      <c r="L153" t="s">
        <v>128</v>
      </c>
      <c r="M153" t="s">
        <v>152</v>
      </c>
      <c r="N153">
        <v>1</v>
      </c>
      <c r="O153" s="89">
        <v>906.75</v>
      </c>
      <c r="P153" s="89">
        <v>11183.25</v>
      </c>
      <c r="Q153" t="s">
        <v>130</v>
      </c>
      <c r="R153" t="s">
        <v>42</v>
      </c>
    </row>
    <row r="154" spans="3:18" hidden="1" x14ac:dyDescent="0.25">
      <c r="C154" t="s">
        <v>45</v>
      </c>
      <c r="D154" t="s">
        <v>23</v>
      </c>
      <c r="E154" t="s">
        <v>44</v>
      </c>
      <c r="F154" t="s">
        <v>41</v>
      </c>
      <c r="G154" s="89">
        <v>124072</v>
      </c>
      <c r="H154" t="s">
        <v>42</v>
      </c>
      <c r="I154" t="s">
        <v>133</v>
      </c>
      <c r="J154" s="89">
        <v>4094376</v>
      </c>
      <c r="K154" t="s">
        <v>127</v>
      </c>
      <c r="L154" t="s">
        <v>128</v>
      </c>
      <c r="M154" t="s">
        <v>139</v>
      </c>
      <c r="N154">
        <v>1</v>
      </c>
      <c r="O154" s="89">
        <v>3722.16</v>
      </c>
      <c r="P154" s="89">
        <v>9925.76</v>
      </c>
      <c r="Q154" t="s">
        <v>130</v>
      </c>
      <c r="R154" t="s">
        <v>42</v>
      </c>
    </row>
    <row r="155" spans="3:18" hidden="1" x14ac:dyDescent="0.25">
      <c r="C155" t="s">
        <v>45</v>
      </c>
      <c r="D155" t="s">
        <v>22</v>
      </c>
      <c r="E155" t="s">
        <v>48</v>
      </c>
      <c r="F155" t="s">
        <v>41</v>
      </c>
      <c r="G155" s="89">
        <v>6779248</v>
      </c>
      <c r="H155" t="s">
        <v>42</v>
      </c>
      <c r="I155" t="s">
        <v>133</v>
      </c>
      <c r="J155" s="89">
        <v>257611424</v>
      </c>
      <c r="K155" t="s">
        <v>144</v>
      </c>
      <c r="N155">
        <v>1</v>
      </c>
      <c r="O155" s="89">
        <v>203377.44</v>
      </c>
      <c r="P155" s="89">
        <v>6847040.4800000004</v>
      </c>
      <c r="Q155" t="s">
        <v>150</v>
      </c>
      <c r="R155" t="s">
        <v>42</v>
      </c>
    </row>
    <row r="156" spans="3:18" hidden="1" x14ac:dyDescent="0.25">
      <c r="C156" t="s">
        <v>45</v>
      </c>
      <c r="D156" t="s">
        <v>23</v>
      </c>
      <c r="E156" t="s">
        <v>40</v>
      </c>
      <c r="F156" t="s">
        <v>41</v>
      </c>
      <c r="G156" s="89">
        <v>507694</v>
      </c>
      <c r="H156" t="s">
        <v>145</v>
      </c>
      <c r="I156" t="s">
        <v>126</v>
      </c>
      <c r="J156" s="89">
        <v>8123104</v>
      </c>
      <c r="K156" t="s">
        <v>144</v>
      </c>
      <c r="N156">
        <v>1</v>
      </c>
      <c r="O156" s="89">
        <v>15230.82</v>
      </c>
      <c r="P156" s="89">
        <v>380770.5</v>
      </c>
      <c r="Q156" t="s">
        <v>137</v>
      </c>
      <c r="R156" t="s">
        <v>131</v>
      </c>
    </row>
    <row r="157" spans="3:18" hidden="1" x14ac:dyDescent="0.25">
      <c r="C157" t="s">
        <v>45</v>
      </c>
      <c r="D157" t="s">
        <v>24</v>
      </c>
      <c r="E157" t="s">
        <v>48</v>
      </c>
      <c r="F157" t="s">
        <v>41</v>
      </c>
      <c r="G157" s="89">
        <v>3589038</v>
      </c>
      <c r="H157" t="s">
        <v>146</v>
      </c>
      <c r="I157" t="s">
        <v>133</v>
      </c>
      <c r="J157" s="89">
        <v>89725950</v>
      </c>
      <c r="K157" t="s">
        <v>127</v>
      </c>
      <c r="L157" t="s">
        <v>128</v>
      </c>
      <c r="N157">
        <v>1</v>
      </c>
      <c r="O157" s="89">
        <v>107671.14</v>
      </c>
      <c r="P157" s="89">
        <v>933149.88</v>
      </c>
      <c r="Q157" t="s">
        <v>130</v>
      </c>
      <c r="R157" t="s">
        <v>131</v>
      </c>
    </row>
    <row r="158" spans="3:18" hidden="1" x14ac:dyDescent="0.25">
      <c r="C158" t="s">
        <v>45</v>
      </c>
      <c r="D158" t="s">
        <v>22</v>
      </c>
      <c r="E158" t="s">
        <v>40</v>
      </c>
      <c r="F158" t="s">
        <v>41</v>
      </c>
      <c r="G158" s="89">
        <v>95834</v>
      </c>
      <c r="H158" t="s">
        <v>145</v>
      </c>
      <c r="I158" t="s">
        <v>133</v>
      </c>
      <c r="J158" s="89">
        <v>2204182</v>
      </c>
      <c r="K158" t="s">
        <v>127</v>
      </c>
      <c r="L158" t="s">
        <v>151</v>
      </c>
      <c r="N158">
        <v>1</v>
      </c>
      <c r="O158" s="89">
        <v>2875.02</v>
      </c>
      <c r="P158" s="89">
        <v>41208.620000000003</v>
      </c>
      <c r="Q158" t="s">
        <v>142</v>
      </c>
      <c r="R158" t="s">
        <v>131</v>
      </c>
    </row>
    <row r="159" spans="3:18" hidden="1" x14ac:dyDescent="0.25">
      <c r="C159" t="s">
        <v>45</v>
      </c>
      <c r="D159" t="s">
        <v>21</v>
      </c>
      <c r="E159" t="s">
        <v>40</v>
      </c>
      <c r="F159" t="s">
        <v>41</v>
      </c>
      <c r="G159" s="89">
        <v>430217</v>
      </c>
      <c r="H159" t="s">
        <v>132</v>
      </c>
      <c r="I159" t="s">
        <v>141</v>
      </c>
      <c r="J159" s="89">
        <v>3011519</v>
      </c>
      <c r="K159" t="s">
        <v>127</v>
      </c>
      <c r="L159" t="s">
        <v>128</v>
      </c>
      <c r="N159">
        <v>1</v>
      </c>
      <c r="O159" s="89">
        <v>12906.51</v>
      </c>
      <c r="P159" s="89">
        <v>111856.42</v>
      </c>
      <c r="Q159" t="s">
        <v>130</v>
      </c>
      <c r="R159" t="s">
        <v>131</v>
      </c>
    </row>
    <row r="160" spans="3:18" hidden="1" x14ac:dyDescent="0.25">
      <c r="C160" t="s">
        <v>45</v>
      </c>
      <c r="D160" t="s">
        <v>22</v>
      </c>
      <c r="E160" t="s">
        <v>43</v>
      </c>
      <c r="F160" t="s">
        <v>41</v>
      </c>
      <c r="G160" s="89">
        <v>22711</v>
      </c>
      <c r="H160" t="s">
        <v>132</v>
      </c>
      <c r="I160" t="s">
        <v>147</v>
      </c>
      <c r="J160" s="89">
        <v>68133</v>
      </c>
      <c r="K160" t="s">
        <v>127</v>
      </c>
      <c r="L160" t="s">
        <v>128</v>
      </c>
      <c r="N160">
        <v>1</v>
      </c>
      <c r="O160" s="89">
        <v>908.44</v>
      </c>
      <c r="P160" s="89">
        <v>14307.93</v>
      </c>
      <c r="Q160" t="s">
        <v>137</v>
      </c>
      <c r="R160" t="s">
        <v>131</v>
      </c>
    </row>
    <row r="161" spans="3:18" hidden="1" x14ac:dyDescent="0.25">
      <c r="C161" t="s">
        <v>45</v>
      </c>
      <c r="D161" t="s">
        <v>23</v>
      </c>
      <c r="E161" t="s">
        <v>48</v>
      </c>
      <c r="F161" t="s">
        <v>41</v>
      </c>
      <c r="G161" s="89">
        <v>12553</v>
      </c>
      <c r="H161" t="s">
        <v>132</v>
      </c>
      <c r="I161" t="s">
        <v>141</v>
      </c>
      <c r="J161" s="89">
        <v>112977</v>
      </c>
      <c r="K161" t="s">
        <v>144</v>
      </c>
      <c r="N161">
        <v>1</v>
      </c>
      <c r="O161" s="89">
        <v>376.59</v>
      </c>
      <c r="P161" s="89">
        <v>6276.5</v>
      </c>
      <c r="Q161" t="s">
        <v>142</v>
      </c>
      <c r="R161" t="s">
        <v>131</v>
      </c>
    </row>
    <row r="162" spans="3:18" hidden="1" x14ac:dyDescent="0.25">
      <c r="C162" t="s">
        <v>45</v>
      </c>
      <c r="D162" t="s">
        <v>21</v>
      </c>
      <c r="E162" t="s">
        <v>48</v>
      </c>
      <c r="F162" t="s">
        <v>41</v>
      </c>
      <c r="G162" s="89">
        <v>18485919</v>
      </c>
      <c r="H162" t="s">
        <v>42</v>
      </c>
      <c r="I162" t="s">
        <v>133</v>
      </c>
      <c r="J162" s="89">
        <v>591549408</v>
      </c>
      <c r="K162" t="s">
        <v>127</v>
      </c>
      <c r="L162" t="s">
        <v>128</v>
      </c>
      <c r="M162" t="s">
        <v>129</v>
      </c>
      <c r="N162">
        <v>1</v>
      </c>
      <c r="O162" s="89">
        <v>554577.56999999995</v>
      </c>
      <c r="P162" s="89">
        <v>13125002.49</v>
      </c>
      <c r="Q162" t="s">
        <v>137</v>
      </c>
      <c r="R162" t="s">
        <v>42</v>
      </c>
    </row>
    <row r="163" spans="3:18" x14ac:dyDescent="0.25">
      <c r="C163" t="s">
        <v>47</v>
      </c>
      <c r="D163" t="s">
        <v>23</v>
      </c>
      <c r="E163" t="s">
        <v>48</v>
      </c>
      <c r="F163" t="s">
        <v>41</v>
      </c>
      <c r="G163" s="89">
        <v>1496918</v>
      </c>
      <c r="H163" t="s">
        <v>145</v>
      </c>
      <c r="I163" t="s">
        <v>141</v>
      </c>
      <c r="J163" s="89">
        <v>10478426</v>
      </c>
      <c r="K163" t="s">
        <v>127</v>
      </c>
      <c r="L163" t="s">
        <v>128</v>
      </c>
      <c r="N163">
        <v>1</v>
      </c>
      <c r="O163" s="89">
        <v>59876.72</v>
      </c>
      <c r="P163" s="89">
        <v>479013.76</v>
      </c>
      <c r="Q163" t="s">
        <v>130</v>
      </c>
      <c r="R163" t="s">
        <v>131</v>
      </c>
    </row>
    <row r="164" spans="3:18" x14ac:dyDescent="0.25">
      <c r="C164" t="s">
        <v>47</v>
      </c>
      <c r="D164" t="s">
        <v>20</v>
      </c>
      <c r="E164" t="s">
        <v>40</v>
      </c>
      <c r="F164" t="s">
        <v>41</v>
      </c>
      <c r="G164" s="89">
        <v>33965</v>
      </c>
      <c r="H164" t="s">
        <v>140</v>
      </c>
      <c r="I164" t="s">
        <v>141</v>
      </c>
      <c r="J164" s="89">
        <v>305685</v>
      </c>
      <c r="K164" t="s">
        <v>144</v>
      </c>
      <c r="N164">
        <v>1</v>
      </c>
      <c r="O164" s="89">
        <v>1698.25</v>
      </c>
      <c r="P164" s="89">
        <v>21058.3</v>
      </c>
      <c r="Q164" t="s">
        <v>137</v>
      </c>
      <c r="R164" t="s">
        <v>131</v>
      </c>
    </row>
    <row r="165" spans="3:18" hidden="1" x14ac:dyDescent="0.25">
      <c r="C165" t="s">
        <v>45</v>
      </c>
      <c r="D165" t="s">
        <v>20</v>
      </c>
      <c r="E165" t="s">
        <v>43</v>
      </c>
      <c r="F165" t="s">
        <v>41</v>
      </c>
      <c r="G165" s="89">
        <v>96579</v>
      </c>
      <c r="H165" t="s">
        <v>42</v>
      </c>
      <c r="I165" t="s">
        <v>133</v>
      </c>
      <c r="J165" s="89">
        <v>3090528</v>
      </c>
      <c r="K165" t="s">
        <v>127</v>
      </c>
      <c r="L165" t="s">
        <v>128</v>
      </c>
      <c r="M165" t="s">
        <v>148</v>
      </c>
      <c r="N165">
        <v>1</v>
      </c>
      <c r="O165" s="89">
        <v>2897.37</v>
      </c>
      <c r="P165" s="89">
        <v>45392.13</v>
      </c>
      <c r="Q165" t="s">
        <v>142</v>
      </c>
      <c r="R165" t="s">
        <v>42</v>
      </c>
    </row>
    <row r="166" spans="3:18" hidden="1" x14ac:dyDescent="0.25">
      <c r="C166" t="s">
        <v>45</v>
      </c>
      <c r="D166" t="s">
        <v>21</v>
      </c>
      <c r="E166" t="s">
        <v>40</v>
      </c>
      <c r="F166" t="s">
        <v>41</v>
      </c>
      <c r="G166" s="89">
        <v>3028476</v>
      </c>
      <c r="H166" t="s">
        <v>132</v>
      </c>
      <c r="I166" t="s">
        <v>133</v>
      </c>
      <c r="J166" s="89">
        <v>81768852</v>
      </c>
      <c r="K166" t="s">
        <v>127</v>
      </c>
      <c r="L166" t="s">
        <v>128</v>
      </c>
      <c r="N166">
        <v>1</v>
      </c>
      <c r="O166" s="89">
        <v>90854.28</v>
      </c>
      <c r="P166" s="89">
        <v>1574807.52</v>
      </c>
      <c r="Q166" t="s">
        <v>142</v>
      </c>
      <c r="R166" t="s">
        <v>131</v>
      </c>
    </row>
    <row r="167" spans="3:18" hidden="1" x14ac:dyDescent="0.25">
      <c r="C167" t="s">
        <v>45</v>
      </c>
      <c r="D167" t="s">
        <v>21</v>
      </c>
      <c r="E167" t="s">
        <v>40</v>
      </c>
      <c r="F167" t="s">
        <v>41</v>
      </c>
      <c r="G167" s="89">
        <v>4298493</v>
      </c>
      <c r="H167" t="s">
        <v>42</v>
      </c>
      <c r="I167" t="s">
        <v>126</v>
      </c>
      <c r="J167" s="89">
        <v>73074381</v>
      </c>
      <c r="K167" t="s">
        <v>144</v>
      </c>
      <c r="N167">
        <v>1</v>
      </c>
      <c r="O167" s="89">
        <v>128954.79</v>
      </c>
      <c r="P167" s="89">
        <v>2965960.17</v>
      </c>
      <c r="Q167" t="s">
        <v>137</v>
      </c>
      <c r="R167" t="s">
        <v>42</v>
      </c>
    </row>
    <row r="168" spans="3:18" hidden="1" x14ac:dyDescent="0.25">
      <c r="C168" t="s">
        <v>45</v>
      </c>
      <c r="D168" t="s">
        <v>20</v>
      </c>
      <c r="E168" t="s">
        <v>43</v>
      </c>
      <c r="F168" t="s">
        <v>41</v>
      </c>
      <c r="G168" s="89">
        <v>1086001</v>
      </c>
      <c r="H168" t="s">
        <v>42</v>
      </c>
      <c r="I168" t="s">
        <v>147</v>
      </c>
      <c r="J168" s="89">
        <v>2172002</v>
      </c>
      <c r="K168" t="s">
        <v>127</v>
      </c>
      <c r="L168" t="s">
        <v>128</v>
      </c>
      <c r="M168" t="s">
        <v>139</v>
      </c>
      <c r="N168">
        <v>1</v>
      </c>
      <c r="O168" s="89">
        <v>43440.04</v>
      </c>
      <c r="P168" s="89">
        <v>510420.47</v>
      </c>
      <c r="Q168" t="s">
        <v>142</v>
      </c>
      <c r="R168" t="s">
        <v>131</v>
      </c>
    </row>
    <row r="169" spans="3:18" hidden="1" x14ac:dyDescent="0.25">
      <c r="C169" t="s">
        <v>45</v>
      </c>
      <c r="D169" t="s">
        <v>20</v>
      </c>
      <c r="E169" t="s">
        <v>43</v>
      </c>
      <c r="F169" t="s">
        <v>41</v>
      </c>
      <c r="G169" s="89">
        <v>525578</v>
      </c>
      <c r="H169" t="s">
        <v>140</v>
      </c>
      <c r="I169" t="s">
        <v>141</v>
      </c>
      <c r="J169" s="89">
        <v>3679046</v>
      </c>
      <c r="K169" t="s">
        <v>127</v>
      </c>
      <c r="L169" t="s">
        <v>128</v>
      </c>
      <c r="N169">
        <v>1</v>
      </c>
      <c r="O169" s="89">
        <v>21023.119999999999</v>
      </c>
      <c r="P169" s="89">
        <v>341625.7</v>
      </c>
      <c r="Q169" t="s">
        <v>137</v>
      </c>
      <c r="R169" t="s">
        <v>131</v>
      </c>
    </row>
    <row r="170" spans="3:18" hidden="1" x14ac:dyDescent="0.25">
      <c r="C170" t="s">
        <v>45</v>
      </c>
      <c r="D170" t="s">
        <v>19</v>
      </c>
      <c r="E170" t="s">
        <v>48</v>
      </c>
      <c r="F170" t="s">
        <v>41</v>
      </c>
      <c r="G170" s="89">
        <v>201129</v>
      </c>
      <c r="H170" t="s">
        <v>42</v>
      </c>
      <c r="I170" t="s">
        <v>126</v>
      </c>
      <c r="J170" s="89">
        <v>3016935</v>
      </c>
      <c r="K170" t="s">
        <v>127</v>
      </c>
      <c r="L170" t="s">
        <v>128</v>
      </c>
      <c r="M170" t="s">
        <v>136</v>
      </c>
      <c r="N170">
        <v>1</v>
      </c>
      <c r="O170" s="89">
        <v>4022.58</v>
      </c>
      <c r="P170" s="89">
        <v>138779.01</v>
      </c>
      <c r="Q170" t="s">
        <v>137</v>
      </c>
      <c r="R170" t="s">
        <v>131</v>
      </c>
    </row>
    <row r="171" spans="3:18" hidden="1" x14ac:dyDescent="0.25">
      <c r="C171" t="s">
        <v>45</v>
      </c>
      <c r="D171" t="s">
        <v>23</v>
      </c>
      <c r="E171" t="s">
        <v>40</v>
      </c>
      <c r="F171" t="s">
        <v>41</v>
      </c>
      <c r="G171" s="89">
        <v>178565401</v>
      </c>
      <c r="H171" t="s">
        <v>42</v>
      </c>
      <c r="I171" t="s">
        <v>133</v>
      </c>
      <c r="J171" s="89">
        <v>5178396629</v>
      </c>
      <c r="K171" t="s">
        <v>127</v>
      </c>
      <c r="L171" t="s">
        <v>128</v>
      </c>
      <c r="M171" t="s">
        <v>152</v>
      </c>
      <c r="N171">
        <v>1</v>
      </c>
      <c r="O171" s="89">
        <v>5356962.03</v>
      </c>
      <c r="P171" s="89">
        <v>92854008.519999996</v>
      </c>
      <c r="Q171" t="s">
        <v>142</v>
      </c>
      <c r="R171" t="s">
        <v>131</v>
      </c>
    </row>
    <row r="172" spans="3:18" hidden="1" x14ac:dyDescent="0.25">
      <c r="C172" t="s">
        <v>45</v>
      </c>
      <c r="D172" t="s">
        <v>24</v>
      </c>
      <c r="E172" t="s">
        <v>44</v>
      </c>
      <c r="F172" t="s">
        <v>41</v>
      </c>
      <c r="G172" s="89">
        <v>379196</v>
      </c>
      <c r="H172" t="s">
        <v>145</v>
      </c>
      <c r="I172" t="s">
        <v>141</v>
      </c>
      <c r="J172" s="89">
        <v>2654372</v>
      </c>
      <c r="K172" t="s">
        <v>127</v>
      </c>
      <c r="L172" t="s">
        <v>128</v>
      </c>
      <c r="N172">
        <v>1</v>
      </c>
      <c r="O172" s="89">
        <v>11375.88</v>
      </c>
      <c r="P172" s="89">
        <v>94799</v>
      </c>
      <c r="Q172" t="s">
        <v>130</v>
      </c>
      <c r="R172" t="s">
        <v>131</v>
      </c>
    </row>
    <row r="173" spans="3:18" hidden="1" x14ac:dyDescent="0.25">
      <c r="C173" t="s">
        <v>45</v>
      </c>
      <c r="D173" t="s">
        <v>20</v>
      </c>
      <c r="E173" t="s">
        <v>43</v>
      </c>
      <c r="F173" t="s">
        <v>41</v>
      </c>
      <c r="G173" s="89">
        <v>2434783</v>
      </c>
      <c r="H173" t="s">
        <v>145</v>
      </c>
      <c r="I173" t="s">
        <v>147</v>
      </c>
      <c r="J173" s="89">
        <v>7304349</v>
      </c>
      <c r="K173" t="s">
        <v>127</v>
      </c>
      <c r="L173" t="s">
        <v>128</v>
      </c>
      <c r="N173">
        <v>1</v>
      </c>
      <c r="O173" s="89">
        <v>73043.490000000005</v>
      </c>
      <c r="P173" s="89">
        <v>340869.62</v>
      </c>
      <c r="Q173" t="s">
        <v>130</v>
      </c>
      <c r="R173" t="s">
        <v>131</v>
      </c>
    </row>
    <row r="174" spans="3:18" hidden="1" x14ac:dyDescent="0.25">
      <c r="C174" t="s">
        <v>45</v>
      </c>
      <c r="D174" t="s">
        <v>23</v>
      </c>
      <c r="E174" t="s">
        <v>48</v>
      </c>
      <c r="F174" t="s">
        <v>41</v>
      </c>
      <c r="G174" s="89">
        <v>43336</v>
      </c>
      <c r="H174" t="s">
        <v>145</v>
      </c>
      <c r="I174" t="s">
        <v>126</v>
      </c>
      <c r="J174" s="89">
        <v>736712</v>
      </c>
      <c r="K174" t="s">
        <v>127</v>
      </c>
      <c r="L174" t="s">
        <v>151</v>
      </c>
      <c r="N174">
        <v>1</v>
      </c>
      <c r="O174" s="89">
        <v>866.72</v>
      </c>
      <c r="P174" s="89">
        <v>15600.96</v>
      </c>
      <c r="Q174" t="s">
        <v>130</v>
      </c>
      <c r="R174" t="s">
        <v>131</v>
      </c>
    </row>
    <row r="175" spans="3:18" hidden="1" x14ac:dyDescent="0.25">
      <c r="C175" t="s">
        <v>45</v>
      </c>
      <c r="D175" t="s">
        <v>21</v>
      </c>
      <c r="E175" t="s">
        <v>40</v>
      </c>
      <c r="F175" t="s">
        <v>41</v>
      </c>
      <c r="G175" s="89">
        <v>29442</v>
      </c>
      <c r="H175" t="s">
        <v>140</v>
      </c>
      <c r="I175" t="s">
        <v>141</v>
      </c>
      <c r="J175" s="89">
        <v>176652</v>
      </c>
      <c r="K175" t="s">
        <v>127</v>
      </c>
      <c r="L175" t="s">
        <v>151</v>
      </c>
      <c r="N175">
        <v>1</v>
      </c>
      <c r="O175" s="89">
        <v>883.26</v>
      </c>
      <c r="P175" s="89">
        <v>12365.64</v>
      </c>
      <c r="Q175" t="s">
        <v>142</v>
      </c>
      <c r="R175" t="s">
        <v>131</v>
      </c>
    </row>
    <row r="176" spans="3:18" x14ac:dyDescent="0.25">
      <c r="C176" t="s">
        <v>47</v>
      </c>
      <c r="D176" t="s">
        <v>22</v>
      </c>
      <c r="E176" t="s">
        <v>40</v>
      </c>
      <c r="F176" t="s">
        <v>41</v>
      </c>
      <c r="G176" s="89">
        <v>238050</v>
      </c>
      <c r="H176" t="s">
        <v>146</v>
      </c>
      <c r="I176" t="s">
        <v>126</v>
      </c>
      <c r="J176" s="89">
        <v>2856600</v>
      </c>
      <c r="K176" t="s">
        <v>127</v>
      </c>
      <c r="L176" t="s">
        <v>128</v>
      </c>
      <c r="N176">
        <v>1</v>
      </c>
      <c r="O176" s="89">
        <v>9522</v>
      </c>
      <c r="P176" s="89">
        <v>309465</v>
      </c>
      <c r="Q176" t="s">
        <v>150</v>
      </c>
      <c r="R176" t="s">
        <v>131</v>
      </c>
    </row>
    <row r="177" spans="3:18" x14ac:dyDescent="0.25">
      <c r="C177" t="s">
        <v>47</v>
      </c>
      <c r="D177" t="s">
        <v>138</v>
      </c>
      <c r="E177" t="s">
        <v>43</v>
      </c>
      <c r="F177" t="s">
        <v>41</v>
      </c>
      <c r="G177" s="89">
        <v>1102866</v>
      </c>
      <c r="H177" t="s">
        <v>146</v>
      </c>
      <c r="I177" t="s">
        <v>153</v>
      </c>
      <c r="J177" s="89"/>
      <c r="K177" t="s">
        <v>127</v>
      </c>
      <c r="L177" t="s">
        <v>128</v>
      </c>
      <c r="N177">
        <v>0</v>
      </c>
      <c r="O177" s="89">
        <v>44114.64</v>
      </c>
      <c r="P177" s="89">
        <v>77200.62</v>
      </c>
      <c r="Q177" t="s">
        <v>130</v>
      </c>
      <c r="R177" t="s">
        <v>131</v>
      </c>
    </row>
    <row r="178" spans="3:18" hidden="1" x14ac:dyDescent="0.25">
      <c r="C178" t="s">
        <v>45</v>
      </c>
      <c r="D178" t="s">
        <v>20</v>
      </c>
      <c r="E178" t="s">
        <v>43</v>
      </c>
      <c r="F178" t="s">
        <v>41</v>
      </c>
      <c r="G178" s="89">
        <v>141533</v>
      </c>
      <c r="H178" t="s">
        <v>42</v>
      </c>
      <c r="I178" t="s">
        <v>126</v>
      </c>
      <c r="J178" s="89">
        <v>2264528</v>
      </c>
      <c r="K178" t="s">
        <v>134</v>
      </c>
      <c r="L178" t="s">
        <v>128</v>
      </c>
      <c r="M178" t="s">
        <v>129</v>
      </c>
      <c r="N178">
        <v>1</v>
      </c>
      <c r="O178" s="89">
        <v>4245.99</v>
      </c>
      <c r="P178" s="89">
        <v>49536.55</v>
      </c>
      <c r="Q178" t="s">
        <v>130</v>
      </c>
      <c r="R178" t="s">
        <v>42</v>
      </c>
    </row>
    <row r="179" spans="3:18" hidden="1" x14ac:dyDescent="0.25">
      <c r="C179" t="s">
        <v>45</v>
      </c>
      <c r="D179" t="s">
        <v>21</v>
      </c>
      <c r="E179" t="s">
        <v>43</v>
      </c>
      <c r="F179" t="s">
        <v>41</v>
      </c>
      <c r="G179" s="89">
        <v>5543971</v>
      </c>
      <c r="H179" t="s">
        <v>145</v>
      </c>
      <c r="I179" t="s">
        <v>133</v>
      </c>
      <c r="J179" s="89">
        <v>149687217</v>
      </c>
      <c r="K179" t="s">
        <v>144</v>
      </c>
      <c r="N179">
        <v>1</v>
      </c>
      <c r="O179" s="89">
        <v>166319.13</v>
      </c>
      <c r="P179" s="89">
        <v>1607751.59</v>
      </c>
      <c r="Q179" t="s">
        <v>130</v>
      </c>
      <c r="R179" t="s">
        <v>131</v>
      </c>
    </row>
    <row r="180" spans="3:18" hidden="1" x14ac:dyDescent="0.25">
      <c r="C180" t="s">
        <v>45</v>
      </c>
      <c r="D180" t="s">
        <v>149</v>
      </c>
      <c r="E180" t="s">
        <v>52</v>
      </c>
      <c r="F180" t="s">
        <v>41</v>
      </c>
      <c r="G180" s="89">
        <v>112286</v>
      </c>
      <c r="H180" t="s">
        <v>42</v>
      </c>
      <c r="I180" t="s">
        <v>133</v>
      </c>
      <c r="J180" s="89">
        <v>2919436</v>
      </c>
      <c r="K180" t="s">
        <v>127</v>
      </c>
      <c r="L180" t="s">
        <v>128</v>
      </c>
      <c r="M180" t="s">
        <v>136</v>
      </c>
      <c r="N180">
        <v>1</v>
      </c>
      <c r="O180" s="89">
        <v>4491.4399999999996</v>
      </c>
      <c r="P180" s="89">
        <v>78600.2</v>
      </c>
      <c r="Q180" t="s">
        <v>137</v>
      </c>
      <c r="R180" t="s">
        <v>42</v>
      </c>
    </row>
    <row r="181" spans="3:18" hidden="1" x14ac:dyDescent="0.25">
      <c r="C181" t="s">
        <v>45</v>
      </c>
      <c r="D181" t="s">
        <v>22</v>
      </c>
      <c r="E181" t="s">
        <v>48</v>
      </c>
      <c r="F181" t="s">
        <v>41</v>
      </c>
      <c r="G181" s="89">
        <v>149624</v>
      </c>
      <c r="H181" t="s">
        <v>42</v>
      </c>
      <c r="I181" t="s">
        <v>141</v>
      </c>
      <c r="J181" s="89">
        <v>1196992</v>
      </c>
      <c r="K181" t="s">
        <v>127</v>
      </c>
      <c r="L181" t="s">
        <v>128</v>
      </c>
      <c r="M181" t="s">
        <v>143</v>
      </c>
      <c r="N181">
        <v>1</v>
      </c>
      <c r="O181" s="89">
        <v>4488.72</v>
      </c>
      <c r="P181" s="89">
        <v>76308.240000000005</v>
      </c>
      <c r="Q181" t="s">
        <v>142</v>
      </c>
      <c r="R181" t="s">
        <v>131</v>
      </c>
    </row>
    <row r="182" spans="3:18" hidden="1" x14ac:dyDescent="0.25">
      <c r="C182" t="s">
        <v>45</v>
      </c>
      <c r="D182" t="s">
        <v>24</v>
      </c>
      <c r="E182" t="s">
        <v>40</v>
      </c>
      <c r="F182" t="s">
        <v>41</v>
      </c>
      <c r="G182" s="89">
        <v>5962218</v>
      </c>
      <c r="H182" t="s">
        <v>42</v>
      </c>
      <c r="I182" t="s">
        <v>126</v>
      </c>
      <c r="J182" s="89">
        <v>95395488</v>
      </c>
      <c r="K182" t="s">
        <v>127</v>
      </c>
      <c r="L182" t="s">
        <v>128</v>
      </c>
      <c r="M182" t="s">
        <v>148</v>
      </c>
      <c r="N182">
        <v>1</v>
      </c>
      <c r="O182" s="89">
        <v>178866.54</v>
      </c>
      <c r="P182" s="89">
        <v>2981109</v>
      </c>
      <c r="Q182" t="s">
        <v>142</v>
      </c>
      <c r="R182" t="s">
        <v>131</v>
      </c>
    </row>
    <row r="183" spans="3:18" hidden="1" x14ac:dyDescent="0.25">
      <c r="C183" t="s">
        <v>45</v>
      </c>
      <c r="D183" t="s">
        <v>138</v>
      </c>
      <c r="E183" t="s">
        <v>43</v>
      </c>
      <c r="F183" t="s">
        <v>41</v>
      </c>
      <c r="G183" s="89">
        <v>559906</v>
      </c>
      <c r="H183" t="s">
        <v>42</v>
      </c>
      <c r="I183" t="s">
        <v>133</v>
      </c>
      <c r="J183" s="89">
        <v>15677368</v>
      </c>
      <c r="K183" t="s">
        <v>127</v>
      </c>
      <c r="L183" t="s">
        <v>128</v>
      </c>
      <c r="M183" t="s">
        <v>139</v>
      </c>
      <c r="N183">
        <v>1</v>
      </c>
      <c r="O183" s="89">
        <v>22396.240000000002</v>
      </c>
      <c r="P183" s="89">
        <v>649490.96</v>
      </c>
      <c r="Q183" t="s">
        <v>150</v>
      </c>
      <c r="R183" t="s">
        <v>131</v>
      </c>
    </row>
    <row r="184" spans="3:18" hidden="1" x14ac:dyDescent="0.25">
      <c r="C184" t="s">
        <v>45</v>
      </c>
      <c r="D184" t="s">
        <v>21</v>
      </c>
      <c r="E184" t="s">
        <v>43</v>
      </c>
      <c r="F184" t="s">
        <v>41</v>
      </c>
      <c r="G184" s="89">
        <v>58554</v>
      </c>
      <c r="H184" t="s">
        <v>132</v>
      </c>
      <c r="I184" t="s">
        <v>147</v>
      </c>
      <c r="J184" s="89"/>
      <c r="K184" t="s">
        <v>127</v>
      </c>
      <c r="L184" t="s">
        <v>128</v>
      </c>
      <c r="N184">
        <v>0</v>
      </c>
      <c r="O184" s="89">
        <v>2342.16</v>
      </c>
      <c r="P184" s="89">
        <v>4684.32</v>
      </c>
      <c r="Q184" t="s">
        <v>130</v>
      </c>
      <c r="R184" t="s">
        <v>131</v>
      </c>
    </row>
    <row r="185" spans="3:18" hidden="1" x14ac:dyDescent="0.25">
      <c r="C185" t="s">
        <v>45</v>
      </c>
      <c r="D185" t="s">
        <v>149</v>
      </c>
      <c r="E185" t="s">
        <v>43</v>
      </c>
      <c r="F185" t="s">
        <v>41</v>
      </c>
      <c r="G185" s="89">
        <v>12353086</v>
      </c>
      <c r="H185" t="s">
        <v>140</v>
      </c>
      <c r="I185" t="s">
        <v>126</v>
      </c>
      <c r="J185" s="89">
        <v>185296290</v>
      </c>
      <c r="K185" t="s">
        <v>127</v>
      </c>
      <c r="L185" t="s">
        <v>128</v>
      </c>
      <c r="N185">
        <v>1</v>
      </c>
      <c r="O185" s="89">
        <v>370592.58</v>
      </c>
      <c r="P185" s="89">
        <v>3458864.08</v>
      </c>
      <c r="Q185" t="s">
        <v>130</v>
      </c>
      <c r="R185" t="s">
        <v>131</v>
      </c>
    </row>
    <row r="186" spans="3:18" hidden="1" x14ac:dyDescent="0.25">
      <c r="C186" t="s">
        <v>45</v>
      </c>
      <c r="D186" t="s">
        <v>23</v>
      </c>
      <c r="E186" t="s">
        <v>40</v>
      </c>
      <c r="F186" t="s">
        <v>41</v>
      </c>
      <c r="G186" s="89">
        <v>68432</v>
      </c>
      <c r="H186" t="s">
        <v>140</v>
      </c>
      <c r="I186" t="s">
        <v>147</v>
      </c>
      <c r="J186" s="89"/>
      <c r="K186" t="s">
        <v>127</v>
      </c>
      <c r="L186" t="s">
        <v>128</v>
      </c>
      <c r="N186">
        <v>0</v>
      </c>
      <c r="O186" s="89">
        <v>1368.64</v>
      </c>
      <c r="P186" s="89">
        <v>0</v>
      </c>
      <c r="Q186" t="s">
        <v>130</v>
      </c>
      <c r="R186" t="s">
        <v>131</v>
      </c>
    </row>
    <row r="187" spans="3:18" hidden="1" x14ac:dyDescent="0.25">
      <c r="C187" t="s">
        <v>45</v>
      </c>
      <c r="D187" t="s">
        <v>23</v>
      </c>
      <c r="E187" t="s">
        <v>40</v>
      </c>
      <c r="F187" t="s">
        <v>41</v>
      </c>
      <c r="G187" s="89">
        <v>894685</v>
      </c>
      <c r="H187" t="s">
        <v>140</v>
      </c>
      <c r="I187" t="s">
        <v>126</v>
      </c>
      <c r="J187" s="89">
        <v>15209645</v>
      </c>
      <c r="K187" t="s">
        <v>144</v>
      </c>
      <c r="N187">
        <v>1</v>
      </c>
      <c r="O187" s="89">
        <v>26840.55</v>
      </c>
      <c r="P187" s="89">
        <v>420501.95</v>
      </c>
      <c r="Q187" t="s">
        <v>142</v>
      </c>
      <c r="R187" t="s">
        <v>131</v>
      </c>
    </row>
    <row r="188" spans="3:18" x14ac:dyDescent="0.25">
      <c r="C188" t="s">
        <v>47</v>
      </c>
      <c r="D188" t="s">
        <v>21</v>
      </c>
      <c r="E188" t="s">
        <v>48</v>
      </c>
      <c r="F188" t="s">
        <v>41</v>
      </c>
      <c r="G188" s="89">
        <v>256989</v>
      </c>
      <c r="H188" t="s">
        <v>42</v>
      </c>
      <c r="I188" t="s">
        <v>141</v>
      </c>
      <c r="J188" s="89">
        <v>2312901</v>
      </c>
      <c r="K188" t="s">
        <v>127</v>
      </c>
      <c r="L188" t="s">
        <v>128</v>
      </c>
      <c r="M188" t="s">
        <v>129</v>
      </c>
      <c r="N188">
        <v>1</v>
      </c>
      <c r="O188" s="89">
        <v>10279.56</v>
      </c>
      <c r="P188" s="89">
        <v>167042.85</v>
      </c>
      <c r="Q188" t="s">
        <v>137</v>
      </c>
      <c r="R188" t="s">
        <v>131</v>
      </c>
    </row>
    <row r="189" spans="3:18" hidden="1" x14ac:dyDescent="0.25">
      <c r="C189" t="s">
        <v>45</v>
      </c>
      <c r="D189" t="s">
        <v>21</v>
      </c>
      <c r="E189" t="s">
        <v>43</v>
      </c>
      <c r="F189" t="s">
        <v>41</v>
      </c>
      <c r="G189" s="89">
        <v>151196</v>
      </c>
      <c r="H189" t="s">
        <v>154</v>
      </c>
      <c r="I189" t="s">
        <v>126</v>
      </c>
      <c r="J189" s="89">
        <v>1965548</v>
      </c>
      <c r="K189" t="s">
        <v>127</v>
      </c>
      <c r="L189" t="s">
        <v>128</v>
      </c>
      <c r="N189">
        <v>1</v>
      </c>
      <c r="O189" s="89">
        <v>0</v>
      </c>
      <c r="P189" s="89">
        <v>0</v>
      </c>
      <c r="Q189" t="s">
        <v>130</v>
      </c>
      <c r="R189" t="s">
        <v>131</v>
      </c>
    </row>
    <row r="190" spans="3:18" hidden="1" x14ac:dyDescent="0.25">
      <c r="C190" t="s">
        <v>45</v>
      </c>
      <c r="D190" t="s">
        <v>22</v>
      </c>
      <c r="E190" t="s">
        <v>40</v>
      </c>
      <c r="F190" t="s">
        <v>41</v>
      </c>
      <c r="G190" s="89">
        <v>832</v>
      </c>
      <c r="H190" t="s">
        <v>132</v>
      </c>
      <c r="I190" t="s">
        <v>147</v>
      </c>
      <c r="J190" s="89">
        <v>1664</v>
      </c>
      <c r="K190" t="s">
        <v>127</v>
      </c>
      <c r="L190" t="s">
        <v>128</v>
      </c>
      <c r="N190">
        <v>1</v>
      </c>
      <c r="O190" s="89">
        <v>41.6</v>
      </c>
      <c r="P190" s="89">
        <v>807.04</v>
      </c>
      <c r="Q190" t="s">
        <v>135</v>
      </c>
      <c r="R190" t="s">
        <v>131</v>
      </c>
    </row>
    <row r="191" spans="3:18" hidden="1" x14ac:dyDescent="0.25">
      <c r="C191" t="s">
        <v>45</v>
      </c>
      <c r="D191" t="s">
        <v>23</v>
      </c>
      <c r="E191" t="s">
        <v>46</v>
      </c>
      <c r="F191" t="s">
        <v>41</v>
      </c>
      <c r="G191" s="89">
        <v>41539319</v>
      </c>
      <c r="H191" t="s">
        <v>42</v>
      </c>
      <c r="I191" t="s">
        <v>133</v>
      </c>
      <c r="J191" s="89">
        <v>1495415484</v>
      </c>
      <c r="K191" t="s">
        <v>144</v>
      </c>
      <c r="N191">
        <v>1</v>
      </c>
      <c r="O191" s="89">
        <v>1246179.57</v>
      </c>
      <c r="P191" s="89">
        <v>36969993.909999996</v>
      </c>
      <c r="Q191" t="s">
        <v>135</v>
      </c>
      <c r="R191" t="s">
        <v>42</v>
      </c>
    </row>
    <row r="192" spans="3:18" hidden="1" x14ac:dyDescent="0.25">
      <c r="C192" t="s">
        <v>45</v>
      </c>
      <c r="D192" t="s">
        <v>24</v>
      </c>
      <c r="E192" t="s">
        <v>40</v>
      </c>
      <c r="F192" t="s">
        <v>41</v>
      </c>
      <c r="G192" s="89">
        <v>1935402</v>
      </c>
      <c r="H192" t="s">
        <v>146</v>
      </c>
      <c r="I192" t="s">
        <v>133</v>
      </c>
      <c r="J192" s="89">
        <v>50320452</v>
      </c>
      <c r="K192" t="s">
        <v>127</v>
      </c>
      <c r="L192" t="s">
        <v>128</v>
      </c>
      <c r="N192">
        <v>1</v>
      </c>
      <c r="O192" s="89">
        <v>58062.06</v>
      </c>
      <c r="P192" s="89">
        <v>987055.02</v>
      </c>
      <c r="Q192" t="s">
        <v>142</v>
      </c>
      <c r="R192" t="s">
        <v>131</v>
      </c>
    </row>
    <row r="193" spans="3:18" hidden="1" x14ac:dyDescent="0.25">
      <c r="C193" t="s">
        <v>45</v>
      </c>
      <c r="D193" t="s">
        <v>23</v>
      </c>
      <c r="E193" t="s">
        <v>40</v>
      </c>
      <c r="F193" t="s">
        <v>41</v>
      </c>
      <c r="G193" s="89">
        <v>432042</v>
      </c>
      <c r="H193" t="s">
        <v>42</v>
      </c>
      <c r="I193" t="s">
        <v>126</v>
      </c>
      <c r="J193" s="89">
        <v>6480630</v>
      </c>
      <c r="K193" t="s">
        <v>134</v>
      </c>
      <c r="L193" t="s">
        <v>128</v>
      </c>
      <c r="M193" t="s">
        <v>152</v>
      </c>
      <c r="N193">
        <v>1</v>
      </c>
      <c r="O193" s="89">
        <v>12961.26</v>
      </c>
      <c r="P193" s="89">
        <v>120971.76</v>
      </c>
      <c r="Q193" t="s">
        <v>130</v>
      </c>
      <c r="R193" t="s">
        <v>131</v>
      </c>
    </row>
    <row r="194" spans="3:18" hidden="1" x14ac:dyDescent="0.25">
      <c r="C194" t="s">
        <v>45</v>
      </c>
      <c r="D194" t="s">
        <v>24</v>
      </c>
      <c r="E194" t="s">
        <v>48</v>
      </c>
      <c r="F194" t="s">
        <v>41</v>
      </c>
      <c r="G194" s="89">
        <v>29518</v>
      </c>
      <c r="H194" t="s">
        <v>146</v>
      </c>
      <c r="I194" t="s">
        <v>147</v>
      </c>
      <c r="J194" s="89">
        <v>59036</v>
      </c>
      <c r="K194" t="s">
        <v>127</v>
      </c>
      <c r="L194" t="s">
        <v>128</v>
      </c>
      <c r="N194">
        <v>1</v>
      </c>
      <c r="O194" s="89">
        <v>885.54</v>
      </c>
      <c r="P194" s="89">
        <v>28042.1</v>
      </c>
      <c r="Q194" t="s">
        <v>135</v>
      </c>
      <c r="R194" t="s">
        <v>131</v>
      </c>
    </row>
    <row r="195" spans="3:18" hidden="1" x14ac:dyDescent="0.25">
      <c r="C195" t="s">
        <v>45</v>
      </c>
      <c r="D195" t="s">
        <v>23</v>
      </c>
      <c r="E195" t="s">
        <v>48</v>
      </c>
      <c r="F195" t="s">
        <v>41</v>
      </c>
      <c r="G195" s="89">
        <v>5562715</v>
      </c>
      <c r="H195" t="s">
        <v>42</v>
      </c>
      <c r="I195" t="s">
        <v>133</v>
      </c>
      <c r="J195" s="89">
        <v>183569595</v>
      </c>
      <c r="K195" t="s">
        <v>144</v>
      </c>
      <c r="N195">
        <v>1</v>
      </c>
      <c r="O195" s="89">
        <v>166881.45000000001</v>
      </c>
      <c r="P195" s="89">
        <v>3893900.5</v>
      </c>
      <c r="Q195" t="s">
        <v>137</v>
      </c>
      <c r="R195" t="s">
        <v>131</v>
      </c>
    </row>
    <row r="196" spans="3:18" x14ac:dyDescent="0.25">
      <c r="C196" t="s">
        <v>47</v>
      </c>
      <c r="D196" t="s">
        <v>50</v>
      </c>
      <c r="E196" t="s">
        <v>50</v>
      </c>
      <c r="F196" t="s">
        <v>41</v>
      </c>
      <c r="G196" s="89">
        <v>5381</v>
      </c>
      <c r="H196" t="s">
        <v>51</v>
      </c>
      <c r="I196" t="s">
        <v>141</v>
      </c>
      <c r="J196" s="89">
        <v>48429</v>
      </c>
      <c r="K196" t="s">
        <v>127</v>
      </c>
      <c r="N196">
        <v>1</v>
      </c>
      <c r="O196" s="89">
        <v>161.43</v>
      </c>
      <c r="P196" s="89">
        <v>2421.4499999999998</v>
      </c>
      <c r="Q196" t="s">
        <v>142</v>
      </c>
    </row>
    <row r="197" spans="3:18" hidden="1" x14ac:dyDescent="0.25">
      <c r="C197" t="s">
        <v>45</v>
      </c>
      <c r="D197" t="s">
        <v>21</v>
      </c>
      <c r="E197" t="s">
        <v>43</v>
      </c>
      <c r="F197" t="s">
        <v>41</v>
      </c>
      <c r="G197" s="89">
        <v>926375</v>
      </c>
      <c r="H197" t="s">
        <v>140</v>
      </c>
      <c r="I197" t="s">
        <v>133</v>
      </c>
      <c r="J197" s="89">
        <v>24085750</v>
      </c>
      <c r="K197" t="s">
        <v>134</v>
      </c>
      <c r="L197" t="s">
        <v>128</v>
      </c>
      <c r="N197">
        <v>1</v>
      </c>
      <c r="O197" s="89">
        <v>27791.25</v>
      </c>
      <c r="P197" s="89">
        <v>268648.75</v>
      </c>
      <c r="Q197" t="s">
        <v>130</v>
      </c>
      <c r="R197" t="s">
        <v>131</v>
      </c>
    </row>
    <row r="198" spans="3:18" hidden="1" x14ac:dyDescent="0.25">
      <c r="C198" t="s">
        <v>45</v>
      </c>
      <c r="D198" t="s">
        <v>21</v>
      </c>
      <c r="E198" t="s">
        <v>40</v>
      </c>
      <c r="F198" t="s">
        <v>41</v>
      </c>
      <c r="G198" s="89">
        <v>7055751</v>
      </c>
      <c r="H198" t="s">
        <v>140</v>
      </c>
      <c r="I198" t="s">
        <v>133</v>
      </c>
      <c r="J198" s="89">
        <v>211672530</v>
      </c>
      <c r="K198" t="s">
        <v>127</v>
      </c>
      <c r="L198" t="s">
        <v>128</v>
      </c>
      <c r="N198">
        <v>1</v>
      </c>
      <c r="O198" s="89">
        <v>211672.53</v>
      </c>
      <c r="P198" s="89">
        <v>6067945.8600000003</v>
      </c>
      <c r="Q198" t="s">
        <v>135</v>
      </c>
      <c r="R198" t="s">
        <v>131</v>
      </c>
    </row>
    <row r="199" spans="3:18" hidden="1" x14ac:dyDescent="0.25">
      <c r="C199" t="s">
        <v>45</v>
      </c>
      <c r="D199" t="s">
        <v>149</v>
      </c>
      <c r="E199" t="s">
        <v>44</v>
      </c>
      <c r="F199" t="s">
        <v>41</v>
      </c>
      <c r="G199" s="89">
        <v>184416</v>
      </c>
      <c r="H199" t="s">
        <v>42</v>
      </c>
      <c r="I199" t="s">
        <v>133</v>
      </c>
      <c r="J199" s="89">
        <v>6085728</v>
      </c>
      <c r="K199" t="s">
        <v>127</v>
      </c>
      <c r="L199" t="s">
        <v>128</v>
      </c>
      <c r="M199" t="s">
        <v>136</v>
      </c>
      <c r="N199">
        <v>1</v>
      </c>
      <c r="O199" s="89">
        <v>7376.64</v>
      </c>
      <c r="P199" s="89">
        <v>153065.28</v>
      </c>
      <c r="Q199" t="s">
        <v>135</v>
      </c>
      <c r="R199" t="s">
        <v>42</v>
      </c>
    </row>
    <row r="200" spans="3:18" hidden="1" x14ac:dyDescent="0.25">
      <c r="C200" t="s">
        <v>45</v>
      </c>
      <c r="D200" t="s">
        <v>138</v>
      </c>
      <c r="E200" t="s">
        <v>43</v>
      </c>
      <c r="F200" t="s">
        <v>41</v>
      </c>
      <c r="G200" s="89">
        <v>30117</v>
      </c>
      <c r="H200" t="s">
        <v>146</v>
      </c>
      <c r="I200" t="s">
        <v>141</v>
      </c>
      <c r="J200" s="89">
        <v>240936</v>
      </c>
      <c r="K200" t="s">
        <v>127</v>
      </c>
      <c r="L200" t="s">
        <v>128</v>
      </c>
      <c r="N200">
        <v>1</v>
      </c>
      <c r="O200" s="89">
        <v>903.51</v>
      </c>
      <c r="P200" s="89">
        <v>15660.84</v>
      </c>
      <c r="Q200" t="s">
        <v>142</v>
      </c>
      <c r="R200" t="s">
        <v>131</v>
      </c>
    </row>
    <row r="201" spans="3:18" hidden="1" x14ac:dyDescent="0.25">
      <c r="C201" t="s">
        <v>45</v>
      </c>
      <c r="D201" t="s">
        <v>19</v>
      </c>
      <c r="E201" t="s">
        <v>43</v>
      </c>
      <c r="F201" t="s">
        <v>41</v>
      </c>
      <c r="G201" s="89">
        <v>377123</v>
      </c>
      <c r="I201" t="s">
        <v>133</v>
      </c>
      <c r="J201" s="89">
        <v>9050952</v>
      </c>
      <c r="K201" t="s">
        <v>127</v>
      </c>
      <c r="L201" t="s">
        <v>128</v>
      </c>
      <c r="N201">
        <v>1</v>
      </c>
      <c r="O201" s="89">
        <v>11313.69</v>
      </c>
      <c r="P201" s="89">
        <v>181019.04</v>
      </c>
      <c r="Q201" t="s">
        <v>142</v>
      </c>
      <c r="R201" t="s">
        <v>131</v>
      </c>
    </row>
    <row r="202" spans="3:18" hidden="1" x14ac:dyDescent="0.25">
      <c r="C202" t="s">
        <v>45</v>
      </c>
      <c r="D202" t="s">
        <v>24</v>
      </c>
      <c r="E202" t="s">
        <v>52</v>
      </c>
      <c r="F202" t="s">
        <v>41</v>
      </c>
      <c r="G202" s="89">
        <v>119416</v>
      </c>
      <c r="H202" t="s">
        <v>42</v>
      </c>
      <c r="I202" t="s">
        <v>133</v>
      </c>
      <c r="J202" s="89">
        <v>3104816</v>
      </c>
      <c r="K202" t="s">
        <v>134</v>
      </c>
      <c r="L202" t="s">
        <v>128</v>
      </c>
      <c r="M202" t="s">
        <v>148</v>
      </c>
      <c r="N202">
        <v>1</v>
      </c>
      <c r="O202" s="89">
        <v>3582.48</v>
      </c>
      <c r="P202" s="89">
        <v>44183.92</v>
      </c>
      <c r="Q202" t="s">
        <v>130</v>
      </c>
      <c r="R202" t="s">
        <v>42</v>
      </c>
    </row>
    <row r="203" spans="3:18" hidden="1" x14ac:dyDescent="0.25">
      <c r="C203" t="s">
        <v>45</v>
      </c>
      <c r="D203" t="s">
        <v>21</v>
      </c>
      <c r="E203" t="s">
        <v>40</v>
      </c>
      <c r="F203" t="s">
        <v>41</v>
      </c>
      <c r="G203" s="89">
        <v>74485</v>
      </c>
      <c r="H203" t="s">
        <v>42</v>
      </c>
      <c r="I203" t="s">
        <v>141</v>
      </c>
      <c r="J203" s="89">
        <v>521395</v>
      </c>
      <c r="K203" t="s">
        <v>144</v>
      </c>
      <c r="N203">
        <v>1</v>
      </c>
      <c r="O203" s="89">
        <v>2234.5500000000002</v>
      </c>
      <c r="P203" s="89">
        <v>23090.35</v>
      </c>
      <c r="Q203" t="s">
        <v>130</v>
      </c>
      <c r="R203" t="s">
        <v>131</v>
      </c>
    </row>
    <row r="204" spans="3:18" hidden="1" x14ac:dyDescent="0.25">
      <c r="C204" t="s">
        <v>45</v>
      </c>
      <c r="D204" t="s">
        <v>25</v>
      </c>
      <c r="E204" t="s">
        <v>44</v>
      </c>
      <c r="F204" t="s">
        <v>41</v>
      </c>
      <c r="G204" s="89">
        <v>12854</v>
      </c>
      <c r="H204" t="s">
        <v>140</v>
      </c>
      <c r="I204" t="s">
        <v>141</v>
      </c>
      <c r="J204" s="89">
        <v>77124</v>
      </c>
      <c r="K204" t="s">
        <v>127</v>
      </c>
      <c r="L204" t="s">
        <v>128</v>
      </c>
      <c r="N204">
        <v>1</v>
      </c>
      <c r="O204" s="89">
        <v>771.24</v>
      </c>
      <c r="P204" s="89">
        <v>4113.28</v>
      </c>
      <c r="Q204" t="s">
        <v>130</v>
      </c>
      <c r="R204" t="s">
        <v>131</v>
      </c>
    </row>
    <row r="205" spans="3:18" hidden="1" x14ac:dyDescent="0.25">
      <c r="C205" t="s">
        <v>45</v>
      </c>
      <c r="D205" t="s">
        <v>149</v>
      </c>
      <c r="E205" t="s">
        <v>43</v>
      </c>
      <c r="F205" t="s">
        <v>53</v>
      </c>
      <c r="G205" s="89">
        <v>7653313</v>
      </c>
      <c r="H205" t="s">
        <v>42</v>
      </c>
      <c r="I205" t="s">
        <v>133</v>
      </c>
      <c r="J205" s="89">
        <v>244906016</v>
      </c>
      <c r="K205" t="s">
        <v>144</v>
      </c>
      <c r="N205">
        <v>1</v>
      </c>
      <c r="O205" s="89">
        <v>229599.39</v>
      </c>
      <c r="P205" s="89">
        <v>5586918.4900000002</v>
      </c>
      <c r="Q205" t="s">
        <v>137</v>
      </c>
      <c r="R205" t="s">
        <v>42</v>
      </c>
    </row>
    <row r="206" spans="3:18" hidden="1" x14ac:dyDescent="0.25">
      <c r="C206" t="s">
        <v>45</v>
      </c>
      <c r="D206" t="s">
        <v>23</v>
      </c>
      <c r="E206" t="s">
        <v>44</v>
      </c>
      <c r="F206" t="s">
        <v>41</v>
      </c>
      <c r="G206" s="89">
        <v>13575417</v>
      </c>
      <c r="H206" t="s">
        <v>42</v>
      </c>
      <c r="I206" t="s">
        <v>133</v>
      </c>
      <c r="J206" s="89">
        <v>461564178</v>
      </c>
      <c r="K206" t="s">
        <v>127</v>
      </c>
      <c r="L206" t="s">
        <v>128</v>
      </c>
      <c r="M206" t="s">
        <v>152</v>
      </c>
      <c r="N206">
        <v>1</v>
      </c>
      <c r="O206" s="89">
        <v>407262.51</v>
      </c>
      <c r="P206" s="89">
        <v>11267596.109999999</v>
      </c>
      <c r="Q206" t="s">
        <v>135</v>
      </c>
      <c r="R206" t="s">
        <v>42</v>
      </c>
    </row>
    <row r="207" spans="3:18" hidden="1" x14ac:dyDescent="0.25">
      <c r="C207" t="s">
        <v>45</v>
      </c>
      <c r="D207" t="s">
        <v>22</v>
      </c>
      <c r="E207" t="s">
        <v>40</v>
      </c>
      <c r="F207" t="s">
        <v>41</v>
      </c>
      <c r="G207" s="89">
        <v>106900</v>
      </c>
      <c r="H207" t="s">
        <v>146</v>
      </c>
      <c r="I207" t="s">
        <v>126</v>
      </c>
      <c r="J207" s="89">
        <v>1496600</v>
      </c>
      <c r="K207" t="s">
        <v>127</v>
      </c>
      <c r="L207" t="s">
        <v>128</v>
      </c>
      <c r="N207">
        <v>1</v>
      </c>
      <c r="O207" s="89">
        <v>3207</v>
      </c>
      <c r="P207" s="89">
        <v>125073</v>
      </c>
      <c r="Q207" t="s">
        <v>150</v>
      </c>
      <c r="R207" t="s">
        <v>131</v>
      </c>
    </row>
    <row r="208" spans="3:18" hidden="1" x14ac:dyDescent="0.25">
      <c r="C208" t="s">
        <v>45</v>
      </c>
      <c r="D208" t="s">
        <v>23</v>
      </c>
      <c r="E208" t="s">
        <v>43</v>
      </c>
      <c r="F208" t="s">
        <v>41</v>
      </c>
      <c r="G208" s="89">
        <v>261743</v>
      </c>
      <c r="H208" t="s">
        <v>42</v>
      </c>
      <c r="I208" t="s">
        <v>147</v>
      </c>
      <c r="J208" s="89">
        <v>785229</v>
      </c>
      <c r="K208" t="s">
        <v>127</v>
      </c>
      <c r="L208" t="s">
        <v>128</v>
      </c>
      <c r="M208" t="s">
        <v>152</v>
      </c>
      <c r="N208">
        <v>1</v>
      </c>
      <c r="O208" s="89">
        <v>10469.719999999999</v>
      </c>
      <c r="P208" s="89">
        <v>34026.589999999997</v>
      </c>
      <c r="Q208" t="s">
        <v>130</v>
      </c>
      <c r="R208" t="s">
        <v>131</v>
      </c>
    </row>
    <row r="209" spans="3:18" hidden="1" x14ac:dyDescent="0.25">
      <c r="C209" t="s">
        <v>45</v>
      </c>
      <c r="D209" t="s">
        <v>22</v>
      </c>
      <c r="E209" t="s">
        <v>40</v>
      </c>
      <c r="F209" t="s">
        <v>41</v>
      </c>
      <c r="G209" s="89">
        <v>117689</v>
      </c>
      <c r="H209" t="s">
        <v>132</v>
      </c>
      <c r="I209" t="s">
        <v>141</v>
      </c>
      <c r="J209" s="89">
        <v>1176890</v>
      </c>
      <c r="K209" t="s">
        <v>144</v>
      </c>
      <c r="N209">
        <v>1</v>
      </c>
      <c r="O209" s="89">
        <v>4707.5600000000004</v>
      </c>
      <c r="P209" s="89">
        <v>76497.850000000006</v>
      </c>
      <c r="Q209" t="s">
        <v>137</v>
      </c>
      <c r="R209" t="s">
        <v>131</v>
      </c>
    </row>
    <row r="210" spans="3:18" x14ac:dyDescent="0.25">
      <c r="C210" t="s">
        <v>47</v>
      </c>
      <c r="D210" t="s">
        <v>21</v>
      </c>
      <c r="E210" t="s">
        <v>40</v>
      </c>
      <c r="F210" t="s">
        <v>41</v>
      </c>
      <c r="G210" s="89">
        <v>17635</v>
      </c>
      <c r="H210" t="s">
        <v>42</v>
      </c>
      <c r="I210" t="s">
        <v>153</v>
      </c>
      <c r="J210" s="89"/>
      <c r="K210" t="s">
        <v>127</v>
      </c>
      <c r="L210" t="s">
        <v>128</v>
      </c>
      <c r="M210" t="s">
        <v>129</v>
      </c>
      <c r="N210">
        <v>0</v>
      </c>
      <c r="O210" s="89">
        <v>352.7</v>
      </c>
      <c r="P210" s="89">
        <v>1939.85</v>
      </c>
      <c r="Q210" t="s">
        <v>130</v>
      </c>
      <c r="R210" t="s">
        <v>131</v>
      </c>
    </row>
    <row r="211" spans="3:18" hidden="1" x14ac:dyDescent="0.25">
      <c r="C211" t="s">
        <v>45</v>
      </c>
      <c r="D211" t="s">
        <v>21</v>
      </c>
      <c r="E211" t="s">
        <v>43</v>
      </c>
      <c r="F211" t="s">
        <v>41</v>
      </c>
      <c r="G211" s="89">
        <v>268691</v>
      </c>
      <c r="H211" t="s">
        <v>145</v>
      </c>
      <c r="I211" t="s">
        <v>141</v>
      </c>
      <c r="J211" s="89">
        <v>1880837</v>
      </c>
      <c r="K211" t="s">
        <v>144</v>
      </c>
      <c r="N211">
        <v>1</v>
      </c>
      <c r="O211" s="89">
        <v>8060.73</v>
      </c>
      <c r="P211" s="89">
        <v>64485.84</v>
      </c>
      <c r="Q211" t="s">
        <v>130</v>
      </c>
      <c r="R211" t="s">
        <v>131</v>
      </c>
    </row>
    <row r="212" spans="3:18" hidden="1" x14ac:dyDescent="0.25">
      <c r="C212" t="s">
        <v>45</v>
      </c>
      <c r="D212" t="s">
        <v>20</v>
      </c>
      <c r="E212" t="s">
        <v>43</v>
      </c>
      <c r="F212" t="s">
        <v>41</v>
      </c>
      <c r="G212" s="89">
        <v>1802291</v>
      </c>
      <c r="H212" t="s">
        <v>42</v>
      </c>
      <c r="I212" t="s">
        <v>126</v>
      </c>
      <c r="J212" s="89">
        <v>28836656</v>
      </c>
      <c r="K212" t="s">
        <v>144</v>
      </c>
      <c r="N212">
        <v>1</v>
      </c>
      <c r="O212" s="89">
        <v>54068.73</v>
      </c>
      <c r="P212" s="89">
        <v>1243580.79</v>
      </c>
      <c r="Q212" t="s">
        <v>137</v>
      </c>
      <c r="R212" t="s">
        <v>42</v>
      </c>
    </row>
    <row r="213" spans="3:18" hidden="1" x14ac:dyDescent="0.25">
      <c r="C213" t="s">
        <v>45</v>
      </c>
      <c r="D213" t="s">
        <v>21</v>
      </c>
      <c r="E213" t="s">
        <v>43</v>
      </c>
      <c r="F213" t="s">
        <v>41</v>
      </c>
      <c r="G213" s="89">
        <v>781424</v>
      </c>
      <c r="H213" t="s">
        <v>146</v>
      </c>
      <c r="I213" t="s">
        <v>147</v>
      </c>
      <c r="J213" s="89"/>
      <c r="K213" t="s">
        <v>127</v>
      </c>
      <c r="L213" t="s">
        <v>128</v>
      </c>
      <c r="N213">
        <v>0</v>
      </c>
      <c r="O213" s="89">
        <v>62513.919999999998</v>
      </c>
      <c r="P213" s="89">
        <v>421968.96</v>
      </c>
      <c r="Q213" t="s">
        <v>142</v>
      </c>
      <c r="R213" t="s">
        <v>131</v>
      </c>
    </row>
    <row r="214" spans="3:18" hidden="1" x14ac:dyDescent="0.25">
      <c r="C214" t="s">
        <v>45</v>
      </c>
      <c r="D214" t="s">
        <v>22</v>
      </c>
      <c r="E214" t="s">
        <v>40</v>
      </c>
      <c r="F214" t="s">
        <v>41</v>
      </c>
      <c r="G214" s="89">
        <v>22109</v>
      </c>
      <c r="H214" t="s">
        <v>146</v>
      </c>
      <c r="I214" t="s">
        <v>147</v>
      </c>
      <c r="J214" s="89">
        <v>110545</v>
      </c>
      <c r="K214" t="s">
        <v>127</v>
      </c>
      <c r="L214" t="s">
        <v>128</v>
      </c>
      <c r="N214">
        <v>1</v>
      </c>
      <c r="O214" s="89">
        <v>884.36</v>
      </c>
      <c r="P214" s="89">
        <v>15697.39</v>
      </c>
      <c r="Q214" t="s">
        <v>137</v>
      </c>
      <c r="R214" t="s">
        <v>131</v>
      </c>
    </row>
    <row r="215" spans="3:18" x14ac:dyDescent="0.25">
      <c r="C215" t="s">
        <v>47</v>
      </c>
      <c r="D215" t="s">
        <v>50</v>
      </c>
      <c r="E215" t="s">
        <v>50</v>
      </c>
      <c r="F215" t="s">
        <v>41</v>
      </c>
      <c r="G215" s="89">
        <v>7060854</v>
      </c>
      <c r="H215" t="s">
        <v>79</v>
      </c>
      <c r="I215" t="s">
        <v>126</v>
      </c>
      <c r="J215" s="89">
        <v>98851956</v>
      </c>
      <c r="K215" t="s">
        <v>127</v>
      </c>
      <c r="N215">
        <v>1</v>
      </c>
      <c r="O215" s="89">
        <v>282434.15999999997</v>
      </c>
      <c r="P215" s="89">
        <v>9602761.4399999995</v>
      </c>
      <c r="Q215" t="s">
        <v>150</v>
      </c>
      <c r="R215" t="s">
        <v>79</v>
      </c>
    </row>
    <row r="216" spans="3:18" hidden="1" x14ac:dyDescent="0.25">
      <c r="C216" t="s">
        <v>45</v>
      </c>
      <c r="D216" t="s">
        <v>20</v>
      </c>
      <c r="E216" t="s">
        <v>43</v>
      </c>
      <c r="F216" t="s">
        <v>41</v>
      </c>
      <c r="G216" s="89">
        <v>5751299</v>
      </c>
      <c r="H216" t="s">
        <v>140</v>
      </c>
      <c r="I216" t="s">
        <v>126</v>
      </c>
      <c r="J216" s="89">
        <v>97772083</v>
      </c>
      <c r="K216" t="s">
        <v>127</v>
      </c>
      <c r="L216" t="s">
        <v>128</v>
      </c>
      <c r="N216">
        <v>1</v>
      </c>
      <c r="O216" s="89">
        <v>172538.97</v>
      </c>
      <c r="P216" s="89">
        <v>3795857.34</v>
      </c>
      <c r="Q216" t="s">
        <v>137</v>
      </c>
      <c r="R216" t="s">
        <v>131</v>
      </c>
    </row>
    <row r="217" spans="3:18" hidden="1" x14ac:dyDescent="0.25">
      <c r="C217" t="s">
        <v>45</v>
      </c>
      <c r="D217" t="s">
        <v>138</v>
      </c>
      <c r="E217" t="s">
        <v>43</v>
      </c>
      <c r="F217" t="s">
        <v>41</v>
      </c>
      <c r="G217" s="89">
        <v>36936886</v>
      </c>
      <c r="H217" t="s">
        <v>145</v>
      </c>
      <c r="I217" t="s">
        <v>133</v>
      </c>
      <c r="J217" s="89">
        <v>960359036</v>
      </c>
      <c r="K217" t="s">
        <v>127</v>
      </c>
      <c r="L217" t="s">
        <v>128</v>
      </c>
      <c r="N217">
        <v>1</v>
      </c>
      <c r="O217" s="89">
        <v>1108106.58</v>
      </c>
      <c r="P217" s="89">
        <v>19207180.719999999</v>
      </c>
      <c r="Q217" t="s">
        <v>142</v>
      </c>
      <c r="R217" t="s">
        <v>131</v>
      </c>
    </row>
    <row r="218" spans="3:18" x14ac:dyDescent="0.25">
      <c r="C218" t="s">
        <v>47</v>
      </c>
      <c r="D218" t="s">
        <v>21</v>
      </c>
      <c r="E218" t="s">
        <v>40</v>
      </c>
      <c r="F218" t="s">
        <v>41</v>
      </c>
      <c r="G218" s="89">
        <v>1896643</v>
      </c>
      <c r="H218" t="s">
        <v>132</v>
      </c>
      <c r="I218" t="s">
        <v>126</v>
      </c>
      <c r="J218" s="89">
        <v>22759716</v>
      </c>
      <c r="K218" t="s">
        <v>127</v>
      </c>
      <c r="L218" t="s">
        <v>128</v>
      </c>
      <c r="N218">
        <v>1</v>
      </c>
      <c r="O218" s="89">
        <v>75865.72</v>
      </c>
      <c r="P218" s="89">
        <v>986254.36</v>
      </c>
      <c r="Q218" t="s">
        <v>142</v>
      </c>
      <c r="R218" t="s">
        <v>131</v>
      </c>
    </row>
    <row r="219" spans="3:18" hidden="1" x14ac:dyDescent="0.25">
      <c r="C219" t="s">
        <v>45</v>
      </c>
      <c r="D219" t="s">
        <v>21</v>
      </c>
      <c r="E219" t="s">
        <v>43</v>
      </c>
      <c r="F219" t="s">
        <v>41</v>
      </c>
      <c r="G219" s="89">
        <v>1585749</v>
      </c>
      <c r="H219" t="s">
        <v>140</v>
      </c>
      <c r="I219" t="s">
        <v>141</v>
      </c>
      <c r="J219" s="89">
        <v>11100243</v>
      </c>
      <c r="K219" t="s">
        <v>144</v>
      </c>
      <c r="N219">
        <v>1</v>
      </c>
      <c r="O219" s="89">
        <v>63429.96</v>
      </c>
      <c r="P219" s="89">
        <v>840446.97</v>
      </c>
      <c r="Q219" t="s">
        <v>142</v>
      </c>
      <c r="R219" t="s">
        <v>131</v>
      </c>
    </row>
    <row r="220" spans="3:18" hidden="1" x14ac:dyDescent="0.25">
      <c r="C220" t="s">
        <v>45</v>
      </c>
      <c r="D220" t="s">
        <v>21</v>
      </c>
      <c r="E220" t="s">
        <v>44</v>
      </c>
      <c r="F220" t="s">
        <v>41</v>
      </c>
      <c r="G220" s="89">
        <v>141424</v>
      </c>
      <c r="H220" t="s">
        <v>42</v>
      </c>
      <c r="I220" t="s">
        <v>133</v>
      </c>
      <c r="J220" s="89">
        <v>4101296</v>
      </c>
      <c r="K220" t="s">
        <v>127</v>
      </c>
      <c r="L220" t="s">
        <v>128</v>
      </c>
      <c r="M220" t="s">
        <v>129</v>
      </c>
      <c r="N220">
        <v>1</v>
      </c>
      <c r="O220" s="89">
        <v>4242.72</v>
      </c>
      <c r="P220" s="89">
        <v>65055.040000000001</v>
      </c>
      <c r="Q220" t="s">
        <v>142</v>
      </c>
      <c r="R220" t="s">
        <v>131</v>
      </c>
    </row>
    <row r="221" spans="3:18" x14ac:dyDescent="0.25">
      <c r="C221" t="s">
        <v>47</v>
      </c>
      <c r="D221" t="s">
        <v>24</v>
      </c>
      <c r="E221" t="s">
        <v>48</v>
      </c>
      <c r="F221" t="s">
        <v>41</v>
      </c>
      <c r="G221" s="89">
        <v>1859496</v>
      </c>
      <c r="H221" t="s">
        <v>132</v>
      </c>
      <c r="I221" t="s">
        <v>126</v>
      </c>
      <c r="J221" s="89">
        <v>20454456</v>
      </c>
      <c r="K221" t="s">
        <v>144</v>
      </c>
      <c r="N221">
        <v>1</v>
      </c>
      <c r="O221" s="89">
        <v>74379.839999999997</v>
      </c>
      <c r="P221" s="89">
        <v>650823.6</v>
      </c>
      <c r="Q221" t="s">
        <v>130</v>
      </c>
      <c r="R221" t="s">
        <v>131</v>
      </c>
    </row>
    <row r="222" spans="3:18" hidden="1" x14ac:dyDescent="0.25">
      <c r="C222" t="s">
        <v>45</v>
      </c>
      <c r="D222" t="s">
        <v>23</v>
      </c>
      <c r="E222" t="s">
        <v>40</v>
      </c>
      <c r="F222" t="s">
        <v>41</v>
      </c>
      <c r="G222" s="89">
        <v>15032</v>
      </c>
      <c r="H222" t="s">
        <v>42</v>
      </c>
      <c r="I222" t="s">
        <v>147</v>
      </c>
      <c r="J222" s="89">
        <v>45096</v>
      </c>
      <c r="K222" t="s">
        <v>127</v>
      </c>
      <c r="L222" t="s">
        <v>128</v>
      </c>
      <c r="M222" t="s">
        <v>152</v>
      </c>
      <c r="N222">
        <v>1</v>
      </c>
      <c r="O222" s="89">
        <v>601.28</v>
      </c>
      <c r="P222" s="89">
        <v>601.28</v>
      </c>
      <c r="Q222" t="s">
        <v>130</v>
      </c>
      <c r="R222" t="s">
        <v>42</v>
      </c>
    </row>
    <row r="223" spans="3:18" x14ac:dyDescent="0.25">
      <c r="C223" t="s">
        <v>47</v>
      </c>
      <c r="D223" t="s">
        <v>21</v>
      </c>
      <c r="E223" t="s">
        <v>40</v>
      </c>
      <c r="F223" t="s">
        <v>41</v>
      </c>
      <c r="G223" s="89">
        <v>119699</v>
      </c>
      <c r="H223" t="s">
        <v>42</v>
      </c>
      <c r="I223" t="s">
        <v>126</v>
      </c>
      <c r="J223" s="89">
        <v>1675786</v>
      </c>
      <c r="K223" t="s">
        <v>127</v>
      </c>
      <c r="L223" t="s">
        <v>128</v>
      </c>
      <c r="M223" t="s">
        <v>129</v>
      </c>
      <c r="N223">
        <v>1</v>
      </c>
      <c r="O223" s="89">
        <v>5984.95</v>
      </c>
      <c r="P223" s="89">
        <v>110123.08</v>
      </c>
      <c r="Q223" t="s">
        <v>135</v>
      </c>
      <c r="R223" t="s">
        <v>131</v>
      </c>
    </row>
    <row r="224" spans="3:18" hidden="1" x14ac:dyDescent="0.25">
      <c r="C224" t="s">
        <v>45</v>
      </c>
      <c r="D224" t="s">
        <v>25</v>
      </c>
      <c r="E224" t="s">
        <v>44</v>
      </c>
      <c r="F224" t="s">
        <v>41</v>
      </c>
      <c r="G224" s="89">
        <v>609383</v>
      </c>
      <c r="H224" t="s">
        <v>146</v>
      </c>
      <c r="I224" t="s">
        <v>141</v>
      </c>
      <c r="J224" s="89">
        <v>4265681</v>
      </c>
      <c r="K224" t="s">
        <v>127</v>
      </c>
      <c r="L224" t="s">
        <v>128</v>
      </c>
      <c r="N224">
        <v>1</v>
      </c>
      <c r="O224" s="89">
        <v>18281.490000000002</v>
      </c>
      <c r="P224" s="89">
        <v>134064.26</v>
      </c>
      <c r="Q224" t="s">
        <v>130</v>
      </c>
      <c r="R224" t="s">
        <v>131</v>
      </c>
    </row>
    <row r="225" spans="3:18" hidden="1" x14ac:dyDescent="0.25">
      <c r="C225" t="s">
        <v>45</v>
      </c>
      <c r="D225" t="s">
        <v>20</v>
      </c>
      <c r="E225" t="s">
        <v>43</v>
      </c>
      <c r="F225" t="s">
        <v>41</v>
      </c>
      <c r="G225" s="89">
        <v>9431202</v>
      </c>
      <c r="H225" t="s">
        <v>145</v>
      </c>
      <c r="I225" t="s">
        <v>126</v>
      </c>
      <c r="J225" s="89">
        <v>150899232</v>
      </c>
      <c r="K225" t="s">
        <v>127</v>
      </c>
      <c r="L225" t="s">
        <v>128</v>
      </c>
      <c r="N225">
        <v>1</v>
      </c>
      <c r="O225" s="89">
        <v>282936.06</v>
      </c>
      <c r="P225" s="89">
        <v>4715601</v>
      </c>
      <c r="Q225" t="s">
        <v>142</v>
      </c>
      <c r="R225" t="s">
        <v>131</v>
      </c>
    </row>
    <row r="226" spans="3:18" x14ac:dyDescent="0.25">
      <c r="C226" t="s">
        <v>47</v>
      </c>
      <c r="D226" t="s">
        <v>21</v>
      </c>
      <c r="E226" t="s">
        <v>43</v>
      </c>
      <c r="F226" t="s">
        <v>41</v>
      </c>
      <c r="G226" s="89">
        <v>39611</v>
      </c>
      <c r="H226" t="s">
        <v>145</v>
      </c>
      <c r="I226" t="s">
        <v>126</v>
      </c>
      <c r="J226" s="89">
        <v>475332</v>
      </c>
      <c r="K226" t="s">
        <v>127</v>
      </c>
      <c r="L226" t="s">
        <v>128</v>
      </c>
      <c r="N226">
        <v>1</v>
      </c>
      <c r="O226" s="89">
        <v>3168.88</v>
      </c>
      <c r="P226" s="89">
        <v>11487.19</v>
      </c>
      <c r="Q226" t="s">
        <v>130</v>
      </c>
      <c r="R226" t="s">
        <v>131</v>
      </c>
    </row>
    <row r="227" spans="3:18" hidden="1" x14ac:dyDescent="0.25">
      <c r="C227" t="s">
        <v>45</v>
      </c>
      <c r="D227" t="s">
        <v>23</v>
      </c>
      <c r="E227" t="s">
        <v>40</v>
      </c>
      <c r="F227" t="s">
        <v>41</v>
      </c>
      <c r="G227" s="89">
        <v>15647</v>
      </c>
      <c r="H227" t="s">
        <v>42</v>
      </c>
      <c r="I227" t="s">
        <v>147</v>
      </c>
      <c r="J227" s="89">
        <v>78235</v>
      </c>
      <c r="K227" t="s">
        <v>127</v>
      </c>
      <c r="L227" t="s">
        <v>128</v>
      </c>
      <c r="M227" t="s">
        <v>152</v>
      </c>
      <c r="N227">
        <v>1</v>
      </c>
      <c r="O227" s="89">
        <v>312.94</v>
      </c>
      <c r="P227" s="89">
        <v>6415.27</v>
      </c>
      <c r="Q227" t="s">
        <v>142</v>
      </c>
      <c r="R227" t="s">
        <v>42</v>
      </c>
    </row>
    <row r="228" spans="3:18" x14ac:dyDescent="0.25">
      <c r="C228" t="s">
        <v>47</v>
      </c>
      <c r="D228" t="s">
        <v>23</v>
      </c>
      <c r="E228" t="s">
        <v>48</v>
      </c>
      <c r="F228" t="s">
        <v>41</v>
      </c>
      <c r="G228" s="89">
        <v>2559850</v>
      </c>
      <c r="H228" t="s">
        <v>42</v>
      </c>
      <c r="I228" t="s">
        <v>126</v>
      </c>
      <c r="J228" s="89">
        <v>38397750</v>
      </c>
      <c r="K228" t="s">
        <v>127</v>
      </c>
      <c r="L228" t="s">
        <v>128</v>
      </c>
      <c r="M228" t="s">
        <v>152</v>
      </c>
      <c r="N228">
        <v>1</v>
      </c>
      <c r="O228" s="89">
        <v>102394</v>
      </c>
      <c r="P228" s="89">
        <v>460773</v>
      </c>
      <c r="Q228" t="s">
        <v>130</v>
      </c>
      <c r="R228" t="s">
        <v>42</v>
      </c>
    </row>
    <row r="229" spans="3:18" hidden="1" x14ac:dyDescent="0.25">
      <c r="C229" t="s">
        <v>45</v>
      </c>
      <c r="D229" t="s">
        <v>138</v>
      </c>
      <c r="E229" t="s">
        <v>43</v>
      </c>
      <c r="F229" t="s">
        <v>41</v>
      </c>
      <c r="G229" s="89">
        <v>165941</v>
      </c>
      <c r="H229" t="s">
        <v>140</v>
      </c>
      <c r="I229" t="s">
        <v>126</v>
      </c>
      <c r="J229" s="89">
        <v>2655056</v>
      </c>
      <c r="K229" t="s">
        <v>144</v>
      </c>
      <c r="N229">
        <v>1</v>
      </c>
      <c r="O229" s="89">
        <v>4978.2299999999996</v>
      </c>
      <c r="P229" s="89">
        <v>77992.27</v>
      </c>
      <c r="Q229" t="s">
        <v>142</v>
      </c>
      <c r="R229" t="s">
        <v>131</v>
      </c>
    </row>
    <row r="230" spans="3:18" hidden="1" x14ac:dyDescent="0.25">
      <c r="C230" t="s">
        <v>45</v>
      </c>
      <c r="D230" t="s">
        <v>19</v>
      </c>
      <c r="E230" t="s">
        <v>43</v>
      </c>
      <c r="F230" t="s">
        <v>41</v>
      </c>
      <c r="G230" s="89">
        <v>284227</v>
      </c>
      <c r="H230" t="s">
        <v>146</v>
      </c>
      <c r="I230" t="s">
        <v>133</v>
      </c>
      <c r="J230" s="89">
        <v>7674129</v>
      </c>
      <c r="K230" t="s">
        <v>127</v>
      </c>
      <c r="L230" t="s">
        <v>151</v>
      </c>
      <c r="N230">
        <v>1</v>
      </c>
      <c r="O230" s="89">
        <v>8526.81</v>
      </c>
      <c r="P230" s="89">
        <v>150640.31</v>
      </c>
      <c r="Q230" t="s">
        <v>142</v>
      </c>
      <c r="R230" t="s">
        <v>131</v>
      </c>
    </row>
    <row r="231" spans="3:18" x14ac:dyDescent="0.25">
      <c r="C231" t="s">
        <v>47</v>
      </c>
      <c r="D231" t="s">
        <v>21</v>
      </c>
      <c r="E231" t="s">
        <v>40</v>
      </c>
      <c r="F231" t="s">
        <v>41</v>
      </c>
      <c r="G231" s="89">
        <v>338482</v>
      </c>
      <c r="H231" t="s">
        <v>140</v>
      </c>
      <c r="I231" t="s">
        <v>126</v>
      </c>
      <c r="J231" s="89">
        <v>4738748</v>
      </c>
      <c r="K231" t="s">
        <v>127</v>
      </c>
      <c r="L231" t="s">
        <v>128</v>
      </c>
      <c r="N231">
        <v>1</v>
      </c>
      <c r="O231" s="89">
        <v>13539.28</v>
      </c>
      <c r="P231" s="89">
        <v>440026.6</v>
      </c>
      <c r="Q231" t="s">
        <v>150</v>
      </c>
      <c r="R231" t="s">
        <v>131</v>
      </c>
    </row>
    <row r="232" spans="3:18" hidden="1" x14ac:dyDescent="0.25">
      <c r="C232" t="s">
        <v>45</v>
      </c>
      <c r="D232" t="s">
        <v>21</v>
      </c>
      <c r="E232" t="s">
        <v>40</v>
      </c>
      <c r="F232" t="s">
        <v>41</v>
      </c>
      <c r="G232" s="89">
        <v>971439</v>
      </c>
      <c r="H232" t="s">
        <v>42</v>
      </c>
      <c r="I232" t="s">
        <v>133</v>
      </c>
      <c r="J232" s="89">
        <v>26228853</v>
      </c>
      <c r="K232" t="s">
        <v>144</v>
      </c>
      <c r="N232">
        <v>1</v>
      </c>
      <c r="O232" s="89">
        <v>29143.17</v>
      </c>
      <c r="P232" s="89">
        <v>281717.31</v>
      </c>
      <c r="Q232" t="s">
        <v>130</v>
      </c>
      <c r="R232" t="s">
        <v>131</v>
      </c>
    </row>
    <row r="233" spans="3:18" hidden="1" x14ac:dyDescent="0.25">
      <c r="C233" t="s">
        <v>45</v>
      </c>
      <c r="D233" t="s">
        <v>23</v>
      </c>
      <c r="E233" t="s">
        <v>40</v>
      </c>
      <c r="F233" t="s">
        <v>53</v>
      </c>
      <c r="G233" s="89">
        <v>99351</v>
      </c>
      <c r="H233" t="s">
        <v>145</v>
      </c>
      <c r="I233" t="s">
        <v>133</v>
      </c>
      <c r="J233" s="89">
        <v>3377934</v>
      </c>
      <c r="K233" t="s">
        <v>127</v>
      </c>
      <c r="L233" t="s">
        <v>128</v>
      </c>
      <c r="N233">
        <v>1</v>
      </c>
      <c r="O233" s="89">
        <v>2980.53</v>
      </c>
      <c r="P233" s="89">
        <v>42720.93</v>
      </c>
      <c r="Q233" t="s">
        <v>142</v>
      </c>
      <c r="R233" t="s">
        <v>131</v>
      </c>
    </row>
    <row r="234" spans="3:18" hidden="1" x14ac:dyDescent="0.25">
      <c r="C234" t="s">
        <v>45</v>
      </c>
      <c r="D234" t="s">
        <v>23</v>
      </c>
      <c r="E234" t="s">
        <v>48</v>
      </c>
      <c r="F234" t="s">
        <v>41</v>
      </c>
      <c r="G234" s="89">
        <v>318713</v>
      </c>
      <c r="H234" t="s">
        <v>146</v>
      </c>
      <c r="I234" t="s">
        <v>133</v>
      </c>
      <c r="J234" s="89">
        <v>9880103</v>
      </c>
      <c r="K234" t="s">
        <v>134</v>
      </c>
      <c r="L234" t="s">
        <v>128</v>
      </c>
      <c r="N234">
        <v>1</v>
      </c>
      <c r="O234" s="89">
        <v>9561.39</v>
      </c>
      <c r="P234" s="89">
        <v>216724.84</v>
      </c>
      <c r="Q234" t="s">
        <v>137</v>
      </c>
      <c r="R234" t="s">
        <v>131</v>
      </c>
    </row>
    <row r="235" spans="3:18" hidden="1" x14ac:dyDescent="0.25">
      <c r="C235" t="s">
        <v>45</v>
      </c>
      <c r="D235" t="s">
        <v>23</v>
      </c>
      <c r="E235" t="s">
        <v>48</v>
      </c>
      <c r="F235" t="s">
        <v>53</v>
      </c>
      <c r="G235" s="89">
        <v>565804</v>
      </c>
      <c r="H235" t="s">
        <v>42</v>
      </c>
      <c r="I235" t="s">
        <v>133</v>
      </c>
      <c r="J235" s="89">
        <v>22066356</v>
      </c>
      <c r="K235" t="s">
        <v>127</v>
      </c>
      <c r="L235" t="s">
        <v>128</v>
      </c>
      <c r="M235" t="s">
        <v>152</v>
      </c>
      <c r="N235">
        <v>1</v>
      </c>
      <c r="O235" s="89">
        <v>16974.12</v>
      </c>
      <c r="P235" s="89">
        <v>475275.36</v>
      </c>
      <c r="Q235" t="s">
        <v>135</v>
      </c>
      <c r="R235" t="s">
        <v>42</v>
      </c>
    </row>
    <row r="236" spans="3:18" hidden="1" x14ac:dyDescent="0.25">
      <c r="C236" t="s">
        <v>45</v>
      </c>
      <c r="D236" t="s">
        <v>22</v>
      </c>
      <c r="E236" t="s">
        <v>40</v>
      </c>
      <c r="F236" t="s">
        <v>41</v>
      </c>
      <c r="G236" s="89">
        <v>557090</v>
      </c>
      <c r="H236" t="s">
        <v>146</v>
      </c>
      <c r="I236" t="s">
        <v>141</v>
      </c>
      <c r="J236" s="89">
        <v>5570900</v>
      </c>
      <c r="K236" t="s">
        <v>144</v>
      </c>
      <c r="N236">
        <v>1</v>
      </c>
      <c r="O236" s="89">
        <v>16712.7</v>
      </c>
      <c r="P236" s="89">
        <v>239548.7</v>
      </c>
      <c r="Q236" t="s">
        <v>142</v>
      </c>
      <c r="R236" t="s">
        <v>131</v>
      </c>
    </row>
    <row r="237" spans="3:18" hidden="1" x14ac:dyDescent="0.25">
      <c r="C237" t="s">
        <v>45</v>
      </c>
      <c r="D237" t="s">
        <v>149</v>
      </c>
      <c r="E237" t="s">
        <v>43</v>
      </c>
      <c r="F237" t="s">
        <v>41</v>
      </c>
      <c r="G237" s="89">
        <v>327857</v>
      </c>
      <c r="H237" t="s">
        <v>132</v>
      </c>
      <c r="I237" t="s">
        <v>133</v>
      </c>
      <c r="J237" s="89">
        <v>11802852</v>
      </c>
      <c r="K237" t="s">
        <v>134</v>
      </c>
      <c r="L237" t="s">
        <v>128</v>
      </c>
      <c r="N237">
        <v>1</v>
      </c>
      <c r="O237" s="89">
        <v>9835.7099999999991</v>
      </c>
      <c r="P237" s="89">
        <v>203271.34</v>
      </c>
      <c r="Q237" t="s">
        <v>137</v>
      </c>
      <c r="R237" t="s">
        <v>131</v>
      </c>
    </row>
    <row r="238" spans="3:18" hidden="1" x14ac:dyDescent="0.25">
      <c r="C238" t="s">
        <v>45</v>
      </c>
      <c r="D238" t="s">
        <v>19</v>
      </c>
      <c r="E238" t="s">
        <v>46</v>
      </c>
      <c r="F238" t="s">
        <v>41</v>
      </c>
      <c r="G238" s="89">
        <v>29711</v>
      </c>
      <c r="H238" t="s">
        <v>42</v>
      </c>
      <c r="I238" t="s">
        <v>126</v>
      </c>
      <c r="J238" s="89">
        <v>445665</v>
      </c>
      <c r="K238" t="s">
        <v>127</v>
      </c>
      <c r="L238" t="s">
        <v>128</v>
      </c>
      <c r="M238" t="s">
        <v>136</v>
      </c>
      <c r="N238">
        <v>1</v>
      </c>
      <c r="O238" s="89">
        <v>1188.44</v>
      </c>
      <c r="P238" s="89">
        <v>10398.85</v>
      </c>
      <c r="Q238" t="s">
        <v>130</v>
      </c>
      <c r="R238" t="s">
        <v>42</v>
      </c>
    </row>
    <row r="239" spans="3:18" hidden="1" x14ac:dyDescent="0.25">
      <c r="C239" t="s">
        <v>45</v>
      </c>
      <c r="D239" t="s">
        <v>138</v>
      </c>
      <c r="E239" t="s">
        <v>40</v>
      </c>
      <c r="F239" t="s">
        <v>53</v>
      </c>
      <c r="G239" s="89">
        <v>108518</v>
      </c>
      <c r="H239" t="s">
        <v>140</v>
      </c>
      <c r="I239" t="s">
        <v>133</v>
      </c>
      <c r="J239" s="89">
        <v>4340720</v>
      </c>
      <c r="K239" t="s">
        <v>144</v>
      </c>
      <c r="N239">
        <v>1</v>
      </c>
      <c r="O239" s="89">
        <v>3255.54</v>
      </c>
      <c r="P239" s="89">
        <v>43407.199999999997</v>
      </c>
      <c r="Q239" t="s">
        <v>130</v>
      </c>
      <c r="R239" t="s">
        <v>131</v>
      </c>
    </row>
    <row r="240" spans="3:18" hidden="1" x14ac:dyDescent="0.25">
      <c r="C240" t="s">
        <v>45</v>
      </c>
      <c r="D240" t="s">
        <v>23</v>
      </c>
      <c r="E240" t="s">
        <v>52</v>
      </c>
      <c r="F240" t="s">
        <v>41</v>
      </c>
      <c r="G240" s="89">
        <v>11686267</v>
      </c>
      <c r="H240" t="s">
        <v>42</v>
      </c>
      <c r="I240" t="s">
        <v>133</v>
      </c>
      <c r="J240" s="89">
        <v>362274277</v>
      </c>
      <c r="K240" t="s">
        <v>127</v>
      </c>
      <c r="L240" t="s">
        <v>128</v>
      </c>
      <c r="M240" t="s">
        <v>152</v>
      </c>
      <c r="N240">
        <v>1</v>
      </c>
      <c r="O240" s="89">
        <v>350588.01</v>
      </c>
      <c r="P240" s="89">
        <v>8297249.5700000003</v>
      </c>
      <c r="Q240" t="s">
        <v>137</v>
      </c>
      <c r="R240" t="s">
        <v>42</v>
      </c>
    </row>
    <row r="241" spans="3:18" hidden="1" x14ac:dyDescent="0.25">
      <c r="C241" t="s">
        <v>45</v>
      </c>
      <c r="D241" t="s">
        <v>23</v>
      </c>
      <c r="E241" t="s">
        <v>40</v>
      </c>
      <c r="F241" t="s">
        <v>41</v>
      </c>
      <c r="G241" s="89">
        <v>15259695</v>
      </c>
      <c r="H241" t="s">
        <v>140</v>
      </c>
      <c r="I241" t="s">
        <v>147</v>
      </c>
      <c r="J241" s="89">
        <v>45779085</v>
      </c>
      <c r="K241" t="s">
        <v>127</v>
      </c>
      <c r="L241" t="s">
        <v>128</v>
      </c>
      <c r="N241">
        <v>1</v>
      </c>
      <c r="O241" s="89">
        <v>457790.85</v>
      </c>
      <c r="P241" s="89">
        <v>1678566.45</v>
      </c>
      <c r="Q241" t="s">
        <v>130</v>
      </c>
      <c r="R241" t="s">
        <v>131</v>
      </c>
    </row>
    <row r="242" spans="3:18" hidden="1" x14ac:dyDescent="0.25">
      <c r="C242" t="s">
        <v>45</v>
      </c>
      <c r="D242" t="s">
        <v>23</v>
      </c>
      <c r="E242" t="s">
        <v>46</v>
      </c>
      <c r="F242" t="s">
        <v>53</v>
      </c>
      <c r="G242" s="89">
        <v>155449</v>
      </c>
      <c r="H242" t="s">
        <v>42</v>
      </c>
      <c r="I242" t="s">
        <v>133</v>
      </c>
      <c r="J242" s="89">
        <v>5285266</v>
      </c>
      <c r="K242" t="s">
        <v>127</v>
      </c>
      <c r="L242" t="s">
        <v>128</v>
      </c>
      <c r="M242" t="s">
        <v>152</v>
      </c>
      <c r="N242">
        <v>1</v>
      </c>
      <c r="O242" s="89">
        <v>4663.47</v>
      </c>
      <c r="P242" s="89">
        <v>88605.93</v>
      </c>
      <c r="Q242" t="s">
        <v>142</v>
      </c>
      <c r="R242" t="s">
        <v>42</v>
      </c>
    </row>
    <row r="243" spans="3:18" x14ac:dyDescent="0.25">
      <c r="C243" t="s">
        <v>47</v>
      </c>
      <c r="D243" t="s">
        <v>20</v>
      </c>
      <c r="E243" t="s">
        <v>48</v>
      </c>
      <c r="F243" t="s">
        <v>41</v>
      </c>
      <c r="G243" s="89">
        <v>419327</v>
      </c>
      <c r="H243" t="s">
        <v>42</v>
      </c>
      <c r="I243" t="s">
        <v>126</v>
      </c>
      <c r="J243" s="89">
        <v>5870578</v>
      </c>
      <c r="K243" t="s">
        <v>127</v>
      </c>
      <c r="L243" t="s">
        <v>128</v>
      </c>
      <c r="M243" t="s">
        <v>139</v>
      </c>
      <c r="N243">
        <v>1</v>
      </c>
      <c r="O243" s="89">
        <v>12579.81</v>
      </c>
      <c r="P243" s="89">
        <v>205470.23</v>
      </c>
      <c r="Q243" t="s">
        <v>142</v>
      </c>
      <c r="R243" t="s">
        <v>131</v>
      </c>
    </row>
    <row r="244" spans="3:18" hidden="1" x14ac:dyDescent="0.25">
      <c r="C244" t="s">
        <v>45</v>
      </c>
      <c r="D244" t="s">
        <v>21</v>
      </c>
      <c r="E244" t="s">
        <v>40</v>
      </c>
      <c r="F244" t="s">
        <v>53</v>
      </c>
      <c r="G244" s="89">
        <v>36652</v>
      </c>
      <c r="H244" t="s">
        <v>145</v>
      </c>
      <c r="I244" t="s">
        <v>141</v>
      </c>
      <c r="J244" s="89">
        <v>256564</v>
      </c>
      <c r="K244" t="s">
        <v>127</v>
      </c>
      <c r="L244" t="s">
        <v>128</v>
      </c>
      <c r="N244">
        <v>1</v>
      </c>
      <c r="O244" s="89">
        <v>1832.6</v>
      </c>
      <c r="P244" s="89">
        <v>4398.24</v>
      </c>
      <c r="Q244" t="s">
        <v>130</v>
      </c>
      <c r="R244" t="s">
        <v>131</v>
      </c>
    </row>
    <row r="245" spans="3:18" hidden="1" x14ac:dyDescent="0.25">
      <c r="C245" t="s">
        <v>45</v>
      </c>
      <c r="D245" t="s">
        <v>20</v>
      </c>
      <c r="E245" t="s">
        <v>43</v>
      </c>
      <c r="F245" t="s">
        <v>41</v>
      </c>
      <c r="G245" s="89">
        <v>6150764</v>
      </c>
      <c r="H245" t="s">
        <v>132</v>
      </c>
      <c r="I245" t="s">
        <v>126</v>
      </c>
      <c r="J245" s="89">
        <v>92261460</v>
      </c>
      <c r="K245" t="s">
        <v>127</v>
      </c>
      <c r="L245" t="s">
        <v>128</v>
      </c>
      <c r="N245">
        <v>1</v>
      </c>
      <c r="O245" s="89">
        <v>184522.92</v>
      </c>
      <c r="P245" s="89">
        <v>1660706.28</v>
      </c>
      <c r="Q245" t="s">
        <v>130</v>
      </c>
      <c r="R245" t="s">
        <v>131</v>
      </c>
    </row>
    <row r="246" spans="3:18" x14ac:dyDescent="0.25">
      <c r="C246" t="s">
        <v>47</v>
      </c>
      <c r="D246" t="s">
        <v>22</v>
      </c>
      <c r="E246" t="s">
        <v>40</v>
      </c>
      <c r="F246" t="s">
        <v>41</v>
      </c>
      <c r="G246" s="89">
        <v>67002</v>
      </c>
      <c r="H246" t="s">
        <v>140</v>
      </c>
      <c r="I246" t="s">
        <v>141</v>
      </c>
      <c r="J246" s="89">
        <v>335010</v>
      </c>
      <c r="K246" t="s">
        <v>134</v>
      </c>
      <c r="L246" t="s">
        <v>128</v>
      </c>
      <c r="N246">
        <v>1</v>
      </c>
      <c r="O246" s="89">
        <v>2010.06</v>
      </c>
      <c r="P246" s="89">
        <v>12730.38</v>
      </c>
      <c r="Q246" t="s">
        <v>130</v>
      </c>
      <c r="R246" t="s">
        <v>131</v>
      </c>
    </row>
    <row r="247" spans="3:18" hidden="1" x14ac:dyDescent="0.25">
      <c r="C247" t="s">
        <v>45</v>
      </c>
      <c r="D247" t="s">
        <v>25</v>
      </c>
      <c r="E247" t="s">
        <v>48</v>
      </c>
      <c r="F247" t="s">
        <v>41</v>
      </c>
      <c r="G247" s="89">
        <v>3585029</v>
      </c>
      <c r="H247" t="s">
        <v>146</v>
      </c>
      <c r="I247" t="s">
        <v>126</v>
      </c>
      <c r="J247" s="89">
        <v>57360464</v>
      </c>
      <c r="K247" t="s">
        <v>127</v>
      </c>
      <c r="L247" t="s">
        <v>128</v>
      </c>
      <c r="N247">
        <v>1</v>
      </c>
      <c r="O247" s="89">
        <v>107550.87</v>
      </c>
      <c r="P247" s="89">
        <v>1792514.5</v>
      </c>
      <c r="Q247" t="s">
        <v>142</v>
      </c>
      <c r="R247" t="s">
        <v>131</v>
      </c>
    </row>
    <row r="248" spans="3:18" hidden="1" x14ac:dyDescent="0.25">
      <c r="C248" t="s">
        <v>45</v>
      </c>
      <c r="D248" t="s">
        <v>20</v>
      </c>
      <c r="E248" t="s">
        <v>48</v>
      </c>
      <c r="F248" t="s">
        <v>41</v>
      </c>
      <c r="G248" s="89">
        <v>3369620</v>
      </c>
      <c r="H248" t="s">
        <v>42</v>
      </c>
      <c r="I248" t="s">
        <v>133</v>
      </c>
      <c r="J248" s="89">
        <v>107827840</v>
      </c>
      <c r="K248" t="s">
        <v>127</v>
      </c>
      <c r="L248" t="s">
        <v>128</v>
      </c>
      <c r="M248" t="s">
        <v>139</v>
      </c>
      <c r="N248">
        <v>1</v>
      </c>
      <c r="O248" s="89">
        <v>101088.6</v>
      </c>
      <c r="P248" s="89">
        <v>2325037.7999999998</v>
      </c>
      <c r="Q248" t="s">
        <v>137</v>
      </c>
      <c r="R248" t="s">
        <v>131</v>
      </c>
    </row>
    <row r="249" spans="3:18" hidden="1" x14ac:dyDescent="0.25">
      <c r="C249" t="s">
        <v>39</v>
      </c>
      <c r="D249" t="s">
        <v>21</v>
      </c>
      <c r="E249" t="s">
        <v>43</v>
      </c>
      <c r="F249" t="s">
        <v>41</v>
      </c>
      <c r="G249" s="89">
        <v>175166</v>
      </c>
      <c r="H249" t="s">
        <v>42</v>
      </c>
      <c r="I249" t="s">
        <v>133</v>
      </c>
      <c r="J249" s="89"/>
      <c r="N249">
        <v>0</v>
      </c>
      <c r="O249" s="89"/>
      <c r="P249" s="89"/>
      <c r="R249" t="s">
        <v>131</v>
      </c>
    </row>
    <row r="250" spans="3:18" hidden="1" x14ac:dyDescent="0.25">
      <c r="C250" t="s">
        <v>45</v>
      </c>
      <c r="D250" t="s">
        <v>23</v>
      </c>
      <c r="E250" t="s">
        <v>48</v>
      </c>
      <c r="F250" t="s">
        <v>41</v>
      </c>
      <c r="G250" s="89">
        <v>684750</v>
      </c>
      <c r="H250" t="s">
        <v>140</v>
      </c>
      <c r="I250" t="s">
        <v>126</v>
      </c>
      <c r="J250" s="89">
        <v>10956000</v>
      </c>
      <c r="K250" t="s">
        <v>144</v>
      </c>
      <c r="N250">
        <v>1</v>
      </c>
      <c r="O250" s="89">
        <v>20542.5</v>
      </c>
      <c r="P250" s="89">
        <v>472477.5</v>
      </c>
      <c r="Q250" t="s">
        <v>137</v>
      </c>
      <c r="R250" t="s">
        <v>131</v>
      </c>
    </row>
    <row r="251" spans="3:18" hidden="1" x14ac:dyDescent="0.25">
      <c r="C251" t="s">
        <v>45</v>
      </c>
      <c r="D251" t="s">
        <v>20</v>
      </c>
      <c r="E251" t="s">
        <v>43</v>
      </c>
      <c r="F251" t="s">
        <v>41</v>
      </c>
      <c r="G251" s="89">
        <v>1828023</v>
      </c>
      <c r="H251" t="s">
        <v>42</v>
      </c>
      <c r="I251" t="s">
        <v>133</v>
      </c>
      <c r="J251" s="89">
        <v>54840690</v>
      </c>
      <c r="K251" t="s">
        <v>134</v>
      </c>
      <c r="L251" t="s">
        <v>128</v>
      </c>
      <c r="M251" t="s">
        <v>139</v>
      </c>
      <c r="N251">
        <v>1</v>
      </c>
      <c r="O251" s="89">
        <v>54840.69</v>
      </c>
      <c r="P251" s="89">
        <v>932291.73</v>
      </c>
      <c r="Q251" t="s">
        <v>142</v>
      </c>
      <c r="R251" t="s">
        <v>131</v>
      </c>
    </row>
    <row r="252" spans="3:18" x14ac:dyDescent="0.25">
      <c r="C252" t="s">
        <v>47</v>
      </c>
      <c r="D252" t="s">
        <v>138</v>
      </c>
      <c r="E252" t="s">
        <v>40</v>
      </c>
      <c r="F252" t="s">
        <v>41</v>
      </c>
      <c r="G252" s="89">
        <v>1999647</v>
      </c>
      <c r="H252" t="s">
        <v>145</v>
      </c>
      <c r="I252" t="s">
        <v>147</v>
      </c>
      <c r="J252" s="89">
        <v>5998941</v>
      </c>
      <c r="K252" t="s">
        <v>127</v>
      </c>
      <c r="L252" t="s">
        <v>128</v>
      </c>
      <c r="N252">
        <v>1</v>
      </c>
      <c r="O252" s="89">
        <v>79985.88</v>
      </c>
      <c r="P252" s="89">
        <v>399929.4</v>
      </c>
      <c r="Q252" t="s">
        <v>130</v>
      </c>
      <c r="R252" t="s">
        <v>131</v>
      </c>
    </row>
    <row r="253" spans="3:18" hidden="1" x14ac:dyDescent="0.25">
      <c r="C253" t="s">
        <v>45</v>
      </c>
      <c r="D253" t="s">
        <v>23</v>
      </c>
      <c r="E253" t="s">
        <v>48</v>
      </c>
      <c r="F253" t="s">
        <v>41</v>
      </c>
      <c r="G253" s="89">
        <v>227860</v>
      </c>
      <c r="H253" t="s">
        <v>146</v>
      </c>
      <c r="I253" t="s">
        <v>133</v>
      </c>
      <c r="J253" s="89">
        <v>6380080</v>
      </c>
      <c r="K253" t="s">
        <v>127</v>
      </c>
      <c r="L253" t="s">
        <v>128</v>
      </c>
      <c r="N253">
        <v>1</v>
      </c>
      <c r="O253" s="89">
        <v>6835.8</v>
      </c>
      <c r="P253" s="89">
        <v>266596.2</v>
      </c>
      <c r="Q253" t="s">
        <v>150</v>
      </c>
      <c r="R253" t="s">
        <v>131</v>
      </c>
    </row>
    <row r="254" spans="3:18" hidden="1" x14ac:dyDescent="0.25">
      <c r="C254" t="s">
        <v>45</v>
      </c>
      <c r="D254" t="s">
        <v>19</v>
      </c>
      <c r="E254" t="s">
        <v>43</v>
      </c>
      <c r="F254" t="s">
        <v>41</v>
      </c>
      <c r="G254" s="89">
        <v>271964</v>
      </c>
      <c r="H254" t="s">
        <v>42</v>
      </c>
      <c r="I254" t="s">
        <v>141</v>
      </c>
      <c r="J254" s="89">
        <v>2719640</v>
      </c>
      <c r="K254" t="s">
        <v>127</v>
      </c>
      <c r="L254" t="s">
        <v>128</v>
      </c>
      <c r="M254" t="s">
        <v>152</v>
      </c>
      <c r="N254">
        <v>1</v>
      </c>
      <c r="O254" s="89">
        <v>8158.92</v>
      </c>
      <c r="P254" s="89">
        <v>135982</v>
      </c>
      <c r="Q254" t="s">
        <v>142</v>
      </c>
      <c r="R254" t="s">
        <v>131</v>
      </c>
    </row>
    <row r="255" spans="3:18" hidden="1" x14ac:dyDescent="0.25">
      <c r="C255" t="s">
        <v>45</v>
      </c>
      <c r="D255" t="s">
        <v>19</v>
      </c>
      <c r="E255" t="s">
        <v>40</v>
      </c>
      <c r="F255" t="s">
        <v>41</v>
      </c>
      <c r="G255" s="89">
        <v>157867</v>
      </c>
      <c r="H255" t="s">
        <v>42</v>
      </c>
      <c r="I255" t="s">
        <v>126</v>
      </c>
      <c r="J255" s="89">
        <v>2683739</v>
      </c>
      <c r="K255" t="s">
        <v>127</v>
      </c>
      <c r="L255" t="s">
        <v>128</v>
      </c>
      <c r="M255" t="s">
        <v>136</v>
      </c>
      <c r="N255">
        <v>1</v>
      </c>
      <c r="O255" s="89">
        <v>4736.01</v>
      </c>
      <c r="P255" s="89">
        <v>104192.22</v>
      </c>
      <c r="Q255" t="s">
        <v>137</v>
      </c>
      <c r="R255" t="s">
        <v>42</v>
      </c>
    </row>
    <row r="256" spans="3:18" hidden="1" x14ac:dyDescent="0.25">
      <c r="C256" t="s">
        <v>45</v>
      </c>
      <c r="D256" t="s">
        <v>20</v>
      </c>
      <c r="E256" t="s">
        <v>43</v>
      </c>
      <c r="F256" t="s">
        <v>41</v>
      </c>
      <c r="G256" s="89">
        <v>4709920</v>
      </c>
      <c r="H256" t="s">
        <v>42</v>
      </c>
      <c r="I256" t="s">
        <v>141</v>
      </c>
      <c r="J256" s="89">
        <v>37679360</v>
      </c>
      <c r="K256" t="s">
        <v>127</v>
      </c>
      <c r="L256" t="s">
        <v>128</v>
      </c>
      <c r="M256" t="s">
        <v>139</v>
      </c>
      <c r="N256">
        <v>1</v>
      </c>
      <c r="O256" s="89">
        <v>141297.60000000001</v>
      </c>
      <c r="P256" s="89">
        <v>1083281.6000000001</v>
      </c>
      <c r="Q256" t="s">
        <v>130</v>
      </c>
      <c r="R256" t="s">
        <v>131</v>
      </c>
    </row>
    <row r="257" spans="3:18" hidden="1" x14ac:dyDescent="0.25">
      <c r="C257" t="s">
        <v>45</v>
      </c>
      <c r="D257" t="s">
        <v>23</v>
      </c>
      <c r="E257" t="s">
        <v>48</v>
      </c>
      <c r="F257" t="s">
        <v>41</v>
      </c>
      <c r="G257" s="89">
        <v>1465135</v>
      </c>
      <c r="H257" t="s">
        <v>42</v>
      </c>
      <c r="I257" t="s">
        <v>126</v>
      </c>
      <c r="J257" s="89">
        <v>24907295</v>
      </c>
      <c r="K257" t="s">
        <v>127</v>
      </c>
      <c r="L257" t="s">
        <v>128</v>
      </c>
      <c r="M257" t="s">
        <v>152</v>
      </c>
      <c r="N257">
        <v>1</v>
      </c>
      <c r="O257" s="89">
        <v>43954.05</v>
      </c>
      <c r="P257" s="89">
        <v>952337.75</v>
      </c>
      <c r="Q257" t="s">
        <v>137</v>
      </c>
      <c r="R257" t="s">
        <v>42</v>
      </c>
    </row>
    <row r="258" spans="3:18" hidden="1" x14ac:dyDescent="0.25">
      <c r="C258" t="s">
        <v>45</v>
      </c>
      <c r="D258" t="s">
        <v>23</v>
      </c>
      <c r="E258" t="s">
        <v>43</v>
      </c>
      <c r="F258" t="s">
        <v>41</v>
      </c>
      <c r="G258" s="89">
        <v>152344</v>
      </c>
      <c r="H258" t="s">
        <v>140</v>
      </c>
      <c r="I258" t="s">
        <v>126</v>
      </c>
      <c r="J258" s="89">
        <v>2285160</v>
      </c>
      <c r="K258" t="s">
        <v>127</v>
      </c>
      <c r="L258" t="s">
        <v>128</v>
      </c>
      <c r="N258">
        <v>1</v>
      </c>
      <c r="O258" s="89">
        <v>4570.32</v>
      </c>
      <c r="P258" s="89">
        <v>129492.4</v>
      </c>
      <c r="Q258" t="s">
        <v>135</v>
      </c>
      <c r="R258" t="s">
        <v>131</v>
      </c>
    </row>
    <row r="259" spans="3:18" hidden="1" x14ac:dyDescent="0.25">
      <c r="C259" t="s">
        <v>45</v>
      </c>
      <c r="D259" t="s">
        <v>23</v>
      </c>
      <c r="E259" t="s">
        <v>48</v>
      </c>
      <c r="F259" t="s">
        <v>41</v>
      </c>
      <c r="G259" s="89">
        <v>7899722</v>
      </c>
      <c r="H259" t="s">
        <v>42</v>
      </c>
      <c r="I259" t="s">
        <v>126</v>
      </c>
      <c r="J259" s="89">
        <v>126395552</v>
      </c>
      <c r="K259" t="s">
        <v>127</v>
      </c>
      <c r="L259" t="s">
        <v>128</v>
      </c>
      <c r="M259" t="s">
        <v>152</v>
      </c>
      <c r="N259">
        <v>1</v>
      </c>
      <c r="O259" s="89">
        <v>315988.88</v>
      </c>
      <c r="P259" s="89">
        <v>5450808.1799999997</v>
      </c>
      <c r="Q259" t="s">
        <v>137</v>
      </c>
      <c r="R259" t="s">
        <v>131</v>
      </c>
    </row>
    <row r="260" spans="3:18" hidden="1" x14ac:dyDescent="0.25">
      <c r="C260" t="s">
        <v>45</v>
      </c>
      <c r="D260" t="s">
        <v>23</v>
      </c>
      <c r="E260" t="s">
        <v>43</v>
      </c>
      <c r="F260" t="s">
        <v>41</v>
      </c>
      <c r="G260" s="89">
        <v>1821</v>
      </c>
      <c r="H260" t="s">
        <v>146</v>
      </c>
      <c r="I260" t="s">
        <v>141</v>
      </c>
      <c r="J260" s="89">
        <v>10926</v>
      </c>
      <c r="K260" t="s">
        <v>127</v>
      </c>
      <c r="L260" t="s">
        <v>128</v>
      </c>
      <c r="N260">
        <v>1</v>
      </c>
      <c r="O260" s="89">
        <v>54.63</v>
      </c>
      <c r="P260" s="89">
        <v>2731.5</v>
      </c>
      <c r="Q260" t="s">
        <v>150</v>
      </c>
      <c r="R260" t="s">
        <v>131</v>
      </c>
    </row>
    <row r="261" spans="3:18" hidden="1" x14ac:dyDescent="0.25">
      <c r="C261" t="s">
        <v>45</v>
      </c>
      <c r="D261" t="s">
        <v>23</v>
      </c>
      <c r="E261" t="s">
        <v>44</v>
      </c>
      <c r="F261" t="s">
        <v>41</v>
      </c>
      <c r="G261" s="89">
        <v>2310070</v>
      </c>
      <c r="H261" t="s">
        <v>42</v>
      </c>
      <c r="I261" t="s">
        <v>126</v>
      </c>
      <c r="J261" s="89">
        <v>39271190</v>
      </c>
      <c r="K261" t="s">
        <v>127</v>
      </c>
      <c r="L261" t="s">
        <v>128</v>
      </c>
      <c r="M261" t="s">
        <v>152</v>
      </c>
      <c r="N261">
        <v>1</v>
      </c>
      <c r="O261" s="89">
        <v>69302.100000000006</v>
      </c>
      <c r="P261" s="89">
        <v>1155035</v>
      </c>
      <c r="Q261" t="s">
        <v>142</v>
      </c>
      <c r="R261" t="s">
        <v>42</v>
      </c>
    </row>
    <row r="262" spans="3:18" hidden="1" x14ac:dyDescent="0.25">
      <c r="C262" t="s">
        <v>45</v>
      </c>
      <c r="D262" t="s">
        <v>19</v>
      </c>
      <c r="E262" t="s">
        <v>43</v>
      </c>
      <c r="F262" t="s">
        <v>41</v>
      </c>
      <c r="G262" s="89">
        <v>1038427</v>
      </c>
      <c r="H262" t="s">
        <v>145</v>
      </c>
      <c r="I262" t="s">
        <v>133</v>
      </c>
      <c r="J262" s="89">
        <v>36344945</v>
      </c>
      <c r="K262" t="s">
        <v>144</v>
      </c>
      <c r="N262">
        <v>1</v>
      </c>
      <c r="O262" s="89">
        <v>31152.81</v>
      </c>
      <c r="P262" s="89">
        <v>861894.41</v>
      </c>
      <c r="Q262" t="s">
        <v>135</v>
      </c>
      <c r="R262" t="s">
        <v>131</v>
      </c>
    </row>
    <row r="263" spans="3:18" hidden="1" x14ac:dyDescent="0.25">
      <c r="C263" t="s">
        <v>45</v>
      </c>
      <c r="D263" t="s">
        <v>149</v>
      </c>
      <c r="E263" t="s">
        <v>43</v>
      </c>
      <c r="F263" t="s">
        <v>41</v>
      </c>
      <c r="G263" s="89">
        <v>60149</v>
      </c>
      <c r="H263" t="s">
        <v>140</v>
      </c>
      <c r="I263" t="s">
        <v>133</v>
      </c>
      <c r="J263" s="89">
        <v>2045066</v>
      </c>
      <c r="K263" t="s">
        <v>134</v>
      </c>
      <c r="L263" t="s">
        <v>128</v>
      </c>
      <c r="N263">
        <v>1</v>
      </c>
      <c r="O263" s="89">
        <v>1804.47</v>
      </c>
      <c r="P263" s="89">
        <v>16841.72</v>
      </c>
      <c r="Q263" t="s">
        <v>130</v>
      </c>
      <c r="R263" t="s">
        <v>131</v>
      </c>
    </row>
    <row r="264" spans="3:18" hidden="1" x14ac:dyDescent="0.25">
      <c r="C264" t="s">
        <v>45</v>
      </c>
      <c r="D264" t="s">
        <v>138</v>
      </c>
      <c r="E264" t="s">
        <v>43</v>
      </c>
      <c r="F264" t="s">
        <v>41</v>
      </c>
      <c r="G264" s="89">
        <v>266295</v>
      </c>
      <c r="H264" t="s">
        <v>42</v>
      </c>
      <c r="I264" t="s">
        <v>133</v>
      </c>
      <c r="J264" s="89">
        <v>7189965</v>
      </c>
      <c r="K264" t="s">
        <v>127</v>
      </c>
      <c r="L264" t="s">
        <v>128</v>
      </c>
      <c r="M264" t="s">
        <v>136</v>
      </c>
      <c r="N264">
        <v>1</v>
      </c>
      <c r="O264" s="89">
        <v>7988.85</v>
      </c>
      <c r="P264" s="89">
        <v>157114.04999999999</v>
      </c>
      <c r="Q264" t="s">
        <v>142</v>
      </c>
      <c r="R264" t="s">
        <v>42</v>
      </c>
    </row>
    <row r="265" spans="3:18" x14ac:dyDescent="0.25">
      <c r="C265" t="s">
        <v>47</v>
      </c>
      <c r="D265" t="s">
        <v>22</v>
      </c>
      <c r="E265" t="s">
        <v>40</v>
      </c>
      <c r="F265" t="s">
        <v>41</v>
      </c>
      <c r="G265" s="89">
        <v>190804</v>
      </c>
      <c r="H265" t="s">
        <v>42</v>
      </c>
      <c r="I265" t="s">
        <v>126</v>
      </c>
      <c r="J265" s="89">
        <v>2098844</v>
      </c>
      <c r="K265" t="s">
        <v>127</v>
      </c>
      <c r="L265" t="s">
        <v>128</v>
      </c>
      <c r="M265" t="s">
        <v>143</v>
      </c>
      <c r="N265">
        <v>1</v>
      </c>
      <c r="O265" s="89">
        <v>5724.12</v>
      </c>
      <c r="P265" s="89">
        <v>112574.36</v>
      </c>
      <c r="Q265" t="s">
        <v>142</v>
      </c>
      <c r="R265" t="s">
        <v>131</v>
      </c>
    </row>
    <row r="266" spans="3:18" hidden="1" x14ac:dyDescent="0.25">
      <c r="C266" t="s">
        <v>45</v>
      </c>
      <c r="D266" t="s">
        <v>19</v>
      </c>
      <c r="E266" t="s">
        <v>43</v>
      </c>
      <c r="F266" t="s">
        <v>41</v>
      </c>
      <c r="G266" s="89">
        <v>141386</v>
      </c>
      <c r="H266" t="s">
        <v>146</v>
      </c>
      <c r="I266" t="s">
        <v>133</v>
      </c>
      <c r="J266" s="89">
        <v>5089896</v>
      </c>
      <c r="K266" t="s">
        <v>134</v>
      </c>
      <c r="L266" t="s">
        <v>128</v>
      </c>
      <c r="N266">
        <v>1</v>
      </c>
      <c r="O266" s="89">
        <v>4241.58</v>
      </c>
      <c r="P266" s="89">
        <v>124419.68</v>
      </c>
      <c r="Q266" t="s">
        <v>135</v>
      </c>
      <c r="R266" t="s">
        <v>131</v>
      </c>
    </row>
    <row r="267" spans="3:18" hidden="1" x14ac:dyDescent="0.25">
      <c r="C267" t="s">
        <v>45</v>
      </c>
      <c r="D267" t="s">
        <v>22</v>
      </c>
      <c r="E267" t="s">
        <v>43</v>
      </c>
      <c r="F267" t="s">
        <v>41</v>
      </c>
      <c r="G267" s="89">
        <v>178969</v>
      </c>
      <c r="H267" t="s">
        <v>132</v>
      </c>
      <c r="I267" t="s">
        <v>126</v>
      </c>
      <c r="J267" s="89">
        <v>2147628</v>
      </c>
      <c r="K267" t="s">
        <v>144</v>
      </c>
      <c r="N267">
        <v>1</v>
      </c>
      <c r="O267" s="89">
        <v>5369.07</v>
      </c>
      <c r="P267" s="89">
        <v>119909.23</v>
      </c>
      <c r="Q267" t="s">
        <v>137</v>
      </c>
      <c r="R267" t="s">
        <v>131</v>
      </c>
    </row>
    <row r="268" spans="3:18" x14ac:dyDescent="0.25">
      <c r="C268" t="s">
        <v>47</v>
      </c>
      <c r="D268" t="s">
        <v>21</v>
      </c>
      <c r="E268" t="s">
        <v>40</v>
      </c>
      <c r="F268" t="s">
        <v>41</v>
      </c>
      <c r="G268" s="89">
        <v>462687</v>
      </c>
      <c r="H268" t="s">
        <v>140</v>
      </c>
      <c r="I268" t="s">
        <v>133</v>
      </c>
      <c r="J268" s="89">
        <v>12029862</v>
      </c>
      <c r="K268" t="s">
        <v>127</v>
      </c>
      <c r="L268" t="s">
        <v>128</v>
      </c>
      <c r="N268">
        <v>1</v>
      </c>
      <c r="O268" s="89">
        <v>13880.61</v>
      </c>
      <c r="P268" s="89">
        <v>328507.77</v>
      </c>
      <c r="Q268" t="s">
        <v>137</v>
      </c>
      <c r="R268" t="s">
        <v>131</v>
      </c>
    </row>
    <row r="269" spans="3:18" hidden="1" x14ac:dyDescent="0.25">
      <c r="C269" t="s">
        <v>45</v>
      </c>
      <c r="D269" t="s">
        <v>21</v>
      </c>
      <c r="E269" t="s">
        <v>40</v>
      </c>
      <c r="F269" t="s">
        <v>53</v>
      </c>
      <c r="G269" s="89">
        <v>225389</v>
      </c>
      <c r="H269" t="s">
        <v>146</v>
      </c>
      <c r="I269" t="s">
        <v>133</v>
      </c>
      <c r="J269" s="89">
        <v>6085503</v>
      </c>
      <c r="K269" t="s">
        <v>144</v>
      </c>
      <c r="N269">
        <v>1</v>
      </c>
      <c r="O269" s="89">
        <v>6761.67</v>
      </c>
      <c r="P269" s="89">
        <v>103678.94</v>
      </c>
      <c r="Q269" t="s">
        <v>142</v>
      </c>
      <c r="R269" t="s">
        <v>131</v>
      </c>
    </row>
    <row r="270" spans="3:18" hidden="1" x14ac:dyDescent="0.25">
      <c r="C270" t="s">
        <v>45</v>
      </c>
      <c r="D270" t="s">
        <v>138</v>
      </c>
      <c r="E270" t="s">
        <v>40</v>
      </c>
      <c r="F270" t="s">
        <v>41</v>
      </c>
      <c r="G270" s="89">
        <v>209784</v>
      </c>
      <c r="H270" t="s">
        <v>140</v>
      </c>
      <c r="I270" t="s">
        <v>133</v>
      </c>
      <c r="J270" s="89">
        <v>6503304</v>
      </c>
      <c r="K270" t="s">
        <v>144</v>
      </c>
      <c r="N270">
        <v>1</v>
      </c>
      <c r="O270" s="89">
        <v>6293.52</v>
      </c>
      <c r="P270" s="89">
        <v>92304.960000000006</v>
      </c>
      <c r="Q270" t="s">
        <v>142</v>
      </c>
      <c r="R270" t="s">
        <v>131</v>
      </c>
    </row>
    <row r="271" spans="3:18" hidden="1" x14ac:dyDescent="0.25">
      <c r="C271" t="s">
        <v>45</v>
      </c>
      <c r="D271" t="s">
        <v>19</v>
      </c>
      <c r="E271" t="s">
        <v>43</v>
      </c>
      <c r="F271" t="s">
        <v>41</v>
      </c>
      <c r="G271" s="89">
        <v>586691</v>
      </c>
      <c r="H271" t="s">
        <v>140</v>
      </c>
      <c r="I271" t="s">
        <v>141</v>
      </c>
      <c r="J271" s="89">
        <v>4693528</v>
      </c>
      <c r="K271" t="s">
        <v>127</v>
      </c>
      <c r="L271" t="s">
        <v>128</v>
      </c>
      <c r="N271">
        <v>1</v>
      </c>
      <c r="O271" s="89">
        <v>17600.73</v>
      </c>
      <c r="P271" s="89">
        <v>404816.79</v>
      </c>
      <c r="Q271" t="s">
        <v>137</v>
      </c>
      <c r="R271" t="s">
        <v>131</v>
      </c>
    </row>
    <row r="272" spans="3:18" hidden="1" x14ac:dyDescent="0.25">
      <c r="C272" t="s">
        <v>45</v>
      </c>
      <c r="D272" t="s">
        <v>20</v>
      </c>
      <c r="E272" t="s">
        <v>43</v>
      </c>
      <c r="F272" t="s">
        <v>41</v>
      </c>
      <c r="G272" s="89">
        <v>267587</v>
      </c>
      <c r="H272" t="s">
        <v>42</v>
      </c>
      <c r="I272" t="s">
        <v>133</v>
      </c>
      <c r="J272" s="89">
        <v>5886914</v>
      </c>
      <c r="K272" t="s">
        <v>127</v>
      </c>
      <c r="L272" t="s">
        <v>128</v>
      </c>
      <c r="M272" t="s">
        <v>143</v>
      </c>
      <c r="N272">
        <v>1</v>
      </c>
      <c r="O272" s="89">
        <v>5351.74</v>
      </c>
      <c r="P272" s="89">
        <v>72248.490000000005</v>
      </c>
      <c r="Q272" t="s">
        <v>130</v>
      </c>
      <c r="R272" t="s">
        <v>42</v>
      </c>
    </row>
    <row r="273" spans="3:18" x14ac:dyDescent="0.25">
      <c r="C273" t="s">
        <v>47</v>
      </c>
      <c r="D273" t="s">
        <v>50</v>
      </c>
      <c r="E273" t="s">
        <v>50</v>
      </c>
      <c r="F273" t="s">
        <v>41</v>
      </c>
      <c r="G273" s="89">
        <v>0</v>
      </c>
      <c r="H273" t="s">
        <v>51</v>
      </c>
      <c r="I273" t="s">
        <v>147</v>
      </c>
      <c r="J273" s="89">
        <v>0</v>
      </c>
      <c r="K273" t="s">
        <v>127</v>
      </c>
      <c r="N273">
        <v>1</v>
      </c>
      <c r="O273" s="89">
        <v>0</v>
      </c>
      <c r="P273" s="89">
        <v>0</v>
      </c>
      <c r="Q273" t="s">
        <v>135</v>
      </c>
    </row>
    <row r="274" spans="3:18" hidden="1" x14ac:dyDescent="0.25">
      <c r="C274" t="s">
        <v>45</v>
      </c>
      <c r="D274" t="s">
        <v>22</v>
      </c>
      <c r="E274" t="s">
        <v>43</v>
      </c>
      <c r="F274" t="s">
        <v>41</v>
      </c>
      <c r="G274" s="89">
        <v>287826</v>
      </c>
      <c r="H274" t="s">
        <v>145</v>
      </c>
      <c r="I274" t="s">
        <v>133</v>
      </c>
      <c r="J274" s="89">
        <v>9786084</v>
      </c>
      <c r="K274" t="s">
        <v>127</v>
      </c>
      <c r="L274" t="s">
        <v>128</v>
      </c>
      <c r="N274">
        <v>1</v>
      </c>
      <c r="O274" s="89">
        <v>8634.7800000000007</v>
      </c>
      <c r="P274" s="89">
        <v>316608.59999999998</v>
      </c>
      <c r="Q274" t="s">
        <v>150</v>
      </c>
      <c r="R274" t="s">
        <v>131</v>
      </c>
    </row>
    <row r="275" spans="3:18" hidden="1" x14ac:dyDescent="0.25">
      <c r="C275" t="s">
        <v>45</v>
      </c>
      <c r="D275" t="s">
        <v>25</v>
      </c>
      <c r="E275" t="s">
        <v>43</v>
      </c>
      <c r="F275" t="s">
        <v>41</v>
      </c>
      <c r="G275" s="89">
        <v>55483</v>
      </c>
      <c r="H275" t="s">
        <v>42</v>
      </c>
      <c r="I275" t="s">
        <v>133</v>
      </c>
      <c r="J275" s="89">
        <v>1886422</v>
      </c>
      <c r="K275" t="s">
        <v>127</v>
      </c>
      <c r="L275" t="s">
        <v>128</v>
      </c>
      <c r="M275" t="s">
        <v>148</v>
      </c>
      <c r="N275">
        <v>1</v>
      </c>
      <c r="O275" s="89">
        <v>2219.3200000000002</v>
      </c>
      <c r="P275" s="89">
        <v>42721.91</v>
      </c>
      <c r="Q275" t="s">
        <v>137</v>
      </c>
      <c r="R275" t="s">
        <v>42</v>
      </c>
    </row>
    <row r="276" spans="3:18" hidden="1" x14ac:dyDescent="0.25">
      <c r="C276" t="s">
        <v>45</v>
      </c>
      <c r="D276" t="s">
        <v>23</v>
      </c>
      <c r="E276" t="s">
        <v>48</v>
      </c>
      <c r="F276" t="s">
        <v>41</v>
      </c>
      <c r="G276" s="89">
        <v>17705</v>
      </c>
      <c r="H276" t="s">
        <v>132</v>
      </c>
      <c r="I276" t="s">
        <v>141</v>
      </c>
      <c r="J276" s="89">
        <v>123935</v>
      </c>
      <c r="K276" t="s">
        <v>127</v>
      </c>
      <c r="L276" t="s">
        <v>128</v>
      </c>
      <c r="N276">
        <v>1</v>
      </c>
      <c r="O276" s="89">
        <v>531.15</v>
      </c>
      <c r="P276" s="89">
        <v>13632.85</v>
      </c>
      <c r="Q276" t="s">
        <v>137</v>
      </c>
      <c r="R276" t="s">
        <v>131</v>
      </c>
    </row>
    <row r="277" spans="3:18" hidden="1" x14ac:dyDescent="0.25">
      <c r="C277" t="s">
        <v>45</v>
      </c>
      <c r="D277" t="s">
        <v>25</v>
      </c>
      <c r="E277" t="s">
        <v>48</v>
      </c>
      <c r="F277" t="s">
        <v>41</v>
      </c>
      <c r="G277" s="89">
        <v>65345</v>
      </c>
      <c r="H277" t="s">
        <v>132</v>
      </c>
      <c r="I277" t="s">
        <v>133</v>
      </c>
      <c r="J277" s="89">
        <v>1372245</v>
      </c>
      <c r="K277" t="s">
        <v>127</v>
      </c>
      <c r="L277" t="s">
        <v>128</v>
      </c>
      <c r="N277">
        <v>1</v>
      </c>
      <c r="O277" s="89">
        <v>1960.35</v>
      </c>
      <c r="P277" s="89">
        <v>38553.550000000003</v>
      </c>
      <c r="Q277" t="s">
        <v>142</v>
      </c>
      <c r="R277" t="s">
        <v>131</v>
      </c>
    </row>
    <row r="278" spans="3:18" hidden="1" x14ac:dyDescent="0.25">
      <c r="C278" t="s">
        <v>45</v>
      </c>
      <c r="D278" t="s">
        <v>50</v>
      </c>
      <c r="E278" t="s">
        <v>50</v>
      </c>
      <c r="F278" t="s">
        <v>41</v>
      </c>
      <c r="G278" s="89">
        <v>164465</v>
      </c>
      <c r="H278" t="s">
        <v>79</v>
      </c>
      <c r="I278" t="s">
        <v>141</v>
      </c>
      <c r="J278" s="89">
        <v>1151255</v>
      </c>
      <c r="K278" t="s">
        <v>127</v>
      </c>
      <c r="N278">
        <v>1</v>
      </c>
      <c r="O278" s="89">
        <v>4933.95</v>
      </c>
      <c r="P278" s="89">
        <v>0</v>
      </c>
      <c r="Q278" t="s">
        <v>130</v>
      </c>
      <c r="R278" t="s">
        <v>79</v>
      </c>
    </row>
    <row r="279" spans="3:18" hidden="1" x14ac:dyDescent="0.25">
      <c r="C279" t="s">
        <v>45</v>
      </c>
      <c r="D279" t="s">
        <v>25</v>
      </c>
      <c r="E279" t="s">
        <v>48</v>
      </c>
      <c r="F279" t="s">
        <v>41</v>
      </c>
      <c r="G279" s="89">
        <v>204375</v>
      </c>
      <c r="H279" t="s">
        <v>42</v>
      </c>
      <c r="I279" t="s">
        <v>133</v>
      </c>
      <c r="J279" s="89">
        <v>4905000</v>
      </c>
      <c r="K279" t="s">
        <v>127</v>
      </c>
      <c r="L279" t="s">
        <v>128</v>
      </c>
      <c r="M279" t="s">
        <v>155</v>
      </c>
      <c r="N279">
        <v>1</v>
      </c>
      <c r="O279" s="89">
        <v>6131.25</v>
      </c>
      <c r="P279" s="89">
        <v>108318.75</v>
      </c>
      <c r="Q279" t="s">
        <v>142</v>
      </c>
      <c r="R279" t="s">
        <v>131</v>
      </c>
    </row>
    <row r="280" spans="3:18" hidden="1" x14ac:dyDescent="0.25">
      <c r="C280" t="s">
        <v>45</v>
      </c>
      <c r="D280" t="s">
        <v>22</v>
      </c>
      <c r="E280" t="s">
        <v>48</v>
      </c>
      <c r="F280" t="s">
        <v>41</v>
      </c>
      <c r="G280" s="89">
        <v>1836584</v>
      </c>
      <c r="H280" t="s">
        <v>42</v>
      </c>
      <c r="I280" t="s">
        <v>126</v>
      </c>
      <c r="J280" s="89">
        <v>31221928</v>
      </c>
      <c r="K280" t="s">
        <v>144</v>
      </c>
      <c r="N280">
        <v>1</v>
      </c>
      <c r="O280" s="89">
        <v>55097.52</v>
      </c>
      <c r="P280" s="89">
        <v>1285608.8</v>
      </c>
      <c r="Q280" t="s">
        <v>137</v>
      </c>
      <c r="R280" t="s">
        <v>42</v>
      </c>
    </row>
    <row r="281" spans="3:18" hidden="1" x14ac:dyDescent="0.25">
      <c r="C281" t="s">
        <v>45</v>
      </c>
      <c r="D281" t="s">
        <v>149</v>
      </c>
      <c r="E281" t="s">
        <v>43</v>
      </c>
      <c r="F281" t="s">
        <v>41</v>
      </c>
      <c r="G281" s="89">
        <v>546672</v>
      </c>
      <c r="H281" t="s">
        <v>42</v>
      </c>
      <c r="I281" t="s">
        <v>133</v>
      </c>
      <c r="J281" s="89">
        <v>17493504</v>
      </c>
      <c r="K281" t="s">
        <v>127</v>
      </c>
      <c r="L281" t="s">
        <v>128</v>
      </c>
      <c r="M281" t="s">
        <v>152</v>
      </c>
      <c r="N281">
        <v>1</v>
      </c>
      <c r="O281" s="89">
        <v>16400.16</v>
      </c>
      <c r="P281" s="89">
        <v>273336</v>
      </c>
      <c r="Q281" t="s">
        <v>142</v>
      </c>
      <c r="R281" t="s">
        <v>131</v>
      </c>
    </row>
    <row r="282" spans="3:18" hidden="1" x14ac:dyDescent="0.25">
      <c r="C282" t="s">
        <v>45</v>
      </c>
      <c r="D282" t="s">
        <v>23</v>
      </c>
      <c r="E282" t="s">
        <v>44</v>
      </c>
      <c r="F282" t="s">
        <v>41</v>
      </c>
      <c r="G282" s="89">
        <v>111203</v>
      </c>
      <c r="H282" t="s">
        <v>42</v>
      </c>
      <c r="I282" t="s">
        <v>133</v>
      </c>
      <c r="J282" s="89">
        <v>3892105</v>
      </c>
      <c r="K282" t="s">
        <v>127</v>
      </c>
      <c r="L282" t="s">
        <v>128</v>
      </c>
      <c r="M282" t="s">
        <v>139</v>
      </c>
      <c r="N282">
        <v>1</v>
      </c>
      <c r="O282" s="89">
        <v>3336.09</v>
      </c>
      <c r="P282" s="89">
        <v>82290.22</v>
      </c>
      <c r="Q282" t="s">
        <v>137</v>
      </c>
      <c r="R282" t="s">
        <v>42</v>
      </c>
    </row>
    <row r="283" spans="3:18" hidden="1" x14ac:dyDescent="0.25">
      <c r="C283" t="s">
        <v>45</v>
      </c>
      <c r="D283" t="s">
        <v>149</v>
      </c>
      <c r="E283" t="s">
        <v>40</v>
      </c>
      <c r="F283" t="s">
        <v>41</v>
      </c>
      <c r="G283" s="89">
        <v>69548</v>
      </c>
      <c r="H283" t="s">
        <v>42</v>
      </c>
      <c r="I283" t="s">
        <v>133</v>
      </c>
      <c r="J283" s="89">
        <v>1530056</v>
      </c>
      <c r="K283" t="s">
        <v>144</v>
      </c>
      <c r="N283">
        <v>1</v>
      </c>
      <c r="O283" s="89">
        <v>2086.44</v>
      </c>
      <c r="P283" s="89">
        <v>24341.8</v>
      </c>
      <c r="Q283" t="s">
        <v>130</v>
      </c>
      <c r="R283" t="s">
        <v>42</v>
      </c>
    </row>
    <row r="284" spans="3:18" hidden="1" x14ac:dyDescent="0.25">
      <c r="C284" t="s">
        <v>45</v>
      </c>
      <c r="D284" t="s">
        <v>20</v>
      </c>
      <c r="E284" t="s">
        <v>43</v>
      </c>
      <c r="F284" t="s">
        <v>41</v>
      </c>
      <c r="G284" s="89">
        <v>1531220</v>
      </c>
      <c r="H284" t="s">
        <v>42</v>
      </c>
      <c r="I284" t="s">
        <v>126</v>
      </c>
      <c r="J284" s="89">
        <v>24499520</v>
      </c>
      <c r="K284" t="s">
        <v>144</v>
      </c>
      <c r="N284">
        <v>1</v>
      </c>
      <c r="O284" s="89">
        <v>45936.6</v>
      </c>
      <c r="P284" s="89">
        <v>734985.6</v>
      </c>
      <c r="Q284" t="s">
        <v>142</v>
      </c>
      <c r="R284" t="s">
        <v>42</v>
      </c>
    </row>
    <row r="285" spans="3:18" hidden="1" x14ac:dyDescent="0.25">
      <c r="C285" t="s">
        <v>45</v>
      </c>
      <c r="D285" t="s">
        <v>138</v>
      </c>
      <c r="E285" t="s">
        <v>48</v>
      </c>
      <c r="F285" t="s">
        <v>41</v>
      </c>
      <c r="G285" s="89">
        <v>968315</v>
      </c>
      <c r="H285" t="s">
        <v>42</v>
      </c>
      <c r="I285" t="s">
        <v>133</v>
      </c>
      <c r="J285" s="89">
        <v>35827655</v>
      </c>
      <c r="K285" t="s">
        <v>144</v>
      </c>
      <c r="N285">
        <v>1</v>
      </c>
      <c r="O285" s="89">
        <v>29049.45</v>
      </c>
      <c r="P285" s="89">
        <v>881166.65</v>
      </c>
      <c r="Q285" t="s">
        <v>135</v>
      </c>
      <c r="R285" t="s">
        <v>42</v>
      </c>
    </row>
    <row r="286" spans="3:18" hidden="1" x14ac:dyDescent="0.25">
      <c r="C286" t="s">
        <v>45</v>
      </c>
      <c r="D286" t="s">
        <v>22</v>
      </c>
      <c r="E286" t="s">
        <v>43</v>
      </c>
      <c r="F286" t="s">
        <v>41</v>
      </c>
      <c r="G286" s="89">
        <v>327355</v>
      </c>
      <c r="H286" t="s">
        <v>140</v>
      </c>
      <c r="I286" t="s">
        <v>133</v>
      </c>
      <c r="J286" s="89">
        <v>10475360</v>
      </c>
      <c r="K286" t="s">
        <v>134</v>
      </c>
      <c r="L286" t="s">
        <v>128</v>
      </c>
      <c r="N286">
        <v>1</v>
      </c>
      <c r="O286" s="89">
        <v>9820.65</v>
      </c>
      <c r="P286" s="89">
        <v>252063.35</v>
      </c>
      <c r="Q286" t="s">
        <v>137</v>
      </c>
      <c r="R286" t="s">
        <v>131</v>
      </c>
    </row>
    <row r="287" spans="3:18" hidden="1" x14ac:dyDescent="0.25">
      <c r="C287" t="s">
        <v>45</v>
      </c>
      <c r="D287" t="s">
        <v>19</v>
      </c>
      <c r="E287" t="s">
        <v>43</v>
      </c>
      <c r="F287" t="s">
        <v>41</v>
      </c>
      <c r="G287" s="89">
        <v>28065797</v>
      </c>
      <c r="H287" t="s">
        <v>42</v>
      </c>
      <c r="I287" t="s">
        <v>126</v>
      </c>
      <c r="J287" s="89">
        <v>449052752</v>
      </c>
      <c r="K287" t="s">
        <v>127</v>
      </c>
      <c r="L287" t="s">
        <v>128</v>
      </c>
      <c r="M287" t="s">
        <v>136</v>
      </c>
      <c r="N287">
        <v>1</v>
      </c>
      <c r="O287" s="89">
        <v>841973.91</v>
      </c>
      <c r="P287" s="89">
        <v>14032898.5</v>
      </c>
      <c r="Q287" t="s">
        <v>142</v>
      </c>
      <c r="R287" t="s">
        <v>131</v>
      </c>
    </row>
    <row r="288" spans="3:18" x14ac:dyDescent="0.25">
      <c r="C288" t="s">
        <v>47</v>
      </c>
      <c r="D288" t="s">
        <v>19</v>
      </c>
      <c r="E288" t="s">
        <v>43</v>
      </c>
      <c r="F288" t="s">
        <v>41</v>
      </c>
      <c r="G288" s="89">
        <v>1493158</v>
      </c>
      <c r="H288" t="s">
        <v>146</v>
      </c>
      <c r="I288" t="s">
        <v>141</v>
      </c>
      <c r="J288" s="89">
        <v>11945264</v>
      </c>
      <c r="K288" t="s">
        <v>127</v>
      </c>
      <c r="L288" t="s">
        <v>128</v>
      </c>
      <c r="N288">
        <v>1</v>
      </c>
      <c r="O288" s="89">
        <v>59726.32</v>
      </c>
      <c r="P288" s="89">
        <v>119452.64</v>
      </c>
      <c r="Q288" t="s">
        <v>130</v>
      </c>
      <c r="R288" t="s">
        <v>131</v>
      </c>
    </row>
    <row r="289" spans="3:18" hidden="1" x14ac:dyDescent="0.25">
      <c r="C289" t="s">
        <v>45</v>
      </c>
      <c r="D289" t="s">
        <v>23</v>
      </c>
      <c r="E289" t="s">
        <v>40</v>
      </c>
      <c r="F289" t="s">
        <v>41</v>
      </c>
      <c r="G289" s="89">
        <v>44481184</v>
      </c>
      <c r="H289" t="s">
        <v>140</v>
      </c>
      <c r="I289" t="s">
        <v>126</v>
      </c>
      <c r="J289" s="89">
        <v>711698944</v>
      </c>
      <c r="K289" t="s">
        <v>127</v>
      </c>
      <c r="L289" t="s">
        <v>128</v>
      </c>
      <c r="N289">
        <v>1</v>
      </c>
      <c r="O289" s="89">
        <v>1334435.52</v>
      </c>
      <c r="P289" s="89">
        <v>21795780.16</v>
      </c>
      <c r="Q289" t="s">
        <v>142</v>
      </c>
      <c r="R289" t="s">
        <v>131</v>
      </c>
    </row>
    <row r="290" spans="3:18" hidden="1" x14ac:dyDescent="0.25">
      <c r="C290" t="s">
        <v>45</v>
      </c>
      <c r="D290" t="s">
        <v>138</v>
      </c>
      <c r="E290" t="s">
        <v>43</v>
      </c>
      <c r="F290" t="s">
        <v>41</v>
      </c>
      <c r="G290" s="89">
        <v>41658018</v>
      </c>
      <c r="H290" t="s">
        <v>132</v>
      </c>
      <c r="I290" t="s">
        <v>133</v>
      </c>
      <c r="J290" s="89">
        <v>1208082522</v>
      </c>
      <c r="K290" t="s">
        <v>127</v>
      </c>
      <c r="L290" t="s">
        <v>128</v>
      </c>
      <c r="N290">
        <v>1</v>
      </c>
      <c r="O290" s="89">
        <v>1249740.54</v>
      </c>
      <c r="P290" s="89">
        <v>28327452.239999998</v>
      </c>
      <c r="Q290" t="s">
        <v>137</v>
      </c>
      <c r="R290" t="s">
        <v>131</v>
      </c>
    </row>
    <row r="291" spans="3:18" hidden="1" x14ac:dyDescent="0.25">
      <c r="C291" t="s">
        <v>45</v>
      </c>
      <c r="D291" t="s">
        <v>21</v>
      </c>
      <c r="E291" t="s">
        <v>40</v>
      </c>
      <c r="F291" t="s">
        <v>41</v>
      </c>
      <c r="G291" s="89">
        <v>3116062</v>
      </c>
      <c r="H291" t="s">
        <v>42</v>
      </c>
      <c r="I291" t="s">
        <v>133</v>
      </c>
      <c r="J291" s="89">
        <v>112178232</v>
      </c>
      <c r="K291" t="s">
        <v>144</v>
      </c>
      <c r="N291">
        <v>1</v>
      </c>
      <c r="O291" s="89">
        <v>93481.86</v>
      </c>
      <c r="P291" s="89">
        <v>2679813.3199999998</v>
      </c>
      <c r="Q291" t="s">
        <v>135</v>
      </c>
      <c r="R291" t="s">
        <v>131</v>
      </c>
    </row>
    <row r="292" spans="3:18" x14ac:dyDescent="0.25">
      <c r="C292" t="s">
        <v>47</v>
      </c>
      <c r="D292" t="s">
        <v>22</v>
      </c>
      <c r="E292" t="s">
        <v>48</v>
      </c>
      <c r="F292" t="s">
        <v>41</v>
      </c>
      <c r="G292" s="89">
        <v>55108</v>
      </c>
      <c r="H292" t="s">
        <v>146</v>
      </c>
      <c r="I292" t="s">
        <v>153</v>
      </c>
      <c r="J292" s="89"/>
      <c r="K292" t="s">
        <v>127</v>
      </c>
      <c r="L292" t="s">
        <v>128</v>
      </c>
      <c r="N292">
        <v>0</v>
      </c>
      <c r="O292" s="89">
        <v>2204.3200000000002</v>
      </c>
      <c r="P292" s="89">
        <v>36922.36</v>
      </c>
      <c r="Q292" t="s">
        <v>137</v>
      </c>
      <c r="R292" t="s">
        <v>131</v>
      </c>
    </row>
    <row r="293" spans="3:18" hidden="1" x14ac:dyDescent="0.25">
      <c r="C293" t="s">
        <v>45</v>
      </c>
      <c r="D293" t="s">
        <v>23</v>
      </c>
      <c r="E293" t="s">
        <v>40</v>
      </c>
      <c r="F293" t="s">
        <v>53</v>
      </c>
      <c r="G293" s="89">
        <v>171874</v>
      </c>
      <c r="H293" t="s">
        <v>146</v>
      </c>
      <c r="I293" t="s">
        <v>133</v>
      </c>
      <c r="J293" s="89">
        <v>5671842</v>
      </c>
      <c r="K293" t="s">
        <v>144</v>
      </c>
      <c r="N293">
        <v>1</v>
      </c>
      <c r="O293" s="89">
        <v>5156.22</v>
      </c>
      <c r="P293" s="89">
        <v>84218.26</v>
      </c>
      <c r="Q293" t="s">
        <v>142</v>
      </c>
      <c r="R293" t="s">
        <v>131</v>
      </c>
    </row>
    <row r="294" spans="3:18" hidden="1" x14ac:dyDescent="0.25">
      <c r="C294" t="s">
        <v>45</v>
      </c>
      <c r="D294" t="s">
        <v>19</v>
      </c>
      <c r="E294" t="s">
        <v>43</v>
      </c>
      <c r="F294" t="s">
        <v>41</v>
      </c>
      <c r="G294" s="89">
        <v>6744318</v>
      </c>
      <c r="H294" t="s">
        <v>140</v>
      </c>
      <c r="I294" t="s">
        <v>126</v>
      </c>
      <c r="J294" s="89">
        <v>114653406</v>
      </c>
      <c r="K294" t="s">
        <v>127</v>
      </c>
      <c r="L294" t="s">
        <v>128</v>
      </c>
      <c r="N294">
        <v>1</v>
      </c>
      <c r="O294" s="89">
        <v>202329.54</v>
      </c>
      <c r="P294" s="89">
        <v>4451249.88</v>
      </c>
      <c r="Q294" t="s">
        <v>137</v>
      </c>
      <c r="R294" t="s">
        <v>131</v>
      </c>
    </row>
    <row r="295" spans="3:18" x14ac:dyDescent="0.25">
      <c r="C295" t="s">
        <v>47</v>
      </c>
      <c r="D295" t="s">
        <v>20</v>
      </c>
      <c r="E295" t="s">
        <v>43</v>
      </c>
      <c r="F295" t="s">
        <v>41</v>
      </c>
      <c r="G295" s="89">
        <v>2761895</v>
      </c>
      <c r="H295" t="s">
        <v>132</v>
      </c>
      <c r="I295" t="s">
        <v>147</v>
      </c>
      <c r="J295" s="89">
        <v>5523790</v>
      </c>
      <c r="K295" t="s">
        <v>127</v>
      </c>
      <c r="L295" t="s">
        <v>128</v>
      </c>
      <c r="N295">
        <v>1</v>
      </c>
      <c r="O295" s="89">
        <v>110475.8</v>
      </c>
      <c r="P295" s="89">
        <v>966663.25</v>
      </c>
      <c r="Q295" t="s">
        <v>130</v>
      </c>
      <c r="R295" t="s">
        <v>131</v>
      </c>
    </row>
    <row r="296" spans="3:18" hidden="1" x14ac:dyDescent="0.25">
      <c r="C296" t="s">
        <v>45</v>
      </c>
      <c r="D296" t="s">
        <v>149</v>
      </c>
      <c r="E296" t="s">
        <v>43</v>
      </c>
      <c r="F296" t="s">
        <v>53</v>
      </c>
      <c r="G296" s="89">
        <v>143887</v>
      </c>
      <c r="H296" t="s">
        <v>42</v>
      </c>
      <c r="I296" t="s">
        <v>133</v>
      </c>
      <c r="J296" s="89">
        <v>5179932</v>
      </c>
      <c r="K296" t="s">
        <v>134</v>
      </c>
      <c r="N296">
        <v>1</v>
      </c>
      <c r="O296" s="89">
        <v>4316.6099999999997</v>
      </c>
      <c r="P296" s="89">
        <v>66188.02</v>
      </c>
      <c r="Q296" t="s">
        <v>142</v>
      </c>
      <c r="R296" t="s">
        <v>42</v>
      </c>
    </row>
    <row r="297" spans="3:18" hidden="1" x14ac:dyDescent="0.25">
      <c r="C297" t="s">
        <v>45</v>
      </c>
      <c r="D297" t="s">
        <v>24</v>
      </c>
      <c r="E297" t="s">
        <v>40</v>
      </c>
      <c r="F297" t="s">
        <v>41</v>
      </c>
      <c r="G297" s="89">
        <v>96569</v>
      </c>
      <c r="H297" t="s">
        <v>140</v>
      </c>
      <c r="I297" t="s">
        <v>141</v>
      </c>
      <c r="J297" s="89">
        <v>869121</v>
      </c>
      <c r="K297" t="s">
        <v>144</v>
      </c>
      <c r="N297">
        <v>1</v>
      </c>
      <c r="O297" s="89">
        <v>2897.07</v>
      </c>
      <c r="P297" s="89">
        <v>17382.419999999998</v>
      </c>
      <c r="Q297" t="s">
        <v>130</v>
      </c>
      <c r="R297" t="s">
        <v>131</v>
      </c>
    </row>
    <row r="298" spans="3:18" hidden="1" x14ac:dyDescent="0.25">
      <c r="C298" t="s">
        <v>45</v>
      </c>
      <c r="D298" t="s">
        <v>24</v>
      </c>
      <c r="E298" t="s">
        <v>43</v>
      </c>
      <c r="F298" t="s">
        <v>41</v>
      </c>
      <c r="G298" s="89">
        <v>11263992</v>
      </c>
      <c r="H298" t="s">
        <v>42</v>
      </c>
      <c r="I298" t="s">
        <v>133</v>
      </c>
      <c r="J298" s="89">
        <v>326655768</v>
      </c>
      <c r="K298" t="s">
        <v>127</v>
      </c>
      <c r="L298" t="s">
        <v>128</v>
      </c>
      <c r="M298" t="s">
        <v>148</v>
      </c>
      <c r="N298">
        <v>1</v>
      </c>
      <c r="O298" s="89">
        <v>337919.76</v>
      </c>
      <c r="P298" s="89">
        <v>5857275.8399999999</v>
      </c>
      <c r="Q298" t="s">
        <v>142</v>
      </c>
      <c r="R298" t="s">
        <v>131</v>
      </c>
    </row>
    <row r="299" spans="3:18" hidden="1" x14ac:dyDescent="0.25">
      <c r="C299" t="s">
        <v>45</v>
      </c>
      <c r="D299" t="s">
        <v>19</v>
      </c>
      <c r="E299" t="s">
        <v>43</v>
      </c>
      <c r="F299" t="s">
        <v>41</v>
      </c>
      <c r="G299" s="89">
        <v>19421578</v>
      </c>
      <c r="H299" t="s">
        <v>42</v>
      </c>
      <c r="I299" t="s">
        <v>133</v>
      </c>
      <c r="J299" s="89">
        <v>679755230</v>
      </c>
      <c r="K299" t="s">
        <v>127</v>
      </c>
      <c r="L299" t="s">
        <v>128</v>
      </c>
      <c r="M299" t="s">
        <v>136</v>
      </c>
      <c r="N299">
        <v>1</v>
      </c>
      <c r="O299" s="89">
        <v>582647.34</v>
      </c>
      <c r="P299" s="89">
        <v>16119909.74</v>
      </c>
      <c r="Q299" t="s">
        <v>135</v>
      </c>
      <c r="R299" t="s">
        <v>42</v>
      </c>
    </row>
    <row r="300" spans="3:18" hidden="1" x14ac:dyDescent="0.25">
      <c r="C300" t="s">
        <v>45</v>
      </c>
      <c r="D300" t="s">
        <v>20</v>
      </c>
      <c r="E300" t="s">
        <v>43</v>
      </c>
      <c r="F300" t="s">
        <v>41</v>
      </c>
      <c r="G300" s="89">
        <v>223560</v>
      </c>
      <c r="H300" t="s">
        <v>42</v>
      </c>
      <c r="I300" t="s">
        <v>133</v>
      </c>
      <c r="J300" s="89">
        <v>7153920</v>
      </c>
      <c r="K300" t="s">
        <v>127</v>
      </c>
      <c r="L300" t="s">
        <v>128</v>
      </c>
      <c r="M300" t="s">
        <v>152</v>
      </c>
      <c r="N300">
        <v>1</v>
      </c>
      <c r="O300" s="89">
        <v>6706.8</v>
      </c>
      <c r="P300" s="89">
        <v>69303.600000000006</v>
      </c>
      <c r="Q300" t="s">
        <v>130</v>
      </c>
      <c r="R300" t="s">
        <v>42</v>
      </c>
    </row>
    <row r="301" spans="3:18" x14ac:dyDescent="0.25">
      <c r="C301" t="s">
        <v>47</v>
      </c>
      <c r="D301" t="s">
        <v>22</v>
      </c>
      <c r="E301" t="s">
        <v>40</v>
      </c>
      <c r="F301" t="s">
        <v>41</v>
      </c>
      <c r="G301" s="89">
        <v>11862551</v>
      </c>
      <c r="H301" t="s">
        <v>140</v>
      </c>
      <c r="I301" t="s">
        <v>141</v>
      </c>
      <c r="J301" s="89">
        <v>83037857</v>
      </c>
      <c r="K301" t="s">
        <v>127</v>
      </c>
      <c r="L301" t="s">
        <v>128</v>
      </c>
      <c r="N301">
        <v>1</v>
      </c>
      <c r="O301" s="89">
        <v>474502.04</v>
      </c>
      <c r="P301" s="89">
        <v>5694024.4800000004</v>
      </c>
      <c r="Q301" t="s">
        <v>142</v>
      </c>
      <c r="R301" t="s">
        <v>131</v>
      </c>
    </row>
    <row r="302" spans="3:18" x14ac:dyDescent="0.25">
      <c r="C302" t="s">
        <v>47</v>
      </c>
      <c r="D302" t="s">
        <v>138</v>
      </c>
      <c r="E302" t="s">
        <v>40</v>
      </c>
      <c r="F302" t="s">
        <v>41</v>
      </c>
      <c r="G302" s="89">
        <v>111652</v>
      </c>
      <c r="H302" t="s">
        <v>42</v>
      </c>
      <c r="I302" t="s">
        <v>141</v>
      </c>
      <c r="J302" s="89">
        <v>1004868</v>
      </c>
      <c r="K302" t="s">
        <v>144</v>
      </c>
      <c r="N302">
        <v>1</v>
      </c>
      <c r="O302" s="89">
        <v>4466.08</v>
      </c>
      <c r="P302" s="89">
        <v>89321.600000000006</v>
      </c>
      <c r="Q302" t="s">
        <v>137</v>
      </c>
      <c r="R302" t="s">
        <v>131</v>
      </c>
    </row>
    <row r="303" spans="3:18" hidden="1" x14ac:dyDescent="0.25">
      <c r="C303" t="s">
        <v>45</v>
      </c>
      <c r="D303" t="s">
        <v>138</v>
      </c>
      <c r="E303" t="s">
        <v>43</v>
      </c>
      <c r="F303" t="s">
        <v>41</v>
      </c>
      <c r="G303" s="89">
        <v>18183</v>
      </c>
      <c r="H303" t="s">
        <v>132</v>
      </c>
      <c r="I303" t="s">
        <v>147</v>
      </c>
      <c r="J303" s="89">
        <v>72732</v>
      </c>
      <c r="K303" t="s">
        <v>127</v>
      </c>
      <c r="L303" t="s">
        <v>128</v>
      </c>
      <c r="N303">
        <v>1</v>
      </c>
      <c r="O303" s="89">
        <v>545.49</v>
      </c>
      <c r="P303" s="89">
        <v>13819.08</v>
      </c>
      <c r="Q303" t="s">
        <v>137</v>
      </c>
      <c r="R303" t="s">
        <v>131</v>
      </c>
    </row>
    <row r="304" spans="3:18" hidden="1" x14ac:dyDescent="0.25">
      <c r="C304" t="s">
        <v>45</v>
      </c>
      <c r="D304" t="s">
        <v>23</v>
      </c>
      <c r="E304" t="s">
        <v>48</v>
      </c>
      <c r="F304" t="s">
        <v>41</v>
      </c>
      <c r="G304" s="89">
        <v>1171257</v>
      </c>
      <c r="H304" t="s">
        <v>132</v>
      </c>
      <c r="I304" t="s">
        <v>133</v>
      </c>
      <c r="J304" s="89">
        <v>36308967</v>
      </c>
      <c r="K304" t="s">
        <v>144</v>
      </c>
      <c r="N304">
        <v>1</v>
      </c>
      <c r="O304" s="89">
        <v>35137.71</v>
      </c>
      <c r="P304" s="89">
        <v>597341.06999999995</v>
      </c>
      <c r="Q304" t="s">
        <v>142</v>
      </c>
      <c r="R304" t="s">
        <v>131</v>
      </c>
    </row>
    <row r="305" spans="3:18" hidden="1" x14ac:dyDescent="0.25">
      <c r="C305" t="s">
        <v>45</v>
      </c>
      <c r="D305" t="s">
        <v>21</v>
      </c>
      <c r="E305" t="s">
        <v>40</v>
      </c>
      <c r="F305" t="s">
        <v>41</v>
      </c>
      <c r="G305" s="89">
        <v>2437634</v>
      </c>
      <c r="H305" t="s">
        <v>140</v>
      </c>
      <c r="I305" t="s">
        <v>133</v>
      </c>
      <c r="J305" s="89">
        <v>75566654</v>
      </c>
      <c r="K305" t="s">
        <v>144</v>
      </c>
      <c r="N305">
        <v>1</v>
      </c>
      <c r="O305" s="89">
        <v>73129.02</v>
      </c>
      <c r="P305" s="89">
        <v>1755096.48</v>
      </c>
      <c r="Q305" t="s">
        <v>137</v>
      </c>
      <c r="R305" t="s">
        <v>131</v>
      </c>
    </row>
    <row r="306" spans="3:18" hidden="1" x14ac:dyDescent="0.25">
      <c r="C306" t="s">
        <v>45</v>
      </c>
      <c r="D306" t="s">
        <v>22</v>
      </c>
      <c r="E306" t="s">
        <v>43</v>
      </c>
      <c r="F306" t="s">
        <v>53</v>
      </c>
      <c r="G306" s="89">
        <v>122492</v>
      </c>
      <c r="H306" t="s">
        <v>42</v>
      </c>
      <c r="I306" t="s">
        <v>133</v>
      </c>
      <c r="J306" s="89">
        <v>3307284</v>
      </c>
      <c r="K306" t="s">
        <v>127</v>
      </c>
      <c r="L306" t="s">
        <v>128</v>
      </c>
      <c r="M306" t="s">
        <v>143</v>
      </c>
      <c r="N306">
        <v>1</v>
      </c>
      <c r="O306" s="89">
        <v>3674.76</v>
      </c>
      <c r="P306" s="89">
        <v>77169.960000000006</v>
      </c>
      <c r="Q306" t="s">
        <v>137</v>
      </c>
      <c r="R306" t="s">
        <v>42</v>
      </c>
    </row>
    <row r="307" spans="3:18" hidden="1" x14ac:dyDescent="0.25">
      <c r="C307" t="s">
        <v>45</v>
      </c>
      <c r="D307" t="s">
        <v>149</v>
      </c>
      <c r="E307" t="s">
        <v>43</v>
      </c>
      <c r="F307" t="s">
        <v>41</v>
      </c>
      <c r="G307" s="89">
        <v>42645</v>
      </c>
      <c r="H307" t="s">
        <v>145</v>
      </c>
      <c r="I307" t="s">
        <v>126</v>
      </c>
      <c r="J307" s="89">
        <v>682320</v>
      </c>
      <c r="K307" t="s">
        <v>127</v>
      </c>
      <c r="L307" t="s">
        <v>128</v>
      </c>
      <c r="N307">
        <v>1</v>
      </c>
      <c r="O307" s="89">
        <v>1279.3499999999999</v>
      </c>
      <c r="P307" s="89">
        <v>36248.25</v>
      </c>
      <c r="Q307" t="s">
        <v>135</v>
      </c>
      <c r="R307" t="s">
        <v>131</v>
      </c>
    </row>
    <row r="308" spans="3:18" hidden="1" x14ac:dyDescent="0.25">
      <c r="C308" t="s">
        <v>45</v>
      </c>
      <c r="D308" t="s">
        <v>149</v>
      </c>
      <c r="E308" t="s">
        <v>40</v>
      </c>
      <c r="F308" t="s">
        <v>41</v>
      </c>
      <c r="G308" s="89">
        <v>337228</v>
      </c>
      <c r="H308" t="s">
        <v>42</v>
      </c>
      <c r="I308" t="s">
        <v>133</v>
      </c>
      <c r="J308" s="89">
        <v>12140208</v>
      </c>
      <c r="K308" t="s">
        <v>127</v>
      </c>
      <c r="L308" t="s">
        <v>128</v>
      </c>
      <c r="M308" t="s">
        <v>136</v>
      </c>
      <c r="N308">
        <v>1</v>
      </c>
      <c r="O308" s="89">
        <v>10116.84</v>
      </c>
      <c r="P308" s="89">
        <v>276526.96000000002</v>
      </c>
      <c r="Q308" t="s">
        <v>135</v>
      </c>
      <c r="R308" t="s">
        <v>131</v>
      </c>
    </row>
    <row r="309" spans="3:18" hidden="1" x14ac:dyDescent="0.25">
      <c r="C309" t="s">
        <v>45</v>
      </c>
      <c r="D309" t="s">
        <v>23</v>
      </c>
      <c r="E309" t="s">
        <v>48</v>
      </c>
      <c r="F309" t="s">
        <v>41</v>
      </c>
      <c r="G309" s="89">
        <v>10266</v>
      </c>
      <c r="H309" t="s">
        <v>146</v>
      </c>
      <c r="I309" t="s">
        <v>147</v>
      </c>
      <c r="J309" s="89"/>
      <c r="K309" t="s">
        <v>127</v>
      </c>
      <c r="L309" t="s">
        <v>128</v>
      </c>
      <c r="N309">
        <v>0</v>
      </c>
      <c r="O309" s="89">
        <v>410.64</v>
      </c>
      <c r="P309" s="89">
        <v>0</v>
      </c>
      <c r="Q309" t="s">
        <v>130</v>
      </c>
      <c r="R309" t="s">
        <v>131</v>
      </c>
    </row>
    <row r="310" spans="3:18" hidden="1" x14ac:dyDescent="0.25">
      <c r="C310" t="s">
        <v>45</v>
      </c>
      <c r="D310" t="s">
        <v>23</v>
      </c>
      <c r="E310" t="s">
        <v>46</v>
      </c>
      <c r="F310" t="s">
        <v>41</v>
      </c>
      <c r="G310" s="89">
        <v>26636</v>
      </c>
      <c r="H310" t="s">
        <v>42</v>
      </c>
      <c r="I310" t="s">
        <v>147</v>
      </c>
      <c r="J310" s="89">
        <v>106544</v>
      </c>
      <c r="K310" t="s">
        <v>127</v>
      </c>
      <c r="L310" t="s">
        <v>128</v>
      </c>
      <c r="M310" t="s">
        <v>152</v>
      </c>
      <c r="N310">
        <v>1</v>
      </c>
      <c r="O310" s="89">
        <v>1065.44</v>
      </c>
      <c r="P310" s="89">
        <v>2929.96</v>
      </c>
      <c r="Q310" t="s">
        <v>130</v>
      </c>
      <c r="R310" t="s">
        <v>42</v>
      </c>
    </row>
    <row r="311" spans="3:18" hidden="1" x14ac:dyDescent="0.25">
      <c r="C311" t="s">
        <v>45</v>
      </c>
      <c r="D311" t="s">
        <v>138</v>
      </c>
      <c r="E311" t="s">
        <v>40</v>
      </c>
      <c r="F311" t="s">
        <v>41</v>
      </c>
      <c r="G311" s="89">
        <v>24949</v>
      </c>
      <c r="H311" t="s">
        <v>42</v>
      </c>
      <c r="I311" t="s">
        <v>133</v>
      </c>
      <c r="J311" s="89">
        <v>923113</v>
      </c>
      <c r="K311" t="s">
        <v>144</v>
      </c>
      <c r="N311">
        <v>1</v>
      </c>
      <c r="O311" s="89">
        <v>748.47</v>
      </c>
      <c r="P311" s="89">
        <v>3991.84</v>
      </c>
      <c r="Q311" t="s">
        <v>130</v>
      </c>
      <c r="R311" t="s">
        <v>131</v>
      </c>
    </row>
    <row r="312" spans="3:18" hidden="1" x14ac:dyDescent="0.25">
      <c r="C312" t="s">
        <v>45</v>
      </c>
      <c r="D312" t="s">
        <v>149</v>
      </c>
      <c r="E312" t="s">
        <v>44</v>
      </c>
      <c r="F312" t="s">
        <v>41</v>
      </c>
      <c r="G312" s="89">
        <v>302928</v>
      </c>
      <c r="H312" t="s">
        <v>42</v>
      </c>
      <c r="I312" t="s">
        <v>133</v>
      </c>
      <c r="J312" s="89">
        <v>10602480</v>
      </c>
      <c r="K312" t="s">
        <v>127</v>
      </c>
      <c r="L312" t="s">
        <v>128</v>
      </c>
      <c r="M312" t="s">
        <v>136</v>
      </c>
      <c r="N312">
        <v>1</v>
      </c>
      <c r="O312" s="89">
        <v>12117.12</v>
      </c>
      <c r="P312" s="89">
        <v>212049.6</v>
      </c>
      <c r="Q312" t="s">
        <v>137</v>
      </c>
      <c r="R312" t="s">
        <v>131</v>
      </c>
    </row>
    <row r="313" spans="3:18" hidden="1" x14ac:dyDescent="0.25">
      <c r="C313" t="s">
        <v>45</v>
      </c>
      <c r="D313" t="s">
        <v>25</v>
      </c>
      <c r="E313" t="s">
        <v>48</v>
      </c>
      <c r="F313" t="s">
        <v>41</v>
      </c>
      <c r="G313" s="89">
        <v>100183</v>
      </c>
      <c r="H313" t="s">
        <v>146</v>
      </c>
      <c r="I313" t="s">
        <v>141</v>
      </c>
      <c r="J313" s="89">
        <v>801464</v>
      </c>
      <c r="K313" t="s">
        <v>127</v>
      </c>
      <c r="L313" t="s">
        <v>128</v>
      </c>
      <c r="N313">
        <v>1</v>
      </c>
      <c r="O313" s="89">
        <v>3005.49</v>
      </c>
      <c r="P313" s="89">
        <v>51093.33</v>
      </c>
      <c r="Q313" t="s">
        <v>142</v>
      </c>
      <c r="R313" t="s">
        <v>131</v>
      </c>
    </row>
    <row r="314" spans="3:18" hidden="1" x14ac:dyDescent="0.25">
      <c r="C314" t="s">
        <v>45</v>
      </c>
      <c r="D314" t="s">
        <v>23</v>
      </c>
      <c r="E314" t="s">
        <v>48</v>
      </c>
      <c r="F314" t="s">
        <v>41</v>
      </c>
      <c r="G314" s="89">
        <v>56192</v>
      </c>
      <c r="H314" t="s">
        <v>140</v>
      </c>
      <c r="I314" t="s">
        <v>141</v>
      </c>
      <c r="J314" s="89">
        <v>449536</v>
      </c>
      <c r="K314" t="s">
        <v>144</v>
      </c>
      <c r="N314">
        <v>1</v>
      </c>
      <c r="O314" s="89">
        <v>1685.76</v>
      </c>
      <c r="P314" s="89">
        <v>28096</v>
      </c>
      <c r="Q314" t="s">
        <v>142</v>
      </c>
      <c r="R314" t="s">
        <v>131</v>
      </c>
    </row>
    <row r="315" spans="3:18" hidden="1" x14ac:dyDescent="0.25">
      <c r="C315" t="s">
        <v>45</v>
      </c>
      <c r="D315" t="s">
        <v>20</v>
      </c>
      <c r="E315" t="s">
        <v>43</v>
      </c>
      <c r="F315" t="s">
        <v>41</v>
      </c>
      <c r="G315" s="89">
        <v>202626</v>
      </c>
      <c r="H315" t="s">
        <v>42</v>
      </c>
      <c r="I315" t="s">
        <v>126</v>
      </c>
      <c r="J315" s="89">
        <v>2836764</v>
      </c>
      <c r="K315" t="s">
        <v>134</v>
      </c>
      <c r="L315" t="s">
        <v>128</v>
      </c>
      <c r="M315" t="s">
        <v>139</v>
      </c>
      <c r="N315">
        <v>1</v>
      </c>
      <c r="O315" s="89">
        <v>6078.78</v>
      </c>
      <c r="P315" s="89">
        <v>42551.46</v>
      </c>
      <c r="Q315" t="s">
        <v>130</v>
      </c>
      <c r="R315" t="s">
        <v>131</v>
      </c>
    </row>
    <row r="316" spans="3:18" hidden="1" x14ac:dyDescent="0.25">
      <c r="C316" t="s">
        <v>45</v>
      </c>
      <c r="D316" t="s">
        <v>23</v>
      </c>
      <c r="E316" t="s">
        <v>40</v>
      </c>
      <c r="F316" t="s">
        <v>53</v>
      </c>
      <c r="G316" s="89">
        <v>245908</v>
      </c>
      <c r="H316" t="s">
        <v>42</v>
      </c>
      <c r="I316" t="s">
        <v>133</v>
      </c>
      <c r="J316" s="89">
        <v>9098596</v>
      </c>
      <c r="K316" t="s">
        <v>144</v>
      </c>
      <c r="N316">
        <v>1</v>
      </c>
      <c r="O316" s="89">
        <v>4918.16</v>
      </c>
      <c r="P316" s="89">
        <v>120494.92</v>
      </c>
      <c r="Q316" t="s">
        <v>142</v>
      </c>
      <c r="R316" t="s">
        <v>42</v>
      </c>
    </row>
    <row r="317" spans="3:18" hidden="1" x14ac:dyDescent="0.25">
      <c r="C317" t="s">
        <v>45</v>
      </c>
      <c r="D317" t="s">
        <v>23</v>
      </c>
      <c r="E317" t="s">
        <v>40</v>
      </c>
      <c r="F317" t="s">
        <v>41</v>
      </c>
      <c r="G317" s="89">
        <v>122708</v>
      </c>
      <c r="H317" t="s">
        <v>140</v>
      </c>
      <c r="I317" t="s">
        <v>126</v>
      </c>
      <c r="J317" s="89">
        <v>2086036</v>
      </c>
      <c r="K317" t="s">
        <v>127</v>
      </c>
      <c r="L317" t="s">
        <v>151</v>
      </c>
      <c r="N317">
        <v>1</v>
      </c>
      <c r="O317" s="89">
        <v>2454.16</v>
      </c>
      <c r="P317" s="89">
        <v>52764.44</v>
      </c>
      <c r="Q317" t="s">
        <v>142</v>
      </c>
      <c r="R317" t="s">
        <v>131</v>
      </c>
    </row>
    <row r="318" spans="3:18" hidden="1" x14ac:dyDescent="0.25">
      <c r="C318" t="s">
        <v>45</v>
      </c>
      <c r="D318" t="s">
        <v>149</v>
      </c>
      <c r="E318" t="s">
        <v>43</v>
      </c>
      <c r="F318" t="s">
        <v>41</v>
      </c>
      <c r="G318" s="89">
        <v>27972041</v>
      </c>
      <c r="H318" t="s">
        <v>140</v>
      </c>
      <c r="I318" t="s">
        <v>133</v>
      </c>
      <c r="J318" s="89">
        <v>755245107</v>
      </c>
      <c r="K318" t="s">
        <v>127</v>
      </c>
      <c r="L318" t="s">
        <v>128</v>
      </c>
      <c r="N318">
        <v>1</v>
      </c>
      <c r="O318" s="89">
        <v>839161.23</v>
      </c>
      <c r="P318" s="89">
        <v>13986020.5</v>
      </c>
      <c r="Q318" t="s">
        <v>142</v>
      </c>
      <c r="R318" t="s">
        <v>131</v>
      </c>
    </row>
    <row r="319" spans="3:18" hidden="1" x14ac:dyDescent="0.25">
      <c r="C319" t="s">
        <v>45</v>
      </c>
      <c r="D319" t="s">
        <v>19</v>
      </c>
      <c r="E319" t="s">
        <v>43</v>
      </c>
      <c r="F319" t="s">
        <v>41</v>
      </c>
      <c r="G319" s="89">
        <v>4989657</v>
      </c>
      <c r="H319" t="s">
        <v>42</v>
      </c>
      <c r="I319" t="s">
        <v>126</v>
      </c>
      <c r="J319" s="89">
        <v>79834512</v>
      </c>
      <c r="K319" t="s">
        <v>127</v>
      </c>
      <c r="L319" t="s">
        <v>128</v>
      </c>
      <c r="M319" t="s">
        <v>136</v>
      </c>
      <c r="N319">
        <v>1</v>
      </c>
      <c r="O319" s="89">
        <v>149689.71</v>
      </c>
      <c r="P319" s="89">
        <v>2544725.0699999998</v>
      </c>
      <c r="Q319" t="s">
        <v>142</v>
      </c>
      <c r="R319" t="s">
        <v>42</v>
      </c>
    </row>
    <row r="320" spans="3:18" x14ac:dyDescent="0.25">
      <c r="C320" t="s">
        <v>47</v>
      </c>
      <c r="D320" t="s">
        <v>22</v>
      </c>
      <c r="E320" t="s">
        <v>40</v>
      </c>
      <c r="F320" t="s">
        <v>41</v>
      </c>
      <c r="G320" s="89">
        <v>521242</v>
      </c>
      <c r="H320" t="s">
        <v>140</v>
      </c>
      <c r="I320" t="s">
        <v>141</v>
      </c>
      <c r="J320" s="89">
        <v>3648694</v>
      </c>
      <c r="K320" t="s">
        <v>144</v>
      </c>
      <c r="N320">
        <v>1</v>
      </c>
      <c r="O320" s="89">
        <v>20849.68</v>
      </c>
      <c r="P320" s="89">
        <v>385719.08</v>
      </c>
      <c r="Q320" t="s">
        <v>137</v>
      </c>
      <c r="R320" t="s">
        <v>131</v>
      </c>
    </row>
    <row r="321" spans="3:18" x14ac:dyDescent="0.25">
      <c r="C321" t="s">
        <v>47</v>
      </c>
      <c r="D321" t="s">
        <v>20</v>
      </c>
      <c r="E321" t="s">
        <v>43</v>
      </c>
      <c r="F321" t="s">
        <v>41</v>
      </c>
      <c r="G321" s="89">
        <v>977649</v>
      </c>
      <c r="H321" t="s">
        <v>140</v>
      </c>
      <c r="I321" t="s">
        <v>126</v>
      </c>
      <c r="J321" s="89">
        <v>12709437</v>
      </c>
      <c r="K321" t="s">
        <v>127</v>
      </c>
      <c r="L321" t="s">
        <v>128</v>
      </c>
      <c r="N321">
        <v>1</v>
      </c>
      <c r="O321" s="89">
        <v>48882.45</v>
      </c>
      <c r="P321" s="89">
        <v>166200.32999999999</v>
      </c>
      <c r="Q321" t="s">
        <v>130</v>
      </c>
      <c r="R321" t="s">
        <v>131</v>
      </c>
    </row>
    <row r="322" spans="3:18" hidden="1" x14ac:dyDescent="0.25">
      <c r="C322" t="s">
        <v>45</v>
      </c>
      <c r="D322" t="s">
        <v>20</v>
      </c>
      <c r="E322" t="s">
        <v>43</v>
      </c>
      <c r="F322" t="s">
        <v>41</v>
      </c>
      <c r="G322" s="89">
        <v>57943</v>
      </c>
      <c r="H322" t="s">
        <v>42</v>
      </c>
      <c r="I322" t="s">
        <v>141</v>
      </c>
      <c r="J322" s="89">
        <v>521487</v>
      </c>
      <c r="K322" t="s">
        <v>127</v>
      </c>
      <c r="L322" t="s">
        <v>128</v>
      </c>
      <c r="M322" t="s">
        <v>148</v>
      </c>
      <c r="N322">
        <v>1</v>
      </c>
      <c r="O322" s="89">
        <v>1738.29</v>
      </c>
      <c r="P322" s="89">
        <v>18541.759999999998</v>
      </c>
      <c r="Q322" t="s">
        <v>130</v>
      </c>
      <c r="R322" t="s">
        <v>42</v>
      </c>
    </row>
    <row r="323" spans="3:18" hidden="1" x14ac:dyDescent="0.25">
      <c r="C323" t="s">
        <v>45</v>
      </c>
      <c r="D323" t="s">
        <v>20</v>
      </c>
      <c r="E323" t="s">
        <v>43</v>
      </c>
      <c r="F323" t="s">
        <v>41</v>
      </c>
      <c r="G323" s="89">
        <v>67787</v>
      </c>
      <c r="H323" t="s">
        <v>145</v>
      </c>
      <c r="I323" t="s">
        <v>141</v>
      </c>
      <c r="J323" s="89">
        <v>474509</v>
      </c>
      <c r="K323" t="s">
        <v>134</v>
      </c>
      <c r="L323" t="s">
        <v>128</v>
      </c>
      <c r="N323">
        <v>1</v>
      </c>
      <c r="O323" s="89">
        <v>2711.48</v>
      </c>
      <c r="P323" s="89">
        <v>16946.75</v>
      </c>
      <c r="Q323" t="s">
        <v>130</v>
      </c>
      <c r="R323" t="s">
        <v>131</v>
      </c>
    </row>
    <row r="324" spans="3:18" hidden="1" x14ac:dyDescent="0.25">
      <c r="C324" t="s">
        <v>45</v>
      </c>
      <c r="D324" t="s">
        <v>23</v>
      </c>
      <c r="E324" t="s">
        <v>43</v>
      </c>
      <c r="F324" t="s">
        <v>41</v>
      </c>
      <c r="G324" s="89">
        <v>7221442</v>
      </c>
      <c r="H324" t="s">
        <v>140</v>
      </c>
      <c r="I324" t="s">
        <v>133</v>
      </c>
      <c r="J324" s="89">
        <v>187757492</v>
      </c>
      <c r="K324" t="s">
        <v>127</v>
      </c>
      <c r="L324" t="s">
        <v>128</v>
      </c>
      <c r="N324">
        <v>1</v>
      </c>
      <c r="O324" s="89">
        <v>216643.26</v>
      </c>
      <c r="P324" s="89">
        <v>3755149.84</v>
      </c>
      <c r="Q324" t="s">
        <v>142</v>
      </c>
      <c r="R324" t="s">
        <v>131</v>
      </c>
    </row>
    <row r="325" spans="3:18" hidden="1" x14ac:dyDescent="0.25">
      <c r="C325" t="s">
        <v>45</v>
      </c>
      <c r="D325" t="s">
        <v>23</v>
      </c>
      <c r="E325" t="s">
        <v>48</v>
      </c>
      <c r="F325" t="s">
        <v>41</v>
      </c>
      <c r="G325" s="89">
        <v>742389</v>
      </c>
      <c r="H325" t="s">
        <v>146</v>
      </c>
      <c r="I325" t="s">
        <v>133</v>
      </c>
      <c r="J325" s="89">
        <v>19302114</v>
      </c>
      <c r="K325" t="s">
        <v>144</v>
      </c>
      <c r="N325">
        <v>1</v>
      </c>
      <c r="O325" s="89">
        <v>22271.67</v>
      </c>
      <c r="P325" s="89">
        <v>497400.63</v>
      </c>
      <c r="Q325" t="s">
        <v>137</v>
      </c>
      <c r="R325" t="s">
        <v>131</v>
      </c>
    </row>
    <row r="326" spans="3:18" x14ac:dyDescent="0.25">
      <c r="C326" t="s">
        <v>47</v>
      </c>
      <c r="D326" t="s">
        <v>25</v>
      </c>
      <c r="E326" t="s">
        <v>48</v>
      </c>
      <c r="F326" t="s">
        <v>41</v>
      </c>
      <c r="G326" s="89">
        <v>324796</v>
      </c>
      <c r="H326" t="s">
        <v>146</v>
      </c>
      <c r="I326" t="s">
        <v>147</v>
      </c>
      <c r="J326" s="89">
        <v>649592</v>
      </c>
      <c r="K326" t="s">
        <v>127</v>
      </c>
      <c r="L326" t="s">
        <v>128</v>
      </c>
      <c r="N326">
        <v>1</v>
      </c>
      <c r="O326" s="89">
        <v>12991.84</v>
      </c>
      <c r="P326" s="89">
        <v>55215.32</v>
      </c>
      <c r="Q326" t="s">
        <v>130</v>
      </c>
      <c r="R326" t="s">
        <v>131</v>
      </c>
    </row>
    <row r="327" spans="3:18" hidden="1" x14ac:dyDescent="0.25">
      <c r="C327" t="s">
        <v>45</v>
      </c>
      <c r="D327" t="s">
        <v>19</v>
      </c>
      <c r="E327" t="s">
        <v>43</v>
      </c>
      <c r="F327" t="s">
        <v>41</v>
      </c>
      <c r="G327" s="89">
        <v>58008464</v>
      </c>
      <c r="H327" t="s">
        <v>146</v>
      </c>
      <c r="I327" t="s">
        <v>133</v>
      </c>
      <c r="J327" s="89">
        <v>1566228528</v>
      </c>
      <c r="K327" t="s">
        <v>127</v>
      </c>
      <c r="L327" t="s">
        <v>128</v>
      </c>
      <c r="N327">
        <v>1</v>
      </c>
      <c r="O327" s="89">
        <v>1740253.92</v>
      </c>
      <c r="P327" s="89">
        <v>30164401.280000001</v>
      </c>
      <c r="Q327" t="s">
        <v>142</v>
      </c>
      <c r="R327" t="s">
        <v>131</v>
      </c>
    </row>
    <row r="328" spans="3:18" hidden="1" x14ac:dyDescent="0.25">
      <c r="C328" t="s">
        <v>45</v>
      </c>
      <c r="D328" t="s">
        <v>24</v>
      </c>
      <c r="E328" t="s">
        <v>44</v>
      </c>
      <c r="F328" t="s">
        <v>41</v>
      </c>
      <c r="G328" s="89">
        <v>388970</v>
      </c>
      <c r="H328" t="s">
        <v>140</v>
      </c>
      <c r="I328" t="s">
        <v>126</v>
      </c>
      <c r="J328" s="89">
        <v>6223520</v>
      </c>
      <c r="K328" t="s">
        <v>144</v>
      </c>
      <c r="N328">
        <v>1</v>
      </c>
      <c r="O328" s="89">
        <v>11669.1</v>
      </c>
      <c r="P328" s="89">
        <v>272279</v>
      </c>
      <c r="Q328" t="s">
        <v>137</v>
      </c>
      <c r="R328" t="s">
        <v>131</v>
      </c>
    </row>
    <row r="329" spans="3:18" hidden="1" x14ac:dyDescent="0.25">
      <c r="C329" t="s">
        <v>45</v>
      </c>
      <c r="D329" t="s">
        <v>22</v>
      </c>
      <c r="E329" t="s">
        <v>40</v>
      </c>
      <c r="F329" t="s">
        <v>41</v>
      </c>
      <c r="G329" s="89">
        <v>5092414</v>
      </c>
      <c r="H329" t="s">
        <v>42</v>
      </c>
      <c r="I329" t="s">
        <v>133</v>
      </c>
      <c r="J329" s="89">
        <v>152772420</v>
      </c>
      <c r="K329" t="s">
        <v>134</v>
      </c>
      <c r="L329" t="s">
        <v>128</v>
      </c>
      <c r="M329" t="s">
        <v>143</v>
      </c>
      <c r="N329">
        <v>1</v>
      </c>
      <c r="O329" s="89">
        <v>152772.42000000001</v>
      </c>
      <c r="P329" s="89">
        <v>3513765.66</v>
      </c>
      <c r="Q329" t="s">
        <v>137</v>
      </c>
      <c r="R329" t="s">
        <v>131</v>
      </c>
    </row>
    <row r="330" spans="3:18" hidden="1" x14ac:dyDescent="0.25">
      <c r="C330" t="s">
        <v>45</v>
      </c>
      <c r="D330" t="s">
        <v>21</v>
      </c>
      <c r="E330" t="s">
        <v>40</v>
      </c>
      <c r="F330" t="s">
        <v>41</v>
      </c>
      <c r="G330" s="89">
        <v>595092</v>
      </c>
      <c r="H330" t="s">
        <v>132</v>
      </c>
      <c r="I330" t="s">
        <v>126</v>
      </c>
      <c r="J330" s="89">
        <v>8331288</v>
      </c>
      <c r="K330" t="s">
        <v>127</v>
      </c>
      <c r="L330" t="s">
        <v>128</v>
      </c>
      <c r="N330">
        <v>1</v>
      </c>
      <c r="O330" s="89">
        <v>17852.759999999998</v>
      </c>
      <c r="P330" s="89">
        <v>160674.84</v>
      </c>
      <c r="Q330" t="s">
        <v>130</v>
      </c>
      <c r="R330" t="s">
        <v>131</v>
      </c>
    </row>
    <row r="331" spans="3:18" x14ac:dyDescent="0.25">
      <c r="C331" t="s">
        <v>47</v>
      </c>
      <c r="D331" t="s">
        <v>22</v>
      </c>
      <c r="E331" t="s">
        <v>40</v>
      </c>
      <c r="F331" t="s">
        <v>41</v>
      </c>
      <c r="G331" s="89">
        <v>49600</v>
      </c>
      <c r="H331" t="s">
        <v>132</v>
      </c>
      <c r="I331" t="s">
        <v>153</v>
      </c>
      <c r="J331" s="89"/>
      <c r="K331" t="s">
        <v>127</v>
      </c>
      <c r="L331" t="s">
        <v>128</v>
      </c>
      <c r="N331">
        <v>0</v>
      </c>
      <c r="O331" s="89">
        <v>2480</v>
      </c>
      <c r="P331" s="89">
        <v>50592</v>
      </c>
      <c r="Q331" t="s">
        <v>150</v>
      </c>
      <c r="R331" t="s">
        <v>131</v>
      </c>
    </row>
    <row r="332" spans="3:18" hidden="1" x14ac:dyDescent="0.25">
      <c r="C332" t="s">
        <v>45</v>
      </c>
      <c r="D332" t="s">
        <v>25</v>
      </c>
      <c r="E332" t="s">
        <v>48</v>
      </c>
      <c r="F332" t="s">
        <v>41</v>
      </c>
      <c r="G332" s="89">
        <v>949835</v>
      </c>
      <c r="H332" t="s">
        <v>146</v>
      </c>
      <c r="I332" t="s">
        <v>133</v>
      </c>
      <c r="J332" s="89">
        <v>27545215</v>
      </c>
      <c r="K332" t="s">
        <v>127</v>
      </c>
      <c r="L332" t="s">
        <v>128</v>
      </c>
      <c r="N332">
        <v>1</v>
      </c>
      <c r="O332" s="89">
        <v>37993.4</v>
      </c>
      <c r="P332" s="89">
        <v>816858.1</v>
      </c>
      <c r="Q332" t="s">
        <v>135</v>
      </c>
      <c r="R332" t="s">
        <v>131</v>
      </c>
    </row>
    <row r="333" spans="3:18" hidden="1" x14ac:dyDescent="0.25">
      <c r="C333" t="s">
        <v>45</v>
      </c>
      <c r="D333" t="s">
        <v>138</v>
      </c>
      <c r="E333" t="s">
        <v>40</v>
      </c>
      <c r="F333" t="s">
        <v>41</v>
      </c>
      <c r="G333" s="89">
        <v>278982</v>
      </c>
      <c r="H333" t="s">
        <v>42</v>
      </c>
      <c r="I333" t="s">
        <v>133</v>
      </c>
      <c r="J333" s="89">
        <v>8369460</v>
      </c>
      <c r="K333" t="s">
        <v>127</v>
      </c>
      <c r="L333" t="s">
        <v>128</v>
      </c>
      <c r="M333" t="s">
        <v>136</v>
      </c>
      <c r="N333">
        <v>1</v>
      </c>
      <c r="O333" s="89">
        <v>8369.4599999999991</v>
      </c>
      <c r="P333" s="89">
        <v>103223.34</v>
      </c>
      <c r="Q333" t="s">
        <v>130</v>
      </c>
      <c r="R333" t="s">
        <v>42</v>
      </c>
    </row>
    <row r="334" spans="3:18" hidden="1" x14ac:dyDescent="0.25">
      <c r="C334" t="s">
        <v>45</v>
      </c>
      <c r="D334" t="s">
        <v>24</v>
      </c>
      <c r="E334" t="s">
        <v>44</v>
      </c>
      <c r="F334" t="s">
        <v>41</v>
      </c>
      <c r="G334" s="89">
        <v>1355047</v>
      </c>
      <c r="H334" t="s">
        <v>42</v>
      </c>
      <c r="I334" t="s">
        <v>133</v>
      </c>
      <c r="J334" s="89">
        <v>44716551</v>
      </c>
      <c r="K334" t="s">
        <v>144</v>
      </c>
      <c r="N334">
        <v>1</v>
      </c>
      <c r="O334" s="89">
        <v>40651.410000000003</v>
      </c>
      <c r="P334" s="89">
        <v>975633.84</v>
      </c>
      <c r="Q334" t="s">
        <v>137</v>
      </c>
      <c r="R334" t="s">
        <v>131</v>
      </c>
    </row>
    <row r="335" spans="3:18" hidden="1" x14ac:dyDescent="0.25">
      <c r="C335" t="s">
        <v>45</v>
      </c>
      <c r="D335" t="s">
        <v>138</v>
      </c>
      <c r="E335" t="s">
        <v>43</v>
      </c>
      <c r="F335" t="s">
        <v>41</v>
      </c>
      <c r="G335" s="89">
        <v>5729695</v>
      </c>
      <c r="H335" t="s">
        <v>145</v>
      </c>
      <c r="I335" t="s">
        <v>141</v>
      </c>
      <c r="J335" s="89">
        <v>40107865</v>
      </c>
      <c r="K335" t="s">
        <v>127</v>
      </c>
      <c r="L335" t="s">
        <v>128</v>
      </c>
      <c r="N335">
        <v>1</v>
      </c>
      <c r="O335" s="89">
        <v>171890.85</v>
      </c>
      <c r="P335" s="89">
        <v>1317829.8500000001</v>
      </c>
      <c r="Q335" t="s">
        <v>130</v>
      </c>
      <c r="R335" t="s">
        <v>131</v>
      </c>
    </row>
    <row r="336" spans="3:18" hidden="1" x14ac:dyDescent="0.25">
      <c r="C336" t="s">
        <v>45</v>
      </c>
      <c r="D336" t="s">
        <v>138</v>
      </c>
      <c r="E336" t="s">
        <v>43</v>
      </c>
      <c r="F336" t="s">
        <v>53</v>
      </c>
      <c r="G336" s="89">
        <v>731910</v>
      </c>
      <c r="H336" t="s">
        <v>42</v>
      </c>
      <c r="I336" t="s">
        <v>133</v>
      </c>
      <c r="J336" s="89">
        <v>25616850</v>
      </c>
      <c r="K336" t="s">
        <v>144</v>
      </c>
      <c r="N336">
        <v>1</v>
      </c>
      <c r="O336" s="89">
        <v>21957.3</v>
      </c>
      <c r="P336" s="89">
        <v>614804.4</v>
      </c>
      <c r="Q336" t="s">
        <v>135</v>
      </c>
      <c r="R336" t="s">
        <v>42</v>
      </c>
    </row>
    <row r="337" spans="3:18" x14ac:dyDescent="0.25">
      <c r="C337" t="s">
        <v>47</v>
      </c>
      <c r="D337" t="s">
        <v>21</v>
      </c>
      <c r="E337" t="s">
        <v>40</v>
      </c>
      <c r="F337" t="s">
        <v>41</v>
      </c>
      <c r="G337" s="89">
        <v>2484776</v>
      </c>
      <c r="H337" t="s">
        <v>42</v>
      </c>
      <c r="I337" t="s">
        <v>141</v>
      </c>
      <c r="J337" s="89">
        <v>17393432</v>
      </c>
      <c r="K337" t="s">
        <v>127</v>
      </c>
      <c r="L337" t="s">
        <v>128</v>
      </c>
      <c r="M337" t="s">
        <v>129</v>
      </c>
      <c r="N337">
        <v>1</v>
      </c>
      <c r="O337" s="89">
        <v>124238.8</v>
      </c>
      <c r="P337" s="89">
        <v>770280.56</v>
      </c>
      <c r="Q337" t="s">
        <v>130</v>
      </c>
      <c r="R337" t="s">
        <v>131</v>
      </c>
    </row>
    <row r="338" spans="3:18" hidden="1" x14ac:dyDescent="0.25">
      <c r="C338" t="s">
        <v>45</v>
      </c>
      <c r="D338" t="s">
        <v>138</v>
      </c>
      <c r="E338" t="s">
        <v>40</v>
      </c>
      <c r="F338" t="s">
        <v>41</v>
      </c>
      <c r="G338" s="89">
        <v>270501</v>
      </c>
      <c r="H338" t="s">
        <v>146</v>
      </c>
      <c r="I338" t="s">
        <v>126</v>
      </c>
      <c r="J338" s="89">
        <v>4869018</v>
      </c>
      <c r="K338" t="s">
        <v>127</v>
      </c>
      <c r="L338" t="s">
        <v>128</v>
      </c>
      <c r="N338">
        <v>1</v>
      </c>
      <c r="O338" s="89">
        <v>10820.04</v>
      </c>
      <c r="P338" s="89">
        <v>124430.46</v>
      </c>
      <c r="Q338" t="s">
        <v>142</v>
      </c>
      <c r="R338" t="s">
        <v>131</v>
      </c>
    </row>
    <row r="339" spans="3:18" hidden="1" x14ac:dyDescent="0.25">
      <c r="C339" t="s">
        <v>45</v>
      </c>
      <c r="D339" t="s">
        <v>23</v>
      </c>
      <c r="E339" t="s">
        <v>40</v>
      </c>
      <c r="F339" t="s">
        <v>41</v>
      </c>
      <c r="G339" s="89">
        <v>1182611</v>
      </c>
      <c r="H339" t="s">
        <v>132</v>
      </c>
      <c r="I339" t="s">
        <v>126</v>
      </c>
      <c r="J339" s="89">
        <v>20104387</v>
      </c>
      <c r="K339" t="s">
        <v>144</v>
      </c>
      <c r="N339">
        <v>1</v>
      </c>
      <c r="O339" s="89">
        <v>35478.33</v>
      </c>
      <c r="P339" s="89">
        <v>603131.61</v>
      </c>
      <c r="Q339" t="s">
        <v>142</v>
      </c>
      <c r="R339" t="s">
        <v>131</v>
      </c>
    </row>
    <row r="340" spans="3:18" hidden="1" x14ac:dyDescent="0.25">
      <c r="C340" t="s">
        <v>45</v>
      </c>
      <c r="D340" t="s">
        <v>21</v>
      </c>
      <c r="E340" t="s">
        <v>40</v>
      </c>
      <c r="F340" t="s">
        <v>41</v>
      </c>
      <c r="G340" s="89">
        <v>36963</v>
      </c>
      <c r="H340" t="s">
        <v>42</v>
      </c>
      <c r="I340" t="s">
        <v>126</v>
      </c>
      <c r="J340" s="89">
        <v>369630</v>
      </c>
      <c r="K340" t="s">
        <v>134</v>
      </c>
      <c r="L340" t="s">
        <v>128</v>
      </c>
      <c r="M340" t="s">
        <v>129</v>
      </c>
      <c r="N340">
        <v>1</v>
      </c>
      <c r="O340" s="89">
        <v>1478.52</v>
      </c>
      <c r="P340" s="89">
        <v>26613.360000000001</v>
      </c>
      <c r="Q340" t="s">
        <v>137</v>
      </c>
      <c r="R340" t="s">
        <v>131</v>
      </c>
    </row>
    <row r="341" spans="3:18" hidden="1" x14ac:dyDescent="0.25">
      <c r="C341" t="s">
        <v>45</v>
      </c>
      <c r="D341" t="s">
        <v>138</v>
      </c>
      <c r="E341" t="s">
        <v>43</v>
      </c>
      <c r="F341" t="s">
        <v>41</v>
      </c>
      <c r="G341" s="89">
        <v>92492</v>
      </c>
      <c r="H341" t="s">
        <v>42</v>
      </c>
      <c r="I341" t="s">
        <v>141</v>
      </c>
      <c r="J341" s="89">
        <v>647444</v>
      </c>
      <c r="K341" t="s">
        <v>127</v>
      </c>
      <c r="L341" t="s">
        <v>128</v>
      </c>
      <c r="M341" t="s">
        <v>129</v>
      </c>
      <c r="N341">
        <v>1</v>
      </c>
      <c r="O341" s="89">
        <v>2774.76</v>
      </c>
      <c r="P341" s="89">
        <v>15723.64</v>
      </c>
      <c r="Q341" t="s">
        <v>130</v>
      </c>
      <c r="R341" t="s">
        <v>42</v>
      </c>
    </row>
    <row r="342" spans="3:18" hidden="1" x14ac:dyDescent="0.25">
      <c r="C342" t="s">
        <v>39</v>
      </c>
      <c r="D342" t="s">
        <v>24</v>
      </c>
      <c r="E342" t="s">
        <v>44</v>
      </c>
      <c r="F342" t="s">
        <v>41</v>
      </c>
      <c r="G342" s="89">
        <v>110956</v>
      </c>
      <c r="H342" t="s">
        <v>140</v>
      </c>
      <c r="I342" t="s">
        <v>133</v>
      </c>
      <c r="J342" s="89"/>
      <c r="N342">
        <v>0</v>
      </c>
      <c r="O342" s="89"/>
      <c r="P342" s="89"/>
      <c r="R342" t="s">
        <v>131</v>
      </c>
    </row>
    <row r="343" spans="3:18" x14ac:dyDescent="0.25">
      <c r="C343" t="s">
        <v>47</v>
      </c>
      <c r="D343" t="s">
        <v>20</v>
      </c>
      <c r="E343" t="s">
        <v>40</v>
      </c>
      <c r="F343" t="s">
        <v>41</v>
      </c>
      <c r="G343" s="89">
        <v>2791152</v>
      </c>
      <c r="H343" t="s">
        <v>140</v>
      </c>
      <c r="I343" t="s">
        <v>147</v>
      </c>
      <c r="J343" s="89">
        <v>5582304</v>
      </c>
      <c r="K343" t="s">
        <v>127</v>
      </c>
      <c r="L343" t="s">
        <v>128</v>
      </c>
      <c r="N343">
        <v>1</v>
      </c>
      <c r="O343" s="89">
        <v>139557.6</v>
      </c>
      <c r="P343" s="89">
        <v>474495.84</v>
      </c>
      <c r="Q343" t="s">
        <v>130</v>
      </c>
      <c r="R343" t="s">
        <v>131</v>
      </c>
    </row>
    <row r="344" spans="3:18" hidden="1" x14ac:dyDescent="0.25">
      <c r="C344" t="s">
        <v>45</v>
      </c>
      <c r="D344" t="s">
        <v>138</v>
      </c>
      <c r="E344" t="s">
        <v>43</v>
      </c>
      <c r="F344" t="s">
        <v>41</v>
      </c>
      <c r="G344" s="89">
        <v>143501</v>
      </c>
      <c r="H344" t="s">
        <v>145</v>
      </c>
      <c r="I344" t="s">
        <v>126</v>
      </c>
      <c r="J344" s="89">
        <v>2009014</v>
      </c>
      <c r="K344" t="s">
        <v>134</v>
      </c>
      <c r="L344" t="s">
        <v>128</v>
      </c>
      <c r="N344">
        <v>1</v>
      </c>
      <c r="O344" s="89">
        <v>4305.03</v>
      </c>
      <c r="P344" s="89">
        <v>68880.479999999996</v>
      </c>
      <c r="Q344" t="s">
        <v>142</v>
      </c>
      <c r="R344" t="s">
        <v>131</v>
      </c>
    </row>
    <row r="345" spans="3:18" hidden="1" x14ac:dyDescent="0.25">
      <c r="C345" t="s">
        <v>45</v>
      </c>
      <c r="D345" t="s">
        <v>22</v>
      </c>
      <c r="E345" t="s">
        <v>43</v>
      </c>
      <c r="F345" t="s">
        <v>41</v>
      </c>
      <c r="G345" s="89">
        <v>9670003</v>
      </c>
      <c r="H345" t="s">
        <v>42</v>
      </c>
      <c r="I345" t="s">
        <v>133</v>
      </c>
      <c r="J345" s="89">
        <v>319110099</v>
      </c>
      <c r="K345" t="s">
        <v>144</v>
      </c>
      <c r="N345">
        <v>1</v>
      </c>
      <c r="O345" s="89">
        <v>290100.09000000003</v>
      </c>
      <c r="P345" s="89">
        <v>6865702.1299999999</v>
      </c>
      <c r="Q345" t="s">
        <v>137</v>
      </c>
      <c r="R345" t="s">
        <v>42</v>
      </c>
    </row>
    <row r="346" spans="3:18" hidden="1" x14ac:dyDescent="0.25">
      <c r="C346" t="s">
        <v>45</v>
      </c>
      <c r="D346" t="s">
        <v>19</v>
      </c>
      <c r="E346" t="s">
        <v>43</v>
      </c>
      <c r="F346" t="s">
        <v>41</v>
      </c>
      <c r="G346" s="89">
        <v>25814326</v>
      </c>
      <c r="H346" t="s">
        <v>42</v>
      </c>
      <c r="I346" t="s">
        <v>133</v>
      </c>
      <c r="J346" s="89">
        <v>800244106</v>
      </c>
      <c r="K346" t="s">
        <v>144</v>
      </c>
      <c r="N346">
        <v>1</v>
      </c>
      <c r="O346" s="89">
        <v>774429.78</v>
      </c>
      <c r="P346" s="89">
        <v>7744297.7999999998</v>
      </c>
      <c r="Q346" t="s">
        <v>130</v>
      </c>
      <c r="R346" t="s">
        <v>42</v>
      </c>
    </row>
    <row r="347" spans="3:18" hidden="1" x14ac:dyDescent="0.25">
      <c r="C347" t="s">
        <v>45</v>
      </c>
      <c r="D347" t="s">
        <v>22</v>
      </c>
      <c r="E347" t="s">
        <v>40</v>
      </c>
      <c r="F347" t="s">
        <v>41</v>
      </c>
      <c r="G347" s="89">
        <v>96980</v>
      </c>
      <c r="H347" t="s">
        <v>145</v>
      </c>
      <c r="I347" t="s">
        <v>147</v>
      </c>
      <c r="J347" s="89">
        <v>387920</v>
      </c>
      <c r="K347" t="s">
        <v>134</v>
      </c>
      <c r="L347" t="s">
        <v>128</v>
      </c>
      <c r="N347">
        <v>1</v>
      </c>
      <c r="O347" s="89">
        <v>2909.4</v>
      </c>
      <c r="P347" s="89">
        <v>20365.8</v>
      </c>
      <c r="Q347" t="s">
        <v>130</v>
      </c>
      <c r="R347" t="s">
        <v>131</v>
      </c>
    </row>
    <row r="348" spans="3:18" x14ac:dyDescent="0.25">
      <c r="C348" t="s">
        <v>47</v>
      </c>
      <c r="D348" t="s">
        <v>25</v>
      </c>
      <c r="E348" t="s">
        <v>40</v>
      </c>
      <c r="F348" t="s">
        <v>41</v>
      </c>
      <c r="G348" s="89">
        <v>156691</v>
      </c>
      <c r="H348" t="s">
        <v>140</v>
      </c>
      <c r="I348" t="s">
        <v>147</v>
      </c>
      <c r="J348" s="89">
        <v>313382</v>
      </c>
      <c r="K348" t="s">
        <v>127</v>
      </c>
      <c r="L348" t="s">
        <v>128</v>
      </c>
      <c r="N348">
        <v>1</v>
      </c>
      <c r="O348" s="89">
        <v>7834.55</v>
      </c>
      <c r="P348" s="89">
        <v>23503.65</v>
      </c>
      <c r="Q348" t="s">
        <v>130</v>
      </c>
      <c r="R348" t="s">
        <v>131</v>
      </c>
    </row>
    <row r="349" spans="3:18" hidden="1" x14ac:dyDescent="0.25">
      <c r="C349" t="s">
        <v>45</v>
      </c>
      <c r="D349" t="s">
        <v>25</v>
      </c>
      <c r="E349" t="s">
        <v>40</v>
      </c>
      <c r="F349" t="s">
        <v>41</v>
      </c>
      <c r="G349" s="89">
        <v>119024</v>
      </c>
      <c r="H349" t="s">
        <v>146</v>
      </c>
      <c r="I349" t="s">
        <v>133</v>
      </c>
      <c r="J349" s="89">
        <v>4165840</v>
      </c>
      <c r="K349" t="s">
        <v>127</v>
      </c>
      <c r="L349" t="s">
        <v>128</v>
      </c>
      <c r="N349">
        <v>1</v>
      </c>
      <c r="O349" s="89">
        <v>4760.96</v>
      </c>
      <c r="P349" s="89">
        <v>59512</v>
      </c>
      <c r="Q349" t="s">
        <v>142</v>
      </c>
      <c r="R349" t="s">
        <v>131</v>
      </c>
    </row>
    <row r="350" spans="3:18" hidden="1" x14ac:dyDescent="0.25">
      <c r="C350" t="s">
        <v>45</v>
      </c>
      <c r="D350" t="s">
        <v>149</v>
      </c>
      <c r="E350" t="s">
        <v>43</v>
      </c>
      <c r="F350" t="s">
        <v>41</v>
      </c>
      <c r="G350" s="89">
        <v>110909</v>
      </c>
      <c r="H350" t="s">
        <v>42</v>
      </c>
      <c r="I350" t="s">
        <v>133</v>
      </c>
      <c r="J350" s="89">
        <v>2661816</v>
      </c>
      <c r="K350" t="s">
        <v>127</v>
      </c>
      <c r="L350" t="s">
        <v>128</v>
      </c>
      <c r="M350" t="s">
        <v>148</v>
      </c>
      <c r="N350">
        <v>1</v>
      </c>
      <c r="O350" s="89">
        <v>3327.27</v>
      </c>
      <c r="P350" s="89">
        <v>23290.89</v>
      </c>
      <c r="Q350" t="s">
        <v>130</v>
      </c>
      <c r="R350" t="s">
        <v>131</v>
      </c>
    </row>
    <row r="351" spans="3:18" hidden="1" x14ac:dyDescent="0.25">
      <c r="C351" t="s">
        <v>45</v>
      </c>
      <c r="D351" t="s">
        <v>22</v>
      </c>
      <c r="E351" t="s">
        <v>52</v>
      </c>
      <c r="F351" t="s">
        <v>41</v>
      </c>
      <c r="G351" s="89">
        <v>2497252</v>
      </c>
      <c r="H351" t="s">
        <v>42</v>
      </c>
      <c r="I351" t="s">
        <v>133</v>
      </c>
      <c r="J351" s="89">
        <v>84906568</v>
      </c>
      <c r="K351" t="s">
        <v>144</v>
      </c>
      <c r="N351">
        <v>1</v>
      </c>
      <c r="O351" s="89">
        <v>74917.56</v>
      </c>
      <c r="P351" s="89">
        <v>1872939</v>
      </c>
      <c r="Q351" t="s">
        <v>137</v>
      </c>
      <c r="R351" t="s">
        <v>42</v>
      </c>
    </row>
    <row r="352" spans="3:18" hidden="1" x14ac:dyDescent="0.25">
      <c r="C352" t="s">
        <v>45</v>
      </c>
      <c r="D352" t="s">
        <v>20</v>
      </c>
      <c r="E352" t="s">
        <v>43</v>
      </c>
      <c r="F352" t="s">
        <v>41</v>
      </c>
      <c r="G352" s="89">
        <v>154327</v>
      </c>
      <c r="H352" t="s">
        <v>42</v>
      </c>
      <c r="I352" t="s">
        <v>141</v>
      </c>
      <c r="J352" s="89">
        <v>1234616</v>
      </c>
      <c r="K352" t="s">
        <v>134</v>
      </c>
      <c r="L352" t="s">
        <v>128</v>
      </c>
      <c r="M352" t="s">
        <v>139</v>
      </c>
      <c r="N352">
        <v>1</v>
      </c>
      <c r="O352" s="89">
        <v>4629.8100000000004</v>
      </c>
      <c r="P352" s="89">
        <v>32408.67</v>
      </c>
      <c r="Q352" t="s">
        <v>130</v>
      </c>
      <c r="R352" t="s">
        <v>131</v>
      </c>
    </row>
    <row r="353" spans="3:18" hidden="1" x14ac:dyDescent="0.25">
      <c r="C353" t="s">
        <v>45</v>
      </c>
      <c r="D353" t="s">
        <v>22</v>
      </c>
      <c r="E353" t="s">
        <v>40</v>
      </c>
      <c r="F353" t="s">
        <v>41</v>
      </c>
      <c r="G353" s="89">
        <v>269114177</v>
      </c>
      <c r="H353" t="s">
        <v>140</v>
      </c>
      <c r="I353" t="s">
        <v>133</v>
      </c>
      <c r="J353" s="89">
        <v>7535196956</v>
      </c>
      <c r="K353" t="s">
        <v>127</v>
      </c>
      <c r="L353" t="s">
        <v>128</v>
      </c>
      <c r="N353">
        <v>1</v>
      </c>
      <c r="O353" s="89">
        <v>8073425.3099999996</v>
      </c>
      <c r="P353" s="89">
        <v>182997640.36000001</v>
      </c>
      <c r="Q353" t="s">
        <v>137</v>
      </c>
      <c r="R353" t="s">
        <v>131</v>
      </c>
    </row>
    <row r="354" spans="3:18" hidden="1" x14ac:dyDescent="0.25">
      <c r="C354" t="s">
        <v>45</v>
      </c>
      <c r="D354" t="s">
        <v>20</v>
      </c>
      <c r="E354" t="s">
        <v>43</v>
      </c>
      <c r="F354" t="s">
        <v>41</v>
      </c>
      <c r="G354" s="89">
        <v>96860</v>
      </c>
      <c r="H354" t="s">
        <v>42</v>
      </c>
      <c r="I354" t="s">
        <v>133</v>
      </c>
      <c r="J354" s="89">
        <v>3486960</v>
      </c>
      <c r="K354" t="s">
        <v>127</v>
      </c>
      <c r="L354" t="s">
        <v>128</v>
      </c>
      <c r="M354" t="s">
        <v>152</v>
      </c>
      <c r="N354">
        <v>1</v>
      </c>
      <c r="O354" s="89">
        <v>2905.8</v>
      </c>
      <c r="P354" s="89">
        <v>37775.4</v>
      </c>
      <c r="Q354" t="s">
        <v>130</v>
      </c>
      <c r="R354" t="s">
        <v>131</v>
      </c>
    </row>
    <row r="355" spans="3:18" hidden="1" x14ac:dyDescent="0.25">
      <c r="C355" t="s">
        <v>45</v>
      </c>
      <c r="D355" t="s">
        <v>22</v>
      </c>
      <c r="E355" t="s">
        <v>43</v>
      </c>
      <c r="F355" t="s">
        <v>41</v>
      </c>
      <c r="G355" s="89">
        <v>196279</v>
      </c>
      <c r="H355" t="s">
        <v>42</v>
      </c>
      <c r="I355" t="s">
        <v>141</v>
      </c>
      <c r="J355" s="89">
        <v>1570232</v>
      </c>
      <c r="K355" t="s">
        <v>127</v>
      </c>
      <c r="L355" t="s">
        <v>128</v>
      </c>
      <c r="M355" t="s">
        <v>143</v>
      </c>
      <c r="N355">
        <v>1</v>
      </c>
      <c r="O355" s="89">
        <v>5888.37</v>
      </c>
      <c r="P355" s="89">
        <v>137395.29999999999</v>
      </c>
      <c r="Q355" t="s">
        <v>137</v>
      </c>
      <c r="R355" t="s">
        <v>131</v>
      </c>
    </row>
    <row r="356" spans="3:18" hidden="1" x14ac:dyDescent="0.25">
      <c r="C356" t="s">
        <v>45</v>
      </c>
      <c r="D356" t="s">
        <v>138</v>
      </c>
      <c r="E356" t="s">
        <v>43</v>
      </c>
      <c r="F356" t="s">
        <v>41</v>
      </c>
      <c r="G356" s="89">
        <v>30131</v>
      </c>
      <c r="H356" t="s">
        <v>145</v>
      </c>
      <c r="I356" t="s">
        <v>147</v>
      </c>
      <c r="J356" s="89">
        <v>60262</v>
      </c>
      <c r="K356" t="s">
        <v>127</v>
      </c>
      <c r="L356" t="s">
        <v>128</v>
      </c>
      <c r="N356">
        <v>1</v>
      </c>
      <c r="O356" s="89">
        <v>1506.55</v>
      </c>
      <c r="P356" s="89">
        <v>15065.5</v>
      </c>
      <c r="Q356" t="s">
        <v>142</v>
      </c>
      <c r="R356" t="s">
        <v>131</v>
      </c>
    </row>
    <row r="357" spans="3:18" hidden="1" x14ac:dyDescent="0.25">
      <c r="C357" t="s">
        <v>45</v>
      </c>
      <c r="D357" t="s">
        <v>21</v>
      </c>
      <c r="E357" t="s">
        <v>44</v>
      </c>
      <c r="F357" t="s">
        <v>41</v>
      </c>
      <c r="G357" s="89">
        <v>57309</v>
      </c>
      <c r="H357" t="s">
        <v>42</v>
      </c>
      <c r="I357" t="s">
        <v>141</v>
      </c>
      <c r="J357" s="89">
        <v>343854</v>
      </c>
      <c r="K357" t="s">
        <v>127</v>
      </c>
      <c r="L357" t="s">
        <v>128</v>
      </c>
      <c r="M357" t="s">
        <v>129</v>
      </c>
      <c r="N357">
        <v>1</v>
      </c>
      <c r="O357" s="89">
        <v>2292.36</v>
      </c>
      <c r="P357" s="89">
        <v>20058.150000000001</v>
      </c>
      <c r="Q357" t="s">
        <v>130</v>
      </c>
      <c r="R357" t="s">
        <v>42</v>
      </c>
    </row>
    <row r="358" spans="3:18" hidden="1" x14ac:dyDescent="0.25">
      <c r="C358" t="s">
        <v>45</v>
      </c>
      <c r="D358" t="s">
        <v>138</v>
      </c>
      <c r="E358" t="s">
        <v>43</v>
      </c>
      <c r="F358" t="s">
        <v>41</v>
      </c>
      <c r="G358" s="89">
        <v>18482644</v>
      </c>
      <c r="H358" t="s">
        <v>42</v>
      </c>
      <c r="I358" t="s">
        <v>133</v>
      </c>
      <c r="J358" s="89">
        <v>517514032</v>
      </c>
      <c r="K358" t="s">
        <v>127</v>
      </c>
      <c r="L358" t="s">
        <v>128</v>
      </c>
      <c r="M358" t="s">
        <v>139</v>
      </c>
      <c r="N358">
        <v>1</v>
      </c>
      <c r="O358" s="89">
        <v>554479.31999999995</v>
      </c>
      <c r="P358" s="89">
        <v>9426148.4399999995</v>
      </c>
      <c r="Q358" t="s">
        <v>142</v>
      </c>
      <c r="R358" t="s">
        <v>42</v>
      </c>
    </row>
    <row r="359" spans="3:18" hidden="1" x14ac:dyDescent="0.25">
      <c r="C359" t="s">
        <v>45</v>
      </c>
      <c r="D359" t="s">
        <v>20</v>
      </c>
      <c r="E359" t="s">
        <v>40</v>
      </c>
      <c r="F359" t="s">
        <v>41</v>
      </c>
      <c r="G359" s="89">
        <v>2629428</v>
      </c>
      <c r="H359" t="s">
        <v>42</v>
      </c>
      <c r="I359" t="s">
        <v>133</v>
      </c>
      <c r="J359" s="89">
        <v>76253412</v>
      </c>
      <c r="K359" t="s">
        <v>127</v>
      </c>
      <c r="L359" t="s">
        <v>128</v>
      </c>
      <c r="M359" t="s">
        <v>139</v>
      </c>
      <c r="N359">
        <v>1</v>
      </c>
      <c r="O359" s="89">
        <v>78882.84</v>
      </c>
      <c r="P359" s="89">
        <v>841416.96</v>
      </c>
      <c r="Q359" t="s">
        <v>130</v>
      </c>
      <c r="R359" t="s">
        <v>131</v>
      </c>
    </row>
    <row r="360" spans="3:18" hidden="1" x14ac:dyDescent="0.25">
      <c r="C360" t="s">
        <v>45</v>
      </c>
      <c r="D360" t="s">
        <v>22</v>
      </c>
      <c r="E360" t="s">
        <v>48</v>
      </c>
      <c r="F360" t="s">
        <v>41</v>
      </c>
      <c r="G360" s="89">
        <v>7571</v>
      </c>
      <c r="H360" t="s">
        <v>132</v>
      </c>
      <c r="I360" t="s">
        <v>141</v>
      </c>
      <c r="J360" s="89">
        <v>37855</v>
      </c>
      <c r="K360" t="s">
        <v>127</v>
      </c>
      <c r="L360" t="s">
        <v>128</v>
      </c>
      <c r="N360">
        <v>1</v>
      </c>
      <c r="O360" s="89">
        <v>302.83999999999997</v>
      </c>
      <c r="P360" s="89">
        <v>1362.78</v>
      </c>
      <c r="Q360" t="s">
        <v>130</v>
      </c>
      <c r="R360" t="s">
        <v>131</v>
      </c>
    </row>
    <row r="361" spans="3:18" hidden="1" x14ac:dyDescent="0.25">
      <c r="C361" t="s">
        <v>45</v>
      </c>
      <c r="D361" t="s">
        <v>20</v>
      </c>
      <c r="E361" t="s">
        <v>43</v>
      </c>
      <c r="F361" t="s">
        <v>41</v>
      </c>
      <c r="G361" s="89">
        <v>12150262</v>
      </c>
      <c r="H361" t="s">
        <v>42</v>
      </c>
      <c r="I361" t="s">
        <v>133</v>
      </c>
      <c r="J361" s="89">
        <v>425259170</v>
      </c>
      <c r="K361" t="s">
        <v>127</v>
      </c>
      <c r="L361" t="s">
        <v>128</v>
      </c>
      <c r="M361" t="s">
        <v>139</v>
      </c>
      <c r="N361">
        <v>1</v>
      </c>
      <c r="O361" s="89">
        <v>364507.86</v>
      </c>
      <c r="P361" s="89">
        <v>10084717.460000001</v>
      </c>
      <c r="Q361" t="s">
        <v>135</v>
      </c>
      <c r="R361" t="s">
        <v>42</v>
      </c>
    </row>
    <row r="362" spans="3:18" hidden="1" x14ac:dyDescent="0.25">
      <c r="C362" t="s">
        <v>45</v>
      </c>
      <c r="D362" t="s">
        <v>19</v>
      </c>
      <c r="E362" t="s">
        <v>43</v>
      </c>
      <c r="F362" t="s">
        <v>41</v>
      </c>
      <c r="G362" s="89">
        <v>173258</v>
      </c>
      <c r="H362" t="s">
        <v>154</v>
      </c>
      <c r="I362" t="s">
        <v>133</v>
      </c>
      <c r="J362" s="89">
        <v>3984934</v>
      </c>
      <c r="K362" t="s">
        <v>127</v>
      </c>
      <c r="L362" t="s">
        <v>128</v>
      </c>
      <c r="N362">
        <v>1</v>
      </c>
      <c r="O362" s="89">
        <v>5197.74</v>
      </c>
      <c r="P362" s="89">
        <v>119548.02</v>
      </c>
      <c r="Q362" t="s">
        <v>137</v>
      </c>
      <c r="R362" t="s">
        <v>131</v>
      </c>
    </row>
    <row r="363" spans="3:18" hidden="1" x14ac:dyDescent="0.25">
      <c r="C363" t="s">
        <v>45</v>
      </c>
      <c r="D363" t="s">
        <v>22</v>
      </c>
      <c r="E363" t="s">
        <v>48</v>
      </c>
      <c r="F363" t="s">
        <v>41</v>
      </c>
      <c r="G363" s="89">
        <v>688728</v>
      </c>
      <c r="H363" t="s">
        <v>140</v>
      </c>
      <c r="I363" t="s">
        <v>133</v>
      </c>
      <c r="J363" s="89">
        <v>20661840</v>
      </c>
      <c r="K363" t="s">
        <v>127</v>
      </c>
      <c r="L363" t="s">
        <v>128</v>
      </c>
      <c r="N363">
        <v>1</v>
      </c>
      <c r="O363" s="89">
        <v>20661.84</v>
      </c>
      <c r="P363" s="89">
        <v>447673.2</v>
      </c>
      <c r="Q363" t="s">
        <v>137</v>
      </c>
      <c r="R363" t="s">
        <v>131</v>
      </c>
    </row>
    <row r="364" spans="3:18" hidden="1" x14ac:dyDescent="0.25">
      <c r="C364" t="s">
        <v>45</v>
      </c>
      <c r="D364" t="s">
        <v>19</v>
      </c>
      <c r="E364" t="s">
        <v>43</v>
      </c>
      <c r="F364" t="s">
        <v>41</v>
      </c>
      <c r="G364" s="89">
        <v>2454325</v>
      </c>
      <c r="H364" t="s">
        <v>42</v>
      </c>
      <c r="I364" t="s">
        <v>141</v>
      </c>
      <c r="J364" s="89">
        <v>19634600</v>
      </c>
      <c r="K364" t="s">
        <v>127</v>
      </c>
      <c r="L364" t="s">
        <v>128</v>
      </c>
      <c r="M364" t="s">
        <v>136</v>
      </c>
      <c r="N364">
        <v>1</v>
      </c>
      <c r="O364" s="89">
        <v>73629.75</v>
      </c>
      <c r="P364" s="89">
        <v>1227162.5</v>
      </c>
      <c r="Q364" t="s">
        <v>142</v>
      </c>
      <c r="R364" t="s">
        <v>131</v>
      </c>
    </row>
    <row r="365" spans="3:18" hidden="1" x14ac:dyDescent="0.25">
      <c r="C365" t="s">
        <v>45</v>
      </c>
      <c r="D365" t="s">
        <v>23</v>
      </c>
      <c r="E365" t="s">
        <v>48</v>
      </c>
      <c r="F365" t="s">
        <v>41</v>
      </c>
      <c r="G365" s="89">
        <v>1710535</v>
      </c>
      <c r="H365" t="s">
        <v>146</v>
      </c>
      <c r="I365" t="s">
        <v>126</v>
      </c>
      <c r="J365" s="89">
        <v>27368560</v>
      </c>
      <c r="K365" t="s">
        <v>127</v>
      </c>
      <c r="L365" t="s">
        <v>128</v>
      </c>
      <c r="N365">
        <v>1</v>
      </c>
      <c r="O365" s="89">
        <v>68421.399999999994</v>
      </c>
      <c r="P365" s="89">
        <v>1180269.1499999999</v>
      </c>
      <c r="Q365" t="s">
        <v>137</v>
      </c>
      <c r="R365" t="s">
        <v>131</v>
      </c>
    </row>
    <row r="366" spans="3:18" hidden="1" x14ac:dyDescent="0.25">
      <c r="C366" t="s">
        <v>45</v>
      </c>
      <c r="D366" t="s">
        <v>25</v>
      </c>
      <c r="E366" t="s">
        <v>43</v>
      </c>
      <c r="F366" t="s">
        <v>41</v>
      </c>
      <c r="G366" s="89">
        <v>124257</v>
      </c>
      <c r="H366" t="s">
        <v>42</v>
      </c>
      <c r="I366" t="s">
        <v>133</v>
      </c>
      <c r="J366" s="89">
        <v>3603453</v>
      </c>
      <c r="K366" t="s">
        <v>127</v>
      </c>
      <c r="L366" t="s">
        <v>128</v>
      </c>
      <c r="M366" t="s">
        <v>155</v>
      </c>
      <c r="N366">
        <v>1</v>
      </c>
      <c r="O366" s="89">
        <v>4970.28</v>
      </c>
      <c r="P366" s="89">
        <v>73311.63</v>
      </c>
      <c r="Q366" t="s">
        <v>142</v>
      </c>
      <c r="R366" t="s">
        <v>42</v>
      </c>
    </row>
    <row r="367" spans="3:18" hidden="1" x14ac:dyDescent="0.25">
      <c r="C367" t="s">
        <v>45</v>
      </c>
      <c r="D367" t="s">
        <v>21</v>
      </c>
      <c r="E367" t="s">
        <v>40</v>
      </c>
      <c r="F367" t="s">
        <v>41</v>
      </c>
      <c r="G367" s="89">
        <v>642010</v>
      </c>
      <c r="H367" t="s">
        <v>140</v>
      </c>
      <c r="I367" t="s">
        <v>141</v>
      </c>
      <c r="J367" s="89">
        <v>4494070</v>
      </c>
      <c r="K367" t="s">
        <v>134</v>
      </c>
      <c r="L367" t="s">
        <v>128</v>
      </c>
      <c r="N367">
        <v>1</v>
      </c>
      <c r="O367" s="89">
        <v>25680.400000000001</v>
      </c>
      <c r="P367" s="89">
        <v>250383.9</v>
      </c>
      <c r="Q367" t="s">
        <v>130</v>
      </c>
      <c r="R367" t="s">
        <v>131</v>
      </c>
    </row>
    <row r="368" spans="3:18" hidden="1" x14ac:dyDescent="0.25">
      <c r="C368" t="s">
        <v>45</v>
      </c>
      <c r="D368" t="s">
        <v>21</v>
      </c>
      <c r="E368" t="s">
        <v>43</v>
      </c>
      <c r="F368" t="s">
        <v>41</v>
      </c>
      <c r="G368" s="89">
        <v>2884691</v>
      </c>
      <c r="H368" t="s">
        <v>140</v>
      </c>
      <c r="I368" t="s">
        <v>141</v>
      </c>
      <c r="J368" s="89">
        <v>23077528</v>
      </c>
      <c r="K368" t="s">
        <v>127</v>
      </c>
      <c r="L368" t="s">
        <v>128</v>
      </c>
      <c r="N368">
        <v>1</v>
      </c>
      <c r="O368" s="89">
        <v>115387.64</v>
      </c>
      <c r="P368" s="89">
        <v>2538528.08</v>
      </c>
      <c r="Q368" t="s">
        <v>135</v>
      </c>
      <c r="R368" t="s">
        <v>131</v>
      </c>
    </row>
    <row r="369" spans="3:18" hidden="1" x14ac:dyDescent="0.25">
      <c r="C369" t="s">
        <v>45</v>
      </c>
      <c r="D369" t="s">
        <v>22</v>
      </c>
      <c r="E369" t="s">
        <v>43</v>
      </c>
      <c r="F369" t="s">
        <v>41</v>
      </c>
      <c r="G369" s="89">
        <v>14326</v>
      </c>
      <c r="H369" t="s">
        <v>146</v>
      </c>
      <c r="I369" t="s">
        <v>141</v>
      </c>
      <c r="J369" s="89">
        <v>100282</v>
      </c>
      <c r="K369" t="s">
        <v>127</v>
      </c>
      <c r="L369" t="s">
        <v>128</v>
      </c>
      <c r="N369">
        <v>1</v>
      </c>
      <c r="O369" s="89">
        <v>573.04</v>
      </c>
      <c r="P369" s="89">
        <v>19769.88</v>
      </c>
      <c r="Q369" t="s">
        <v>150</v>
      </c>
      <c r="R369" t="s">
        <v>131</v>
      </c>
    </row>
    <row r="370" spans="3:18" hidden="1" x14ac:dyDescent="0.25">
      <c r="C370" t="s">
        <v>45</v>
      </c>
      <c r="D370" t="s">
        <v>24</v>
      </c>
      <c r="E370" t="s">
        <v>48</v>
      </c>
      <c r="F370" t="s">
        <v>41</v>
      </c>
      <c r="G370" s="89">
        <v>2418440</v>
      </c>
      <c r="H370" t="s">
        <v>140</v>
      </c>
      <c r="I370" t="s">
        <v>133</v>
      </c>
      <c r="J370" s="89">
        <v>70134760</v>
      </c>
      <c r="K370" t="s">
        <v>134</v>
      </c>
      <c r="L370" t="s">
        <v>128</v>
      </c>
      <c r="N370">
        <v>1</v>
      </c>
      <c r="O370" s="89">
        <v>72553.2</v>
      </c>
      <c r="P370" s="89">
        <v>1233404.3999999999</v>
      </c>
      <c r="Q370" t="s">
        <v>142</v>
      </c>
      <c r="R370" t="s">
        <v>131</v>
      </c>
    </row>
    <row r="371" spans="3:18" hidden="1" x14ac:dyDescent="0.25">
      <c r="C371" t="s">
        <v>45</v>
      </c>
      <c r="D371" t="s">
        <v>19</v>
      </c>
      <c r="E371" t="s">
        <v>40</v>
      </c>
      <c r="F371" t="s">
        <v>41</v>
      </c>
      <c r="G371" s="89">
        <v>41473</v>
      </c>
      <c r="H371" t="s">
        <v>42</v>
      </c>
      <c r="I371" t="s">
        <v>133</v>
      </c>
      <c r="J371" s="89">
        <v>1493028</v>
      </c>
      <c r="K371" t="s">
        <v>144</v>
      </c>
      <c r="N371">
        <v>1</v>
      </c>
      <c r="O371" s="89">
        <v>1244.19</v>
      </c>
      <c r="P371" s="89">
        <v>34837.32</v>
      </c>
      <c r="Q371" t="s">
        <v>135</v>
      </c>
      <c r="R371" t="s">
        <v>131</v>
      </c>
    </row>
    <row r="372" spans="3:18" x14ac:dyDescent="0.25">
      <c r="C372" t="s">
        <v>47</v>
      </c>
      <c r="D372" t="s">
        <v>22</v>
      </c>
      <c r="E372" t="s">
        <v>40</v>
      </c>
      <c r="F372" t="s">
        <v>41</v>
      </c>
      <c r="G372" s="89">
        <v>4506127</v>
      </c>
      <c r="H372" t="s">
        <v>145</v>
      </c>
      <c r="I372" t="s">
        <v>141</v>
      </c>
      <c r="J372" s="89">
        <v>36049016</v>
      </c>
      <c r="K372" t="s">
        <v>127</v>
      </c>
      <c r="L372" t="s">
        <v>128</v>
      </c>
      <c r="N372">
        <v>1</v>
      </c>
      <c r="O372" s="89">
        <v>180245.08</v>
      </c>
      <c r="P372" s="89">
        <v>1216654.29</v>
      </c>
      <c r="Q372" t="s">
        <v>130</v>
      </c>
      <c r="R372" t="s">
        <v>131</v>
      </c>
    </row>
    <row r="373" spans="3:18" hidden="1" x14ac:dyDescent="0.25">
      <c r="C373" t="s">
        <v>45</v>
      </c>
      <c r="D373" t="s">
        <v>138</v>
      </c>
      <c r="E373" t="s">
        <v>43</v>
      </c>
      <c r="F373" t="s">
        <v>41</v>
      </c>
      <c r="G373" s="89">
        <v>209429</v>
      </c>
      <c r="H373" t="s">
        <v>146</v>
      </c>
      <c r="I373" t="s">
        <v>133</v>
      </c>
      <c r="J373" s="89">
        <v>6701728</v>
      </c>
      <c r="K373" t="s">
        <v>144</v>
      </c>
      <c r="N373">
        <v>1</v>
      </c>
      <c r="O373" s="89">
        <v>6282.87</v>
      </c>
      <c r="P373" s="89">
        <v>31414.35</v>
      </c>
      <c r="Q373" t="s">
        <v>130</v>
      </c>
      <c r="R373" t="s">
        <v>131</v>
      </c>
    </row>
    <row r="374" spans="3:18" hidden="1" x14ac:dyDescent="0.25">
      <c r="C374" t="s">
        <v>45</v>
      </c>
      <c r="D374" t="s">
        <v>21</v>
      </c>
      <c r="E374" t="s">
        <v>40</v>
      </c>
      <c r="F374" t="s">
        <v>41</v>
      </c>
      <c r="G374" s="89">
        <v>62211</v>
      </c>
      <c r="H374" t="s">
        <v>42</v>
      </c>
      <c r="I374" t="s">
        <v>147</v>
      </c>
      <c r="J374" s="89">
        <v>311055</v>
      </c>
      <c r="K374" t="s">
        <v>144</v>
      </c>
      <c r="N374">
        <v>1</v>
      </c>
      <c r="O374" s="89">
        <v>1866.33</v>
      </c>
      <c r="P374" s="89">
        <v>24262.29</v>
      </c>
      <c r="Q374" t="s">
        <v>130</v>
      </c>
      <c r="R374" t="s">
        <v>42</v>
      </c>
    </row>
    <row r="375" spans="3:18" hidden="1" x14ac:dyDescent="0.25">
      <c r="C375" t="s">
        <v>45</v>
      </c>
      <c r="D375" t="s">
        <v>22</v>
      </c>
      <c r="E375" t="s">
        <v>40</v>
      </c>
      <c r="F375" t="s">
        <v>41</v>
      </c>
      <c r="G375" s="89">
        <v>394858</v>
      </c>
      <c r="H375" t="s">
        <v>132</v>
      </c>
      <c r="I375" t="s">
        <v>133</v>
      </c>
      <c r="J375" s="89">
        <v>9871450</v>
      </c>
      <c r="K375" t="s">
        <v>134</v>
      </c>
      <c r="L375" t="s">
        <v>128</v>
      </c>
      <c r="N375">
        <v>1</v>
      </c>
      <c r="O375" s="89">
        <v>11845.74</v>
      </c>
      <c r="P375" s="89">
        <v>209274.74</v>
      </c>
      <c r="Q375" t="s">
        <v>142</v>
      </c>
      <c r="R375" t="s">
        <v>131</v>
      </c>
    </row>
    <row r="376" spans="3:18" hidden="1" x14ac:dyDescent="0.25">
      <c r="C376" t="s">
        <v>45</v>
      </c>
      <c r="D376" t="s">
        <v>20</v>
      </c>
      <c r="E376" t="s">
        <v>43</v>
      </c>
      <c r="F376" t="s">
        <v>41</v>
      </c>
      <c r="G376" s="89">
        <v>913718</v>
      </c>
      <c r="H376" t="s">
        <v>140</v>
      </c>
      <c r="I376" t="s">
        <v>133</v>
      </c>
      <c r="J376" s="89">
        <v>30152694</v>
      </c>
      <c r="K376" t="s">
        <v>134</v>
      </c>
      <c r="L376" t="s">
        <v>128</v>
      </c>
      <c r="N376">
        <v>1</v>
      </c>
      <c r="O376" s="89">
        <v>27411.54</v>
      </c>
      <c r="P376" s="89">
        <v>621328.24</v>
      </c>
      <c r="Q376" t="s">
        <v>137</v>
      </c>
      <c r="R376" t="s">
        <v>131</v>
      </c>
    </row>
    <row r="377" spans="3:18" hidden="1" x14ac:dyDescent="0.25">
      <c r="C377" t="s">
        <v>45</v>
      </c>
      <c r="D377" t="s">
        <v>20</v>
      </c>
      <c r="E377" t="s">
        <v>43</v>
      </c>
      <c r="F377" t="s">
        <v>53</v>
      </c>
      <c r="G377" s="89">
        <v>501086</v>
      </c>
      <c r="H377" t="s">
        <v>42</v>
      </c>
      <c r="I377" t="s">
        <v>126</v>
      </c>
      <c r="J377" s="89">
        <v>7015204</v>
      </c>
      <c r="K377" t="s">
        <v>144</v>
      </c>
      <c r="N377">
        <v>1</v>
      </c>
      <c r="O377" s="89">
        <v>10021.719999999999</v>
      </c>
      <c r="P377" s="89">
        <v>175380.1</v>
      </c>
      <c r="Q377" t="s">
        <v>130</v>
      </c>
      <c r="R377" t="s">
        <v>42</v>
      </c>
    </row>
    <row r="378" spans="3:18" hidden="1" x14ac:dyDescent="0.25">
      <c r="C378" t="s">
        <v>45</v>
      </c>
      <c r="D378" t="s">
        <v>23</v>
      </c>
      <c r="E378" t="s">
        <v>43</v>
      </c>
      <c r="F378" t="s">
        <v>41</v>
      </c>
      <c r="G378" s="89">
        <v>3941681</v>
      </c>
      <c r="H378" t="s">
        <v>42</v>
      </c>
      <c r="I378" t="s">
        <v>126</v>
      </c>
      <c r="J378" s="89">
        <v>63066896</v>
      </c>
      <c r="K378" t="s">
        <v>127</v>
      </c>
      <c r="L378" t="s">
        <v>128</v>
      </c>
      <c r="M378" t="s">
        <v>152</v>
      </c>
      <c r="N378">
        <v>1</v>
      </c>
      <c r="O378" s="89">
        <v>118250.43</v>
      </c>
      <c r="P378" s="89">
        <v>1931423.69</v>
      </c>
      <c r="Q378" t="s">
        <v>142</v>
      </c>
      <c r="R378" t="s">
        <v>131</v>
      </c>
    </row>
    <row r="379" spans="3:18" hidden="1" x14ac:dyDescent="0.25">
      <c r="C379" t="s">
        <v>45</v>
      </c>
      <c r="D379" t="s">
        <v>23</v>
      </c>
      <c r="E379" t="s">
        <v>48</v>
      </c>
      <c r="F379" t="s">
        <v>41</v>
      </c>
      <c r="G379" s="89">
        <v>7784087</v>
      </c>
      <c r="H379" t="s">
        <v>145</v>
      </c>
      <c r="I379" t="s">
        <v>133</v>
      </c>
      <c r="J379" s="89">
        <v>210170349</v>
      </c>
      <c r="K379" t="s">
        <v>127</v>
      </c>
      <c r="L379" t="s">
        <v>128</v>
      </c>
      <c r="N379">
        <v>1</v>
      </c>
      <c r="O379" s="89">
        <v>233522.61</v>
      </c>
      <c r="P379" s="89">
        <v>4047725.24</v>
      </c>
      <c r="Q379" t="s">
        <v>142</v>
      </c>
      <c r="R379" t="s">
        <v>131</v>
      </c>
    </row>
    <row r="380" spans="3:18" hidden="1" x14ac:dyDescent="0.25">
      <c r="C380" t="s">
        <v>45</v>
      </c>
      <c r="D380" t="s">
        <v>23</v>
      </c>
      <c r="E380" t="s">
        <v>52</v>
      </c>
      <c r="F380" t="s">
        <v>41</v>
      </c>
      <c r="G380" s="89">
        <v>173632</v>
      </c>
      <c r="H380" t="s">
        <v>42</v>
      </c>
      <c r="I380" t="s">
        <v>141</v>
      </c>
      <c r="J380" s="89">
        <v>1215424</v>
      </c>
      <c r="K380" t="s">
        <v>127</v>
      </c>
      <c r="L380" t="s">
        <v>128</v>
      </c>
      <c r="M380" t="s">
        <v>152</v>
      </c>
      <c r="N380">
        <v>1</v>
      </c>
      <c r="O380" s="89">
        <v>8681.6</v>
      </c>
      <c r="P380" s="89">
        <v>57298.559999999998</v>
      </c>
      <c r="Q380" t="s">
        <v>130</v>
      </c>
      <c r="R380" t="s">
        <v>42</v>
      </c>
    </row>
    <row r="381" spans="3:18" hidden="1" x14ac:dyDescent="0.25">
      <c r="C381" t="s">
        <v>45</v>
      </c>
      <c r="D381" t="s">
        <v>25</v>
      </c>
      <c r="E381" t="s">
        <v>44</v>
      </c>
      <c r="F381" t="s">
        <v>41</v>
      </c>
      <c r="G381" s="89">
        <v>871936</v>
      </c>
      <c r="H381" t="s">
        <v>146</v>
      </c>
      <c r="I381" t="s">
        <v>133</v>
      </c>
      <c r="J381" s="89">
        <v>22670336</v>
      </c>
      <c r="K381" t="s">
        <v>127</v>
      </c>
      <c r="L381" t="s">
        <v>128</v>
      </c>
      <c r="N381">
        <v>1</v>
      </c>
      <c r="O381" s="89">
        <v>34877.440000000002</v>
      </c>
      <c r="P381" s="89">
        <v>470845.44</v>
      </c>
      <c r="Q381" t="s">
        <v>142</v>
      </c>
      <c r="R381" t="s">
        <v>131</v>
      </c>
    </row>
    <row r="382" spans="3:18" hidden="1" x14ac:dyDescent="0.25">
      <c r="C382" t="s">
        <v>45</v>
      </c>
      <c r="D382" t="s">
        <v>24</v>
      </c>
      <c r="E382" t="s">
        <v>52</v>
      </c>
      <c r="F382" t="s">
        <v>53</v>
      </c>
      <c r="G382" s="89">
        <v>60949</v>
      </c>
      <c r="H382" t="s">
        <v>42</v>
      </c>
      <c r="I382" t="s">
        <v>133</v>
      </c>
      <c r="J382" s="89">
        <v>1950368</v>
      </c>
      <c r="K382" t="s">
        <v>144</v>
      </c>
      <c r="N382">
        <v>1</v>
      </c>
      <c r="O382" s="89">
        <v>1828.47</v>
      </c>
      <c r="P382" s="89">
        <v>18284.7</v>
      </c>
      <c r="Q382" t="s">
        <v>130</v>
      </c>
      <c r="R382" t="s">
        <v>42</v>
      </c>
    </row>
    <row r="383" spans="3:18" hidden="1" x14ac:dyDescent="0.25">
      <c r="C383" t="s">
        <v>45</v>
      </c>
      <c r="D383" t="s">
        <v>21</v>
      </c>
      <c r="E383" t="s">
        <v>40</v>
      </c>
      <c r="F383" t="s">
        <v>41</v>
      </c>
      <c r="G383" s="89">
        <v>254389</v>
      </c>
      <c r="H383" t="s">
        <v>132</v>
      </c>
      <c r="I383" t="s">
        <v>126</v>
      </c>
      <c r="J383" s="89">
        <v>4324613</v>
      </c>
      <c r="K383" t="s">
        <v>144</v>
      </c>
      <c r="N383">
        <v>1</v>
      </c>
      <c r="O383" s="89">
        <v>7631.67</v>
      </c>
      <c r="P383" s="89">
        <v>66141.14</v>
      </c>
      <c r="Q383" t="s">
        <v>130</v>
      </c>
      <c r="R383" t="s">
        <v>131</v>
      </c>
    </row>
    <row r="384" spans="3:18" hidden="1" x14ac:dyDescent="0.25">
      <c r="C384" t="s">
        <v>45</v>
      </c>
      <c r="D384" t="s">
        <v>22</v>
      </c>
      <c r="E384" t="s">
        <v>43</v>
      </c>
      <c r="F384" t="s">
        <v>41</v>
      </c>
      <c r="G384" s="89">
        <v>246234</v>
      </c>
      <c r="H384" t="s">
        <v>42</v>
      </c>
      <c r="I384" t="s">
        <v>126</v>
      </c>
      <c r="J384" s="89">
        <v>3693510</v>
      </c>
      <c r="K384" t="s">
        <v>144</v>
      </c>
      <c r="N384">
        <v>1</v>
      </c>
      <c r="O384" s="89">
        <v>7387.02</v>
      </c>
      <c r="P384" s="89">
        <v>201911.88</v>
      </c>
      <c r="Q384" t="s">
        <v>135</v>
      </c>
      <c r="R384" t="s">
        <v>42</v>
      </c>
    </row>
    <row r="385" spans="3:18" hidden="1" x14ac:dyDescent="0.25">
      <c r="C385" t="s">
        <v>45</v>
      </c>
      <c r="D385" t="s">
        <v>24</v>
      </c>
      <c r="E385" t="s">
        <v>48</v>
      </c>
      <c r="F385" t="s">
        <v>41</v>
      </c>
      <c r="G385" s="89">
        <v>59692</v>
      </c>
      <c r="H385" t="s">
        <v>146</v>
      </c>
      <c r="I385" t="s">
        <v>141</v>
      </c>
      <c r="J385" s="89">
        <v>537228</v>
      </c>
      <c r="K385" t="s">
        <v>134</v>
      </c>
      <c r="L385" t="s">
        <v>128</v>
      </c>
      <c r="N385">
        <v>1</v>
      </c>
      <c r="O385" s="89">
        <v>1193.8399999999999</v>
      </c>
      <c r="P385" s="89">
        <v>20295.28</v>
      </c>
      <c r="Q385" t="s">
        <v>130</v>
      </c>
      <c r="R385" t="s">
        <v>131</v>
      </c>
    </row>
    <row r="386" spans="3:18" hidden="1" x14ac:dyDescent="0.25">
      <c r="C386" t="s">
        <v>45</v>
      </c>
      <c r="D386" t="s">
        <v>138</v>
      </c>
      <c r="E386" t="s">
        <v>43</v>
      </c>
      <c r="F386" t="s">
        <v>41</v>
      </c>
      <c r="G386" s="89">
        <v>88511</v>
      </c>
      <c r="H386" t="s">
        <v>42</v>
      </c>
      <c r="I386" t="s">
        <v>133</v>
      </c>
      <c r="J386" s="89">
        <v>2212775</v>
      </c>
      <c r="K386" t="s">
        <v>127</v>
      </c>
      <c r="L386" t="s">
        <v>128</v>
      </c>
      <c r="M386" t="s">
        <v>129</v>
      </c>
      <c r="N386">
        <v>1</v>
      </c>
      <c r="O386" s="89">
        <v>3540.44</v>
      </c>
      <c r="P386" s="89">
        <v>23897.97</v>
      </c>
      <c r="Q386" t="s">
        <v>130</v>
      </c>
      <c r="R386" t="s">
        <v>131</v>
      </c>
    </row>
    <row r="387" spans="3:18" hidden="1" x14ac:dyDescent="0.25">
      <c r="C387" t="s">
        <v>45</v>
      </c>
      <c r="D387" t="s">
        <v>19</v>
      </c>
      <c r="E387" t="s">
        <v>43</v>
      </c>
      <c r="F387" t="s">
        <v>41</v>
      </c>
      <c r="G387" s="89">
        <v>630024</v>
      </c>
      <c r="H387" t="s">
        <v>132</v>
      </c>
      <c r="I387" t="s">
        <v>133</v>
      </c>
      <c r="J387" s="89">
        <v>17640672</v>
      </c>
      <c r="K387" t="s">
        <v>144</v>
      </c>
      <c r="N387">
        <v>1</v>
      </c>
      <c r="O387" s="89">
        <v>25200.959999999999</v>
      </c>
      <c r="P387" s="89">
        <v>522919.92</v>
      </c>
      <c r="Q387" t="s">
        <v>135</v>
      </c>
      <c r="R387" t="s">
        <v>131</v>
      </c>
    </row>
    <row r="388" spans="3:18" hidden="1" x14ac:dyDescent="0.25">
      <c r="C388" t="s">
        <v>45</v>
      </c>
      <c r="D388" t="s">
        <v>149</v>
      </c>
      <c r="E388" t="s">
        <v>52</v>
      </c>
      <c r="F388" t="s">
        <v>41</v>
      </c>
      <c r="G388" s="89">
        <v>26403</v>
      </c>
      <c r="H388" t="s">
        <v>42</v>
      </c>
      <c r="I388" t="s">
        <v>141</v>
      </c>
      <c r="J388" s="89">
        <v>264030</v>
      </c>
      <c r="K388" t="s">
        <v>127</v>
      </c>
      <c r="L388" t="s">
        <v>128</v>
      </c>
      <c r="M388" t="s">
        <v>136</v>
      </c>
      <c r="N388">
        <v>1</v>
      </c>
      <c r="O388" s="89">
        <v>792.09</v>
      </c>
      <c r="P388" s="89">
        <v>15577.77</v>
      </c>
      <c r="Q388" t="s">
        <v>142</v>
      </c>
      <c r="R388" t="s">
        <v>42</v>
      </c>
    </row>
    <row r="389" spans="3:18" x14ac:dyDescent="0.25">
      <c r="C389" t="s">
        <v>47</v>
      </c>
      <c r="D389" t="s">
        <v>24</v>
      </c>
      <c r="E389" t="s">
        <v>44</v>
      </c>
      <c r="F389" t="s">
        <v>41</v>
      </c>
      <c r="G389" s="89">
        <v>251424</v>
      </c>
      <c r="H389" t="s">
        <v>42</v>
      </c>
      <c r="I389" t="s">
        <v>147</v>
      </c>
      <c r="J389" s="89">
        <v>754272</v>
      </c>
      <c r="K389" t="s">
        <v>127</v>
      </c>
      <c r="L389" t="s">
        <v>128</v>
      </c>
      <c r="M389" t="s">
        <v>148</v>
      </c>
      <c r="N389">
        <v>1</v>
      </c>
      <c r="O389" s="89">
        <v>10056.959999999999</v>
      </c>
      <c r="P389" s="89">
        <v>42742.080000000002</v>
      </c>
      <c r="Q389" t="s">
        <v>130</v>
      </c>
      <c r="R389" t="s">
        <v>131</v>
      </c>
    </row>
    <row r="390" spans="3:18" hidden="1" x14ac:dyDescent="0.25">
      <c r="C390" t="s">
        <v>45</v>
      </c>
      <c r="D390" t="s">
        <v>149</v>
      </c>
      <c r="E390" t="s">
        <v>43</v>
      </c>
      <c r="F390" t="s">
        <v>53</v>
      </c>
      <c r="G390" s="89">
        <v>63510</v>
      </c>
      <c r="H390" t="s">
        <v>140</v>
      </c>
      <c r="I390" t="s">
        <v>133</v>
      </c>
      <c r="J390" s="89">
        <v>2286360</v>
      </c>
      <c r="K390" t="s">
        <v>127</v>
      </c>
      <c r="L390" t="s">
        <v>128</v>
      </c>
      <c r="N390">
        <v>1</v>
      </c>
      <c r="O390" s="89">
        <v>3175.5</v>
      </c>
      <c r="P390" s="89">
        <v>46362.3</v>
      </c>
      <c r="Q390" t="s">
        <v>137</v>
      </c>
      <c r="R390" t="s">
        <v>131</v>
      </c>
    </row>
    <row r="391" spans="3:18" hidden="1" x14ac:dyDescent="0.25">
      <c r="C391" t="s">
        <v>45</v>
      </c>
      <c r="D391" t="s">
        <v>23</v>
      </c>
      <c r="E391" t="s">
        <v>40</v>
      </c>
      <c r="F391" t="s">
        <v>41</v>
      </c>
      <c r="G391" s="89">
        <v>3803575</v>
      </c>
      <c r="H391" t="s">
        <v>145</v>
      </c>
      <c r="I391" t="s">
        <v>147</v>
      </c>
      <c r="J391" s="89">
        <v>11410725</v>
      </c>
      <c r="K391" t="s">
        <v>127</v>
      </c>
      <c r="L391" t="s">
        <v>128</v>
      </c>
      <c r="N391">
        <v>1</v>
      </c>
      <c r="O391" s="89">
        <v>114107.25</v>
      </c>
      <c r="P391" s="89">
        <v>494464.75</v>
      </c>
      <c r="Q391" t="s">
        <v>130</v>
      </c>
      <c r="R391" t="s">
        <v>131</v>
      </c>
    </row>
    <row r="392" spans="3:18" hidden="1" x14ac:dyDescent="0.25">
      <c r="C392" t="s">
        <v>45</v>
      </c>
      <c r="D392" t="s">
        <v>22</v>
      </c>
      <c r="E392" t="s">
        <v>40</v>
      </c>
      <c r="F392" t="s">
        <v>41</v>
      </c>
      <c r="G392" s="89">
        <v>100129</v>
      </c>
      <c r="H392" t="s">
        <v>146</v>
      </c>
      <c r="I392" t="s">
        <v>153</v>
      </c>
      <c r="J392" s="89"/>
      <c r="K392" t="s">
        <v>127</v>
      </c>
      <c r="L392" t="s">
        <v>128</v>
      </c>
      <c r="N392">
        <v>0</v>
      </c>
      <c r="O392" s="89">
        <v>4005.16</v>
      </c>
      <c r="P392" s="89">
        <v>86110.94</v>
      </c>
      <c r="Q392" t="s">
        <v>135</v>
      </c>
      <c r="R392" t="s">
        <v>131</v>
      </c>
    </row>
    <row r="393" spans="3:18" hidden="1" x14ac:dyDescent="0.25">
      <c r="C393" t="s">
        <v>45</v>
      </c>
      <c r="D393" t="s">
        <v>24</v>
      </c>
      <c r="E393" t="s">
        <v>43</v>
      </c>
      <c r="F393" t="s">
        <v>41</v>
      </c>
      <c r="G393" s="89">
        <v>209852</v>
      </c>
      <c r="H393" t="s">
        <v>42</v>
      </c>
      <c r="I393" t="s">
        <v>126</v>
      </c>
      <c r="J393" s="89">
        <v>3987188</v>
      </c>
      <c r="K393" t="s">
        <v>144</v>
      </c>
      <c r="N393">
        <v>1</v>
      </c>
      <c r="O393" s="89">
        <v>6295.56</v>
      </c>
      <c r="P393" s="89">
        <v>151093.44</v>
      </c>
      <c r="Q393" t="s">
        <v>137</v>
      </c>
      <c r="R393" t="s">
        <v>42</v>
      </c>
    </row>
    <row r="394" spans="3:18" hidden="1" x14ac:dyDescent="0.25">
      <c r="C394" t="s">
        <v>45</v>
      </c>
      <c r="D394" t="s">
        <v>21</v>
      </c>
      <c r="E394" t="s">
        <v>48</v>
      </c>
      <c r="F394" t="s">
        <v>41</v>
      </c>
      <c r="G394" s="89">
        <v>59802</v>
      </c>
      <c r="H394" t="s">
        <v>140</v>
      </c>
      <c r="I394" t="s">
        <v>126</v>
      </c>
      <c r="J394" s="89">
        <v>777426</v>
      </c>
      <c r="K394" t="s">
        <v>127</v>
      </c>
      <c r="L394" t="s">
        <v>128</v>
      </c>
      <c r="N394">
        <v>1</v>
      </c>
      <c r="O394" s="89">
        <v>1794.06</v>
      </c>
      <c r="P394" s="89">
        <v>16744.560000000001</v>
      </c>
      <c r="Q394" t="s">
        <v>130</v>
      </c>
      <c r="R394" t="s">
        <v>131</v>
      </c>
    </row>
    <row r="395" spans="3:18" hidden="1" x14ac:dyDescent="0.25">
      <c r="C395" t="s">
        <v>45</v>
      </c>
      <c r="D395" t="s">
        <v>20</v>
      </c>
      <c r="E395" t="s">
        <v>43</v>
      </c>
      <c r="F395" t="s">
        <v>41</v>
      </c>
      <c r="G395" s="89">
        <v>2196623</v>
      </c>
      <c r="H395" t="s">
        <v>132</v>
      </c>
      <c r="I395" t="s">
        <v>133</v>
      </c>
      <c r="J395" s="89">
        <v>70291936</v>
      </c>
      <c r="K395" t="s">
        <v>127</v>
      </c>
      <c r="L395" t="s">
        <v>128</v>
      </c>
      <c r="N395">
        <v>1</v>
      </c>
      <c r="O395" s="89">
        <v>65898.69</v>
      </c>
      <c r="P395" s="89">
        <v>1867129.55</v>
      </c>
      <c r="Q395" t="s">
        <v>135</v>
      </c>
      <c r="R395" t="s">
        <v>131</v>
      </c>
    </row>
    <row r="396" spans="3:18" hidden="1" x14ac:dyDescent="0.25">
      <c r="C396" t="s">
        <v>45</v>
      </c>
      <c r="D396" t="s">
        <v>21</v>
      </c>
      <c r="E396" t="s">
        <v>40</v>
      </c>
      <c r="F396" t="s">
        <v>41</v>
      </c>
      <c r="G396" s="89">
        <v>168093</v>
      </c>
      <c r="H396" t="s">
        <v>146</v>
      </c>
      <c r="I396" t="s">
        <v>133</v>
      </c>
      <c r="J396" s="89">
        <v>5210883</v>
      </c>
      <c r="K396" t="s">
        <v>134</v>
      </c>
      <c r="L396" t="s">
        <v>128</v>
      </c>
      <c r="N396">
        <v>1</v>
      </c>
      <c r="O396" s="89">
        <v>5042.79</v>
      </c>
      <c r="P396" s="89">
        <v>122707.89</v>
      </c>
      <c r="Q396" t="s">
        <v>137</v>
      </c>
      <c r="R396" t="s">
        <v>131</v>
      </c>
    </row>
    <row r="397" spans="3:18" hidden="1" x14ac:dyDescent="0.25">
      <c r="C397" t="s">
        <v>45</v>
      </c>
      <c r="D397" t="s">
        <v>22</v>
      </c>
      <c r="E397" t="s">
        <v>52</v>
      </c>
      <c r="F397" t="s">
        <v>41</v>
      </c>
      <c r="G397" s="89">
        <v>118931</v>
      </c>
      <c r="H397" t="s">
        <v>42</v>
      </c>
      <c r="I397" t="s">
        <v>126</v>
      </c>
      <c r="J397" s="89">
        <v>1665034</v>
      </c>
      <c r="K397" t="s">
        <v>127</v>
      </c>
      <c r="L397" t="s">
        <v>128</v>
      </c>
      <c r="M397" t="s">
        <v>143</v>
      </c>
      <c r="N397">
        <v>1</v>
      </c>
      <c r="O397" s="89">
        <v>4757.24</v>
      </c>
      <c r="P397" s="89">
        <v>58276.19</v>
      </c>
      <c r="Q397" t="s">
        <v>142</v>
      </c>
      <c r="R397" t="s">
        <v>42</v>
      </c>
    </row>
    <row r="398" spans="3:18" hidden="1" x14ac:dyDescent="0.25">
      <c r="C398" t="s">
        <v>45</v>
      </c>
      <c r="D398" t="s">
        <v>21</v>
      </c>
      <c r="E398" t="s">
        <v>43</v>
      </c>
      <c r="F398" t="s">
        <v>41</v>
      </c>
      <c r="G398" s="89">
        <v>1250380</v>
      </c>
      <c r="H398" t="s">
        <v>42</v>
      </c>
      <c r="I398" t="s">
        <v>141</v>
      </c>
      <c r="J398" s="89">
        <v>8752660</v>
      </c>
      <c r="K398" t="s">
        <v>127</v>
      </c>
      <c r="L398" t="s">
        <v>128</v>
      </c>
      <c r="M398" t="s">
        <v>129</v>
      </c>
      <c r="N398">
        <v>1</v>
      </c>
      <c r="O398" s="89">
        <v>37511.4</v>
      </c>
      <c r="P398" s="89">
        <v>237572.2</v>
      </c>
      <c r="Q398" t="s">
        <v>130</v>
      </c>
      <c r="R398" t="s">
        <v>42</v>
      </c>
    </row>
    <row r="399" spans="3:18" hidden="1" x14ac:dyDescent="0.25">
      <c r="C399" t="s">
        <v>45</v>
      </c>
      <c r="D399" t="s">
        <v>21</v>
      </c>
      <c r="E399" t="s">
        <v>46</v>
      </c>
      <c r="F399" t="s">
        <v>41</v>
      </c>
      <c r="G399" s="89">
        <v>225918</v>
      </c>
      <c r="H399" t="s">
        <v>42</v>
      </c>
      <c r="I399" t="s">
        <v>133</v>
      </c>
      <c r="J399" s="89">
        <v>7907130</v>
      </c>
      <c r="K399" t="s">
        <v>127</v>
      </c>
      <c r="L399" t="s">
        <v>128</v>
      </c>
      <c r="M399" t="s">
        <v>129</v>
      </c>
      <c r="N399">
        <v>1</v>
      </c>
      <c r="O399" s="89">
        <v>6777.54</v>
      </c>
      <c r="P399" s="89">
        <v>121995.72</v>
      </c>
      <c r="Q399" t="s">
        <v>142</v>
      </c>
      <c r="R399" t="s">
        <v>42</v>
      </c>
    </row>
    <row r="400" spans="3:18" x14ac:dyDescent="0.25">
      <c r="C400" t="s">
        <v>47</v>
      </c>
      <c r="D400" t="s">
        <v>50</v>
      </c>
      <c r="E400" t="s">
        <v>50</v>
      </c>
      <c r="F400" t="s">
        <v>41</v>
      </c>
      <c r="G400" s="89">
        <v>0</v>
      </c>
      <c r="H400" t="s">
        <v>51</v>
      </c>
      <c r="I400" t="s">
        <v>126</v>
      </c>
      <c r="J400" s="89">
        <v>0</v>
      </c>
      <c r="K400" t="s">
        <v>127</v>
      </c>
      <c r="N400">
        <v>1</v>
      </c>
      <c r="O400" s="89">
        <v>0</v>
      </c>
      <c r="P400" s="89">
        <v>0</v>
      </c>
      <c r="Q400" t="s">
        <v>150</v>
      </c>
    </row>
    <row r="401" spans="3:18" hidden="1" x14ac:dyDescent="0.25">
      <c r="C401" t="s">
        <v>45</v>
      </c>
      <c r="D401" t="s">
        <v>21</v>
      </c>
      <c r="E401" t="s">
        <v>43</v>
      </c>
      <c r="F401" t="s">
        <v>41</v>
      </c>
      <c r="G401" s="89">
        <v>8203220</v>
      </c>
      <c r="H401" t="s">
        <v>145</v>
      </c>
      <c r="I401" t="s">
        <v>141</v>
      </c>
      <c r="J401" s="89">
        <v>65625760</v>
      </c>
      <c r="K401" t="s">
        <v>127</v>
      </c>
      <c r="L401" t="s">
        <v>128</v>
      </c>
      <c r="N401">
        <v>1</v>
      </c>
      <c r="O401" s="89">
        <v>246096.6</v>
      </c>
      <c r="P401" s="89">
        <v>3773481.2</v>
      </c>
      <c r="Q401" t="s">
        <v>142</v>
      </c>
      <c r="R401" t="s">
        <v>131</v>
      </c>
    </row>
    <row r="402" spans="3:18" hidden="1" x14ac:dyDescent="0.25">
      <c r="C402" t="s">
        <v>45</v>
      </c>
      <c r="D402" t="s">
        <v>21</v>
      </c>
      <c r="E402" t="s">
        <v>40</v>
      </c>
      <c r="F402" t="s">
        <v>41</v>
      </c>
      <c r="G402" s="89">
        <v>99142807</v>
      </c>
      <c r="H402" t="s">
        <v>42</v>
      </c>
      <c r="I402" t="s">
        <v>133</v>
      </c>
      <c r="J402" s="89">
        <v>3172569824</v>
      </c>
      <c r="K402" t="s">
        <v>127</v>
      </c>
      <c r="L402" t="s">
        <v>128</v>
      </c>
      <c r="M402" t="s">
        <v>129</v>
      </c>
      <c r="N402">
        <v>1</v>
      </c>
      <c r="O402" s="89">
        <v>2974284.21</v>
      </c>
      <c r="P402" s="89">
        <v>70391392.969999999</v>
      </c>
      <c r="Q402" t="s">
        <v>137</v>
      </c>
      <c r="R402" t="s">
        <v>42</v>
      </c>
    </row>
    <row r="403" spans="3:18" hidden="1" x14ac:dyDescent="0.25">
      <c r="C403" t="s">
        <v>45</v>
      </c>
      <c r="D403" t="s">
        <v>24</v>
      </c>
      <c r="E403" t="s">
        <v>48</v>
      </c>
      <c r="F403" t="s">
        <v>41</v>
      </c>
      <c r="G403" s="89">
        <v>3523211</v>
      </c>
      <c r="H403" t="s">
        <v>146</v>
      </c>
      <c r="I403" t="s">
        <v>126</v>
      </c>
      <c r="J403" s="89">
        <v>49324954</v>
      </c>
      <c r="K403" t="s">
        <v>127</v>
      </c>
      <c r="L403" t="s">
        <v>128</v>
      </c>
      <c r="N403">
        <v>1</v>
      </c>
      <c r="O403" s="89">
        <v>105696.33</v>
      </c>
      <c r="P403" s="89">
        <v>916034.86</v>
      </c>
      <c r="Q403" t="s">
        <v>130</v>
      </c>
      <c r="R403" t="s">
        <v>131</v>
      </c>
    </row>
    <row r="404" spans="3:18" hidden="1" x14ac:dyDescent="0.25">
      <c r="C404" t="s">
        <v>45</v>
      </c>
      <c r="D404" t="s">
        <v>20</v>
      </c>
      <c r="E404" t="s">
        <v>43</v>
      </c>
      <c r="F404" t="s">
        <v>41</v>
      </c>
      <c r="G404" s="89">
        <v>39920</v>
      </c>
      <c r="H404" t="s">
        <v>145</v>
      </c>
      <c r="I404" t="s">
        <v>133</v>
      </c>
      <c r="J404" s="89">
        <v>1157680</v>
      </c>
      <c r="K404" t="s">
        <v>134</v>
      </c>
      <c r="L404" t="s">
        <v>128</v>
      </c>
      <c r="N404">
        <v>1</v>
      </c>
      <c r="O404" s="89">
        <v>1197.5999999999999</v>
      </c>
      <c r="P404" s="89">
        <v>13572.8</v>
      </c>
      <c r="Q404" t="s">
        <v>130</v>
      </c>
      <c r="R404" t="s">
        <v>131</v>
      </c>
    </row>
    <row r="405" spans="3:18" hidden="1" x14ac:dyDescent="0.25">
      <c r="C405" t="s">
        <v>45</v>
      </c>
      <c r="D405" t="s">
        <v>23</v>
      </c>
      <c r="E405" t="s">
        <v>48</v>
      </c>
      <c r="F405" t="s">
        <v>41</v>
      </c>
      <c r="G405" s="89">
        <v>952919</v>
      </c>
      <c r="H405" t="s">
        <v>140</v>
      </c>
      <c r="I405" t="s">
        <v>126</v>
      </c>
      <c r="J405" s="89">
        <v>14293785</v>
      </c>
      <c r="K405" t="s">
        <v>127</v>
      </c>
      <c r="L405" t="s">
        <v>128</v>
      </c>
      <c r="N405">
        <v>1</v>
      </c>
      <c r="O405" s="89">
        <v>38116.76</v>
      </c>
      <c r="P405" s="89">
        <v>819510.34</v>
      </c>
      <c r="Q405" t="s">
        <v>135</v>
      </c>
      <c r="R405" t="s">
        <v>131</v>
      </c>
    </row>
    <row r="406" spans="3:18" hidden="1" x14ac:dyDescent="0.25">
      <c r="C406" t="s">
        <v>45</v>
      </c>
      <c r="D406" t="s">
        <v>23</v>
      </c>
      <c r="E406" t="s">
        <v>46</v>
      </c>
      <c r="F406" t="s">
        <v>41</v>
      </c>
      <c r="G406" s="89">
        <v>366168</v>
      </c>
      <c r="H406" t="s">
        <v>42</v>
      </c>
      <c r="I406" t="s">
        <v>133</v>
      </c>
      <c r="J406" s="89">
        <v>12449712</v>
      </c>
      <c r="K406" t="s">
        <v>127</v>
      </c>
      <c r="L406" t="s">
        <v>128</v>
      </c>
      <c r="M406" t="s">
        <v>152</v>
      </c>
      <c r="N406">
        <v>1</v>
      </c>
      <c r="O406" s="89">
        <v>10985.04</v>
      </c>
      <c r="P406" s="89">
        <v>446724.96</v>
      </c>
      <c r="Q406" t="s">
        <v>150</v>
      </c>
      <c r="R406" t="s">
        <v>42</v>
      </c>
    </row>
    <row r="407" spans="3:18" hidden="1" x14ac:dyDescent="0.25">
      <c r="C407" t="s">
        <v>45</v>
      </c>
      <c r="D407" t="s">
        <v>50</v>
      </c>
      <c r="E407" t="s">
        <v>50</v>
      </c>
      <c r="F407" t="s">
        <v>41</v>
      </c>
      <c r="G407" s="89">
        <v>62161</v>
      </c>
      <c r="H407" t="s">
        <v>79</v>
      </c>
      <c r="I407" t="s">
        <v>126</v>
      </c>
      <c r="J407" s="89">
        <v>1181059</v>
      </c>
      <c r="K407" t="s">
        <v>134</v>
      </c>
      <c r="N407">
        <v>1</v>
      </c>
      <c r="O407" s="89">
        <v>1864.83</v>
      </c>
      <c r="P407" s="89">
        <v>63404.22</v>
      </c>
      <c r="Q407" t="s">
        <v>150</v>
      </c>
      <c r="R407" t="s">
        <v>79</v>
      </c>
    </row>
    <row r="408" spans="3:18" hidden="1" x14ac:dyDescent="0.25">
      <c r="C408" t="s">
        <v>45</v>
      </c>
      <c r="D408" t="s">
        <v>22</v>
      </c>
      <c r="E408" t="s">
        <v>40</v>
      </c>
      <c r="F408" t="s">
        <v>41</v>
      </c>
      <c r="G408" s="89">
        <v>1256913</v>
      </c>
      <c r="H408" t="s">
        <v>146</v>
      </c>
      <c r="I408" t="s">
        <v>133</v>
      </c>
      <c r="J408" s="89">
        <v>40221216</v>
      </c>
      <c r="K408" t="s">
        <v>144</v>
      </c>
      <c r="N408">
        <v>1</v>
      </c>
      <c r="O408" s="89">
        <v>37707.39</v>
      </c>
      <c r="P408" s="89">
        <v>251382.6</v>
      </c>
      <c r="Q408" t="s">
        <v>130</v>
      </c>
      <c r="R408" t="s">
        <v>131</v>
      </c>
    </row>
    <row r="409" spans="3:18" hidden="1" x14ac:dyDescent="0.25">
      <c r="C409" t="s">
        <v>45</v>
      </c>
      <c r="D409" t="s">
        <v>21</v>
      </c>
      <c r="E409" t="s">
        <v>43</v>
      </c>
      <c r="F409" t="s">
        <v>41</v>
      </c>
      <c r="G409" s="89">
        <v>214992</v>
      </c>
      <c r="H409" t="s">
        <v>146</v>
      </c>
      <c r="I409" t="s">
        <v>147</v>
      </c>
      <c r="J409" s="89"/>
      <c r="K409" t="s">
        <v>127</v>
      </c>
      <c r="L409" t="s">
        <v>128</v>
      </c>
      <c r="N409">
        <v>0</v>
      </c>
      <c r="O409" s="89">
        <v>6449.76</v>
      </c>
      <c r="P409" s="89">
        <v>2149.92</v>
      </c>
      <c r="Q409" t="s">
        <v>130</v>
      </c>
      <c r="R409" t="s">
        <v>131</v>
      </c>
    </row>
    <row r="410" spans="3:18" x14ac:dyDescent="0.25">
      <c r="C410" t="s">
        <v>47</v>
      </c>
      <c r="D410" t="s">
        <v>21</v>
      </c>
      <c r="E410" t="s">
        <v>40</v>
      </c>
      <c r="F410" t="s">
        <v>41</v>
      </c>
      <c r="G410" s="89">
        <v>201213</v>
      </c>
      <c r="H410" t="s">
        <v>146</v>
      </c>
      <c r="I410" t="s">
        <v>147</v>
      </c>
      <c r="J410" s="89">
        <v>603639</v>
      </c>
      <c r="K410" t="s">
        <v>144</v>
      </c>
      <c r="N410">
        <v>1</v>
      </c>
      <c r="O410" s="89">
        <v>8048.52</v>
      </c>
      <c r="P410" s="89">
        <v>4024.26</v>
      </c>
      <c r="Q410" t="s">
        <v>130</v>
      </c>
      <c r="R410" t="s">
        <v>131</v>
      </c>
    </row>
    <row r="411" spans="3:18" hidden="1" x14ac:dyDescent="0.25">
      <c r="C411" t="s">
        <v>45</v>
      </c>
      <c r="D411" t="s">
        <v>22</v>
      </c>
      <c r="E411" t="s">
        <v>44</v>
      </c>
      <c r="F411" t="s">
        <v>41</v>
      </c>
      <c r="G411" s="89">
        <v>58601</v>
      </c>
      <c r="H411" t="s">
        <v>42</v>
      </c>
      <c r="I411" t="s">
        <v>126</v>
      </c>
      <c r="J411" s="89">
        <v>820414</v>
      </c>
      <c r="K411" t="s">
        <v>134</v>
      </c>
      <c r="L411" t="s">
        <v>128</v>
      </c>
      <c r="M411" t="s">
        <v>129</v>
      </c>
      <c r="N411">
        <v>1</v>
      </c>
      <c r="O411" s="89">
        <v>2344.04</v>
      </c>
      <c r="P411" s="89">
        <v>14650.25</v>
      </c>
      <c r="Q411" t="s">
        <v>130</v>
      </c>
      <c r="R411" t="s">
        <v>42</v>
      </c>
    </row>
    <row r="412" spans="3:18" hidden="1" x14ac:dyDescent="0.25">
      <c r="C412" t="s">
        <v>45</v>
      </c>
      <c r="D412" t="s">
        <v>23</v>
      </c>
      <c r="E412" t="s">
        <v>40</v>
      </c>
      <c r="F412" t="s">
        <v>41</v>
      </c>
      <c r="G412" s="89">
        <v>2877629</v>
      </c>
      <c r="H412" t="s">
        <v>42</v>
      </c>
      <c r="I412" t="s">
        <v>147</v>
      </c>
      <c r="J412" s="89">
        <v>8632887</v>
      </c>
      <c r="K412" t="s">
        <v>127</v>
      </c>
      <c r="L412" t="s">
        <v>128</v>
      </c>
      <c r="M412" t="s">
        <v>152</v>
      </c>
      <c r="N412">
        <v>1</v>
      </c>
      <c r="O412" s="89">
        <v>86328.87</v>
      </c>
      <c r="P412" s="89">
        <v>402868.06</v>
      </c>
      <c r="Q412" t="s">
        <v>130</v>
      </c>
      <c r="R412" t="s">
        <v>131</v>
      </c>
    </row>
    <row r="413" spans="3:18" x14ac:dyDescent="0.25">
      <c r="C413" t="s">
        <v>47</v>
      </c>
      <c r="D413" t="s">
        <v>21</v>
      </c>
      <c r="E413" t="s">
        <v>43</v>
      </c>
      <c r="F413" t="s">
        <v>41</v>
      </c>
      <c r="G413" s="89">
        <v>1397546</v>
      </c>
      <c r="H413" t="s">
        <v>145</v>
      </c>
      <c r="I413" t="s">
        <v>126</v>
      </c>
      <c r="J413" s="89">
        <v>19565644</v>
      </c>
      <c r="K413" t="s">
        <v>127</v>
      </c>
      <c r="L413" t="s">
        <v>128</v>
      </c>
      <c r="N413">
        <v>1</v>
      </c>
      <c r="O413" s="89">
        <v>55901.84</v>
      </c>
      <c r="P413" s="89">
        <v>698773</v>
      </c>
      <c r="Q413" t="s">
        <v>142</v>
      </c>
      <c r="R413" t="s">
        <v>131</v>
      </c>
    </row>
    <row r="414" spans="3:18" hidden="1" x14ac:dyDescent="0.25">
      <c r="C414" t="s">
        <v>45</v>
      </c>
      <c r="D414" t="s">
        <v>20</v>
      </c>
      <c r="E414" t="s">
        <v>43</v>
      </c>
      <c r="F414" t="s">
        <v>41</v>
      </c>
      <c r="G414" s="89">
        <v>53937509</v>
      </c>
      <c r="H414" t="s">
        <v>42</v>
      </c>
      <c r="I414" t="s">
        <v>133</v>
      </c>
      <c r="J414" s="89">
        <v>1510250252</v>
      </c>
      <c r="K414" t="s">
        <v>127</v>
      </c>
      <c r="L414" t="s">
        <v>128</v>
      </c>
      <c r="M414" t="s">
        <v>139</v>
      </c>
      <c r="N414">
        <v>1</v>
      </c>
      <c r="O414" s="89">
        <v>1618125.27</v>
      </c>
      <c r="P414" s="89">
        <v>15641877.609999999</v>
      </c>
      <c r="Q414" t="s">
        <v>130</v>
      </c>
      <c r="R414" t="s">
        <v>131</v>
      </c>
    </row>
    <row r="415" spans="3:18" hidden="1" x14ac:dyDescent="0.25">
      <c r="C415" t="s">
        <v>45</v>
      </c>
      <c r="D415" t="s">
        <v>24</v>
      </c>
      <c r="E415" t="s">
        <v>48</v>
      </c>
      <c r="F415" t="s">
        <v>41</v>
      </c>
      <c r="G415" s="89">
        <v>93200</v>
      </c>
      <c r="H415" t="s">
        <v>145</v>
      </c>
      <c r="I415" t="s">
        <v>126</v>
      </c>
      <c r="J415" s="89">
        <v>1770800</v>
      </c>
      <c r="K415" t="s">
        <v>127</v>
      </c>
      <c r="L415" t="s">
        <v>128</v>
      </c>
      <c r="N415">
        <v>1</v>
      </c>
      <c r="O415" s="89">
        <v>3728</v>
      </c>
      <c r="P415" s="89">
        <v>95064</v>
      </c>
      <c r="Q415" t="s">
        <v>150</v>
      </c>
      <c r="R415" t="s">
        <v>131</v>
      </c>
    </row>
    <row r="416" spans="3:18" hidden="1" x14ac:dyDescent="0.25">
      <c r="C416" t="s">
        <v>45</v>
      </c>
      <c r="D416" t="s">
        <v>21</v>
      </c>
      <c r="E416" t="s">
        <v>40</v>
      </c>
      <c r="F416" t="s">
        <v>41</v>
      </c>
      <c r="G416" s="89">
        <v>2166805</v>
      </c>
      <c r="H416" t="s">
        <v>42</v>
      </c>
      <c r="I416" t="s">
        <v>133</v>
      </c>
      <c r="J416" s="89">
        <v>62837345</v>
      </c>
      <c r="K416" t="s">
        <v>144</v>
      </c>
      <c r="N416">
        <v>1</v>
      </c>
      <c r="O416" s="89">
        <v>65004.15</v>
      </c>
      <c r="P416" s="89">
        <v>1083402.5</v>
      </c>
      <c r="Q416" t="s">
        <v>142</v>
      </c>
      <c r="R416" t="s">
        <v>131</v>
      </c>
    </row>
    <row r="417" spans="3:18" hidden="1" x14ac:dyDescent="0.25">
      <c r="C417" t="s">
        <v>45</v>
      </c>
      <c r="D417" t="s">
        <v>22</v>
      </c>
      <c r="E417" t="s">
        <v>52</v>
      </c>
      <c r="F417" t="s">
        <v>41</v>
      </c>
      <c r="G417" s="89">
        <v>560547</v>
      </c>
      <c r="H417" t="s">
        <v>42</v>
      </c>
      <c r="I417" t="s">
        <v>133</v>
      </c>
      <c r="J417" s="89">
        <v>17937504</v>
      </c>
      <c r="K417" t="s">
        <v>127</v>
      </c>
      <c r="L417" t="s">
        <v>128</v>
      </c>
      <c r="M417" t="s">
        <v>143</v>
      </c>
      <c r="N417">
        <v>1</v>
      </c>
      <c r="O417" s="89">
        <v>16816.41</v>
      </c>
      <c r="P417" s="89">
        <v>459648.54</v>
      </c>
      <c r="Q417" t="s">
        <v>135</v>
      </c>
      <c r="R417" t="s">
        <v>42</v>
      </c>
    </row>
    <row r="418" spans="3:18" hidden="1" x14ac:dyDescent="0.25">
      <c r="C418" t="s">
        <v>45</v>
      </c>
      <c r="D418" t="s">
        <v>21</v>
      </c>
      <c r="E418" t="s">
        <v>43</v>
      </c>
      <c r="F418" t="s">
        <v>41</v>
      </c>
      <c r="G418" s="89">
        <v>14781</v>
      </c>
      <c r="H418" t="s">
        <v>140</v>
      </c>
      <c r="I418" t="s">
        <v>147</v>
      </c>
      <c r="J418" s="89">
        <v>73905</v>
      </c>
      <c r="K418" t="s">
        <v>127</v>
      </c>
      <c r="L418" t="s">
        <v>128</v>
      </c>
      <c r="N418">
        <v>1</v>
      </c>
      <c r="O418" s="89">
        <v>443.43</v>
      </c>
      <c r="P418" s="89">
        <v>13894.14</v>
      </c>
      <c r="Q418" t="s">
        <v>135</v>
      </c>
      <c r="R418" t="s">
        <v>131</v>
      </c>
    </row>
    <row r="419" spans="3:18" hidden="1" x14ac:dyDescent="0.25">
      <c r="C419" t="s">
        <v>45</v>
      </c>
      <c r="D419" t="s">
        <v>19</v>
      </c>
      <c r="E419" t="s">
        <v>43</v>
      </c>
      <c r="F419" t="s">
        <v>41</v>
      </c>
      <c r="G419" s="89">
        <v>43017</v>
      </c>
      <c r="H419" t="s">
        <v>146</v>
      </c>
      <c r="I419" t="s">
        <v>126</v>
      </c>
      <c r="J419" s="89">
        <v>688272</v>
      </c>
      <c r="K419" t="s">
        <v>134</v>
      </c>
      <c r="L419" t="s">
        <v>128</v>
      </c>
      <c r="N419">
        <v>1</v>
      </c>
      <c r="O419" s="89">
        <v>1290.51</v>
      </c>
      <c r="P419" s="89">
        <v>8173.23</v>
      </c>
      <c r="Q419" t="s">
        <v>130</v>
      </c>
      <c r="R419" t="s">
        <v>131</v>
      </c>
    </row>
    <row r="420" spans="3:18" hidden="1" x14ac:dyDescent="0.25">
      <c r="C420" t="s">
        <v>45</v>
      </c>
      <c r="D420" t="s">
        <v>19</v>
      </c>
      <c r="E420" t="s">
        <v>48</v>
      </c>
      <c r="F420" t="s">
        <v>41</v>
      </c>
      <c r="G420" s="89">
        <v>19072</v>
      </c>
      <c r="H420" t="s">
        <v>42</v>
      </c>
      <c r="I420" t="s">
        <v>126</v>
      </c>
      <c r="J420" s="89">
        <v>362368</v>
      </c>
      <c r="K420" t="s">
        <v>127</v>
      </c>
      <c r="L420" t="s">
        <v>128</v>
      </c>
      <c r="M420" t="s">
        <v>136</v>
      </c>
      <c r="N420">
        <v>1</v>
      </c>
      <c r="O420" s="89">
        <v>572.16</v>
      </c>
      <c r="P420" s="89">
        <v>2670.08</v>
      </c>
      <c r="Q420" t="s">
        <v>130</v>
      </c>
      <c r="R420" t="s">
        <v>42</v>
      </c>
    </row>
    <row r="421" spans="3:18" hidden="1" x14ac:dyDescent="0.25">
      <c r="C421" t="s">
        <v>45</v>
      </c>
      <c r="D421" t="s">
        <v>24</v>
      </c>
      <c r="E421" t="s">
        <v>48</v>
      </c>
      <c r="F421" t="s">
        <v>41</v>
      </c>
      <c r="G421" s="89">
        <v>16324</v>
      </c>
      <c r="H421" t="s">
        <v>140</v>
      </c>
      <c r="I421" t="s">
        <v>147</v>
      </c>
      <c r="J421" s="89">
        <v>48972</v>
      </c>
      <c r="K421" t="s">
        <v>134</v>
      </c>
      <c r="L421" t="s">
        <v>128</v>
      </c>
      <c r="N421">
        <v>1</v>
      </c>
      <c r="O421" s="89">
        <v>489.72</v>
      </c>
      <c r="P421" s="89">
        <v>1958.88</v>
      </c>
      <c r="Q421" t="s">
        <v>130</v>
      </c>
      <c r="R421" t="s">
        <v>131</v>
      </c>
    </row>
    <row r="422" spans="3:18" hidden="1" x14ac:dyDescent="0.25">
      <c r="C422" t="s">
        <v>45</v>
      </c>
      <c r="D422" t="s">
        <v>23</v>
      </c>
      <c r="E422" t="s">
        <v>43</v>
      </c>
      <c r="F422" t="s">
        <v>41</v>
      </c>
      <c r="G422" s="89">
        <v>59499</v>
      </c>
      <c r="H422" t="s">
        <v>132</v>
      </c>
      <c r="I422" t="s">
        <v>133</v>
      </c>
      <c r="J422" s="89">
        <v>2082465</v>
      </c>
      <c r="K422" t="s">
        <v>144</v>
      </c>
      <c r="N422">
        <v>1</v>
      </c>
      <c r="O422" s="89">
        <v>1784.97</v>
      </c>
      <c r="P422" s="89">
        <v>5949.9</v>
      </c>
      <c r="Q422" t="s">
        <v>130</v>
      </c>
      <c r="R422" t="s">
        <v>131</v>
      </c>
    </row>
    <row r="423" spans="3:18" hidden="1" x14ac:dyDescent="0.25">
      <c r="C423" t="s">
        <v>45</v>
      </c>
      <c r="D423" t="s">
        <v>19</v>
      </c>
      <c r="E423" t="s">
        <v>43</v>
      </c>
      <c r="F423" t="s">
        <v>41</v>
      </c>
      <c r="G423" s="89">
        <v>45322</v>
      </c>
      <c r="H423" t="s">
        <v>154</v>
      </c>
      <c r="I423" t="s">
        <v>126</v>
      </c>
      <c r="J423" s="89">
        <v>770474</v>
      </c>
      <c r="K423" t="s">
        <v>144</v>
      </c>
      <c r="N423">
        <v>1</v>
      </c>
      <c r="O423" s="89">
        <v>1359.66</v>
      </c>
      <c r="P423" s="89">
        <v>24927.1</v>
      </c>
      <c r="Q423" t="s">
        <v>142</v>
      </c>
      <c r="R423" t="s">
        <v>131</v>
      </c>
    </row>
    <row r="424" spans="3:18" hidden="1" x14ac:dyDescent="0.25">
      <c r="C424" t="s">
        <v>45</v>
      </c>
      <c r="D424" t="s">
        <v>22</v>
      </c>
      <c r="E424" t="s">
        <v>43</v>
      </c>
      <c r="F424" t="s">
        <v>41</v>
      </c>
      <c r="G424" s="89">
        <v>621071</v>
      </c>
      <c r="H424" t="s">
        <v>42</v>
      </c>
      <c r="I424" t="s">
        <v>126</v>
      </c>
      <c r="J424" s="89">
        <v>11179278</v>
      </c>
      <c r="K424" t="s">
        <v>144</v>
      </c>
      <c r="N424">
        <v>1</v>
      </c>
      <c r="O424" s="89">
        <v>18632.13</v>
      </c>
      <c r="P424" s="89">
        <v>515488.93</v>
      </c>
      <c r="Q424" t="s">
        <v>135</v>
      </c>
      <c r="R424" t="s">
        <v>131</v>
      </c>
    </row>
    <row r="425" spans="3:18" hidden="1" x14ac:dyDescent="0.25">
      <c r="C425" t="s">
        <v>45</v>
      </c>
      <c r="D425" t="s">
        <v>20</v>
      </c>
      <c r="E425" t="s">
        <v>43</v>
      </c>
      <c r="F425" t="s">
        <v>41</v>
      </c>
      <c r="G425" s="89">
        <v>127465</v>
      </c>
      <c r="H425" t="s">
        <v>42</v>
      </c>
      <c r="I425" t="s">
        <v>147</v>
      </c>
      <c r="J425" s="89">
        <v>382395</v>
      </c>
      <c r="K425" t="s">
        <v>127</v>
      </c>
      <c r="L425" t="s">
        <v>128</v>
      </c>
      <c r="M425" t="s">
        <v>139</v>
      </c>
      <c r="N425">
        <v>1</v>
      </c>
      <c r="O425" s="89">
        <v>5098.6000000000004</v>
      </c>
      <c r="P425" s="89">
        <v>12746.5</v>
      </c>
      <c r="Q425" t="s">
        <v>130</v>
      </c>
      <c r="R425" t="s">
        <v>42</v>
      </c>
    </row>
    <row r="426" spans="3:18" hidden="1" x14ac:dyDescent="0.25">
      <c r="C426" t="s">
        <v>45</v>
      </c>
      <c r="D426" t="s">
        <v>19</v>
      </c>
      <c r="E426" t="s">
        <v>43</v>
      </c>
      <c r="F426" t="s">
        <v>53</v>
      </c>
      <c r="G426" s="89">
        <v>29099</v>
      </c>
      <c r="H426" t="s">
        <v>140</v>
      </c>
      <c r="I426" t="s">
        <v>147</v>
      </c>
      <c r="J426" s="89">
        <v>87297</v>
      </c>
      <c r="K426" t="s">
        <v>127</v>
      </c>
      <c r="L426" t="s">
        <v>128</v>
      </c>
      <c r="N426">
        <v>1</v>
      </c>
      <c r="O426" s="89">
        <v>1163.96</v>
      </c>
      <c r="P426" s="89">
        <v>5237.82</v>
      </c>
      <c r="Q426" t="s">
        <v>130</v>
      </c>
      <c r="R426" t="s">
        <v>131</v>
      </c>
    </row>
    <row r="427" spans="3:18" hidden="1" x14ac:dyDescent="0.25">
      <c r="C427" t="s">
        <v>45</v>
      </c>
      <c r="D427" t="s">
        <v>138</v>
      </c>
      <c r="E427" t="s">
        <v>43</v>
      </c>
      <c r="F427" t="s">
        <v>41</v>
      </c>
      <c r="G427" s="89">
        <v>137191</v>
      </c>
      <c r="H427" t="s">
        <v>146</v>
      </c>
      <c r="I427" t="s">
        <v>126</v>
      </c>
      <c r="J427" s="89">
        <v>2743820</v>
      </c>
      <c r="K427" t="s">
        <v>127</v>
      </c>
      <c r="L427" t="s">
        <v>128</v>
      </c>
      <c r="N427">
        <v>1</v>
      </c>
      <c r="O427" s="89">
        <v>4115.7299999999996</v>
      </c>
      <c r="P427" s="89">
        <v>119356.17</v>
      </c>
      <c r="Q427" t="s">
        <v>135</v>
      </c>
      <c r="R427" t="s">
        <v>131</v>
      </c>
    </row>
    <row r="428" spans="3:18" hidden="1" x14ac:dyDescent="0.25">
      <c r="C428" t="s">
        <v>45</v>
      </c>
      <c r="D428" t="s">
        <v>24</v>
      </c>
      <c r="E428" t="s">
        <v>48</v>
      </c>
      <c r="F428" t="s">
        <v>41</v>
      </c>
      <c r="G428" s="89">
        <v>56686740</v>
      </c>
      <c r="H428" t="s">
        <v>140</v>
      </c>
      <c r="I428" t="s">
        <v>126</v>
      </c>
      <c r="J428" s="89">
        <v>850301100</v>
      </c>
      <c r="K428" t="s">
        <v>127</v>
      </c>
      <c r="L428" t="s">
        <v>128</v>
      </c>
      <c r="N428">
        <v>1</v>
      </c>
      <c r="O428" s="89">
        <v>1700602.2</v>
      </c>
      <c r="P428" s="89">
        <v>15305419.800000001</v>
      </c>
      <c r="Q428" t="s">
        <v>130</v>
      </c>
      <c r="R428" t="s">
        <v>131</v>
      </c>
    </row>
    <row r="429" spans="3:18" hidden="1" x14ac:dyDescent="0.25">
      <c r="C429" t="s">
        <v>45</v>
      </c>
      <c r="D429" t="s">
        <v>21</v>
      </c>
      <c r="E429" t="s">
        <v>40</v>
      </c>
      <c r="F429" t="s">
        <v>41</v>
      </c>
      <c r="G429" s="89">
        <v>7283157</v>
      </c>
      <c r="H429" t="s">
        <v>140</v>
      </c>
      <c r="I429" t="s">
        <v>126</v>
      </c>
      <c r="J429" s="89">
        <v>101964198</v>
      </c>
      <c r="K429" t="s">
        <v>127</v>
      </c>
      <c r="L429" t="s">
        <v>128</v>
      </c>
      <c r="N429">
        <v>1</v>
      </c>
      <c r="O429" s="89">
        <v>218494.71</v>
      </c>
      <c r="P429" s="89">
        <v>1966452.39</v>
      </c>
      <c r="Q429" t="s">
        <v>130</v>
      </c>
      <c r="R429" t="s">
        <v>131</v>
      </c>
    </row>
    <row r="430" spans="3:18" x14ac:dyDescent="0.25">
      <c r="C430" t="s">
        <v>47</v>
      </c>
      <c r="D430" t="s">
        <v>21</v>
      </c>
      <c r="E430" t="s">
        <v>43</v>
      </c>
      <c r="F430" t="s">
        <v>41</v>
      </c>
      <c r="G430" s="89">
        <v>1161403</v>
      </c>
      <c r="H430" t="s">
        <v>146</v>
      </c>
      <c r="I430" t="s">
        <v>126</v>
      </c>
      <c r="J430" s="89">
        <v>12775433</v>
      </c>
      <c r="K430" t="s">
        <v>127</v>
      </c>
      <c r="L430" t="s">
        <v>128</v>
      </c>
      <c r="N430">
        <v>1</v>
      </c>
      <c r="O430" s="89">
        <v>58070.15</v>
      </c>
      <c r="P430" s="89">
        <v>824596.13</v>
      </c>
      <c r="Q430" t="s">
        <v>137</v>
      </c>
      <c r="R430" t="s">
        <v>131</v>
      </c>
    </row>
    <row r="431" spans="3:18" hidden="1" x14ac:dyDescent="0.25">
      <c r="C431" t="s">
        <v>45</v>
      </c>
      <c r="D431" t="s">
        <v>24</v>
      </c>
      <c r="E431" t="s">
        <v>40</v>
      </c>
      <c r="F431" t="s">
        <v>41</v>
      </c>
      <c r="G431" s="89">
        <v>53650</v>
      </c>
      <c r="H431" t="s">
        <v>140</v>
      </c>
      <c r="I431" t="s">
        <v>126</v>
      </c>
      <c r="J431" s="89">
        <v>1073000</v>
      </c>
      <c r="K431" t="s">
        <v>127</v>
      </c>
      <c r="L431" t="s">
        <v>151</v>
      </c>
      <c r="N431">
        <v>1</v>
      </c>
      <c r="O431" s="89">
        <v>2682.5</v>
      </c>
      <c r="P431" s="89">
        <v>5365</v>
      </c>
      <c r="Q431" t="s">
        <v>130</v>
      </c>
      <c r="R431" t="s">
        <v>131</v>
      </c>
    </row>
    <row r="432" spans="3:18" hidden="1" x14ac:dyDescent="0.25">
      <c r="C432" t="s">
        <v>45</v>
      </c>
      <c r="D432" t="s">
        <v>21</v>
      </c>
      <c r="E432" t="s">
        <v>40</v>
      </c>
      <c r="F432" t="s">
        <v>41</v>
      </c>
      <c r="G432" s="89">
        <v>83407</v>
      </c>
      <c r="H432" t="s">
        <v>132</v>
      </c>
      <c r="I432" t="s">
        <v>126</v>
      </c>
      <c r="J432" s="89">
        <v>1251105</v>
      </c>
      <c r="K432" t="s">
        <v>144</v>
      </c>
      <c r="N432">
        <v>1</v>
      </c>
      <c r="O432" s="89">
        <v>2502.21</v>
      </c>
      <c r="P432" s="89">
        <v>42537.57</v>
      </c>
      <c r="Q432" t="s">
        <v>142</v>
      </c>
      <c r="R432" t="s">
        <v>131</v>
      </c>
    </row>
    <row r="433" spans="3:18" hidden="1" x14ac:dyDescent="0.25">
      <c r="C433" t="s">
        <v>45</v>
      </c>
      <c r="D433" t="s">
        <v>23</v>
      </c>
      <c r="E433" t="s">
        <v>40</v>
      </c>
      <c r="F433" t="s">
        <v>41</v>
      </c>
      <c r="G433" s="89">
        <v>35565</v>
      </c>
      <c r="H433" t="s">
        <v>145</v>
      </c>
      <c r="I433" t="s">
        <v>141</v>
      </c>
      <c r="J433" s="89">
        <v>248955</v>
      </c>
      <c r="K433" t="s">
        <v>127</v>
      </c>
      <c r="L433" t="s">
        <v>151</v>
      </c>
      <c r="N433">
        <v>1</v>
      </c>
      <c r="O433" s="89">
        <v>1066.95</v>
      </c>
      <c r="P433" s="89">
        <v>8891.25</v>
      </c>
      <c r="Q433" t="s">
        <v>130</v>
      </c>
      <c r="R433" t="s">
        <v>131</v>
      </c>
    </row>
    <row r="434" spans="3:18" x14ac:dyDescent="0.25">
      <c r="C434" t="s">
        <v>47</v>
      </c>
      <c r="D434" t="s">
        <v>21</v>
      </c>
      <c r="E434" t="s">
        <v>40</v>
      </c>
      <c r="F434" t="s">
        <v>41</v>
      </c>
      <c r="G434" s="89">
        <v>80568</v>
      </c>
      <c r="H434" t="s">
        <v>145</v>
      </c>
      <c r="I434" t="s">
        <v>141</v>
      </c>
      <c r="J434" s="89">
        <v>805680</v>
      </c>
      <c r="K434" t="s">
        <v>144</v>
      </c>
      <c r="N434">
        <v>1</v>
      </c>
      <c r="O434" s="89">
        <v>3222.72</v>
      </c>
      <c r="P434" s="89">
        <v>63648.72</v>
      </c>
      <c r="Q434" t="s">
        <v>137</v>
      </c>
      <c r="R434" t="s">
        <v>131</v>
      </c>
    </row>
    <row r="435" spans="3:18" hidden="1" x14ac:dyDescent="0.25">
      <c r="C435" t="s">
        <v>45</v>
      </c>
      <c r="D435" t="s">
        <v>23</v>
      </c>
      <c r="E435" t="s">
        <v>40</v>
      </c>
      <c r="F435" t="s">
        <v>41</v>
      </c>
      <c r="G435" s="89">
        <v>59099490</v>
      </c>
      <c r="H435" t="s">
        <v>132</v>
      </c>
      <c r="I435" t="s">
        <v>133</v>
      </c>
      <c r="J435" s="89">
        <v>1654785720</v>
      </c>
      <c r="K435" t="s">
        <v>127</v>
      </c>
      <c r="L435" t="s">
        <v>128</v>
      </c>
      <c r="N435">
        <v>1</v>
      </c>
      <c r="O435" s="89">
        <v>1772984.7</v>
      </c>
      <c r="P435" s="89">
        <v>40187653.200000003</v>
      </c>
      <c r="Q435" t="s">
        <v>137</v>
      </c>
      <c r="R435" t="s">
        <v>131</v>
      </c>
    </row>
    <row r="436" spans="3:18" x14ac:dyDescent="0.25">
      <c r="C436" t="s">
        <v>47</v>
      </c>
      <c r="D436" t="s">
        <v>21</v>
      </c>
      <c r="E436" t="s">
        <v>43</v>
      </c>
      <c r="F436" t="s">
        <v>41</v>
      </c>
      <c r="G436" s="89">
        <v>7731041</v>
      </c>
      <c r="H436" t="s">
        <v>42</v>
      </c>
      <c r="I436" t="s">
        <v>147</v>
      </c>
      <c r="J436" s="89">
        <v>23193123</v>
      </c>
      <c r="K436" t="s">
        <v>127</v>
      </c>
      <c r="L436" t="s">
        <v>128</v>
      </c>
      <c r="M436" t="s">
        <v>129</v>
      </c>
      <c r="N436">
        <v>1</v>
      </c>
      <c r="O436" s="89">
        <v>309241.64</v>
      </c>
      <c r="P436" s="89">
        <v>1546208.2</v>
      </c>
      <c r="Q436" t="s">
        <v>130</v>
      </c>
      <c r="R436" t="s">
        <v>131</v>
      </c>
    </row>
    <row r="437" spans="3:18" x14ac:dyDescent="0.25">
      <c r="C437" t="s">
        <v>47</v>
      </c>
      <c r="D437" t="s">
        <v>22</v>
      </c>
      <c r="E437" t="s">
        <v>48</v>
      </c>
      <c r="F437" t="s">
        <v>41</v>
      </c>
      <c r="G437" s="89">
        <v>80499</v>
      </c>
      <c r="H437" t="s">
        <v>140</v>
      </c>
      <c r="I437" t="s">
        <v>147</v>
      </c>
      <c r="J437" s="89">
        <v>160998</v>
      </c>
      <c r="K437" t="s">
        <v>127</v>
      </c>
      <c r="L437" t="s">
        <v>128</v>
      </c>
      <c r="N437">
        <v>1</v>
      </c>
      <c r="O437" s="89">
        <v>3219.96</v>
      </c>
      <c r="P437" s="89">
        <v>9659.8799999999992</v>
      </c>
      <c r="Q437" t="s">
        <v>130</v>
      </c>
      <c r="R437" t="s">
        <v>131</v>
      </c>
    </row>
    <row r="438" spans="3:18" hidden="1" x14ac:dyDescent="0.25">
      <c r="C438" t="s">
        <v>45</v>
      </c>
      <c r="D438" t="s">
        <v>22</v>
      </c>
      <c r="E438" t="s">
        <v>43</v>
      </c>
      <c r="F438" t="s">
        <v>41</v>
      </c>
      <c r="G438" s="89">
        <v>1727444</v>
      </c>
      <c r="H438" t="s">
        <v>42</v>
      </c>
      <c r="I438" t="s">
        <v>133</v>
      </c>
      <c r="J438" s="89">
        <v>46640988</v>
      </c>
      <c r="K438" t="s">
        <v>127</v>
      </c>
      <c r="L438" t="s">
        <v>128</v>
      </c>
      <c r="M438" t="s">
        <v>143</v>
      </c>
      <c r="N438">
        <v>1</v>
      </c>
      <c r="O438" s="89">
        <v>51823.32</v>
      </c>
      <c r="P438" s="89">
        <v>483684.32</v>
      </c>
      <c r="Q438" t="s">
        <v>130</v>
      </c>
      <c r="R438" t="s">
        <v>42</v>
      </c>
    </row>
    <row r="439" spans="3:18" x14ac:dyDescent="0.25">
      <c r="C439" t="s">
        <v>47</v>
      </c>
      <c r="D439" t="s">
        <v>22</v>
      </c>
      <c r="E439" t="s">
        <v>48</v>
      </c>
      <c r="F439" t="s">
        <v>41</v>
      </c>
      <c r="G439" s="89">
        <v>3803900</v>
      </c>
      <c r="H439" t="s">
        <v>146</v>
      </c>
      <c r="I439" t="s">
        <v>141</v>
      </c>
      <c r="J439" s="89">
        <v>34235100</v>
      </c>
      <c r="K439" t="s">
        <v>144</v>
      </c>
      <c r="N439">
        <v>1</v>
      </c>
      <c r="O439" s="89">
        <v>114117</v>
      </c>
      <c r="P439" s="89">
        <v>4260368</v>
      </c>
      <c r="Q439" t="s">
        <v>150</v>
      </c>
      <c r="R439" t="s">
        <v>131</v>
      </c>
    </row>
    <row r="440" spans="3:18" hidden="1" x14ac:dyDescent="0.25">
      <c r="C440" t="s">
        <v>45</v>
      </c>
      <c r="D440" t="s">
        <v>20</v>
      </c>
      <c r="E440" t="s">
        <v>43</v>
      </c>
      <c r="F440" t="s">
        <v>41</v>
      </c>
      <c r="G440" s="89">
        <v>32973</v>
      </c>
      <c r="H440" t="s">
        <v>42</v>
      </c>
      <c r="I440" t="s">
        <v>141</v>
      </c>
      <c r="J440" s="89">
        <v>296757</v>
      </c>
      <c r="K440" t="s">
        <v>144</v>
      </c>
      <c r="N440">
        <v>1</v>
      </c>
      <c r="O440" s="89">
        <v>989.19</v>
      </c>
      <c r="P440" s="89">
        <v>6594.6</v>
      </c>
      <c r="Q440" t="s">
        <v>130</v>
      </c>
      <c r="R440" t="s">
        <v>131</v>
      </c>
    </row>
    <row r="441" spans="3:18" x14ac:dyDescent="0.25">
      <c r="C441" t="s">
        <v>47</v>
      </c>
      <c r="D441" t="s">
        <v>138</v>
      </c>
      <c r="E441" t="s">
        <v>43</v>
      </c>
      <c r="F441" t="s">
        <v>41</v>
      </c>
      <c r="G441" s="89">
        <v>164263</v>
      </c>
      <c r="H441" t="s">
        <v>140</v>
      </c>
      <c r="I441" t="s">
        <v>141</v>
      </c>
      <c r="J441" s="89">
        <v>1149841</v>
      </c>
      <c r="K441" t="s">
        <v>144</v>
      </c>
      <c r="N441">
        <v>1</v>
      </c>
      <c r="O441" s="89">
        <v>6570.52</v>
      </c>
      <c r="P441" s="89">
        <v>29567.34</v>
      </c>
      <c r="Q441" t="s">
        <v>130</v>
      </c>
      <c r="R441" t="s">
        <v>131</v>
      </c>
    </row>
    <row r="442" spans="3:18" x14ac:dyDescent="0.25">
      <c r="C442" t="s">
        <v>47</v>
      </c>
      <c r="D442" t="s">
        <v>19</v>
      </c>
      <c r="E442" t="s">
        <v>43</v>
      </c>
      <c r="F442" t="s">
        <v>41</v>
      </c>
      <c r="G442" s="89">
        <v>136691</v>
      </c>
      <c r="H442" t="s">
        <v>146</v>
      </c>
      <c r="I442" t="s">
        <v>133</v>
      </c>
      <c r="J442" s="89">
        <v>3827348</v>
      </c>
      <c r="K442" t="s">
        <v>127</v>
      </c>
      <c r="L442" t="s">
        <v>128</v>
      </c>
      <c r="N442">
        <v>1</v>
      </c>
      <c r="O442" s="89">
        <v>8201.4599999999991</v>
      </c>
      <c r="P442" s="89">
        <v>64244.77</v>
      </c>
      <c r="Q442" t="s">
        <v>142</v>
      </c>
      <c r="R442" t="s">
        <v>131</v>
      </c>
    </row>
    <row r="443" spans="3:18" hidden="1" x14ac:dyDescent="0.25">
      <c r="C443" t="s">
        <v>45</v>
      </c>
      <c r="D443" t="s">
        <v>138</v>
      </c>
      <c r="E443" t="s">
        <v>43</v>
      </c>
      <c r="F443" t="s">
        <v>53</v>
      </c>
      <c r="G443" s="89">
        <v>1077874</v>
      </c>
      <c r="H443" t="s">
        <v>42</v>
      </c>
      <c r="I443" t="s">
        <v>126</v>
      </c>
      <c r="J443" s="89">
        <v>17245984</v>
      </c>
      <c r="K443" t="s">
        <v>144</v>
      </c>
      <c r="N443">
        <v>1</v>
      </c>
      <c r="O443" s="89">
        <v>32336.22</v>
      </c>
      <c r="P443" s="89">
        <v>635945.66</v>
      </c>
      <c r="Q443" t="s">
        <v>142</v>
      </c>
      <c r="R443" t="s">
        <v>42</v>
      </c>
    </row>
    <row r="444" spans="3:18" hidden="1" x14ac:dyDescent="0.25">
      <c r="C444" t="s">
        <v>45</v>
      </c>
      <c r="D444" t="s">
        <v>23</v>
      </c>
      <c r="E444" t="s">
        <v>48</v>
      </c>
      <c r="F444" t="s">
        <v>41</v>
      </c>
      <c r="G444" s="89">
        <v>195204</v>
      </c>
      <c r="H444" t="s">
        <v>140</v>
      </c>
      <c r="I444" t="s">
        <v>141</v>
      </c>
      <c r="J444" s="89">
        <v>1561632</v>
      </c>
      <c r="K444" t="s">
        <v>134</v>
      </c>
      <c r="L444" t="s">
        <v>128</v>
      </c>
      <c r="N444">
        <v>1</v>
      </c>
      <c r="O444" s="89">
        <v>5856.12</v>
      </c>
      <c r="P444" s="89">
        <v>42944.88</v>
      </c>
      <c r="Q444" t="s">
        <v>130</v>
      </c>
      <c r="R444" t="s">
        <v>131</v>
      </c>
    </row>
    <row r="445" spans="3:18" hidden="1" x14ac:dyDescent="0.25">
      <c r="C445" t="s">
        <v>45</v>
      </c>
      <c r="D445" t="s">
        <v>22</v>
      </c>
      <c r="E445" t="s">
        <v>40</v>
      </c>
      <c r="F445" t="s">
        <v>41</v>
      </c>
      <c r="G445" s="89">
        <v>13842</v>
      </c>
      <c r="H445" t="s">
        <v>140</v>
      </c>
      <c r="I445" t="s">
        <v>141</v>
      </c>
      <c r="J445" s="89">
        <v>96894</v>
      </c>
      <c r="K445" t="s">
        <v>127</v>
      </c>
      <c r="L445" t="s">
        <v>128</v>
      </c>
      <c r="N445">
        <v>1</v>
      </c>
      <c r="O445" s="89">
        <v>415.26</v>
      </c>
      <c r="P445" s="89">
        <v>18548.28</v>
      </c>
      <c r="Q445" t="s">
        <v>150</v>
      </c>
      <c r="R445" t="s">
        <v>131</v>
      </c>
    </row>
    <row r="446" spans="3:18" x14ac:dyDescent="0.25">
      <c r="C446" t="s">
        <v>47</v>
      </c>
      <c r="D446" t="s">
        <v>138</v>
      </c>
      <c r="E446" t="s">
        <v>43</v>
      </c>
      <c r="F446" t="s">
        <v>41</v>
      </c>
      <c r="G446" s="89">
        <v>450063</v>
      </c>
      <c r="H446" t="s">
        <v>42</v>
      </c>
      <c r="I446" t="s">
        <v>126</v>
      </c>
      <c r="J446" s="89">
        <v>6300882</v>
      </c>
      <c r="K446" t="s">
        <v>144</v>
      </c>
      <c r="N446">
        <v>1</v>
      </c>
      <c r="O446" s="89">
        <v>22503.15</v>
      </c>
      <c r="P446" s="89">
        <v>288040.32000000001</v>
      </c>
      <c r="Q446" t="s">
        <v>137</v>
      </c>
      <c r="R446" t="s">
        <v>131</v>
      </c>
    </row>
    <row r="447" spans="3:18" hidden="1" x14ac:dyDescent="0.25">
      <c r="C447" t="s">
        <v>45</v>
      </c>
      <c r="D447" t="s">
        <v>25</v>
      </c>
      <c r="E447" t="s">
        <v>44</v>
      </c>
      <c r="F447" t="s">
        <v>41</v>
      </c>
      <c r="G447" s="89">
        <v>16352</v>
      </c>
      <c r="H447" t="s">
        <v>42</v>
      </c>
      <c r="I447" t="s">
        <v>133</v>
      </c>
      <c r="J447" s="89">
        <v>392448</v>
      </c>
      <c r="K447" t="s">
        <v>127</v>
      </c>
      <c r="L447" t="s">
        <v>128</v>
      </c>
      <c r="M447" t="s">
        <v>155</v>
      </c>
      <c r="N447">
        <v>1</v>
      </c>
      <c r="O447" s="89">
        <v>654.08000000000004</v>
      </c>
      <c r="P447" s="89">
        <v>6540.8</v>
      </c>
      <c r="Q447" t="s">
        <v>142</v>
      </c>
      <c r="R447" t="s">
        <v>131</v>
      </c>
    </row>
    <row r="448" spans="3:18" hidden="1" x14ac:dyDescent="0.25">
      <c r="C448" t="s">
        <v>45</v>
      </c>
      <c r="D448" t="s">
        <v>138</v>
      </c>
      <c r="E448" t="s">
        <v>40</v>
      </c>
      <c r="F448" t="s">
        <v>41</v>
      </c>
      <c r="G448" s="89">
        <v>188490</v>
      </c>
      <c r="H448" t="s">
        <v>42</v>
      </c>
      <c r="I448" t="s">
        <v>141</v>
      </c>
      <c r="J448" s="89">
        <v>1319430</v>
      </c>
      <c r="K448" t="s">
        <v>127</v>
      </c>
      <c r="L448" t="s">
        <v>128</v>
      </c>
      <c r="M448" t="s">
        <v>139</v>
      </c>
      <c r="N448">
        <v>1</v>
      </c>
      <c r="O448" s="89">
        <v>7539.6</v>
      </c>
      <c r="P448" s="89">
        <v>43352.7</v>
      </c>
      <c r="Q448" t="s">
        <v>130</v>
      </c>
      <c r="R448" t="s">
        <v>42</v>
      </c>
    </row>
    <row r="449" spans="3:18" hidden="1" x14ac:dyDescent="0.25">
      <c r="C449" t="s">
        <v>45</v>
      </c>
      <c r="D449" t="s">
        <v>24</v>
      </c>
      <c r="E449" t="s">
        <v>44</v>
      </c>
      <c r="F449" t="s">
        <v>41</v>
      </c>
      <c r="G449" s="89">
        <v>303492</v>
      </c>
      <c r="H449" t="s">
        <v>145</v>
      </c>
      <c r="I449" t="s">
        <v>133</v>
      </c>
      <c r="J449" s="89">
        <v>10015236</v>
      </c>
      <c r="K449" t="s">
        <v>144</v>
      </c>
      <c r="N449">
        <v>1</v>
      </c>
      <c r="O449" s="89">
        <v>9104.76</v>
      </c>
      <c r="P449" s="89">
        <v>163885.68</v>
      </c>
      <c r="Q449" t="s">
        <v>142</v>
      </c>
      <c r="R449" t="s">
        <v>131</v>
      </c>
    </row>
    <row r="450" spans="3:18" x14ac:dyDescent="0.25">
      <c r="C450" t="s">
        <v>47</v>
      </c>
      <c r="D450" t="s">
        <v>50</v>
      </c>
      <c r="E450" t="s">
        <v>50</v>
      </c>
      <c r="F450" t="s">
        <v>41</v>
      </c>
      <c r="G450" s="89">
        <v>20624</v>
      </c>
      <c r="H450" t="s">
        <v>79</v>
      </c>
      <c r="I450" t="s">
        <v>133</v>
      </c>
      <c r="J450" s="89">
        <v>433104</v>
      </c>
      <c r="K450" t="s">
        <v>127</v>
      </c>
      <c r="N450">
        <v>1</v>
      </c>
      <c r="O450" s="89">
        <v>412.48</v>
      </c>
      <c r="P450" s="89">
        <v>7012.16</v>
      </c>
      <c r="Q450" t="s">
        <v>130</v>
      </c>
      <c r="R450" t="s">
        <v>79</v>
      </c>
    </row>
    <row r="451" spans="3:18" hidden="1" x14ac:dyDescent="0.25">
      <c r="C451" t="s">
        <v>45</v>
      </c>
      <c r="D451" t="s">
        <v>149</v>
      </c>
      <c r="E451" t="s">
        <v>43</v>
      </c>
      <c r="F451" t="s">
        <v>41</v>
      </c>
      <c r="G451" s="89">
        <v>1311444</v>
      </c>
      <c r="H451" t="s">
        <v>132</v>
      </c>
      <c r="I451" t="s">
        <v>133</v>
      </c>
      <c r="J451" s="89">
        <v>41966208</v>
      </c>
      <c r="K451" t="s">
        <v>144</v>
      </c>
      <c r="N451">
        <v>1</v>
      </c>
      <c r="O451" s="89">
        <v>39343.32</v>
      </c>
      <c r="P451" s="89">
        <v>944239.68</v>
      </c>
      <c r="Q451" t="s">
        <v>137</v>
      </c>
      <c r="R451" t="s">
        <v>131</v>
      </c>
    </row>
    <row r="452" spans="3:18" hidden="1" x14ac:dyDescent="0.25">
      <c r="C452" t="s">
        <v>45</v>
      </c>
      <c r="D452" t="s">
        <v>19</v>
      </c>
      <c r="E452" t="s">
        <v>43</v>
      </c>
      <c r="F452" t="s">
        <v>41</v>
      </c>
      <c r="G452" s="89">
        <v>81687</v>
      </c>
      <c r="I452" t="s">
        <v>126</v>
      </c>
      <c r="J452" s="89">
        <v>1470366</v>
      </c>
      <c r="K452" t="s">
        <v>127</v>
      </c>
      <c r="L452" t="s">
        <v>128</v>
      </c>
      <c r="N452">
        <v>1</v>
      </c>
      <c r="O452" s="89">
        <v>2450.61</v>
      </c>
      <c r="P452" s="89">
        <v>24506.1</v>
      </c>
      <c r="Q452" t="s">
        <v>130</v>
      </c>
      <c r="R452" t="s">
        <v>131</v>
      </c>
    </row>
    <row r="453" spans="3:18" x14ac:dyDescent="0.25">
      <c r="C453" t="s">
        <v>47</v>
      </c>
      <c r="D453" t="s">
        <v>22</v>
      </c>
      <c r="E453" t="s">
        <v>40</v>
      </c>
      <c r="F453" t="s">
        <v>41</v>
      </c>
      <c r="G453" s="89">
        <v>69389</v>
      </c>
      <c r="H453" t="s">
        <v>140</v>
      </c>
      <c r="I453" t="s">
        <v>133</v>
      </c>
      <c r="J453" s="89">
        <v>1804114</v>
      </c>
      <c r="K453" t="s">
        <v>127</v>
      </c>
      <c r="L453" t="s">
        <v>128</v>
      </c>
      <c r="N453">
        <v>1</v>
      </c>
      <c r="O453" s="89">
        <v>2081.67</v>
      </c>
      <c r="P453" s="89">
        <v>18041.14</v>
      </c>
      <c r="Q453" t="s">
        <v>130</v>
      </c>
      <c r="R453" t="s">
        <v>131</v>
      </c>
    </row>
    <row r="454" spans="3:18" hidden="1" x14ac:dyDescent="0.25">
      <c r="C454" t="s">
        <v>45</v>
      </c>
      <c r="D454" t="s">
        <v>23</v>
      </c>
      <c r="E454" t="s">
        <v>48</v>
      </c>
      <c r="F454" t="s">
        <v>41</v>
      </c>
      <c r="G454" s="89">
        <v>86825</v>
      </c>
      <c r="H454" t="s">
        <v>42</v>
      </c>
      <c r="I454" t="s">
        <v>133</v>
      </c>
      <c r="J454" s="89">
        <v>2431100</v>
      </c>
      <c r="K454" t="s">
        <v>127</v>
      </c>
      <c r="L454" t="s">
        <v>128</v>
      </c>
      <c r="M454" t="s">
        <v>129</v>
      </c>
      <c r="N454">
        <v>1</v>
      </c>
      <c r="O454" s="89">
        <v>3473</v>
      </c>
      <c r="P454" s="89">
        <v>33861.75</v>
      </c>
      <c r="Q454" t="s">
        <v>130</v>
      </c>
      <c r="R454" t="s">
        <v>42</v>
      </c>
    </row>
    <row r="455" spans="3:18" hidden="1" x14ac:dyDescent="0.25">
      <c r="C455" t="s">
        <v>45</v>
      </c>
      <c r="D455" t="s">
        <v>21</v>
      </c>
      <c r="E455" t="s">
        <v>43</v>
      </c>
      <c r="F455" t="s">
        <v>41</v>
      </c>
      <c r="G455" s="89">
        <v>1155886</v>
      </c>
      <c r="H455" t="s">
        <v>140</v>
      </c>
      <c r="I455" t="s">
        <v>126</v>
      </c>
      <c r="J455" s="89">
        <v>17338290</v>
      </c>
      <c r="K455" t="s">
        <v>134</v>
      </c>
      <c r="L455" t="s">
        <v>128</v>
      </c>
      <c r="N455">
        <v>1</v>
      </c>
      <c r="O455" s="89">
        <v>34676.58</v>
      </c>
      <c r="P455" s="89">
        <v>566384.14</v>
      </c>
      <c r="Q455" t="s">
        <v>142</v>
      </c>
      <c r="R455" t="s">
        <v>131</v>
      </c>
    </row>
    <row r="456" spans="3:18" hidden="1" x14ac:dyDescent="0.25">
      <c r="C456" t="s">
        <v>45</v>
      </c>
      <c r="D456" t="s">
        <v>138</v>
      </c>
      <c r="E456" t="s">
        <v>43</v>
      </c>
      <c r="F456" t="s">
        <v>53</v>
      </c>
      <c r="G456" s="89">
        <v>690100</v>
      </c>
      <c r="H456" t="s">
        <v>42</v>
      </c>
      <c r="I456" t="s">
        <v>126</v>
      </c>
      <c r="J456" s="89">
        <v>11731700</v>
      </c>
      <c r="K456" t="s">
        <v>144</v>
      </c>
      <c r="N456">
        <v>1</v>
      </c>
      <c r="O456" s="89">
        <v>20703</v>
      </c>
      <c r="P456" s="89">
        <v>220832</v>
      </c>
      <c r="Q456" t="s">
        <v>130</v>
      </c>
      <c r="R456" t="s">
        <v>42</v>
      </c>
    </row>
    <row r="457" spans="3:18" hidden="1" x14ac:dyDescent="0.25">
      <c r="C457" t="s">
        <v>45</v>
      </c>
      <c r="D457" t="s">
        <v>23</v>
      </c>
      <c r="E457" t="s">
        <v>40</v>
      </c>
      <c r="F457" t="s">
        <v>41</v>
      </c>
      <c r="G457" s="89">
        <v>747342</v>
      </c>
      <c r="H457" t="s">
        <v>140</v>
      </c>
      <c r="I457" t="s">
        <v>147</v>
      </c>
      <c r="J457" s="89">
        <v>1494684</v>
      </c>
      <c r="K457" t="s">
        <v>144</v>
      </c>
      <c r="N457">
        <v>1</v>
      </c>
      <c r="O457" s="89">
        <v>29893.68</v>
      </c>
      <c r="P457" s="89">
        <v>306410.21999999997</v>
      </c>
      <c r="Q457" t="s">
        <v>142</v>
      </c>
      <c r="R457" t="s">
        <v>131</v>
      </c>
    </row>
    <row r="458" spans="3:18" hidden="1" x14ac:dyDescent="0.25">
      <c r="C458" t="s">
        <v>45</v>
      </c>
      <c r="D458" t="s">
        <v>138</v>
      </c>
      <c r="E458" t="s">
        <v>40</v>
      </c>
      <c r="F458" t="s">
        <v>41</v>
      </c>
      <c r="G458" s="89">
        <v>41047</v>
      </c>
      <c r="H458" t="s">
        <v>140</v>
      </c>
      <c r="I458" t="s">
        <v>147</v>
      </c>
      <c r="J458" s="89">
        <v>123141</v>
      </c>
      <c r="K458" t="s">
        <v>127</v>
      </c>
      <c r="L458" t="s">
        <v>128</v>
      </c>
      <c r="N458">
        <v>1</v>
      </c>
      <c r="O458" s="89">
        <v>1231.4100000000001</v>
      </c>
      <c r="P458" s="89">
        <v>4104.7</v>
      </c>
      <c r="Q458" t="s">
        <v>130</v>
      </c>
      <c r="R458" t="s">
        <v>131</v>
      </c>
    </row>
    <row r="459" spans="3:18" hidden="1" x14ac:dyDescent="0.25">
      <c r="C459" t="s">
        <v>45</v>
      </c>
      <c r="D459" t="s">
        <v>22</v>
      </c>
      <c r="E459" t="s">
        <v>48</v>
      </c>
      <c r="F459" t="s">
        <v>41</v>
      </c>
      <c r="G459" s="89">
        <v>22271</v>
      </c>
      <c r="H459" t="s">
        <v>42</v>
      </c>
      <c r="I459" t="s">
        <v>147</v>
      </c>
      <c r="J459" s="89">
        <v>44542</v>
      </c>
      <c r="K459" t="s">
        <v>127</v>
      </c>
      <c r="L459" t="s">
        <v>128</v>
      </c>
      <c r="M459" t="s">
        <v>129</v>
      </c>
      <c r="N459">
        <v>1</v>
      </c>
      <c r="O459" s="89">
        <v>668.13</v>
      </c>
      <c r="P459" s="89">
        <v>2004.39</v>
      </c>
      <c r="Q459" t="s">
        <v>130</v>
      </c>
      <c r="R459" t="s">
        <v>42</v>
      </c>
    </row>
    <row r="460" spans="3:18" hidden="1" x14ac:dyDescent="0.25">
      <c r="C460" t="s">
        <v>45</v>
      </c>
      <c r="D460" t="s">
        <v>22</v>
      </c>
      <c r="E460" t="s">
        <v>43</v>
      </c>
      <c r="F460" t="s">
        <v>41</v>
      </c>
      <c r="G460" s="89">
        <v>158399</v>
      </c>
      <c r="H460" t="s">
        <v>42</v>
      </c>
      <c r="I460" t="s">
        <v>133</v>
      </c>
      <c r="J460" s="89">
        <v>3326379</v>
      </c>
      <c r="K460" t="s">
        <v>134</v>
      </c>
      <c r="L460" t="s">
        <v>128</v>
      </c>
      <c r="M460" t="s">
        <v>143</v>
      </c>
      <c r="N460">
        <v>1</v>
      </c>
      <c r="O460" s="89">
        <v>4751.97</v>
      </c>
      <c r="P460" s="89">
        <v>88703.44</v>
      </c>
      <c r="Q460" t="s">
        <v>142</v>
      </c>
      <c r="R460" t="s">
        <v>42</v>
      </c>
    </row>
    <row r="461" spans="3:18" hidden="1" x14ac:dyDescent="0.25">
      <c r="C461" t="s">
        <v>45</v>
      </c>
      <c r="D461" t="s">
        <v>24</v>
      </c>
      <c r="E461" t="s">
        <v>43</v>
      </c>
      <c r="F461" t="s">
        <v>41</v>
      </c>
      <c r="G461" s="89">
        <v>656239</v>
      </c>
      <c r="H461" t="s">
        <v>42</v>
      </c>
      <c r="I461" t="s">
        <v>133</v>
      </c>
      <c r="J461" s="89">
        <v>22312126</v>
      </c>
      <c r="K461" t="s">
        <v>144</v>
      </c>
      <c r="N461">
        <v>1</v>
      </c>
      <c r="O461" s="89">
        <v>19687.169999999998</v>
      </c>
      <c r="P461" s="89">
        <v>479054.47</v>
      </c>
      <c r="Q461" t="s">
        <v>137</v>
      </c>
      <c r="R461" t="s">
        <v>131</v>
      </c>
    </row>
    <row r="462" spans="3:18" hidden="1" x14ac:dyDescent="0.25">
      <c r="C462" t="s">
        <v>45</v>
      </c>
      <c r="D462" t="s">
        <v>21</v>
      </c>
      <c r="E462" t="s">
        <v>40</v>
      </c>
      <c r="F462" t="s">
        <v>41</v>
      </c>
      <c r="G462" s="89">
        <v>109920</v>
      </c>
      <c r="H462" t="s">
        <v>145</v>
      </c>
      <c r="I462" t="s">
        <v>133</v>
      </c>
      <c r="J462" s="89">
        <v>3517440</v>
      </c>
      <c r="K462" t="s">
        <v>127</v>
      </c>
      <c r="L462" t="s">
        <v>128</v>
      </c>
      <c r="N462">
        <v>1</v>
      </c>
      <c r="O462" s="89">
        <v>5496</v>
      </c>
      <c r="P462" s="89">
        <v>118713.60000000001</v>
      </c>
      <c r="Q462" t="s">
        <v>150</v>
      </c>
      <c r="R462" t="s">
        <v>131</v>
      </c>
    </row>
    <row r="463" spans="3:18" hidden="1" x14ac:dyDescent="0.25">
      <c r="C463" t="s">
        <v>45</v>
      </c>
      <c r="D463" t="s">
        <v>19</v>
      </c>
      <c r="E463" t="s">
        <v>43</v>
      </c>
      <c r="F463" t="s">
        <v>41</v>
      </c>
      <c r="G463" s="89">
        <v>27736246</v>
      </c>
      <c r="H463" t="s">
        <v>42</v>
      </c>
      <c r="I463" t="s">
        <v>147</v>
      </c>
      <c r="J463" s="89">
        <v>83208738</v>
      </c>
      <c r="K463" t="s">
        <v>127</v>
      </c>
      <c r="L463" t="s">
        <v>128</v>
      </c>
      <c r="M463" t="s">
        <v>136</v>
      </c>
      <c r="N463">
        <v>1</v>
      </c>
      <c r="O463" s="89">
        <v>832087.38</v>
      </c>
      <c r="P463" s="89">
        <v>4160436.9</v>
      </c>
      <c r="Q463" t="s">
        <v>130</v>
      </c>
      <c r="R463" t="s">
        <v>131</v>
      </c>
    </row>
    <row r="464" spans="3:18" hidden="1" x14ac:dyDescent="0.25">
      <c r="C464" t="s">
        <v>45</v>
      </c>
      <c r="D464" t="s">
        <v>24</v>
      </c>
      <c r="E464" t="s">
        <v>46</v>
      </c>
      <c r="F464" t="s">
        <v>41</v>
      </c>
      <c r="G464" s="89">
        <v>35881</v>
      </c>
      <c r="H464" t="s">
        <v>42</v>
      </c>
      <c r="I464" t="s">
        <v>133</v>
      </c>
      <c r="J464" s="89">
        <v>1327597</v>
      </c>
      <c r="K464" t="s">
        <v>144</v>
      </c>
      <c r="N464">
        <v>1</v>
      </c>
      <c r="O464" s="89">
        <v>1076.43</v>
      </c>
      <c r="P464" s="89">
        <v>28345.99</v>
      </c>
      <c r="Q464" t="s">
        <v>137</v>
      </c>
      <c r="R464" t="s">
        <v>131</v>
      </c>
    </row>
    <row r="465" spans="3:18" hidden="1" x14ac:dyDescent="0.25">
      <c r="C465" t="s">
        <v>45</v>
      </c>
      <c r="D465" t="s">
        <v>21</v>
      </c>
      <c r="E465" t="s">
        <v>48</v>
      </c>
      <c r="F465" t="s">
        <v>41</v>
      </c>
      <c r="G465" s="89">
        <v>61445</v>
      </c>
      <c r="H465" t="s">
        <v>42</v>
      </c>
      <c r="I465" t="s">
        <v>141</v>
      </c>
      <c r="J465" s="89">
        <v>430115</v>
      </c>
      <c r="K465" t="s">
        <v>127</v>
      </c>
      <c r="L465" t="s">
        <v>128</v>
      </c>
      <c r="M465" t="s">
        <v>129</v>
      </c>
      <c r="N465">
        <v>1</v>
      </c>
      <c r="O465" s="89">
        <v>3072.25</v>
      </c>
      <c r="P465" s="89">
        <v>13517.9</v>
      </c>
      <c r="Q465" t="s">
        <v>130</v>
      </c>
      <c r="R465" t="s">
        <v>131</v>
      </c>
    </row>
    <row r="466" spans="3:18" hidden="1" x14ac:dyDescent="0.25">
      <c r="C466" t="s">
        <v>45</v>
      </c>
      <c r="D466" t="s">
        <v>24</v>
      </c>
      <c r="E466" t="s">
        <v>48</v>
      </c>
      <c r="F466" t="s">
        <v>41</v>
      </c>
      <c r="G466" s="89">
        <v>57482</v>
      </c>
      <c r="H466" t="s">
        <v>132</v>
      </c>
      <c r="I466" t="s">
        <v>133</v>
      </c>
      <c r="J466" s="89">
        <v>1437050</v>
      </c>
      <c r="K466" t="s">
        <v>127</v>
      </c>
      <c r="L466" t="s">
        <v>128</v>
      </c>
      <c r="N466">
        <v>1</v>
      </c>
      <c r="O466" s="89">
        <v>2299.2800000000002</v>
      </c>
      <c r="P466" s="89">
        <v>63230.2</v>
      </c>
      <c r="Q466" t="s">
        <v>150</v>
      </c>
      <c r="R466" t="s">
        <v>131</v>
      </c>
    </row>
    <row r="467" spans="3:18" x14ac:dyDescent="0.25">
      <c r="C467" t="s">
        <v>47</v>
      </c>
      <c r="D467" t="s">
        <v>25</v>
      </c>
      <c r="E467" t="s">
        <v>40</v>
      </c>
      <c r="F467" t="s">
        <v>41</v>
      </c>
      <c r="G467" s="89">
        <v>199881</v>
      </c>
      <c r="H467" t="s">
        <v>145</v>
      </c>
      <c r="I467" t="s">
        <v>126</v>
      </c>
      <c r="J467" s="89">
        <v>2598453</v>
      </c>
      <c r="K467" t="s">
        <v>127</v>
      </c>
      <c r="L467" t="s">
        <v>128</v>
      </c>
      <c r="N467">
        <v>1</v>
      </c>
      <c r="O467" s="89">
        <v>9994.0499999999993</v>
      </c>
      <c r="P467" s="89">
        <v>137917.89000000001</v>
      </c>
      <c r="Q467" t="s">
        <v>137</v>
      </c>
      <c r="R467" t="s">
        <v>131</v>
      </c>
    </row>
    <row r="468" spans="3:18" hidden="1" x14ac:dyDescent="0.25">
      <c r="C468" t="s">
        <v>45</v>
      </c>
      <c r="D468" t="s">
        <v>20</v>
      </c>
      <c r="E468" t="s">
        <v>40</v>
      </c>
      <c r="F468" t="s">
        <v>41</v>
      </c>
      <c r="G468" s="89">
        <v>1650358</v>
      </c>
      <c r="H468" t="s">
        <v>42</v>
      </c>
      <c r="I468" t="s">
        <v>133</v>
      </c>
      <c r="J468" s="89">
        <v>57762530</v>
      </c>
      <c r="K468" t="s">
        <v>127</v>
      </c>
      <c r="L468" t="s">
        <v>128</v>
      </c>
      <c r="M468" t="s">
        <v>139</v>
      </c>
      <c r="N468">
        <v>1</v>
      </c>
      <c r="O468" s="89">
        <v>49510.74</v>
      </c>
      <c r="P468" s="89">
        <v>1386300.72</v>
      </c>
      <c r="Q468" t="s">
        <v>135</v>
      </c>
      <c r="R468" t="s">
        <v>131</v>
      </c>
    </row>
    <row r="469" spans="3:18" hidden="1" x14ac:dyDescent="0.25">
      <c r="C469" t="s">
        <v>45</v>
      </c>
      <c r="D469" t="s">
        <v>138</v>
      </c>
      <c r="E469" t="s">
        <v>43</v>
      </c>
      <c r="F469" t="s">
        <v>41</v>
      </c>
      <c r="G469" s="89">
        <v>1209</v>
      </c>
      <c r="H469" t="s">
        <v>42</v>
      </c>
      <c r="I469" t="s">
        <v>141</v>
      </c>
      <c r="J469" s="89">
        <v>7254</v>
      </c>
      <c r="K469" t="s">
        <v>127</v>
      </c>
      <c r="L469" t="s">
        <v>128</v>
      </c>
      <c r="M469" t="s">
        <v>129</v>
      </c>
      <c r="N469">
        <v>1</v>
      </c>
      <c r="O469" s="89">
        <v>24.18</v>
      </c>
      <c r="P469" s="89">
        <v>834.21</v>
      </c>
      <c r="Q469" t="s">
        <v>137</v>
      </c>
      <c r="R469" t="s">
        <v>42</v>
      </c>
    </row>
    <row r="470" spans="3:18" x14ac:dyDescent="0.25">
      <c r="C470" t="s">
        <v>47</v>
      </c>
      <c r="D470" t="s">
        <v>25</v>
      </c>
      <c r="E470" t="s">
        <v>48</v>
      </c>
      <c r="F470" t="s">
        <v>41</v>
      </c>
      <c r="G470" s="89">
        <v>71047</v>
      </c>
      <c r="H470" t="s">
        <v>132</v>
      </c>
      <c r="I470" t="s">
        <v>126</v>
      </c>
      <c r="J470" s="89">
        <v>994658</v>
      </c>
      <c r="K470" t="s">
        <v>127</v>
      </c>
      <c r="L470" t="s">
        <v>128</v>
      </c>
      <c r="N470">
        <v>1</v>
      </c>
      <c r="O470" s="89">
        <v>2131.41</v>
      </c>
      <c r="P470" s="89">
        <v>41917.730000000003</v>
      </c>
      <c r="Q470" t="s">
        <v>142</v>
      </c>
      <c r="R470" t="s">
        <v>131</v>
      </c>
    </row>
    <row r="471" spans="3:18" hidden="1" x14ac:dyDescent="0.25">
      <c r="C471" t="s">
        <v>45</v>
      </c>
      <c r="D471" t="s">
        <v>23</v>
      </c>
      <c r="E471" t="s">
        <v>46</v>
      </c>
      <c r="F471" t="s">
        <v>41</v>
      </c>
      <c r="G471" s="89">
        <v>212115</v>
      </c>
      <c r="H471" t="s">
        <v>42</v>
      </c>
      <c r="I471" t="s">
        <v>141</v>
      </c>
      <c r="J471" s="89">
        <v>1909035</v>
      </c>
      <c r="K471" t="s">
        <v>144</v>
      </c>
      <c r="N471">
        <v>1</v>
      </c>
      <c r="O471" s="89">
        <v>6363.45</v>
      </c>
      <c r="P471" s="89">
        <v>50907.6</v>
      </c>
      <c r="Q471" t="s">
        <v>130</v>
      </c>
      <c r="R471" t="s">
        <v>42</v>
      </c>
    </row>
    <row r="472" spans="3:18" x14ac:dyDescent="0.25">
      <c r="C472" t="s">
        <v>47</v>
      </c>
      <c r="D472" t="s">
        <v>23</v>
      </c>
      <c r="E472" t="s">
        <v>40</v>
      </c>
      <c r="F472" t="s">
        <v>41</v>
      </c>
      <c r="G472" s="89">
        <v>3301295</v>
      </c>
      <c r="H472" t="s">
        <v>146</v>
      </c>
      <c r="I472" t="s">
        <v>141</v>
      </c>
      <c r="J472" s="89">
        <v>29711655</v>
      </c>
      <c r="K472" t="s">
        <v>144</v>
      </c>
      <c r="N472">
        <v>1</v>
      </c>
      <c r="O472" s="89">
        <v>132051.79999999999</v>
      </c>
      <c r="P472" s="89">
        <v>3103217.3</v>
      </c>
      <c r="Q472" t="s">
        <v>135</v>
      </c>
      <c r="R472" t="s">
        <v>131</v>
      </c>
    </row>
    <row r="473" spans="3:18" hidden="1" x14ac:dyDescent="0.25">
      <c r="C473" t="s">
        <v>45</v>
      </c>
      <c r="D473" t="s">
        <v>20</v>
      </c>
      <c r="E473" t="s">
        <v>40</v>
      </c>
      <c r="F473" t="s">
        <v>41</v>
      </c>
      <c r="G473" s="89">
        <v>91233</v>
      </c>
      <c r="H473" t="s">
        <v>146</v>
      </c>
      <c r="I473" t="s">
        <v>133</v>
      </c>
      <c r="J473" s="89">
        <v>2189592</v>
      </c>
      <c r="K473" t="s">
        <v>127</v>
      </c>
      <c r="L473" t="s">
        <v>128</v>
      </c>
      <c r="N473">
        <v>1</v>
      </c>
      <c r="O473" s="89">
        <v>2736.99</v>
      </c>
      <c r="P473" s="89">
        <v>58389.120000000003</v>
      </c>
      <c r="Q473" t="s">
        <v>137</v>
      </c>
      <c r="R473" t="s">
        <v>131</v>
      </c>
    </row>
    <row r="474" spans="3:18" hidden="1" x14ac:dyDescent="0.25">
      <c r="C474" t="s">
        <v>45</v>
      </c>
      <c r="D474" t="s">
        <v>19</v>
      </c>
      <c r="E474" t="s">
        <v>43</v>
      </c>
      <c r="F474" t="s">
        <v>41</v>
      </c>
      <c r="G474" s="89">
        <v>617174</v>
      </c>
      <c r="H474" t="s">
        <v>42</v>
      </c>
      <c r="I474" t="s">
        <v>133</v>
      </c>
      <c r="J474" s="89">
        <v>20983916</v>
      </c>
      <c r="K474" t="s">
        <v>127</v>
      </c>
      <c r="L474" t="s">
        <v>128</v>
      </c>
      <c r="M474" t="s">
        <v>152</v>
      </c>
      <c r="N474">
        <v>1</v>
      </c>
      <c r="O474" s="89">
        <v>18515.22</v>
      </c>
      <c r="P474" s="89">
        <v>567800.07999999996</v>
      </c>
      <c r="Q474" t="s">
        <v>135</v>
      </c>
      <c r="R474" t="s">
        <v>131</v>
      </c>
    </row>
    <row r="475" spans="3:18" hidden="1" x14ac:dyDescent="0.25">
      <c r="C475" t="s">
        <v>45</v>
      </c>
      <c r="D475" t="s">
        <v>138</v>
      </c>
      <c r="E475" t="s">
        <v>40</v>
      </c>
      <c r="F475" t="s">
        <v>41</v>
      </c>
      <c r="G475" s="89">
        <v>312000</v>
      </c>
      <c r="H475" t="s">
        <v>42</v>
      </c>
      <c r="I475" t="s">
        <v>133</v>
      </c>
      <c r="J475" s="89">
        <v>9672000</v>
      </c>
      <c r="K475" t="s">
        <v>127</v>
      </c>
      <c r="L475" t="s">
        <v>128</v>
      </c>
      <c r="M475" t="s">
        <v>136</v>
      </c>
      <c r="N475">
        <v>1</v>
      </c>
      <c r="O475" s="89">
        <v>12480</v>
      </c>
      <c r="P475" s="89">
        <v>227760</v>
      </c>
      <c r="Q475" t="s">
        <v>137</v>
      </c>
      <c r="R475" t="s">
        <v>42</v>
      </c>
    </row>
    <row r="476" spans="3:18" hidden="1" x14ac:dyDescent="0.25">
      <c r="C476" t="s">
        <v>45</v>
      </c>
      <c r="D476" t="s">
        <v>20</v>
      </c>
      <c r="E476" t="s">
        <v>43</v>
      </c>
      <c r="F476" t="s">
        <v>41</v>
      </c>
      <c r="G476" s="89">
        <v>168772</v>
      </c>
      <c r="H476" t="s">
        <v>42</v>
      </c>
      <c r="I476" t="s">
        <v>133</v>
      </c>
      <c r="J476" s="89">
        <v>6075792</v>
      </c>
      <c r="K476" t="s">
        <v>134</v>
      </c>
      <c r="L476" t="s">
        <v>128</v>
      </c>
      <c r="M476" t="s">
        <v>129</v>
      </c>
      <c r="N476">
        <v>1</v>
      </c>
      <c r="O476" s="89">
        <v>5063.16</v>
      </c>
      <c r="P476" s="89">
        <v>133329.88</v>
      </c>
      <c r="Q476" t="s">
        <v>137</v>
      </c>
      <c r="R476" t="s">
        <v>131</v>
      </c>
    </row>
    <row r="477" spans="3:18" hidden="1" x14ac:dyDescent="0.25">
      <c r="C477" t="s">
        <v>45</v>
      </c>
      <c r="D477" t="s">
        <v>22</v>
      </c>
      <c r="E477" t="s">
        <v>40</v>
      </c>
      <c r="F477" t="s">
        <v>41</v>
      </c>
      <c r="G477" s="89">
        <v>6892</v>
      </c>
      <c r="H477" t="s">
        <v>42</v>
      </c>
      <c r="I477" t="s">
        <v>133</v>
      </c>
      <c r="J477" s="89">
        <v>158516</v>
      </c>
      <c r="K477" t="s">
        <v>134</v>
      </c>
      <c r="N477">
        <v>1</v>
      </c>
      <c r="O477" s="89">
        <v>206.76</v>
      </c>
      <c r="P477" s="89">
        <v>2412.1999999999998</v>
      </c>
      <c r="Q477" t="s">
        <v>130</v>
      </c>
      <c r="R477" t="s">
        <v>131</v>
      </c>
    </row>
    <row r="478" spans="3:18" x14ac:dyDescent="0.25">
      <c r="C478" t="s">
        <v>47</v>
      </c>
      <c r="D478" t="s">
        <v>21</v>
      </c>
      <c r="E478" t="s">
        <v>40</v>
      </c>
      <c r="F478" t="s">
        <v>41</v>
      </c>
      <c r="G478" s="89">
        <v>4044839</v>
      </c>
      <c r="H478" t="s">
        <v>42</v>
      </c>
      <c r="I478" t="s">
        <v>126</v>
      </c>
      <c r="J478" s="89">
        <v>48538068</v>
      </c>
      <c r="K478" t="s">
        <v>127</v>
      </c>
      <c r="L478" t="s">
        <v>128</v>
      </c>
      <c r="M478" t="s">
        <v>129</v>
      </c>
      <c r="N478">
        <v>1</v>
      </c>
      <c r="O478" s="89">
        <v>161793.56</v>
      </c>
      <c r="P478" s="89">
        <v>1253900.0900000001</v>
      </c>
      <c r="Q478" t="s">
        <v>130</v>
      </c>
      <c r="R478" t="s">
        <v>131</v>
      </c>
    </row>
    <row r="479" spans="3:18" x14ac:dyDescent="0.25">
      <c r="C479" t="s">
        <v>47</v>
      </c>
      <c r="D479" t="s">
        <v>23</v>
      </c>
      <c r="E479" t="s">
        <v>40</v>
      </c>
      <c r="F479" t="s">
        <v>41</v>
      </c>
      <c r="G479" s="89">
        <v>480674</v>
      </c>
      <c r="H479" t="s">
        <v>140</v>
      </c>
      <c r="I479" t="s">
        <v>141</v>
      </c>
      <c r="J479" s="89">
        <v>4326066</v>
      </c>
      <c r="K479" t="s">
        <v>144</v>
      </c>
      <c r="N479">
        <v>1</v>
      </c>
      <c r="O479" s="89">
        <v>14420.22</v>
      </c>
      <c r="P479" s="89">
        <v>173042.64</v>
      </c>
      <c r="Q479" t="s">
        <v>130</v>
      </c>
      <c r="R479" t="s">
        <v>131</v>
      </c>
    </row>
    <row r="480" spans="3:18" hidden="1" x14ac:dyDescent="0.25">
      <c r="C480" t="s">
        <v>45</v>
      </c>
      <c r="D480" t="s">
        <v>149</v>
      </c>
      <c r="E480" t="s">
        <v>43</v>
      </c>
      <c r="F480" t="s">
        <v>41</v>
      </c>
      <c r="G480" s="89">
        <v>178219</v>
      </c>
      <c r="H480" t="s">
        <v>140</v>
      </c>
      <c r="I480" t="s">
        <v>126</v>
      </c>
      <c r="J480" s="89">
        <v>3207942</v>
      </c>
      <c r="K480" t="s">
        <v>144</v>
      </c>
      <c r="N480">
        <v>1</v>
      </c>
      <c r="O480" s="89">
        <v>5346.57</v>
      </c>
      <c r="P480" s="89">
        <v>80198.55</v>
      </c>
      <c r="Q480" t="s">
        <v>142</v>
      </c>
      <c r="R480" t="s">
        <v>131</v>
      </c>
    </row>
    <row r="481" spans="3:18" hidden="1" x14ac:dyDescent="0.25">
      <c r="C481" t="s">
        <v>45</v>
      </c>
      <c r="D481" t="s">
        <v>22</v>
      </c>
      <c r="E481" t="s">
        <v>48</v>
      </c>
      <c r="F481" t="s">
        <v>41</v>
      </c>
      <c r="G481" s="89">
        <v>3112456</v>
      </c>
      <c r="H481" t="s">
        <v>42</v>
      </c>
      <c r="I481" t="s">
        <v>133</v>
      </c>
      <c r="J481" s="89">
        <v>105823504</v>
      </c>
      <c r="K481" t="s">
        <v>127</v>
      </c>
      <c r="L481" t="s">
        <v>128</v>
      </c>
      <c r="M481" t="s">
        <v>143</v>
      </c>
      <c r="N481">
        <v>1</v>
      </c>
      <c r="O481" s="89">
        <v>93373.68</v>
      </c>
      <c r="P481" s="89">
        <v>2583338.48</v>
      </c>
      <c r="Q481" t="s">
        <v>135</v>
      </c>
      <c r="R481" t="s">
        <v>131</v>
      </c>
    </row>
    <row r="482" spans="3:18" hidden="1" x14ac:dyDescent="0.25">
      <c r="C482" t="s">
        <v>45</v>
      </c>
      <c r="D482" t="s">
        <v>23</v>
      </c>
      <c r="E482" t="s">
        <v>40</v>
      </c>
      <c r="F482" t="s">
        <v>41</v>
      </c>
      <c r="G482" s="89">
        <v>112583</v>
      </c>
      <c r="H482" t="s">
        <v>42</v>
      </c>
      <c r="I482" t="s">
        <v>133</v>
      </c>
      <c r="J482" s="89">
        <v>2251660</v>
      </c>
      <c r="K482" t="s">
        <v>127</v>
      </c>
      <c r="L482" t="s">
        <v>128</v>
      </c>
      <c r="M482" t="s">
        <v>148</v>
      </c>
      <c r="N482">
        <v>1</v>
      </c>
      <c r="O482" s="89">
        <v>3377.49</v>
      </c>
      <c r="P482" s="89">
        <v>41655.71</v>
      </c>
      <c r="Q482" t="s">
        <v>130</v>
      </c>
      <c r="R482" t="s">
        <v>131</v>
      </c>
    </row>
    <row r="483" spans="3:18" x14ac:dyDescent="0.25">
      <c r="C483" t="s">
        <v>47</v>
      </c>
      <c r="D483" t="s">
        <v>50</v>
      </c>
      <c r="E483" t="s">
        <v>50</v>
      </c>
      <c r="F483" t="s">
        <v>41</v>
      </c>
      <c r="G483" s="89">
        <v>177468</v>
      </c>
      <c r="H483" t="s">
        <v>79</v>
      </c>
      <c r="I483" t="s">
        <v>147</v>
      </c>
      <c r="J483" s="89">
        <v>887340</v>
      </c>
      <c r="K483" t="s">
        <v>134</v>
      </c>
      <c r="N483">
        <v>1</v>
      </c>
      <c r="O483" s="89">
        <v>8873.4</v>
      </c>
      <c r="P483" s="89">
        <v>218285.64</v>
      </c>
      <c r="Q483" t="s">
        <v>150</v>
      </c>
      <c r="R483" t="s">
        <v>79</v>
      </c>
    </row>
    <row r="484" spans="3:18" hidden="1" x14ac:dyDescent="0.25">
      <c r="C484" t="s">
        <v>45</v>
      </c>
      <c r="D484" t="s">
        <v>23</v>
      </c>
      <c r="E484" t="s">
        <v>48</v>
      </c>
      <c r="F484" t="s">
        <v>41</v>
      </c>
      <c r="G484" s="89">
        <v>157216</v>
      </c>
      <c r="H484" t="s">
        <v>132</v>
      </c>
      <c r="I484" t="s">
        <v>133</v>
      </c>
      <c r="J484" s="89">
        <v>4873696</v>
      </c>
      <c r="K484" t="s">
        <v>134</v>
      </c>
      <c r="L484" t="s">
        <v>128</v>
      </c>
      <c r="N484">
        <v>1</v>
      </c>
      <c r="O484" s="89">
        <v>6288.64</v>
      </c>
      <c r="P484" s="89">
        <v>105334.72</v>
      </c>
      <c r="Q484" t="s">
        <v>137</v>
      </c>
      <c r="R484" t="s">
        <v>131</v>
      </c>
    </row>
    <row r="485" spans="3:18" hidden="1" x14ac:dyDescent="0.25">
      <c r="C485" t="s">
        <v>45</v>
      </c>
      <c r="D485" t="s">
        <v>23</v>
      </c>
      <c r="E485" t="s">
        <v>40</v>
      </c>
      <c r="F485" t="s">
        <v>41</v>
      </c>
      <c r="G485" s="89">
        <v>14364</v>
      </c>
      <c r="H485" t="s">
        <v>42</v>
      </c>
      <c r="I485" t="s">
        <v>147</v>
      </c>
      <c r="J485" s="89">
        <v>57456</v>
      </c>
      <c r="K485" t="s">
        <v>144</v>
      </c>
      <c r="N485">
        <v>1</v>
      </c>
      <c r="O485" s="89">
        <v>430.92</v>
      </c>
      <c r="P485" s="89">
        <v>8187.48</v>
      </c>
      <c r="Q485" t="s">
        <v>142</v>
      </c>
      <c r="R485" t="s">
        <v>131</v>
      </c>
    </row>
    <row r="486" spans="3:18" hidden="1" x14ac:dyDescent="0.25">
      <c r="C486" t="s">
        <v>45</v>
      </c>
      <c r="D486" t="s">
        <v>50</v>
      </c>
      <c r="E486" t="s">
        <v>50</v>
      </c>
      <c r="F486" t="s">
        <v>41</v>
      </c>
      <c r="G486" s="89">
        <v>324</v>
      </c>
      <c r="H486" t="s">
        <v>79</v>
      </c>
      <c r="I486" t="s">
        <v>141</v>
      </c>
      <c r="J486" s="89">
        <v>3240</v>
      </c>
      <c r="K486" t="s">
        <v>127</v>
      </c>
      <c r="N486">
        <v>1</v>
      </c>
      <c r="O486" s="89">
        <v>25.92</v>
      </c>
      <c r="P486" s="89">
        <v>298.08</v>
      </c>
      <c r="Q486" t="s">
        <v>135</v>
      </c>
      <c r="R486" t="s">
        <v>79</v>
      </c>
    </row>
    <row r="487" spans="3:18" hidden="1" x14ac:dyDescent="0.25">
      <c r="C487" t="s">
        <v>45</v>
      </c>
      <c r="D487" t="s">
        <v>20</v>
      </c>
      <c r="E487" t="s">
        <v>43</v>
      </c>
      <c r="F487" t="s">
        <v>53</v>
      </c>
      <c r="G487" s="89">
        <v>1456340</v>
      </c>
      <c r="H487" t="s">
        <v>42</v>
      </c>
      <c r="I487" t="s">
        <v>133</v>
      </c>
      <c r="J487" s="89">
        <v>50971900</v>
      </c>
      <c r="K487" t="s">
        <v>144</v>
      </c>
      <c r="N487">
        <v>1</v>
      </c>
      <c r="O487" s="89">
        <v>43690.2</v>
      </c>
      <c r="P487" s="89">
        <v>1223325.6000000001</v>
      </c>
      <c r="Q487" t="s">
        <v>135</v>
      </c>
      <c r="R487" t="s">
        <v>42</v>
      </c>
    </row>
    <row r="488" spans="3:18" hidden="1" x14ac:dyDescent="0.25">
      <c r="C488" t="s">
        <v>45</v>
      </c>
      <c r="D488" t="s">
        <v>23</v>
      </c>
      <c r="E488" t="s">
        <v>40</v>
      </c>
      <c r="F488" t="s">
        <v>41</v>
      </c>
      <c r="G488" s="89">
        <v>1278954</v>
      </c>
      <c r="H488" t="s">
        <v>42</v>
      </c>
      <c r="I488" t="s">
        <v>126</v>
      </c>
      <c r="J488" s="89">
        <v>20463264</v>
      </c>
      <c r="K488" t="s">
        <v>127</v>
      </c>
      <c r="L488" t="s">
        <v>128</v>
      </c>
      <c r="M488" t="s">
        <v>152</v>
      </c>
      <c r="N488">
        <v>1</v>
      </c>
      <c r="O488" s="89">
        <v>38368.620000000003</v>
      </c>
      <c r="P488" s="89">
        <v>1087110.8999999999</v>
      </c>
      <c r="Q488" t="s">
        <v>135</v>
      </c>
      <c r="R488" t="s">
        <v>131</v>
      </c>
    </row>
    <row r="489" spans="3:18" x14ac:dyDescent="0.25">
      <c r="C489" t="s">
        <v>47</v>
      </c>
      <c r="D489" t="s">
        <v>149</v>
      </c>
      <c r="E489" t="s">
        <v>40</v>
      </c>
      <c r="F489" t="s">
        <v>41</v>
      </c>
      <c r="G489" s="89">
        <v>140912</v>
      </c>
      <c r="H489" t="s">
        <v>140</v>
      </c>
      <c r="I489" t="s">
        <v>126</v>
      </c>
      <c r="J489" s="89">
        <v>1409120</v>
      </c>
      <c r="K489" t="s">
        <v>127</v>
      </c>
      <c r="L489" t="s">
        <v>128</v>
      </c>
      <c r="N489">
        <v>1</v>
      </c>
      <c r="O489" s="89">
        <v>5636.48</v>
      </c>
      <c r="P489" s="89">
        <v>85956.32</v>
      </c>
      <c r="Q489" t="s">
        <v>137</v>
      </c>
      <c r="R489" t="s">
        <v>131</v>
      </c>
    </row>
    <row r="490" spans="3:18" hidden="1" x14ac:dyDescent="0.25">
      <c r="C490" t="s">
        <v>45</v>
      </c>
      <c r="D490" t="s">
        <v>19</v>
      </c>
      <c r="E490" t="s">
        <v>43</v>
      </c>
      <c r="F490" t="s">
        <v>41</v>
      </c>
      <c r="G490" s="89">
        <v>174413</v>
      </c>
      <c r="H490" t="s">
        <v>42</v>
      </c>
      <c r="I490" t="s">
        <v>133</v>
      </c>
      <c r="J490" s="89">
        <v>5232390</v>
      </c>
      <c r="K490" t="s">
        <v>134</v>
      </c>
      <c r="L490" t="s">
        <v>128</v>
      </c>
      <c r="M490" t="s">
        <v>136</v>
      </c>
      <c r="N490">
        <v>1</v>
      </c>
      <c r="O490" s="89">
        <v>5232.3900000000003</v>
      </c>
      <c r="P490" s="89">
        <v>146506.92000000001</v>
      </c>
      <c r="Q490" t="s">
        <v>135</v>
      </c>
      <c r="R490" t="s">
        <v>131</v>
      </c>
    </row>
    <row r="491" spans="3:18" hidden="1" x14ac:dyDescent="0.25">
      <c r="C491" t="s">
        <v>45</v>
      </c>
      <c r="D491" t="s">
        <v>19</v>
      </c>
      <c r="E491" t="s">
        <v>43</v>
      </c>
      <c r="F491" t="s">
        <v>41</v>
      </c>
      <c r="G491" s="89">
        <v>15069</v>
      </c>
      <c r="H491" t="s">
        <v>146</v>
      </c>
      <c r="I491" t="s">
        <v>141</v>
      </c>
      <c r="J491" s="89">
        <v>120552</v>
      </c>
      <c r="K491" t="s">
        <v>127</v>
      </c>
      <c r="L491" t="s">
        <v>128</v>
      </c>
      <c r="N491">
        <v>1</v>
      </c>
      <c r="O491" s="89">
        <v>602.76</v>
      </c>
      <c r="P491" s="89">
        <v>12959.34</v>
      </c>
      <c r="Q491" t="s">
        <v>135</v>
      </c>
      <c r="R491" t="s">
        <v>131</v>
      </c>
    </row>
    <row r="492" spans="3:18" hidden="1" x14ac:dyDescent="0.25">
      <c r="C492" t="s">
        <v>45</v>
      </c>
      <c r="D492" t="s">
        <v>23</v>
      </c>
      <c r="E492" t="s">
        <v>48</v>
      </c>
      <c r="F492" t="s">
        <v>41</v>
      </c>
      <c r="G492" s="89">
        <v>28977675</v>
      </c>
      <c r="H492" t="s">
        <v>140</v>
      </c>
      <c r="I492" t="s">
        <v>126</v>
      </c>
      <c r="J492" s="89">
        <v>463642800</v>
      </c>
      <c r="K492" t="s">
        <v>127</v>
      </c>
      <c r="L492" t="s">
        <v>128</v>
      </c>
      <c r="N492">
        <v>1</v>
      </c>
      <c r="O492" s="89">
        <v>869330.25</v>
      </c>
      <c r="P492" s="89">
        <v>14199060.75</v>
      </c>
      <c r="Q492" t="s">
        <v>142</v>
      </c>
      <c r="R492" t="s">
        <v>131</v>
      </c>
    </row>
    <row r="493" spans="3:18" hidden="1" x14ac:dyDescent="0.25">
      <c r="C493" t="s">
        <v>45</v>
      </c>
      <c r="D493" t="s">
        <v>21</v>
      </c>
      <c r="E493" t="s">
        <v>43</v>
      </c>
      <c r="F493" t="s">
        <v>41</v>
      </c>
      <c r="G493" s="89">
        <v>18429</v>
      </c>
      <c r="H493" t="s">
        <v>140</v>
      </c>
      <c r="I493" t="s">
        <v>147</v>
      </c>
      <c r="J493" s="89">
        <v>55287</v>
      </c>
      <c r="K493" t="s">
        <v>127</v>
      </c>
      <c r="L493" t="s">
        <v>151</v>
      </c>
      <c r="N493">
        <v>1</v>
      </c>
      <c r="O493" s="89">
        <v>368.58</v>
      </c>
      <c r="P493" s="89">
        <v>9767.3700000000008</v>
      </c>
      <c r="Q493" t="s">
        <v>142</v>
      </c>
      <c r="R493" t="s">
        <v>131</v>
      </c>
    </row>
    <row r="494" spans="3:18" hidden="1" x14ac:dyDescent="0.25">
      <c r="C494" t="s">
        <v>45</v>
      </c>
      <c r="D494" t="s">
        <v>138</v>
      </c>
      <c r="E494" t="s">
        <v>40</v>
      </c>
      <c r="F494" t="s">
        <v>53</v>
      </c>
      <c r="G494" s="89">
        <v>322412</v>
      </c>
      <c r="H494" t="s">
        <v>42</v>
      </c>
      <c r="I494" t="s">
        <v>126</v>
      </c>
      <c r="J494" s="89">
        <v>3868944</v>
      </c>
      <c r="K494" t="s">
        <v>144</v>
      </c>
      <c r="N494">
        <v>1</v>
      </c>
      <c r="O494" s="89">
        <v>9672.36</v>
      </c>
      <c r="P494" s="89">
        <v>216016.04</v>
      </c>
      <c r="Q494" t="s">
        <v>137</v>
      </c>
      <c r="R494" t="s">
        <v>42</v>
      </c>
    </row>
    <row r="495" spans="3:18" hidden="1" x14ac:dyDescent="0.25">
      <c r="C495" t="s">
        <v>45</v>
      </c>
      <c r="D495" t="s">
        <v>19</v>
      </c>
      <c r="E495" t="s">
        <v>43</v>
      </c>
      <c r="F495" t="s">
        <v>41</v>
      </c>
      <c r="G495" s="89">
        <v>124258144</v>
      </c>
      <c r="H495" t="s">
        <v>42</v>
      </c>
      <c r="I495" t="s">
        <v>133</v>
      </c>
      <c r="J495" s="89">
        <v>4224776896</v>
      </c>
      <c r="K495" t="s">
        <v>144</v>
      </c>
      <c r="N495">
        <v>1</v>
      </c>
      <c r="O495" s="89">
        <v>3727744.32</v>
      </c>
      <c r="P495" s="89">
        <v>88223282.239999995</v>
      </c>
      <c r="Q495" t="s">
        <v>137</v>
      </c>
      <c r="R495" t="s">
        <v>42</v>
      </c>
    </row>
    <row r="496" spans="3:18" x14ac:dyDescent="0.25">
      <c r="C496" t="s">
        <v>47</v>
      </c>
      <c r="D496" t="s">
        <v>24</v>
      </c>
      <c r="E496" t="s">
        <v>48</v>
      </c>
      <c r="F496" t="s">
        <v>41</v>
      </c>
      <c r="G496" s="89">
        <v>247151</v>
      </c>
      <c r="H496" t="s">
        <v>140</v>
      </c>
      <c r="I496" t="s">
        <v>141</v>
      </c>
      <c r="J496" s="89">
        <v>2471510</v>
      </c>
      <c r="K496" t="s">
        <v>144</v>
      </c>
      <c r="N496">
        <v>1</v>
      </c>
      <c r="O496" s="89">
        <v>7414.53</v>
      </c>
      <c r="P496" s="89">
        <v>135933.04999999999</v>
      </c>
      <c r="Q496" t="s">
        <v>142</v>
      </c>
      <c r="R496" t="s">
        <v>131</v>
      </c>
    </row>
    <row r="497" spans="3:18" hidden="1" x14ac:dyDescent="0.25">
      <c r="C497" t="s">
        <v>45</v>
      </c>
      <c r="D497" t="s">
        <v>149</v>
      </c>
      <c r="E497" t="s">
        <v>43</v>
      </c>
      <c r="F497" t="s">
        <v>41</v>
      </c>
      <c r="G497" s="89">
        <v>1479065</v>
      </c>
      <c r="H497" t="s">
        <v>42</v>
      </c>
      <c r="I497" t="s">
        <v>133</v>
      </c>
      <c r="J497" s="89">
        <v>47330080</v>
      </c>
      <c r="K497" t="s">
        <v>127</v>
      </c>
      <c r="L497" t="s">
        <v>128</v>
      </c>
      <c r="M497" t="s">
        <v>143</v>
      </c>
      <c r="N497">
        <v>1</v>
      </c>
      <c r="O497" s="89">
        <v>44371.95</v>
      </c>
      <c r="P497" s="89">
        <v>1050136.1499999999</v>
      </c>
      <c r="Q497" t="s">
        <v>137</v>
      </c>
      <c r="R497" t="s">
        <v>131</v>
      </c>
    </row>
    <row r="498" spans="3:18" hidden="1" x14ac:dyDescent="0.25">
      <c r="C498" t="s">
        <v>45</v>
      </c>
      <c r="D498" t="s">
        <v>23</v>
      </c>
      <c r="E498" t="s">
        <v>40</v>
      </c>
      <c r="F498" t="s">
        <v>41</v>
      </c>
      <c r="G498" s="89">
        <v>207825</v>
      </c>
      <c r="H498" t="s">
        <v>140</v>
      </c>
      <c r="I498" t="s">
        <v>147</v>
      </c>
      <c r="J498" s="89">
        <v>415650</v>
      </c>
      <c r="K498" t="s">
        <v>134</v>
      </c>
      <c r="L498" t="s">
        <v>128</v>
      </c>
      <c r="N498">
        <v>1</v>
      </c>
      <c r="O498" s="89">
        <v>8313</v>
      </c>
      <c r="P498" s="89">
        <v>14547.75</v>
      </c>
      <c r="Q498" t="s">
        <v>130</v>
      </c>
      <c r="R498" t="s">
        <v>131</v>
      </c>
    </row>
    <row r="499" spans="3:18" hidden="1" x14ac:dyDescent="0.25">
      <c r="C499" t="s">
        <v>45</v>
      </c>
      <c r="D499" t="s">
        <v>24</v>
      </c>
      <c r="E499" t="s">
        <v>48</v>
      </c>
      <c r="F499" t="s">
        <v>53</v>
      </c>
      <c r="G499" s="89">
        <v>32084</v>
      </c>
      <c r="H499" t="s">
        <v>140</v>
      </c>
      <c r="I499" t="s">
        <v>147</v>
      </c>
      <c r="J499" s="89">
        <v>96252</v>
      </c>
      <c r="K499" t="s">
        <v>127</v>
      </c>
      <c r="L499" t="s">
        <v>128</v>
      </c>
      <c r="N499">
        <v>1</v>
      </c>
      <c r="O499" s="89">
        <v>1283.3599999999999</v>
      </c>
      <c r="P499" s="89">
        <v>3208.4</v>
      </c>
      <c r="Q499" t="s">
        <v>130</v>
      </c>
      <c r="R499" t="s">
        <v>131</v>
      </c>
    </row>
    <row r="500" spans="3:18" hidden="1" x14ac:dyDescent="0.25">
      <c r="C500" t="s">
        <v>45</v>
      </c>
      <c r="D500" t="s">
        <v>23</v>
      </c>
      <c r="E500" t="s">
        <v>40</v>
      </c>
      <c r="F500" t="s">
        <v>41</v>
      </c>
      <c r="G500" s="89">
        <v>3517216</v>
      </c>
      <c r="H500" t="s">
        <v>42</v>
      </c>
      <c r="I500" t="s">
        <v>141</v>
      </c>
      <c r="J500" s="89">
        <v>28137728</v>
      </c>
      <c r="K500" t="s">
        <v>127</v>
      </c>
      <c r="L500" t="s">
        <v>128</v>
      </c>
      <c r="M500" t="s">
        <v>152</v>
      </c>
      <c r="N500">
        <v>1</v>
      </c>
      <c r="O500" s="89">
        <v>105516.48</v>
      </c>
      <c r="P500" s="89">
        <v>1653091.52</v>
      </c>
      <c r="Q500" t="s">
        <v>142</v>
      </c>
      <c r="R500" t="s">
        <v>131</v>
      </c>
    </row>
    <row r="501" spans="3:18" hidden="1" x14ac:dyDescent="0.25">
      <c r="C501" t="s">
        <v>45</v>
      </c>
      <c r="D501" t="s">
        <v>25</v>
      </c>
      <c r="E501" t="s">
        <v>48</v>
      </c>
      <c r="F501" t="s">
        <v>41</v>
      </c>
      <c r="G501" s="89">
        <v>325301</v>
      </c>
      <c r="H501" t="s">
        <v>146</v>
      </c>
      <c r="I501" t="s">
        <v>133</v>
      </c>
      <c r="J501" s="89">
        <v>10084331</v>
      </c>
      <c r="K501" t="s">
        <v>144</v>
      </c>
      <c r="N501">
        <v>1</v>
      </c>
      <c r="O501" s="89">
        <v>9759.0300000000007</v>
      </c>
      <c r="P501" s="89">
        <v>159397.49</v>
      </c>
      <c r="Q501" t="s">
        <v>142</v>
      </c>
      <c r="R501" t="s">
        <v>131</v>
      </c>
    </row>
    <row r="502" spans="3:18" x14ac:dyDescent="0.25">
      <c r="C502" t="s">
        <v>47</v>
      </c>
      <c r="D502" t="s">
        <v>22</v>
      </c>
      <c r="E502" t="s">
        <v>40</v>
      </c>
      <c r="F502" t="s">
        <v>41</v>
      </c>
      <c r="G502" s="89">
        <v>27938</v>
      </c>
      <c r="H502" t="s">
        <v>140</v>
      </c>
      <c r="I502" t="s">
        <v>133</v>
      </c>
      <c r="J502" s="89">
        <v>614636</v>
      </c>
      <c r="K502" t="s">
        <v>127</v>
      </c>
      <c r="L502" t="s">
        <v>128</v>
      </c>
      <c r="N502">
        <v>1</v>
      </c>
      <c r="O502" s="89">
        <v>838.14</v>
      </c>
      <c r="P502" s="89">
        <v>11175.2</v>
      </c>
      <c r="Q502" t="s">
        <v>142</v>
      </c>
      <c r="R502" t="s">
        <v>131</v>
      </c>
    </row>
    <row r="503" spans="3:18" hidden="1" x14ac:dyDescent="0.25">
      <c r="C503" t="s">
        <v>45</v>
      </c>
      <c r="D503" t="s">
        <v>24</v>
      </c>
      <c r="E503" t="s">
        <v>43</v>
      </c>
      <c r="F503" t="s">
        <v>41</v>
      </c>
      <c r="G503" s="89">
        <v>3560814</v>
      </c>
      <c r="H503" t="s">
        <v>42</v>
      </c>
      <c r="I503" t="s">
        <v>133</v>
      </c>
      <c r="J503" s="89">
        <v>103263606</v>
      </c>
      <c r="K503" t="s">
        <v>127</v>
      </c>
      <c r="L503" t="s">
        <v>128</v>
      </c>
      <c r="M503" t="s">
        <v>148</v>
      </c>
      <c r="N503">
        <v>1</v>
      </c>
      <c r="O503" s="89">
        <v>106824.42</v>
      </c>
      <c r="P503" s="89">
        <v>997027.92</v>
      </c>
      <c r="Q503" t="s">
        <v>130</v>
      </c>
      <c r="R503" t="s">
        <v>131</v>
      </c>
    </row>
    <row r="504" spans="3:18" hidden="1" x14ac:dyDescent="0.25">
      <c r="C504" t="s">
        <v>45</v>
      </c>
      <c r="D504" t="s">
        <v>25</v>
      </c>
      <c r="E504" t="s">
        <v>44</v>
      </c>
      <c r="F504" t="s">
        <v>41</v>
      </c>
      <c r="G504" s="89">
        <v>23264</v>
      </c>
      <c r="H504" t="s">
        <v>140</v>
      </c>
      <c r="I504" t="s">
        <v>126</v>
      </c>
      <c r="J504" s="89">
        <v>372224</v>
      </c>
      <c r="K504" t="s">
        <v>127</v>
      </c>
      <c r="L504" t="s">
        <v>128</v>
      </c>
      <c r="N504">
        <v>1</v>
      </c>
      <c r="O504" s="89">
        <v>1163.2</v>
      </c>
      <c r="P504" s="89">
        <v>10468.799999999999</v>
      </c>
      <c r="Q504" t="s">
        <v>142</v>
      </c>
      <c r="R504" t="s">
        <v>131</v>
      </c>
    </row>
    <row r="505" spans="3:18" hidden="1" x14ac:dyDescent="0.25">
      <c r="C505" t="s">
        <v>45</v>
      </c>
      <c r="D505" t="s">
        <v>24</v>
      </c>
      <c r="E505" t="s">
        <v>44</v>
      </c>
      <c r="F505" t="s">
        <v>41</v>
      </c>
      <c r="G505" s="89">
        <v>7000</v>
      </c>
      <c r="H505" t="s">
        <v>140</v>
      </c>
      <c r="I505" t="s">
        <v>141</v>
      </c>
      <c r="J505" s="89">
        <v>56000</v>
      </c>
      <c r="K505" t="s">
        <v>127</v>
      </c>
      <c r="L505" t="s">
        <v>128</v>
      </c>
      <c r="N505">
        <v>1</v>
      </c>
      <c r="O505" s="89">
        <v>350</v>
      </c>
      <c r="P505" s="89">
        <v>8750</v>
      </c>
      <c r="Q505" t="s">
        <v>150</v>
      </c>
      <c r="R505" t="s">
        <v>131</v>
      </c>
    </row>
    <row r="506" spans="3:18" hidden="1" x14ac:dyDescent="0.25">
      <c r="C506" t="s">
        <v>45</v>
      </c>
      <c r="D506" t="s">
        <v>23</v>
      </c>
      <c r="E506" t="s">
        <v>48</v>
      </c>
      <c r="F506" t="s">
        <v>41</v>
      </c>
      <c r="G506" s="89">
        <v>3060719</v>
      </c>
      <c r="H506" t="s">
        <v>145</v>
      </c>
      <c r="I506" t="s">
        <v>133</v>
      </c>
      <c r="J506" s="89">
        <v>91821570</v>
      </c>
      <c r="K506" t="s">
        <v>127</v>
      </c>
      <c r="L506" t="s">
        <v>128</v>
      </c>
      <c r="N506">
        <v>1</v>
      </c>
      <c r="O506" s="89">
        <v>91821.57</v>
      </c>
      <c r="P506" s="89">
        <v>2540396.77</v>
      </c>
      <c r="Q506" t="s">
        <v>135</v>
      </c>
      <c r="R506" t="s">
        <v>131</v>
      </c>
    </row>
    <row r="507" spans="3:18" hidden="1" x14ac:dyDescent="0.25">
      <c r="C507" t="s">
        <v>45</v>
      </c>
      <c r="D507" t="s">
        <v>149</v>
      </c>
      <c r="E507" t="s">
        <v>43</v>
      </c>
      <c r="F507" t="s">
        <v>41</v>
      </c>
      <c r="G507" s="89">
        <v>308703</v>
      </c>
      <c r="H507" t="s">
        <v>140</v>
      </c>
      <c r="I507" t="s">
        <v>126</v>
      </c>
      <c r="J507" s="89">
        <v>5556654</v>
      </c>
      <c r="K507" t="s">
        <v>144</v>
      </c>
      <c r="N507">
        <v>1</v>
      </c>
      <c r="O507" s="89">
        <v>9261.09</v>
      </c>
      <c r="P507" s="89">
        <v>92610.9</v>
      </c>
      <c r="Q507" t="s">
        <v>130</v>
      </c>
      <c r="R507" t="s">
        <v>131</v>
      </c>
    </row>
    <row r="508" spans="3:18" x14ac:dyDescent="0.25">
      <c r="C508" t="s">
        <v>47</v>
      </c>
      <c r="D508" t="s">
        <v>20</v>
      </c>
      <c r="E508" t="s">
        <v>43</v>
      </c>
      <c r="F508" t="s">
        <v>41</v>
      </c>
      <c r="G508" s="89">
        <v>300287</v>
      </c>
      <c r="H508" t="s">
        <v>146</v>
      </c>
      <c r="I508" t="s">
        <v>141</v>
      </c>
      <c r="J508" s="89">
        <v>2402296</v>
      </c>
      <c r="K508" t="s">
        <v>127</v>
      </c>
      <c r="L508" t="s">
        <v>128</v>
      </c>
      <c r="N508">
        <v>1</v>
      </c>
      <c r="O508" s="89">
        <v>12011.48</v>
      </c>
      <c r="P508" s="89">
        <v>198189.42</v>
      </c>
      <c r="Q508" t="s">
        <v>137</v>
      </c>
      <c r="R508" t="s">
        <v>131</v>
      </c>
    </row>
    <row r="509" spans="3:18" hidden="1" x14ac:dyDescent="0.25">
      <c r="C509" t="s">
        <v>45</v>
      </c>
      <c r="D509" t="s">
        <v>22</v>
      </c>
      <c r="E509" t="s">
        <v>43</v>
      </c>
      <c r="F509" t="s">
        <v>53</v>
      </c>
      <c r="G509" s="89">
        <v>520570</v>
      </c>
      <c r="H509" t="s">
        <v>42</v>
      </c>
      <c r="I509" t="s">
        <v>126</v>
      </c>
      <c r="J509" s="89">
        <v>5726270</v>
      </c>
      <c r="K509" t="s">
        <v>144</v>
      </c>
      <c r="N509">
        <v>1</v>
      </c>
      <c r="O509" s="89">
        <v>15617.1</v>
      </c>
      <c r="P509" s="89">
        <v>281107.8</v>
      </c>
      <c r="Q509" t="s">
        <v>142</v>
      </c>
      <c r="R509" t="s">
        <v>42</v>
      </c>
    </row>
    <row r="510" spans="3:18" hidden="1" x14ac:dyDescent="0.25">
      <c r="C510" t="s">
        <v>45</v>
      </c>
      <c r="D510" t="s">
        <v>19</v>
      </c>
      <c r="E510" t="s">
        <v>40</v>
      </c>
      <c r="F510" t="s">
        <v>41</v>
      </c>
      <c r="G510" s="89">
        <v>154126</v>
      </c>
      <c r="H510" t="s">
        <v>42</v>
      </c>
      <c r="I510" t="s">
        <v>133</v>
      </c>
      <c r="J510" s="89">
        <v>5394410</v>
      </c>
      <c r="K510" t="s">
        <v>134</v>
      </c>
      <c r="L510" t="s">
        <v>128</v>
      </c>
      <c r="M510" t="s">
        <v>136</v>
      </c>
      <c r="N510">
        <v>1</v>
      </c>
      <c r="O510" s="89">
        <v>6165.04</v>
      </c>
      <c r="P510" s="89">
        <v>129465.84</v>
      </c>
      <c r="Q510" t="s">
        <v>135</v>
      </c>
      <c r="R510" t="s">
        <v>131</v>
      </c>
    </row>
    <row r="511" spans="3:18" hidden="1" x14ac:dyDescent="0.25">
      <c r="C511" t="s">
        <v>45</v>
      </c>
      <c r="D511" t="s">
        <v>22</v>
      </c>
      <c r="E511" t="s">
        <v>43</v>
      </c>
      <c r="F511" t="s">
        <v>41</v>
      </c>
      <c r="G511" s="89">
        <v>150500</v>
      </c>
      <c r="H511" t="s">
        <v>42</v>
      </c>
      <c r="I511" t="s">
        <v>133</v>
      </c>
      <c r="J511" s="89">
        <v>5568500</v>
      </c>
      <c r="K511" t="s">
        <v>144</v>
      </c>
      <c r="N511">
        <v>1</v>
      </c>
      <c r="O511" s="89">
        <v>4515</v>
      </c>
      <c r="P511" s="89">
        <v>150500</v>
      </c>
      <c r="Q511" t="s">
        <v>150</v>
      </c>
      <c r="R511" t="s">
        <v>131</v>
      </c>
    </row>
    <row r="512" spans="3:18" hidden="1" x14ac:dyDescent="0.25">
      <c r="C512" t="s">
        <v>45</v>
      </c>
      <c r="D512" t="s">
        <v>23</v>
      </c>
      <c r="E512" t="s">
        <v>40</v>
      </c>
      <c r="F512" t="s">
        <v>41</v>
      </c>
      <c r="G512" s="89">
        <v>2047</v>
      </c>
      <c r="H512" t="s">
        <v>42</v>
      </c>
      <c r="I512" t="s">
        <v>147</v>
      </c>
      <c r="J512" s="89">
        <v>6141</v>
      </c>
      <c r="K512" t="s">
        <v>127</v>
      </c>
      <c r="L512" t="s">
        <v>128</v>
      </c>
      <c r="M512" t="s">
        <v>152</v>
      </c>
      <c r="N512">
        <v>1</v>
      </c>
      <c r="O512" s="89">
        <v>61.41</v>
      </c>
      <c r="P512" s="89">
        <v>1780.89</v>
      </c>
      <c r="Q512" t="s">
        <v>135</v>
      </c>
      <c r="R512" t="s">
        <v>131</v>
      </c>
    </row>
    <row r="513" spans="3:18" hidden="1" x14ac:dyDescent="0.25">
      <c r="C513" t="s">
        <v>45</v>
      </c>
      <c r="D513" t="s">
        <v>50</v>
      </c>
      <c r="E513" t="s">
        <v>50</v>
      </c>
      <c r="F513" t="s">
        <v>41</v>
      </c>
      <c r="G513" s="89">
        <v>150708</v>
      </c>
      <c r="H513" t="s">
        <v>79</v>
      </c>
      <c r="I513" t="s">
        <v>133</v>
      </c>
      <c r="J513" s="89">
        <v>4069116</v>
      </c>
      <c r="K513" t="s">
        <v>127</v>
      </c>
      <c r="N513">
        <v>1</v>
      </c>
      <c r="O513" s="89">
        <v>6028.32</v>
      </c>
      <c r="P513" s="89">
        <v>143172.6</v>
      </c>
      <c r="Q513" t="s">
        <v>135</v>
      </c>
      <c r="R513" t="s">
        <v>79</v>
      </c>
    </row>
    <row r="514" spans="3:18" hidden="1" x14ac:dyDescent="0.25">
      <c r="C514" t="s">
        <v>45</v>
      </c>
      <c r="D514" t="s">
        <v>149</v>
      </c>
      <c r="E514" t="s">
        <v>43</v>
      </c>
      <c r="F514" t="s">
        <v>41</v>
      </c>
      <c r="G514" s="89">
        <v>373611</v>
      </c>
      <c r="H514" t="s">
        <v>146</v>
      </c>
      <c r="I514" t="s">
        <v>133</v>
      </c>
      <c r="J514" s="89">
        <v>9713886</v>
      </c>
      <c r="K514" t="s">
        <v>127</v>
      </c>
      <c r="L514" t="s">
        <v>128</v>
      </c>
      <c r="N514">
        <v>1</v>
      </c>
      <c r="O514" s="89">
        <v>14944.44</v>
      </c>
      <c r="P514" s="89">
        <v>332513.78999999998</v>
      </c>
      <c r="Q514" t="s">
        <v>135</v>
      </c>
      <c r="R514" t="s">
        <v>131</v>
      </c>
    </row>
    <row r="515" spans="3:18" hidden="1" x14ac:dyDescent="0.25">
      <c r="C515" t="s">
        <v>45</v>
      </c>
      <c r="D515" t="s">
        <v>19</v>
      </c>
      <c r="E515" t="s">
        <v>43</v>
      </c>
      <c r="F515" t="s">
        <v>41</v>
      </c>
      <c r="G515" s="89">
        <v>2353699</v>
      </c>
      <c r="H515" t="s">
        <v>132</v>
      </c>
      <c r="I515" t="s">
        <v>133</v>
      </c>
      <c r="J515" s="89">
        <v>75318368</v>
      </c>
      <c r="K515" t="s">
        <v>144</v>
      </c>
      <c r="N515">
        <v>1</v>
      </c>
      <c r="O515" s="89">
        <v>70610.97</v>
      </c>
      <c r="P515" s="89">
        <v>1176849.5</v>
      </c>
      <c r="Q515" t="s">
        <v>142</v>
      </c>
      <c r="R515" t="s">
        <v>131</v>
      </c>
    </row>
    <row r="516" spans="3:18" hidden="1" x14ac:dyDescent="0.25">
      <c r="C516" t="s">
        <v>45</v>
      </c>
      <c r="D516" t="s">
        <v>23</v>
      </c>
      <c r="E516" t="s">
        <v>46</v>
      </c>
      <c r="F516" t="s">
        <v>41</v>
      </c>
      <c r="G516" s="89">
        <v>5627740</v>
      </c>
      <c r="H516" t="s">
        <v>42</v>
      </c>
      <c r="I516" t="s">
        <v>133</v>
      </c>
      <c r="J516" s="89">
        <v>191343160</v>
      </c>
      <c r="K516" t="s">
        <v>127</v>
      </c>
      <c r="L516" t="s">
        <v>128</v>
      </c>
      <c r="M516" t="s">
        <v>152</v>
      </c>
      <c r="N516">
        <v>1</v>
      </c>
      <c r="O516" s="89">
        <v>168832.2</v>
      </c>
      <c r="P516" s="89">
        <v>4671024.2</v>
      </c>
      <c r="Q516" t="s">
        <v>135</v>
      </c>
      <c r="R516" t="s">
        <v>42</v>
      </c>
    </row>
    <row r="517" spans="3:18" hidden="1" x14ac:dyDescent="0.25">
      <c r="C517" t="s">
        <v>45</v>
      </c>
      <c r="D517" t="s">
        <v>23</v>
      </c>
      <c r="E517" t="s">
        <v>44</v>
      </c>
      <c r="F517" t="s">
        <v>41</v>
      </c>
      <c r="G517" s="89">
        <v>99707</v>
      </c>
      <c r="H517" t="s">
        <v>140</v>
      </c>
      <c r="I517" t="s">
        <v>133</v>
      </c>
      <c r="J517" s="89">
        <v>2392968</v>
      </c>
      <c r="K517" t="s">
        <v>144</v>
      </c>
      <c r="N517">
        <v>1</v>
      </c>
      <c r="O517" s="89">
        <v>2991.21</v>
      </c>
      <c r="P517" s="89">
        <v>76774.39</v>
      </c>
      <c r="Q517" t="s">
        <v>137</v>
      </c>
      <c r="R517" t="s">
        <v>131</v>
      </c>
    </row>
    <row r="518" spans="3:18" hidden="1" x14ac:dyDescent="0.25">
      <c r="C518" t="s">
        <v>45</v>
      </c>
      <c r="D518" t="s">
        <v>21</v>
      </c>
      <c r="E518" t="s">
        <v>43</v>
      </c>
      <c r="F518" t="s">
        <v>41</v>
      </c>
      <c r="G518" s="89">
        <v>113461</v>
      </c>
      <c r="H518" t="s">
        <v>42</v>
      </c>
      <c r="I518" t="s">
        <v>141</v>
      </c>
      <c r="J518" s="89">
        <v>1021149</v>
      </c>
      <c r="K518" t="s">
        <v>144</v>
      </c>
      <c r="N518">
        <v>1</v>
      </c>
      <c r="O518" s="89">
        <v>4538.4399999999996</v>
      </c>
      <c r="P518" s="89">
        <v>87364.97</v>
      </c>
      <c r="Q518" t="s">
        <v>137</v>
      </c>
      <c r="R518" t="s">
        <v>131</v>
      </c>
    </row>
    <row r="519" spans="3:18" x14ac:dyDescent="0.25">
      <c r="C519" t="s">
        <v>47</v>
      </c>
      <c r="D519" t="s">
        <v>21</v>
      </c>
      <c r="E519" t="s">
        <v>40</v>
      </c>
      <c r="F519" t="s">
        <v>41</v>
      </c>
      <c r="G519" s="89">
        <v>4968018</v>
      </c>
      <c r="H519" t="s">
        <v>42</v>
      </c>
      <c r="I519" t="s">
        <v>147</v>
      </c>
      <c r="J519" s="89">
        <v>14904054</v>
      </c>
      <c r="K519" t="s">
        <v>127</v>
      </c>
      <c r="L519" t="s">
        <v>128</v>
      </c>
      <c r="M519" t="s">
        <v>129</v>
      </c>
      <c r="N519">
        <v>1</v>
      </c>
      <c r="O519" s="89">
        <v>198720.72</v>
      </c>
      <c r="P519" s="89">
        <v>943923.42</v>
      </c>
      <c r="Q519" t="s">
        <v>130</v>
      </c>
      <c r="R519" t="s">
        <v>131</v>
      </c>
    </row>
    <row r="520" spans="3:18" hidden="1" x14ac:dyDescent="0.25">
      <c r="C520" t="s">
        <v>45</v>
      </c>
      <c r="D520" t="s">
        <v>22</v>
      </c>
      <c r="E520" t="s">
        <v>40</v>
      </c>
      <c r="F520" t="s">
        <v>41</v>
      </c>
      <c r="G520" s="89">
        <v>500684</v>
      </c>
      <c r="H520" t="s">
        <v>146</v>
      </c>
      <c r="I520" t="s">
        <v>133</v>
      </c>
      <c r="J520" s="89">
        <v>14519836</v>
      </c>
      <c r="K520" t="s">
        <v>144</v>
      </c>
      <c r="N520">
        <v>1</v>
      </c>
      <c r="O520" s="89">
        <v>15020.52</v>
      </c>
      <c r="P520" s="89">
        <v>420574.56</v>
      </c>
      <c r="Q520" t="s">
        <v>135</v>
      </c>
      <c r="R520" t="s">
        <v>131</v>
      </c>
    </row>
    <row r="521" spans="3:18" hidden="1" x14ac:dyDescent="0.25">
      <c r="C521" t="s">
        <v>45</v>
      </c>
      <c r="D521" t="s">
        <v>19</v>
      </c>
      <c r="E521" t="s">
        <v>43</v>
      </c>
      <c r="F521" t="s">
        <v>41</v>
      </c>
      <c r="G521" s="89">
        <v>9021783</v>
      </c>
      <c r="H521" t="s">
        <v>146</v>
      </c>
      <c r="I521" t="s">
        <v>133</v>
      </c>
      <c r="J521" s="89">
        <v>288697056</v>
      </c>
      <c r="K521" t="s">
        <v>127</v>
      </c>
      <c r="L521" t="s">
        <v>128</v>
      </c>
      <c r="N521">
        <v>1</v>
      </c>
      <c r="O521" s="89">
        <v>270653.49</v>
      </c>
      <c r="P521" s="89">
        <v>7668515.5499999998</v>
      </c>
      <c r="Q521" t="s">
        <v>135</v>
      </c>
      <c r="R521" t="s">
        <v>131</v>
      </c>
    </row>
    <row r="522" spans="3:18" hidden="1" x14ac:dyDescent="0.25">
      <c r="C522" t="s">
        <v>45</v>
      </c>
      <c r="D522" t="s">
        <v>22</v>
      </c>
      <c r="E522" t="s">
        <v>46</v>
      </c>
      <c r="F522" t="s">
        <v>53</v>
      </c>
      <c r="G522" s="89">
        <v>499649</v>
      </c>
      <c r="H522" t="s">
        <v>42</v>
      </c>
      <c r="I522" t="s">
        <v>133</v>
      </c>
      <c r="J522" s="89">
        <v>15489119</v>
      </c>
      <c r="K522" t="s">
        <v>144</v>
      </c>
      <c r="N522">
        <v>1</v>
      </c>
      <c r="O522" s="89">
        <v>14989.47</v>
      </c>
      <c r="P522" s="89">
        <v>419705.16</v>
      </c>
      <c r="Q522" t="s">
        <v>135</v>
      </c>
      <c r="R522" t="s">
        <v>42</v>
      </c>
    </row>
    <row r="523" spans="3:18" hidden="1" x14ac:dyDescent="0.25">
      <c r="C523" t="s">
        <v>45</v>
      </c>
      <c r="D523" t="s">
        <v>22</v>
      </c>
      <c r="E523" t="s">
        <v>44</v>
      </c>
      <c r="F523" t="s">
        <v>41</v>
      </c>
      <c r="G523" s="89">
        <v>13152</v>
      </c>
      <c r="H523" t="s">
        <v>42</v>
      </c>
      <c r="I523" t="s">
        <v>133</v>
      </c>
      <c r="J523" s="89">
        <v>368256</v>
      </c>
      <c r="K523" t="s">
        <v>134</v>
      </c>
      <c r="L523" t="s">
        <v>128</v>
      </c>
      <c r="M523" t="s">
        <v>143</v>
      </c>
      <c r="N523">
        <v>1</v>
      </c>
      <c r="O523" s="89">
        <v>394.56</v>
      </c>
      <c r="P523" s="89">
        <v>7628.16</v>
      </c>
      <c r="Q523" t="s">
        <v>142</v>
      </c>
      <c r="R523" t="s">
        <v>131</v>
      </c>
    </row>
    <row r="524" spans="3:18" hidden="1" x14ac:dyDescent="0.25">
      <c r="C524" t="s">
        <v>45</v>
      </c>
      <c r="D524" t="s">
        <v>138</v>
      </c>
      <c r="E524" t="s">
        <v>40</v>
      </c>
      <c r="F524" t="s">
        <v>41</v>
      </c>
      <c r="G524" s="89">
        <v>185573</v>
      </c>
      <c r="H524" t="s">
        <v>140</v>
      </c>
      <c r="I524" t="s">
        <v>141</v>
      </c>
      <c r="J524" s="89">
        <v>1484584</v>
      </c>
      <c r="K524" t="s">
        <v>127</v>
      </c>
      <c r="L524" t="s">
        <v>128</v>
      </c>
      <c r="N524">
        <v>1</v>
      </c>
      <c r="O524" s="89">
        <v>7422.92</v>
      </c>
      <c r="P524" s="89">
        <v>37114.6</v>
      </c>
      <c r="Q524" t="s">
        <v>130</v>
      </c>
      <c r="R524" t="s">
        <v>131</v>
      </c>
    </row>
    <row r="525" spans="3:18" hidden="1" x14ac:dyDescent="0.25">
      <c r="C525" t="s">
        <v>45</v>
      </c>
      <c r="D525" t="s">
        <v>21</v>
      </c>
      <c r="E525" t="s">
        <v>43</v>
      </c>
      <c r="F525" t="s">
        <v>41</v>
      </c>
      <c r="G525" s="89">
        <v>11282</v>
      </c>
      <c r="H525" t="s">
        <v>140</v>
      </c>
      <c r="I525" t="s">
        <v>147</v>
      </c>
      <c r="J525" s="89">
        <v>33846</v>
      </c>
      <c r="K525" t="s">
        <v>127</v>
      </c>
      <c r="L525" t="s">
        <v>151</v>
      </c>
      <c r="N525">
        <v>1</v>
      </c>
      <c r="O525" s="89">
        <v>338.46</v>
      </c>
      <c r="P525" s="89">
        <v>451.28</v>
      </c>
      <c r="Q525" t="s">
        <v>130</v>
      </c>
      <c r="R525" t="s">
        <v>131</v>
      </c>
    </row>
    <row r="526" spans="3:18" hidden="1" x14ac:dyDescent="0.25">
      <c r="C526" t="s">
        <v>45</v>
      </c>
      <c r="D526" t="s">
        <v>22</v>
      </c>
      <c r="E526" t="s">
        <v>43</v>
      </c>
      <c r="F526" t="s">
        <v>41</v>
      </c>
      <c r="G526" s="89">
        <v>330410</v>
      </c>
      <c r="H526" t="s">
        <v>146</v>
      </c>
      <c r="I526" t="s">
        <v>133</v>
      </c>
      <c r="J526" s="89">
        <v>10903530</v>
      </c>
      <c r="K526" t="s">
        <v>144</v>
      </c>
      <c r="N526">
        <v>1</v>
      </c>
      <c r="O526" s="89">
        <v>9912.2999999999993</v>
      </c>
      <c r="P526" s="89">
        <v>237895.2</v>
      </c>
      <c r="Q526" t="s">
        <v>137</v>
      </c>
      <c r="R526" t="s">
        <v>131</v>
      </c>
    </row>
    <row r="527" spans="3:18" hidden="1" x14ac:dyDescent="0.25">
      <c r="C527" t="s">
        <v>45</v>
      </c>
      <c r="D527" t="s">
        <v>19</v>
      </c>
      <c r="E527" t="s">
        <v>43</v>
      </c>
      <c r="F527" t="s">
        <v>41</v>
      </c>
      <c r="G527" s="89">
        <v>2991286</v>
      </c>
      <c r="H527" t="s">
        <v>42</v>
      </c>
      <c r="I527" t="s">
        <v>147</v>
      </c>
      <c r="J527" s="89">
        <v>5982572</v>
      </c>
      <c r="K527" t="s">
        <v>127</v>
      </c>
      <c r="L527" t="s">
        <v>128</v>
      </c>
      <c r="M527" t="s">
        <v>136</v>
      </c>
      <c r="N527">
        <v>1</v>
      </c>
      <c r="O527" s="89">
        <v>119651.44</v>
      </c>
      <c r="P527" s="89">
        <v>508518.62</v>
      </c>
      <c r="Q527" t="s">
        <v>130</v>
      </c>
      <c r="R527" t="s">
        <v>42</v>
      </c>
    </row>
    <row r="528" spans="3:18" hidden="1" x14ac:dyDescent="0.25">
      <c r="C528" t="s">
        <v>45</v>
      </c>
      <c r="D528" t="s">
        <v>22</v>
      </c>
      <c r="E528" t="s">
        <v>48</v>
      </c>
      <c r="F528" t="s">
        <v>41</v>
      </c>
      <c r="G528" s="89">
        <v>87889</v>
      </c>
      <c r="H528" t="s">
        <v>146</v>
      </c>
      <c r="I528" t="s">
        <v>133</v>
      </c>
      <c r="J528" s="89">
        <v>1933558</v>
      </c>
      <c r="K528" t="s">
        <v>127</v>
      </c>
      <c r="L528" t="s">
        <v>128</v>
      </c>
      <c r="N528">
        <v>1</v>
      </c>
      <c r="O528" s="89">
        <v>2636.67</v>
      </c>
      <c r="P528" s="89">
        <v>53612.29</v>
      </c>
      <c r="Q528" t="s">
        <v>137</v>
      </c>
      <c r="R528" t="s">
        <v>131</v>
      </c>
    </row>
    <row r="529" spans="3:18" hidden="1" x14ac:dyDescent="0.25">
      <c r="C529" t="s">
        <v>45</v>
      </c>
      <c r="D529" t="s">
        <v>19</v>
      </c>
      <c r="E529" t="s">
        <v>43</v>
      </c>
      <c r="F529" t="s">
        <v>53</v>
      </c>
      <c r="G529" s="89">
        <v>383620</v>
      </c>
      <c r="H529" t="s">
        <v>42</v>
      </c>
      <c r="I529" t="s">
        <v>126</v>
      </c>
      <c r="J529" s="89">
        <v>6137920</v>
      </c>
      <c r="K529" t="s">
        <v>127</v>
      </c>
      <c r="L529" t="s">
        <v>128</v>
      </c>
      <c r="M529" t="s">
        <v>136</v>
      </c>
      <c r="N529">
        <v>1</v>
      </c>
      <c r="O529" s="89">
        <v>11508.6</v>
      </c>
      <c r="P529" s="89">
        <v>161120.4</v>
      </c>
      <c r="Q529" t="s">
        <v>142</v>
      </c>
      <c r="R529" t="s">
        <v>42</v>
      </c>
    </row>
    <row r="530" spans="3:18" x14ac:dyDescent="0.25">
      <c r="C530" t="s">
        <v>47</v>
      </c>
      <c r="D530" t="s">
        <v>22</v>
      </c>
      <c r="E530" t="s">
        <v>40</v>
      </c>
      <c r="F530" t="s">
        <v>41</v>
      </c>
      <c r="G530" s="89">
        <v>56587</v>
      </c>
      <c r="H530" t="s">
        <v>154</v>
      </c>
      <c r="I530" t="s">
        <v>147</v>
      </c>
      <c r="J530" s="89">
        <v>56587</v>
      </c>
      <c r="K530" t="s">
        <v>127</v>
      </c>
      <c r="L530" t="s">
        <v>128</v>
      </c>
      <c r="N530">
        <v>1</v>
      </c>
      <c r="O530" s="89">
        <v>3961.09</v>
      </c>
      <c r="P530" s="89">
        <v>0</v>
      </c>
      <c r="Q530" t="s">
        <v>130</v>
      </c>
      <c r="R530" t="s">
        <v>131</v>
      </c>
    </row>
    <row r="531" spans="3:18" hidden="1" x14ac:dyDescent="0.25">
      <c r="C531" t="s">
        <v>45</v>
      </c>
      <c r="D531" t="s">
        <v>24</v>
      </c>
      <c r="E531" t="s">
        <v>44</v>
      </c>
      <c r="F531" t="s">
        <v>41</v>
      </c>
      <c r="G531" s="89">
        <v>6967359</v>
      </c>
      <c r="H531" t="s">
        <v>140</v>
      </c>
      <c r="I531" t="s">
        <v>133</v>
      </c>
      <c r="J531" s="89">
        <v>229922847</v>
      </c>
      <c r="K531" t="s">
        <v>144</v>
      </c>
      <c r="N531">
        <v>1</v>
      </c>
      <c r="O531" s="89">
        <v>209020.77</v>
      </c>
      <c r="P531" s="89">
        <v>1323798.21</v>
      </c>
      <c r="Q531" t="s">
        <v>130</v>
      </c>
      <c r="R531" t="s">
        <v>131</v>
      </c>
    </row>
    <row r="532" spans="3:18" x14ac:dyDescent="0.25">
      <c r="C532" t="s">
        <v>47</v>
      </c>
      <c r="D532" t="s">
        <v>21</v>
      </c>
      <c r="E532" t="s">
        <v>40</v>
      </c>
      <c r="F532" t="s">
        <v>41</v>
      </c>
      <c r="G532" s="89">
        <v>10024432</v>
      </c>
      <c r="H532" t="s">
        <v>146</v>
      </c>
      <c r="I532" t="s">
        <v>126</v>
      </c>
      <c r="J532" s="89">
        <v>120293184</v>
      </c>
      <c r="K532" t="s">
        <v>127</v>
      </c>
      <c r="L532" t="s">
        <v>128</v>
      </c>
      <c r="N532">
        <v>1</v>
      </c>
      <c r="O532" s="89">
        <v>400977.28</v>
      </c>
      <c r="P532" s="89">
        <v>6616125.1200000001</v>
      </c>
      <c r="Q532" t="s">
        <v>137</v>
      </c>
      <c r="R532" t="s">
        <v>131</v>
      </c>
    </row>
    <row r="533" spans="3:18" hidden="1" x14ac:dyDescent="0.25">
      <c r="C533" t="s">
        <v>45</v>
      </c>
      <c r="D533" t="s">
        <v>22</v>
      </c>
      <c r="E533" t="s">
        <v>40</v>
      </c>
      <c r="F533" t="s">
        <v>41</v>
      </c>
      <c r="G533" s="89">
        <v>12285</v>
      </c>
      <c r="H533" t="s">
        <v>146</v>
      </c>
      <c r="I533" t="s">
        <v>153</v>
      </c>
      <c r="J533" s="89"/>
      <c r="K533" t="s">
        <v>127</v>
      </c>
      <c r="L533" t="s">
        <v>128</v>
      </c>
      <c r="N533">
        <v>0</v>
      </c>
      <c r="O533" s="89">
        <v>245.7</v>
      </c>
      <c r="P533" s="89">
        <v>737.1</v>
      </c>
      <c r="Q533" t="s">
        <v>130</v>
      </c>
      <c r="R533" t="s">
        <v>131</v>
      </c>
    </row>
    <row r="534" spans="3:18" hidden="1" x14ac:dyDescent="0.25">
      <c r="C534" t="s">
        <v>45</v>
      </c>
      <c r="D534" t="s">
        <v>22</v>
      </c>
      <c r="E534" t="s">
        <v>40</v>
      </c>
      <c r="F534" t="s">
        <v>41</v>
      </c>
      <c r="G534" s="89">
        <v>1759942</v>
      </c>
      <c r="H534" t="s">
        <v>132</v>
      </c>
      <c r="I534" t="s">
        <v>126</v>
      </c>
      <c r="J534" s="89">
        <v>31678956</v>
      </c>
      <c r="K534" t="s">
        <v>127</v>
      </c>
      <c r="L534" t="s">
        <v>128</v>
      </c>
      <c r="N534">
        <v>1</v>
      </c>
      <c r="O534" s="89">
        <v>70397.679999999993</v>
      </c>
      <c r="P534" s="89">
        <v>1495950.7</v>
      </c>
      <c r="Q534" t="s">
        <v>135</v>
      </c>
      <c r="R534" t="s">
        <v>131</v>
      </c>
    </row>
    <row r="535" spans="3:18" hidden="1" x14ac:dyDescent="0.25">
      <c r="C535" t="s">
        <v>45</v>
      </c>
      <c r="D535" t="s">
        <v>23</v>
      </c>
      <c r="E535" t="s">
        <v>46</v>
      </c>
      <c r="F535" t="s">
        <v>41</v>
      </c>
      <c r="G535" s="89">
        <v>1247800</v>
      </c>
      <c r="H535" t="s">
        <v>42</v>
      </c>
      <c r="I535" t="s">
        <v>126</v>
      </c>
      <c r="J535" s="89">
        <v>21212600</v>
      </c>
      <c r="K535" t="s">
        <v>127</v>
      </c>
      <c r="L535" t="s">
        <v>128</v>
      </c>
      <c r="M535" t="s">
        <v>152</v>
      </c>
      <c r="N535">
        <v>1</v>
      </c>
      <c r="O535" s="89">
        <v>49912</v>
      </c>
      <c r="P535" s="89">
        <v>648856</v>
      </c>
      <c r="Q535" t="s">
        <v>142</v>
      </c>
      <c r="R535" t="s">
        <v>42</v>
      </c>
    </row>
    <row r="536" spans="3:18" hidden="1" x14ac:dyDescent="0.25">
      <c r="C536" t="s">
        <v>45</v>
      </c>
      <c r="D536" t="s">
        <v>21</v>
      </c>
      <c r="E536" t="s">
        <v>40</v>
      </c>
      <c r="F536" t="s">
        <v>41</v>
      </c>
      <c r="G536" s="89">
        <v>171244</v>
      </c>
      <c r="H536" t="s">
        <v>140</v>
      </c>
      <c r="I536" t="s">
        <v>133</v>
      </c>
      <c r="J536" s="89">
        <v>5822296</v>
      </c>
      <c r="K536" t="s">
        <v>134</v>
      </c>
      <c r="L536" t="s">
        <v>128</v>
      </c>
      <c r="N536">
        <v>1</v>
      </c>
      <c r="O536" s="89">
        <v>5137.32</v>
      </c>
      <c r="P536" s="89">
        <v>140420.07999999999</v>
      </c>
      <c r="Q536" t="s">
        <v>135</v>
      </c>
      <c r="R536" t="s">
        <v>131</v>
      </c>
    </row>
    <row r="537" spans="3:18" hidden="1" x14ac:dyDescent="0.25">
      <c r="C537" t="s">
        <v>45</v>
      </c>
      <c r="D537" t="s">
        <v>21</v>
      </c>
      <c r="E537" t="s">
        <v>40</v>
      </c>
      <c r="F537" t="s">
        <v>41</v>
      </c>
      <c r="G537" s="89">
        <v>719874</v>
      </c>
      <c r="H537" t="s">
        <v>42</v>
      </c>
      <c r="I537" t="s">
        <v>133</v>
      </c>
      <c r="J537" s="89">
        <v>18716724</v>
      </c>
      <c r="K537" t="s">
        <v>134</v>
      </c>
      <c r="L537" t="s">
        <v>128</v>
      </c>
      <c r="M537" t="s">
        <v>129</v>
      </c>
      <c r="N537">
        <v>1</v>
      </c>
      <c r="O537" s="89">
        <v>21596.22</v>
      </c>
      <c r="P537" s="89">
        <v>374334.48</v>
      </c>
      <c r="Q537" t="s">
        <v>142</v>
      </c>
      <c r="R537" t="s">
        <v>42</v>
      </c>
    </row>
    <row r="538" spans="3:18" hidden="1" x14ac:dyDescent="0.25">
      <c r="C538" t="s">
        <v>45</v>
      </c>
      <c r="D538" t="s">
        <v>19</v>
      </c>
      <c r="E538" t="s">
        <v>40</v>
      </c>
      <c r="F538" t="s">
        <v>41</v>
      </c>
      <c r="G538" s="89">
        <v>111362</v>
      </c>
      <c r="H538" t="s">
        <v>42</v>
      </c>
      <c r="I538" t="s">
        <v>133</v>
      </c>
      <c r="J538" s="89">
        <v>2895412</v>
      </c>
      <c r="K538" t="s">
        <v>144</v>
      </c>
      <c r="N538">
        <v>1</v>
      </c>
      <c r="O538" s="89">
        <v>3340.86</v>
      </c>
      <c r="P538" s="89">
        <v>65703.58</v>
      </c>
      <c r="Q538" t="s">
        <v>142</v>
      </c>
      <c r="R538" t="s">
        <v>131</v>
      </c>
    </row>
    <row r="539" spans="3:18" x14ac:dyDescent="0.25">
      <c r="C539" t="s">
        <v>47</v>
      </c>
      <c r="D539" t="s">
        <v>21</v>
      </c>
      <c r="E539" t="s">
        <v>48</v>
      </c>
      <c r="F539" t="s">
        <v>41</v>
      </c>
      <c r="G539" s="89">
        <v>92828</v>
      </c>
      <c r="H539" t="s">
        <v>42</v>
      </c>
      <c r="I539" t="s">
        <v>141</v>
      </c>
      <c r="J539" s="89">
        <v>928280</v>
      </c>
      <c r="K539" t="s">
        <v>144</v>
      </c>
      <c r="N539">
        <v>1</v>
      </c>
      <c r="O539" s="89">
        <v>3713.12</v>
      </c>
      <c r="P539" s="89">
        <v>51983.68</v>
      </c>
      <c r="Q539" t="s">
        <v>142</v>
      </c>
      <c r="R539" t="s">
        <v>131</v>
      </c>
    </row>
    <row r="540" spans="3:18" hidden="1" x14ac:dyDescent="0.25">
      <c r="C540" t="s">
        <v>45</v>
      </c>
      <c r="D540" t="s">
        <v>22</v>
      </c>
      <c r="E540" t="s">
        <v>48</v>
      </c>
      <c r="F540" t="s">
        <v>41</v>
      </c>
      <c r="G540" s="89">
        <v>8475649</v>
      </c>
      <c r="H540" t="s">
        <v>42</v>
      </c>
      <c r="I540" t="s">
        <v>133</v>
      </c>
      <c r="J540" s="89">
        <v>237318172</v>
      </c>
      <c r="K540" t="s">
        <v>127</v>
      </c>
      <c r="L540" t="s">
        <v>128</v>
      </c>
      <c r="M540" t="s">
        <v>143</v>
      </c>
      <c r="N540">
        <v>1</v>
      </c>
      <c r="O540" s="89">
        <v>254269.47</v>
      </c>
      <c r="P540" s="89">
        <v>2373181.7200000002</v>
      </c>
      <c r="Q540" t="s">
        <v>130</v>
      </c>
      <c r="R540" t="s">
        <v>42</v>
      </c>
    </row>
    <row r="541" spans="3:18" hidden="1" x14ac:dyDescent="0.25">
      <c r="C541" t="s">
        <v>45</v>
      </c>
      <c r="D541" t="s">
        <v>22</v>
      </c>
      <c r="E541" t="s">
        <v>40</v>
      </c>
      <c r="F541" t="s">
        <v>41</v>
      </c>
      <c r="G541" s="89">
        <v>420887</v>
      </c>
      <c r="H541" t="s">
        <v>42</v>
      </c>
      <c r="I541" t="s">
        <v>133</v>
      </c>
      <c r="J541" s="89">
        <v>11784836</v>
      </c>
      <c r="K541" t="s">
        <v>127</v>
      </c>
      <c r="L541" t="s">
        <v>128</v>
      </c>
      <c r="M541" t="s">
        <v>152</v>
      </c>
      <c r="N541">
        <v>1</v>
      </c>
      <c r="O541" s="89">
        <v>12626.61</v>
      </c>
      <c r="P541" s="89">
        <v>345127.34</v>
      </c>
      <c r="Q541" t="s">
        <v>135</v>
      </c>
      <c r="R541" t="s">
        <v>131</v>
      </c>
    </row>
    <row r="542" spans="3:18" x14ac:dyDescent="0.25">
      <c r="C542" t="s">
        <v>47</v>
      </c>
      <c r="D542" t="s">
        <v>138</v>
      </c>
      <c r="E542" t="s">
        <v>43</v>
      </c>
      <c r="F542" t="s">
        <v>41</v>
      </c>
      <c r="G542" s="89">
        <v>3775823</v>
      </c>
      <c r="H542" t="s">
        <v>42</v>
      </c>
      <c r="I542" t="s">
        <v>141</v>
      </c>
      <c r="J542" s="89">
        <v>26430761</v>
      </c>
      <c r="K542" t="s">
        <v>127</v>
      </c>
      <c r="L542" t="s">
        <v>128</v>
      </c>
      <c r="M542" t="s">
        <v>139</v>
      </c>
      <c r="N542">
        <v>1</v>
      </c>
      <c r="O542" s="89">
        <v>151032.92000000001</v>
      </c>
      <c r="P542" s="89">
        <v>1132746.8999999999</v>
      </c>
      <c r="Q542" t="s">
        <v>130</v>
      </c>
      <c r="R542" t="s">
        <v>42</v>
      </c>
    </row>
    <row r="543" spans="3:18" x14ac:dyDescent="0.25">
      <c r="C543" t="s">
        <v>47</v>
      </c>
      <c r="D543" t="s">
        <v>22</v>
      </c>
      <c r="E543" t="s">
        <v>40</v>
      </c>
      <c r="F543" t="s">
        <v>41</v>
      </c>
      <c r="G543" s="89">
        <v>2270931</v>
      </c>
      <c r="H543" t="s">
        <v>145</v>
      </c>
      <c r="I543" t="s">
        <v>141</v>
      </c>
      <c r="J543" s="89">
        <v>15896517</v>
      </c>
      <c r="K543" t="s">
        <v>127</v>
      </c>
      <c r="L543" t="s">
        <v>128</v>
      </c>
      <c r="N543">
        <v>1</v>
      </c>
      <c r="O543" s="89">
        <v>90837.24</v>
      </c>
      <c r="P543" s="89">
        <v>1090046.8799999999</v>
      </c>
      <c r="Q543" t="s">
        <v>142</v>
      </c>
      <c r="R543" t="s">
        <v>131</v>
      </c>
    </row>
    <row r="544" spans="3:18" hidden="1" x14ac:dyDescent="0.25">
      <c r="C544" t="s">
        <v>45</v>
      </c>
      <c r="D544" t="s">
        <v>19</v>
      </c>
      <c r="E544" t="s">
        <v>43</v>
      </c>
      <c r="F544" t="s">
        <v>41</v>
      </c>
      <c r="G544" s="89">
        <v>64027</v>
      </c>
      <c r="H544" t="s">
        <v>140</v>
      </c>
      <c r="I544" t="s">
        <v>141</v>
      </c>
      <c r="J544" s="89">
        <v>512216</v>
      </c>
      <c r="K544" t="s">
        <v>144</v>
      </c>
      <c r="N544">
        <v>1</v>
      </c>
      <c r="O544" s="89">
        <v>1920.81</v>
      </c>
      <c r="P544" s="89">
        <v>17927.560000000001</v>
      </c>
      <c r="Q544" t="s">
        <v>130</v>
      </c>
      <c r="R544" t="s">
        <v>131</v>
      </c>
    </row>
    <row r="545" spans="3:18" hidden="1" x14ac:dyDescent="0.25">
      <c r="C545" t="s">
        <v>45</v>
      </c>
      <c r="D545" t="s">
        <v>50</v>
      </c>
      <c r="E545" t="s">
        <v>50</v>
      </c>
      <c r="F545" t="s">
        <v>41</v>
      </c>
      <c r="G545" s="89">
        <v>171271</v>
      </c>
      <c r="H545" t="s">
        <v>79</v>
      </c>
      <c r="I545" t="s">
        <v>147</v>
      </c>
      <c r="J545" s="89"/>
      <c r="K545" t="s">
        <v>127</v>
      </c>
      <c r="N545">
        <v>0</v>
      </c>
      <c r="O545" s="89">
        <v>3425.42</v>
      </c>
      <c r="P545" s="89">
        <v>0</v>
      </c>
      <c r="Q545" t="s">
        <v>130</v>
      </c>
      <c r="R545" t="s">
        <v>79</v>
      </c>
    </row>
    <row r="546" spans="3:18" x14ac:dyDescent="0.25">
      <c r="C546" t="s">
        <v>47</v>
      </c>
      <c r="D546" t="s">
        <v>22</v>
      </c>
      <c r="E546" t="s">
        <v>48</v>
      </c>
      <c r="F546" t="s">
        <v>41</v>
      </c>
      <c r="G546" s="89">
        <v>1096800</v>
      </c>
      <c r="H546" t="s">
        <v>132</v>
      </c>
      <c r="I546" t="s">
        <v>141</v>
      </c>
      <c r="J546" s="89">
        <v>9871200</v>
      </c>
      <c r="K546" t="s">
        <v>127</v>
      </c>
      <c r="L546" t="s">
        <v>128</v>
      </c>
      <c r="N546">
        <v>1</v>
      </c>
      <c r="O546" s="89">
        <v>43872</v>
      </c>
      <c r="P546" s="89">
        <v>230328</v>
      </c>
      <c r="Q546" t="s">
        <v>130</v>
      </c>
      <c r="R546" t="s">
        <v>131</v>
      </c>
    </row>
    <row r="547" spans="3:18" hidden="1" x14ac:dyDescent="0.25">
      <c r="C547" t="s">
        <v>45</v>
      </c>
      <c r="D547" t="s">
        <v>138</v>
      </c>
      <c r="E547" t="s">
        <v>43</v>
      </c>
      <c r="F547" t="s">
        <v>41</v>
      </c>
      <c r="G547" s="89">
        <v>919320</v>
      </c>
      <c r="H547" t="s">
        <v>145</v>
      </c>
      <c r="I547" t="s">
        <v>141</v>
      </c>
      <c r="J547" s="89">
        <v>7354560</v>
      </c>
      <c r="K547" t="s">
        <v>127</v>
      </c>
      <c r="L547" t="s">
        <v>128</v>
      </c>
      <c r="N547">
        <v>1</v>
      </c>
      <c r="O547" s="89">
        <v>27579.599999999999</v>
      </c>
      <c r="P547" s="89">
        <v>450466.8</v>
      </c>
      <c r="Q547" t="s">
        <v>142</v>
      </c>
      <c r="R547" t="s">
        <v>131</v>
      </c>
    </row>
    <row r="548" spans="3:18" x14ac:dyDescent="0.25">
      <c r="C548" t="s">
        <v>47</v>
      </c>
      <c r="D548" t="s">
        <v>138</v>
      </c>
      <c r="E548" t="s">
        <v>40</v>
      </c>
      <c r="F548" t="s">
        <v>41</v>
      </c>
      <c r="G548" s="89">
        <v>1259415</v>
      </c>
      <c r="H548" t="s">
        <v>145</v>
      </c>
      <c r="I548" t="s">
        <v>141</v>
      </c>
      <c r="J548" s="89">
        <v>7556490</v>
      </c>
      <c r="K548" t="s">
        <v>144</v>
      </c>
      <c r="N548">
        <v>1</v>
      </c>
      <c r="O548" s="89">
        <v>50376.6</v>
      </c>
      <c r="P548" s="89">
        <v>113347.35</v>
      </c>
      <c r="Q548" t="s">
        <v>130</v>
      </c>
      <c r="R548" t="s">
        <v>131</v>
      </c>
    </row>
    <row r="549" spans="3:18" hidden="1" x14ac:dyDescent="0.25">
      <c r="C549" t="s">
        <v>45</v>
      </c>
      <c r="D549" t="s">
        <v>22</v>
      </c>
      <c r="E549" t="s">
        <v>44</v>
      </c>
      <c r="F549" t="s">
        <v>41</v>
      </c>
      <c r="G549" s="89">
        <v>63200</v>
      </c>
      <c r="H549" t="s">
        <v>42</v>
      </c>
      <c r="I549" t="s">
        <v>133</v>
      </c>
      <c r="J549" s="89">
        <v>1453600</v>
      </c>
      <c r="K549" t="s">
        <v>127</v>
      </c>
      <c r="L549" t="s">
        <v>128</v>
      </c>
      <c r="M549" t="s">
        <v>129</v>
      </c>
      <c r="N549">
        <v>1</v>
      </c>
      <c r="O549" s="89">
        <v>1896</v>
      </c>
      <c r="P549" s="89">
        <v>53088</v>
      </c>
      <c r="Q549" t="s">
        <v>135</v>
      </c>
      <c r="R549" t="s">
        <v>42</v>
      </c>
    </row>
    <row r="550" spans="3:18" hidden="1" x14ac:dyDescent="0.25">
      <c r="C550" t="s">
        <v>45</v>
      </c>
      <c r="D550" t="s">
        <v>21</v>
      </c>
      <c r="E550" t="s">
        <v>40</v>
      </c>
      <c r="F550" t="s">
        <v>53</v>
      </c>
      <c r="G550" s="89">
        <v>780009</v>
      </c>
      <c r="H550" t="s">
        <v>42</v>
      </c>
      <c r="I550" t="s">
        <v>133</v>
      </c>
      <c r="J550" s="89">
        <v>23400270</v>
      </c>
      <c r="K550" t="s">
        <v>144</v>
      </c>
      <c r="N550">
        <v>1</v>
      </c>
      <c r="O550" s="89">
        <v>23400.27</v>
      </c>
      <c r="P550" s="89">
        <v>421204.86</v>
      </c>
      <c r="Q550" t="s">
        <v>142</v>
      </c>
      <c r="R550" t="s">
        <v>42</v>
      </c>
    </row>
    <row r="551" spans="3:18" hidden="1" x14ac:dyDescent="0.25">
      <c r="C551" t="s">
        <v>45</v>
      </c>
      <c r="D551" t="s">
        <v>19</v>
      </c>
      <c r="E551" t="s">
        <v>43</v>
      </c>
      <c r="F551" t="s">
        <v>41</v>
      </c>
      <c r="G551" s="89">
        <v>499018</v>
      </c>
      <c r="H551" t="s">
        <v>140</v>
      </c>
      <c r="I551" t="s">
        <v>133</v>
      </c>
      <c r="J551" s="89">
        <v>15469558</v>
      </c>
      <c r="K551" t="s">
        <v>134</v>
      </c>
      <c r="L551" t="s">
        <v>128</v>
      </c>
      <c r="N551">
        <v>1</v>
      </c>
      <c r="O551" s="89">
        <v>9980.36</v>
      </c>
      <c r="P551" s="89">
        <v>628762.68000000005</v>
      </c>
      <c r="Q551" t="s">
        <v>150</v>
      </c>
      <c r="R551" t="s">
        <v>131</v>
      </c>
    </row>
    <row r="552" spans="3:18" hidden="1" x14ac:dyDescent="0.25">
      <c r="C552" t="s">
        <v>45</v>
      </c>
      <c r="D552" t="s">
        <v>23</v>
      </c>
      <c r="E552" t="s">
        <v>43</v>
      </c>
      <c r="F552" t="s">
        <v>41</v>
      </c>
      <c r="G552" s="89">
        <v>438064</v>
      </c>
      <c r="H552" t="s">
        <v>140</v>
      </c>
      <c r="I552" t="s">
        <v>133</v>
      </c>
      <c r="J552" s="89">
        <v>14018048</v>
      </c>
      <c r="K552" t="s">
        <v>144</v>
      </c>
      <c r="N552">
        <v>1</v>
      </c>
      <c r="O552" s="89">
        <v>13141.92</v>
      </c>
      <c r="P552" s="89">
        <v>100754.72</v>
      </c>
      <c r="Q552" t="s">
        <v>130</v>
      </c>
      <c r="R552" t="s">
        <v>131</v>
      </c>
    </row>
    <row r="553" spans="3:18" hidden="1" x14ac:dyDescent="0.25">
      <c r="C553" t="s">
        <v>45</v>
      </c>
      <c r="D553" t="s">
        <v>22</v>
      </c>
      <c r="E553" t="s">
        <v>40</v>
      </c>
      <c r="F553" t="s">
        <v>41</v>
      </c>
      <c r="G553" s="89">
        <v>478178</v>
      </c>
      <c r="H553" t="s">
        <v>145</v>
      </c>
      <c r="I553" t="s">
        <v>133</v>
      </c>
      <c r="J553" s="89">
        <v>11476272</v>
      </c>
      <c r="K553" t="s">
        <v>134</v>
      </c>
      <c r="L553" t="s">
        <v>128</v>
      </c>
      <c r="N553">
        <v>1</v>
      </c>
      <c r="O553" s="89">
        <v>14345.34</v>
      </c>
      <c r="P553" s="89">
        <v>253434.34</v>
      </c>
      <c r="Q553" t="s">
        <v>142</v>
      </c>
      <c r="R553" t="s">
        <v>131</v>
      </c>
    </row>
    <row r="554" spans="3:18" x14ac:dyDescent="0.25">
      <c r="C554" t="s">
        <v>47</v>
      </c>
      <c r="D554" t="s">
        <v>50</v>
      </c>
      <c r="E554" t="s">
        <v>50</v>
      </c>
      <c r="F554" t="s">
        <v>41</v>
      </c>
      <c r="G554" s="89">
        <v>194</v>
      </c>
      <c r="H554" t="s">
        <v>79</v>
      </c>
      <c r="I554" t="s">
        <v>153</v>
      </c>
      <c r="J554" s="89"/>
      <c r="K554" t="s">
        <v>127</v>
      </c>
      <c r="N554">
        <v>0</v>
      </c>
      <c r="O554" s="89">
        <v>0</v>
      </c>
      <c r="P554" s="89">
        <v>15.52</v>
      </c>
      <c r="Q554" t="s">
        <v>130</v>
      </c>
      <c r="R554" t="s">
        <v>79</v>
      </c>
    </row>
    <row r="555" spans="3:18" hidden="1" x14ac:dyDescent="0.25">
      <c r="C555" t="s">
        <v>45</v>
      </c>
      <c r="D555" t="s">
        <v>21</v>
      </c>
      <c r="E555" t="s">
        <v>43</v>
      </c>
      <c r="F555" t="s">
        <v>41</v>
      </c>
      <c r="G555" s="89">
        <v>16937</v>
      </c>
      <c r="H555" t="s">
        <v>145</v>
      </c>
      <c r="I555" t="s">
        <v>147</v>
      </c>
      <c r="J555" s="89">
        <v>67748</v>
      </c>
      <c r="K555" t="s">
        <v>127</v>
      </c>
      <c r="L555" t="s">
        <v>151</v>
      </c>
      <c r="N555">
        <v>1</v>
      </c>
      <c r="O555" s="89">
        <v>508.11</v>
      </c>
      <c r="P555" s="89">
        <v>1863.07</v>
      </c>
      <c r="Q555" t="s">
        <v>130</v>
      </c>
      <c r="R555" t="s">
        <v>131</v>
      </c>
    </row>
    <row r="556" spans="3:18" hidden="1" x14ac:dyDescent="0.25">
      <c r="C556" t="s">
        <v>45</v>
      </c>
      <c r="D556" t="s">
        <v>149</v>
      </c>
      <c r="E556" t="s">
        <v>43</v>
      </c>
      <c r="F556" t="s">
        <v>41</v>
      </c>
      <c r="G556" s="89">
        <v>6225253</v>
      </c>
      <c r="H556" t="s">
        <v>140</v>
      </c>
      <c r="I556" t="s">
        <v>133</v>
      </c>
      <c r="J556" s="89">
        <v>192982843</v>
      </c>
      <c r="K556" t="s">
        <v>127</v>
      </c>
      <c r="L556" t="s">
        <v>128</v>
      </c>
      <c r="N556">
        <v>1</v>
      </c>
      <c r="O556" s="89">
        <v>186757.59</v>
      </c>
      <c r="P556" s="89">
        <v>5291465.05</v>
      </c>
      <c r="Q556" t="s">
        <v>135</v>
      </c>
      <c r="R556" t="s">
        <v>131</v>
      </c>
    </row>
    <row r="557" spans="3:18" hidden="1" x14ac:dyDescent="0.25">
      <c r="C557" t="s">
        <v>45</v>
      </c>
      <c r="D557" t="s">
        <v>138</v>
      </c>
      <c r="E557" t="s">
        <v>43</v>
      </c>
      <c r="F557" t="s">
        <v>41</v>
      </c>
      <c r="G557" s="89">
        <v>65640</v>
      </c>
      <c r="H557" t="s">
        <v>140</v>
      </c>
      <c r="I557" t="s">
        <v>141</v>
      </c>
      <c r="J557" s="89">
        <v>525120</v>
      </c>
      <c r="K557" t="s">
        <v>134</v>
      </c>
      <c r="L557" t="s">
        <v>128</v>
      </c>
      <c r="N557">
        <v>1</v>
      </c>
      <c r="O557" s="89">
        <v>1969.2</v>
      </c>
      <c r="P557" s="89">
        <v>17066.400000000001</v>
      </c>
      <c r="Q557" t="s">
        <v>130</v>
      </c>
      <c r="R557" t="s">
        <v>131</v>
      </c>
    </row>
    <row r="558" spans="3:18" x14ac:dyDescent="0.25">
      <c r="C558" t="s">
        <v>47</v>
      </c>
      <c r="D558" t="s">
        <v>23</v>
      </c>
      <c r="E558" t="s">
        <v>48</v>
      </c>
      <c r="F558" t="s">
        <v>41</v>
      </c>
      <c r="G558" s="89">
        <v>91700</v>
      </c>
      <c r="H558" t="s">
        <v>146</v>
      </c>
      <c r="I558" t="s">
        <v>126</v>
      </c>
      <c r="J558" s="89">
        <v>1008700</v>
      </c>
      <c r="K558" t="s">
        <v>127</v>
      </c>
      <c r="L558" t="s">
        <v>128</v>
      </c>
      <c r="N558">
        <v>1</v>
      </c>
      <c r="O558" s="89">
        <v>4585</v>
      </c>
      <c r="P558" s="89">
        <v>122878</v>
      </c>
      <c r="Q558" t="s">
        <v>150</v>
      </c>
      <c r="R558" t="s">
        <v>131</v>
      </c>
    </row>
    <row r="559" spans="3:18" hidden="1" x14ac:dyDescent="0.25">
      <c r="C559" t="s">
        <v>45</v>
      </c>
      <c r="D559" t="s">
        <v>24</v>
      </c>
      <c r="E559" t="s">
        <v>44</v>
      </c>
      <c r="F559" t="s">
        <v>53</v>
      </c>
      <c r="G559" s="89">
        <v>214928</v>
      </c>
      <c r="H559" t="s">
        <v>42</v>
      </c>
      <c r="I559" t="s">
        <v>126</v>
      </c>
      <c r="J559" s="89">
        <v>3438848</v>
      </c>
      <c r="K559" t="s">
        <v>127</v>
      </c>
      <c r="L559" t="s">
        <v>128</v>
      </c>
      <c r="M559" t="s">
        <v>148</v>
      </c>
      <c r="N559">
        <v>1</v>
      </c>
      <c r="O559" s="89">
        <v>6447.84</v>
      </c>
      <c r="P559" s="89">
        <v>144001.76</v>
      </c>
      <c r="Q559" t="s">
        <v>137</v>
      </c>
      <c r="R559" t="s">
        <v>42</v>
      </c>
    </row>
    <row r="560" spans="3:18" hidden="1" x14ac:dyDescent="0.25">
      <c r="C560" t="s">
        <v>45</v>
      </c>
      <c r="D560" t="s">
        <v>149</v>
      </c>
      <c r="E560" t="s">
        <v>40</v>
      </c>
      <c r="F560" t="s">
        <v>41</v>
      </c>
      <c r="G560" s="89">
        <v>52356</v>
      </c>
      <c r="H560" t="s">
        <v>42</v>
      </c>
      <c r="I560" t="s">
        <v>126</v>
      </c>
      <c r="J560" s="89">
        <v>785340</v>
      </c>
      <c r="K560" t="s">
        <v>127</v>
      </c>
      <c r="L560" t="s">
        <v>128</v>
      </c>
      <c r="M560" t="s">
        <v>136</v>
      </c>
      <c r="N560">
        <v>1</v>
      </c>
      <c r="O560" s="89">
        <v>1570.68</v>
      </c>
      <c r="P560" s="89">
        <v>9424.08</v>
      </c>
      <c r="Q560" t="s">
        <v>130</v>
      </c>
      <c r="R560" t="s">
        <v>42</v>
      </c>
    </row>
    <row r="561" spans="3:18" hidden="1" x14ac:dyDescent="0.25">
      <c r="C561" t="s">
        <v>45</v>
      </c>
      <c r="D561" t="s">
        <v>138</v>
      </c>
      <c r="E561" t="s">
        <v>43</v>
      </c>
      <c r="F561" t="s">
        <v>41</v>
      </c>
      <c r="G561" s="89">
        <v>1365</v>
      </c>
      <c r="H561" t="s">
        <v>42</v>
      </c>
      <c r="I561" t="s">
        <v>147</v>
      </c>
      <c r="J561" s="89">
        <v>5460</v>
      </c>
      <c r="K561" t="s">
        <v>127</v>
      </c>
      <c r="L561" t="s">
        <v>128</v>
      </c>
      <c r="M561" t="s">
        <v>139</v>
      </c>
      <c r="N561">
        <v>1</v>
      </c>
      <c r="O561" s="89">
        <v>40.950000000000003</v>
      </c>
      <c r="P561" s="89">
        <v>887.25</v>
      </c>
      <c r="Q561" t="s">
        <v>137</v>
      </c>
      <c r="R561" t="s">
        <v>131</v>
      </c>
    </row>
    <row r="562" spans="3:18" x14ac:dyDescent="0.25">
      <c r="C562" t="s">
        <v>47</v>
      </c>
      <c r="D562" t="s">
        <v>25</v>
      </c>
      <c r="E562" t="s">
        <v>48</v>
      </c>
      <c r="F562" t="s">
        <v>41</v>
      </c>
      <c r="G562" s="89">
        <v>172069</v>
      </c>
      <c r="H562" t="s">
        <v>140</v>
      </c>
      <c r="I562" t="s">
        <v>141</v>
      </c>
      <c r="J562" s="89">
        <v>1204483</v>
      </c>
      <c r="K562" t="s">
        <v>127</v>
      </c>
      <c r="L562" t="s">
        <v>128</v>
      </c>
      <c r="N562">
        <v>1</v>
      </c>
      <c r="O562" s="89">
        <v>6882.76</v>
      </c>
      <c r="P562" s="89">
        <v>25810.35</v>
      </c>
      <c r="Q562" t="s">
        <v>130</v>
      </c>
      <c r="R562" t="s">
        <v>131</v>
      </c>
    </row>
    <row r="563" spans="3:18" hidden="1" x14ac:dyDescent="0.25">
      <c r="C563" t="s">
        <v>45</v>
      </c>
      <c r="D563" t="s">
        <v>23</v>
      </c>
      <c r="E563" t="s">
        <v>40</v>
      </c>
      <c r="F563" t="s">
        <v>41</v>
      </c>
      <c r="G563" s="89">
        <v>680833</v>
      </c>
      <c r="H563" t="s">
        <v>42</v>
      </c>
      <c r="I563" t="s">
        <v>126</v>
      </c>
      <c r="J563" s="89">
        <v>10212495</v>
      </c>
      <c r="K563" t="s">
        <v>127</v>
      </c>
      <c r="L563" t="s">
        <v>128</v>
      </c>
      <c r="M563" t="s">
        <v>152</v>
      </c>
      <c r="N563">
        <v>1</v>
      </c>
      <c r="O563" s="89">
        <v>20424.990000000002</v>
      </c>
      <c r="P563" s="89">
        <v>170208.25</v>
      </c>
      <c r="Q563" t="s">
        <v>130</v>
      </c>
      <c r="R563" t="s">
        <v>42</v>
      </c>
    </row>
    <row r="564" spans="3:18" hidden="1" x14ac:dyDescent="0.25">
      <c r="C564" t="s">
        <v>45</v>
      </c>
      <c r="D564" t="s">
        <v>19</v>
      </c>
      <c r="E564" t="s">
        <v>43</v>
      </c>
      <c r="F564" t="s">
        <v>41</v>
      </c>
      <c r="G564" s="89">
        <v>410388</v>
      </c>
      <c r="H564" t="s">
        <v>42</v>
      </c>
      <c r="I564" t="s">
        <v>133</v>
      </c>
      <c r="J564" s="89">
        <v>13132416</v>
      </c>
      <c r="K564" t="s">
        <v>127</v>
      </c>
      <c r="L564" t="s">
        <v>128</v>
      </c>
      <c r="M564" t="s">
        <v>152</v>
      </c>
      <c r="N564">
        <v>1</v>
      </c>
      <c r="O564" s="89">
        <v>12311.64</v>
      </c>
      <c r="P564" s="89">
        <v>238025.04</v>
      </c>
      <c r="Q564" t="s">
        <v>142</v>
      </c>
      <c r="R564" t="s">
        <v>131</v>
      </c>
    </row>
    <row r="565" spans="3:18" hidden="1" x14ac:dyDescent="0.25">
      <c r="C565" t="s">
        <v>45</v>
      </c>
      <c r="D565" t="s">
        <v>21</v>
      </c>
      <c r="E565" t="s">
        <v>43</v>
      </c>
      <c r="F565" t="s">
        <v>41</v>
      </c>
      <c r="G565" s="89">
        <v>9886607</v>
      </c>
      <c r="H565" t="s">
        <v>145</v>
      </c>
      <c r="I565" t="s">
        <v>147</v>
      </c>
      <c r="J565" s="89">
        <v>29659821</v>
      </c>
      <c r="K565" t="s">
        <v>127</v>
      </c>
      <c r="L565" t="s">
        <v>128</v>
      </c>
      <c r="N565">
        <v>1</v>
      </c>
      <c r="O565" s="89">
        <v>296598.21000000002</v>
      </c>
      <c r="P565" s="89">
        <v>1285258.9099999999</v>
      </c>
      <c r="Q565" t="s">
        <v>130</v>
      </c>
      <c r="R565" t="s">
        <v>131</v>
      </c>
    </row>
    <row r="566" spans="3:18" hidden="1" x14ac:dyDescent="0.25">
      <c r="C566" t="s">
        <v>45</v>
      </c>
      <c r="D566" t="s">
        <v>20</v>
      </c>
      <c r="E566" t="s">
        <v>43</v>
      </c>
      <c r="F566" t="s">
        <v>41</v>
      </c>
      <c r="G566" s="89">
        <v>1230612</v>
      </c>
      <c r="H566" t="s">
        <v>140</v>
      </c>
      <c r="I566" t="s">
        <v>141</v>
      </c>
      <c r="J566" s="89">
        <v>11075508</v>
      </c>
      <c r="K566" t="s">
        <v>144</v>
      </c>
      <c r="N566">
        <v>1</v>
      </c>
      <c r="O566" s="89">
        <v>61530.6</v>
      </c>
      <c r="P566" s="89">
        <v>947571.24</v>
      </c>
      <c r="Q566" t="s">
        <v>137</v>
      </c>
      <c r="R566" t="s">
        <v>131</v>
      </c>
    </row>
    <row r="567" spans="3:18" x14ac:dyDescent="0.25">
      <c r="C567" t="s">
        <v>47</v>
      </c>
      <c r="D567" t="s">
        <v>22</v>
      </c>
      <c r="E567" t="s">
        <v>48</v>
      </c>
      <c r="F567" t="s">
        <v>41</v>
      </c>
      <c r="G567" s="89">
        <v>540862</v>
      </c>
      <c r="H567" t="s">
        <v>146</v>
      </c>
      <c r="I567" t="s">
        <v>141</v>
      </c>
      <c r="J567" s="89">
        <v>3786034</v>
      </c>
      <c r="K567" t="s">
        <v>144</v>
      </c>
      <c r="N567">
        <v>1</v>
      </c>
      <c r="O567" s="89">
        <v>21634.48</v>
      </c>
      <c r="P567" s="89">
        <v>384012.02</v>
      </c>
      <c r="Q567" t="s">
        <v>137</v>
      </c>
      <c r="R567" t="s">
        <v>131</v>
      </c>
    </row>
    <row r="568" spans="3:18" hidden="1" x14ac:dyDescent="0.25">
      <c r="C568" t="s">
        <v>45</v>
      </c>
      <c r="D568" t="s">
        <v>23</v>
      </c>
      <c r="E568" t="s">
        <v>40</v>
      </c>
      <c r="F568" t="s">
        <v>41</v>
      </c>
      <c r="G568" s="89">
        <v>362549</v>
      </c>
      <c r="H568" t="s">
        <v>145</v>
      </c>
      <c r="I568" t="s">
        <v>147</v>
      </c>
      <c r="J568" s="89">
        <v>1450196</v>
      </c>
      <c r="K568" t="s">
        <v>127</v>
      </c>
      <c r="L568" t="s">
        <v>128</v>
      </c>
      <c r="N568">
        <v>1</v>
      </c>
      <c r="O568" s="89">
        <v>14501.96</v>
      </c>
      <c r="P568" s="89">
        <v>174023.52</v>
      </c>
      <c r="Q568" t="s">
        <v>142</v>
      </c>
      <c r="R568" t="s">
        <v>131</v>
      </c>
    </row>
    <row r="569" spans="3:18" hidden="1" x14ac:dyDescent="0.25">
      <c r="C569" t="s">
        <v>45</v>
      </c>
      <c r="D569" t="s">
        <v>19</v>
      </c>
      <c r="E569" t="s">
        <v>40</v>
      </c>
      <c r="F569" t="s">
        <v>41</v>
      </c>
      <c r="G569" s="89">
        <v>94084</v>
      </c>
      <c r="H569" t="s">
        <v>42</v>
      </c>
      <c r="I569" t="s">
        <v>133</v>
      </c>
      <c r="J569" s="89">
        <v>2634352</v>
      </c>
      <c r="K569" t="s">
        <v>134</v>
      </c>
      <c r="L569" t="s">
        <v>128</v>
      </c>
      <c r="M569" t="s">
        <v>136</v>
      </c>
      <c r="N569">
        <v>1</v>
      </c>
      <c r="O569" s="89">
        <v>2822.52</v>
      </c>
      <c r="P569" s="89">
        <v>27284.36</v>
      </c>
      <c r="Q569" t="s">
        <v>130</v>
      </c>
      <c r="R569" t="s">
        <v>131</v>
      </c>
    </row>
    <row r="570" spans="3:18" hidden="1" x14ac:dyDescent="0.25">
      <c r="C570" t="s">
        <v>45</v>
      </c>
      <c r="D570" t="s">
        <v>23</v>
      </c>
      <c r="E570" t="s">
        <v>48</v>
      </c>
      <c r="F570" t="s">
        <v>41</v>
      </c>
      <c r="G570" s="89">
        <v>325382</v>
      </c>
      <c r="H570" t="s">
        <v>145</v>
      </c>
      <c r="I570" t="s">
        <v>141</v>
      </c>
      <c r="J570" s="89">
        <v>2603056</v>
      </c>
      <c r="K570" t="s">
        <v>127</v>
      </c>
      <c r="L570" t="s">
        <v>128</v>
      </c>
      <c r="N570">
        <v>1</v>
      </c>
      <c r="O570" s="89">
        <v>13015.28</v>
      </c>
      <c r="P570" s="89">
        <v>165944.82</v>
      </c>
      <c r="Q570" t="s">
        <v>142</v>
      </c>
      <c r="R570" t="s">
        <v>131</v>
      </c>
    </row>
    <row r="571" spans="3:18" hidden="1" x14ac:dyDescent="0.25">
      <c r="C571" t="s">
        <v>45</v>
      </c>
      <c r="D571" t="s">
        <v>23</v>
      </c>
      <c r="E571" t="s">
        <v>40</v>
      </c>
      <c r="F571" t="s">
        <v>41</v>
      </c>
      <c r="G571" s="89">
        <v>1154866</v>
      </c>
      <c r="H571" t="s">
        <v>42</v>
      </c>
      <c r="I571" t="s">
        <v>126</v>
      </c>
      <c r="J571" s="89">
        <v>18477856</v>
      </c>
      <c r="K571" t="s">
        <v>127</v>
      </c>
      <c r="L571" t="s">
        <v>128</v>
      </c>
      <c r="M571" t="s">
        <v>152</v>
      </c>
      <c r="N571">
        <v>1</v>
      </c>
      <c r="O571" s="89">
        <v>34645.980000000003</v>
      </c>
      <c r="P571" s="89">
        <v>565884.34</v>
      </c>
      <c r="Q571" t="s">
        <v>142</v>
      </c>
      <c r="R571" t="s">
        <v>42</v>
      </c>
    </row>
    <row r="572" spans="3:18" hidden="1" x14ac:dyDescent="0.25">
      <c r="C572" t="s">
        <v>45</v>
      </c>
      <c r="D572" t="s">
        <v>149</v>
      </c>
      <c r="E572" t="s">
        <v>43</v>
      </c>
      <c r="F572" t="s">
        <v>41</v>
      </c>
      <c r="G572" s="89">
        <v>35321796</v>
      </c>
      <c r="H572" t="s">
        <v>42</v>
      </c>
      <c r="I572" t="s">
        <v>133</v>
      </c>
      <c r="J572" s="89">
        <v>989010288</v>
      </c>
      <c r="K572" t="s">
        <v>127</v>
      </c>
      <c r="L572" t="s">
        <v>128</v>
      </c>
      <c r="M572" t="s">
        <v>136</v>
      </c>
      <c r="N572">
        <v>1</v>
      </c>
      <c r="O572" s="89">
        <v>1059653.8799999999</v>
      </c>
      <c r="P572" s="89">
        <v>9890102.8800000008</v>
      </c>
      <c r="Q572" t="s">
        <v>130</v>
      </c>
      <c r="R572" t="s">
        <v>131</v>
      </c>
    </row>
    <row r="573" spans="3:18" hidden="1" x14ac:dyDescent="0.25">
      <c r="C573" t="s">
        <v>45</v>
      </c>
      <c r="D573" t="s">
        <v>24</v>
      </c>
      <c r="E573" t="s">
        <v>44</v>
      </c>
      <c r="F573" t="s">
        <v>41</v>
      </c>
      <c r="G573" s="89">
        <v>18985537</v>
      </c>
      <c r="H573" t="s">
        <v>140</v>
      </c>
      <c r="I573" t="s">
        <v>133</v>
      </c>
      <c r="J573" s="89">
        <v>531595036</v>
      </c>
      <c r="K573" t="s">
        <v>127</v>
      </c>
      <c r="L573" t="s">
        <v>128</v>
      </c>
      <c r="N573">
        <v>1</v>
      </c>
      <c r="O573" s="89">
        <v>569566.11</v>
      </c>
      <c r="P573" s="89">
        <v>13289875.9</v>
      </c>
      <c r="Q573" t="s">
        <v>137</v>
      </c>
      <c r="R573" t="s">
        <v>131</v>
      </c>
    </row>
    <row r="574" spans="3:18" hidden="1" x14ac:dyDescent="0.25">
      <c r="C574" t="s">
        <v>45</v>
      </c>
      <c r="D574" t="s">
        <v>22</v>
      </c>
      <c r="E574" t="s">
        <v>40</v>
      </c>
      <c r="F574" t="s">
        <v>41</v>
      </c>
      <c r="G574" s="89">
        <v>104901</v>
      </c>
      <c r="H574" t="s">
        <v>132</v>
      </c>
      <c r="I574" t="s">
        <v>147</v>
      </c>
      <c r="J574" s="89">
        <v>419604</v>
      </c>
      <c r="K574" t="s">
        <v>144</v>
      </c>
      <c r="N574">
        <v>1</v>
      </c>
      <c r="O574" s="89">
        <v>3147.03</v>
      </c>
      <c r="P574" s="89">
        <v>28323.27</v>
      </c>
      <c r="Q574" t="s">
        <v>130</v>
      </c>
      <c r="R574" t="s">
        <v>131</v>
      </c>
    </row>
    <row r="575" spans="3:18" hidden="1" x14ac:dyDescent="0.25">
      <c r="C575" t="s">
        <v>45</v>
      </c>
      <c r="D575" t="s">
        <v>21</v>
      </c>
      <c r="E575" t="s">
        <v>43</v>
      </c>
      <c r="F575" t="s">
        <v>41</v>
      </c>
      <c r="G575" s="89">
        <v>38007</v>
      </c>
      <c r="H575" t="s">
        <v>42</v>
      </c>
      <c r="I575" t="s">
        <v>126</v>
      </c>
      <c r="J575" s="89">
        <v>608112</v>
      </c>
      <c r="K575" t="s">
        <v>127</v>
      </c>
      <c r="L575" t="s">
        <v>128</v>
      </c>
      <c r="M575" t="s">
        <v>152</v>
      </c>
      <c r="N575">
        <v>1</v>
      </c>
      <c r="O575" s="89">
        <v>1900.35</v>
      </c>
      <c r="P575" s="89">
        <v>25084.62</v>
      </c>
      <c r="Q575" t="s">
        <v>137</v>
      </c>
      <c r="R575" t="s">
        <v>42</v>
      </c>
    </row>
    <row r="576" spans="3:18" hidden="1" x14ac:dyDescent="0.25">
      <c r="C576" t="s">
        <v>45</v>
      </c>
      <c r="D576" t="s">
        <v>23</v>
      </c>
      <c r="E576" t="s">
        <v>48</v>
      </c>
      <c r="F576" t="s">
        <v>41</v>
      </c>
      <c r="G576" s="89">
        <v>1808763</v>
      </c>
      <c r="H576" t="s">
        <v>145</v>
      </c>
      <c r="I576" t="s">
        <v>133</v>
      </c>
      <c r="J576" s="89">
        <v>47027838</v>
      </c>
      <c r="K576" t="s">
        <v>127</v>
      </c>
      <c r="L576" t="s">
        <v>128</v>
      </c>
      <c r="N576">
        <v>1</v>
      </c>
      <c r="O576" s="89">
        <v>72350.52</v>
      </c>
      <c r="P576" s="89">
        <v>578804.16</v>
      </c>
      <c r="Q576" t="s">
        <v>130</v>
      </c>
      <c r="R576" t="s">
        <v>131</v>
      </c>
    </row>
    <row r="577" spans="3:18" hidden="1" x14ac:dyDescent="0.25">
      <c r="C577" t="s">
        <v>45</v>
      </c>
      <c r="D577" t="s">
        <v>149</v>
      </c>
      <c r="E577" t="s">
        <v>43</v>
      </c>
      <c r="F577" t="s">
        <v>41</v>
      </c>
      <c r="G577" s="89">
        <v>106429</v>
      </c>
      <c r="H577" t="s">
        <v>42</v>
      </c>
      <c r="I577" t="s">
        <v>133</v>
      </c>
      <c r="J577" s="89">
        <v>3618586</v>
      </c>
      <c r="K577" t="s">
        <v>127</v>
      </c>
      <c r="L577" t="s">
        <v>128</v>
      </c>
      <c r="M577" t="s">
        <v>148</v>
      </c>
      <c r="N577">
        <v>1</v>
      </c>
      <c r="O577" s="89">
        <v>3192.87</v>
      </c>
      <c r="P577" s="89">
        <v>43635.89</v>
      </c>
      <c r="Q577" t="s">
        <v>142</v>
      </c>
      <c r="R577" t="s">
        <v>131</v>
      </c>
    </row>
    <row r="578" spans="3:18" hidden="1" x14ac:dyDescent="0.25">
      <c r="C578" t="s">
        <v>45</v>
      </c>
      <c r="D578" t="s">
        <v>24</v>
      </c>
      <c r="E578" t="s">
        <v>48</v>
      </c>
      <c r="F578" t="s">
        <v>53</v>
      </c>
      <c r="G578" s="89">
        <v>41086</v>
      </c>
      <c r="H578" t="s">
        <v>42</v>
      </c>
      <c r="I578" t="s">
        <v>126</v>
      </c>
      <c r="J578" s="89">
        <v>739548</v>
      </c>
      <c r="K578" t="s">
        <v>144</v>
      </c>
      <c r="N578">
        <v>1</v>
      </c>
      <c r="O578" s="89">
        <v>1232.58</v>
      </c>
      <c r="P578" s="89">
        <v>4108.6000000000004</v>
      </c>
      <c r="Q578" t="s">
        <v>130</v>
      </c>
      <c r="R578" t="s">
        <v>131</v>
      </c>
    </row>
    <row r="579" spans="3:18" hidden="1" x14ac:dyDescent="0.25">
      <c r="C579" t="s">
        <v>45</v>
      </c>
      <c r="D579" t="s">
        <v>24</v>
      </c>
      <c r="E579" t="s">
        <v>40</v>
      </c>
      <c r="F579" t="s">
        <v>41</v>
      </c>
      <c r="G579" s="89">
        <v>71657</v>
      </c>
      <c r="H579" t="s">
        <v>132</v>
      </c>
      <c r="I579" t="s">
        <v>126</v>
      </c>
      <c r="J579" s="89">
        <v>1289826</v>
      </c>
      <c r="K579" t="s">
        <v>127</v>
      </c>
      <c r="L579" t="s">
        <v>128</v>
      </c>
      <c r="N579">
        <v>1</v>
      </c>
      <c r="O579" s="89">
        <v>1433.14</v>
      </c>
      <c r="P579" s="89">
        <v>48010.19</v>
      </c>
      <c r="Q579" t="s">
        <v>137</v>
      </c>
      <c r="R579" t="s">
        <v>131</v>
      </c>
    </row>
    <row r="580" spans="3:18" hidden="1" x14ac:dyDescent="0.25">
      <c r="C580" t="s">
        <v>45</v>
      </c>
      <c r="D580" t="s">
        <v>19</v>
      </c>
      <c r="E580" t="s">
        <v>48</v>
      </c>
      <c r="F580" t="s">
        <v>41</v>
      </c>
      <c r="G580" s="89">
        <v>4862544</v>
      </c>
      <c r="H580" t="s">
        <v>42</v>
      </c>
      <c r="I580" t="s">
        <v>133</v>
      </c>
      <c r="J580" s="89">
        <v>150738864</v>
      </c>
      <c r="K580" t="s">
        <v>127</v>
      </c>
      <c r="L580" t="s">
        <v>128</v>
      </c>
      <c r="M580" t="s">
        <v>136</v>
      </c>
      <c r="N580">
        <v>1</v>
      </c>
      <c r="O580" s="89">
        <v>145876.32</v>
      </c>
      <c r="P580" s="89">
        <v>3501031.68</v>
      </c>
      <c r="Q580" t="s">
        <v>137</v>
      </c>
      <c r="R580" t="s">
        <v>131</v>
      </c>
    </row>
    <row r="581" spans="3:18" hidden="1" x14ac:dyDescent="0.25">
      <c r="C581" t="s">
        <v>45</v>
      </c>
      <c r="D581" t="s">
        <v>23</v>
      </c>
      <c r="E581" t="s">
        <v>40</v>
      </c>
      <c r="F581" t="s">
        <v>41</v>
      </c>
      <c r="G581" s="89">
        <v>10392286</v>
      </c>
      <c r="H581" t="s">
        <v>145</v>
      </c>
      <c r="I581" t="s">
        <v>141</v>
      </c>
      <c r="J581" s="89">
        <v>72746002</v>
      </c>
      <c r="K581" t="s">
        <v>127</v>
      </c>
      <c r="L581" t="s">
        <v>128</v>
      </c>
      <c r="N581">
        <v>1</v>
      </c>
      <c r="O581" s="89">
        <v>311768.58</v>
      </c>
      <c r="P581" s="89">
        <v>2390225.7799999998</v>
      </c>
      <c r="Q581" t="s">
        <v>130</v>
      </c>
      <c r="R581" t="s">
        <v>131</v>
      </c>
    </row>
    <row r="582" spans="3:18" hidden="1" x14ac:dyDescent="0.25">
      <c r="C582" t="s">
        <v>45</v>
      </c>
      <c r="D582" t="s">
        <v>23</v>
      </c>
      <c r="E582" t="s">
        <v>40</v>
      </c>
      <c r="F582" t="s">
        <v>41</v>
      </c>
      <c r="G582" s="89">
        <v>35390163</v>
      </c>
      <c r="H582" t="s">
        <v>42</v>
      </c>
      <c r="I582" t="s">
        <v>126</v>
      </c>
      <c r="J582" s="89">
        <v>566242608</v>
      </c>
      <c r="K582" t="s">
        <v>127</v>
      </c>
      <c r="L582" t="s">
        <v>128</v>
      </c>
      <c r="M582" t="s">
        <v>152</v>
      </c>
      <c r="N582">
        <v>1</v>
      </c>
      <c r="O582" s="89">
        <v>1061704.8899999999</v>
      </c>
      <c r="P582" s="89">
        <v>17695081.5</v>
      </c>
      <c r="Q582" t="s">
        <v>142</v>
      </c>
      <c r="R582" t="s">
        <v>131</v>
      </c>
    </row>
    <row r="583" spans="3:18" x14ac:dyDescent="0.25">
      <c r="C583" t="s">
        <v>47</v>
      </c>
      <c r="D583" t="s">
        <v>20</v>
      </c>
      <c r="E583" t="s">
        <v>40</v>
      </c>
      <c r="F583" t="s">
        <v>41</v>
      </c>
      <c r="G583" s="89">
        <v>991176</v>
      </c>
      <c r="H583" t="s">
        <v>145</v>
      </c>
      <c r="I583" t="s">
        <v>141</v>
      </c>
      <c r="J583" s="89">
        <v>6938232</v>
      </c>
      <c r="K583" t="s">
        <v>127</v>
      </c>
      <c r="L583" t="s">
        <v>128</v>
      </c>
      <c r="N583">
        <v>1</v>
      </c>
      <c r="O583" s="89">
        <v>39647.040000000001</v>
      </c>
      <c r="P583" s="89">
        <v>644264.4</v>
      </c>
      <c r="Q583" t="s">
        <v>137</v>
      </c>
      <c r="R583" t="s">
        <v>131</v>
      </c>
    </row>
    <row r="584" spans="3:18" hidden="1" x14ac:dyDescent="0.25">
      <c r="C584" t="s">
        <v>45</v>
      </c>
      <c r="D584" t="s">
        <v>21</v>
      </c>
      <c r="E584" t="s">
        <v>43</v>
      </c>
      <c r="F584" t="s">
        <v>41</v>
      </c>
      <c r="G584" s="89">
        <v>606323</v>
      </c>
      <c r="H584" t="s">
        <v>140</v>
      </c>
      <c r="I584" t="s">
        <v>141</v>
      </c>
      <c r="J584" s="89">
        <v>4850584</v>
      </c>
      <c r="K584" t="s">
        <v>144</v>
      </c>
      <c r="N584">
        <v>1</v>
      </c>
      <c r="O584" s="89">
        <v>18189.689999999999</v>
      </c>
      <c r="P584" s="89">
        <v>109138.14</v>
      </c>
      <c r="Q584" t="s">
        <v>130</v>
      </c>
      <c r="R584" t="s">
        <v>131</v>
      </c>
    </row>
    <row r="585" spans="3:18" hidden="1" x14ac:dyDescent="0.25">
      <c r="C585" t="s">
        <v>45</v>
      </c>
      <c r="D585" t="s">
        <v>22</v>
      </c>
      <c r="E585" t="s">
        <v>48</v>
      </c>
      <c r="F585" t="s">
        <v>41</v>
      </c>
      <c r="G585" s="89">
        <v>148825</v>
      </c>
      <c r="H585" t="s">
        <v>42</v>
      </c>
      <c r="I585" t="s">
        <v>133</v>
      </c>
      <c r="J585" s="89">
        <v>5506525</v>
      </c>
      <c r="K585" t="s">
        <v>127</v>
      </c>
      <c r="L585" t="s">
        <v>128</v>
      </c>
      <c r="M585" t="s">
        <v>136</v>
      </c>
      <c r="N585">
        <v>1</v>
      </c>
      <c r="O585" s="89">
        <v>5953</v>
      </c>
      <c r="P585" s="89">
        <v>123524.75</v>
      </c>
      <c r="Q585" t="s">
        <v>135</v>
      </c>
      <c r="R585" t="s">
        <v>42</v>
      </c>
    </row>
    <row r="586" spans="3:18" hidden="1" x14ac:dyDescent="0.25">
      <c r="C586" t="s">
        <v>45</v>
      </c>
      <c r="D586" t="s">
        <v>21</v>
      </c>
      <c r="E586" t="s">
        <v>40</v>
      </c>
      <c r="F586" t="s">
        <v>41</v>
      </c>
      <c r="G586" s="89">
        <v>178765</v>
      </c>
      <c r="H586" t="s">
        <v>42</v>
      </c>
      <c r="I586" t="s">
        <v>133</v>
      </c>
      <c r="J586" s="89">
        <v>6793070</v>
      </c>
      <c r="K586" t="s">
        <v>127</v>
      </c>
      <c r="L586" t="s">
        <v>128</v>
      </c>
      <c r="M586" t="s">
        <v>143</v>
      </c>
      <c r="N586">
        <v>1</v>
      </c>
      <c r="O586" s="89">
        <v>5362.95</v>
      </c>
      <c r="P586" s="89">
        <v>150162.6</v>
      </c>
      <c r="Q586" t="s">
        <v>135</v>
      </c>
      <c r="R586" t="s">
        <v>42</v>
      </c>
    </row>
    <row r="587" spans="3:18" hidden="1" x14ac:dyDescent="0.25">
      <c r="C587" t="s">
        <v>45</v>
      </c>
      <c r="D587" t="s">
        <v>21</v>
      </c>
      <c r="E587" t="s">
        <v>40</v>
      </c>
      <c r="F587" t="s">
        <v>41</v>
      </c>
      <c r="G587" s="89">
        <v>29948</v>
      </c>
      <c r="H587" t="s">
        <v>140</v>
      </c>
      <c r="I587" t="s">
        <v>133</v>
      </c>
      <c r="J587" s="89">
        <v>658856</v>
      </c>
      <c r="K587" t="s">
        <v>144</v>
      </c>
      <c r="N587">
        <v>1</v>
      </c>
      <c r="O587" s="89">
        <v>898.44</v>
      </c>
      <c r="P587" s="89">
        <v>44922</v>
      </c>
      <c r="Q587" t="s">
        <v>150</v>
      </c>
      <c r="R587" t="s">
        <v>131</v>
      </c>
    </row>
    <row r="588" spans="3:18" x14ac:dyDescent="0.25">
      <c r="C588" t="s">
        <v>47</v>
      </c>
      <c r="D588" t="s">
        <v>24</v>
      </c>
      <c r="E588" t="s">
        <v>48</v>
      </c>
      <c r="F588" t="s">
        <v>41</v>
      </c>
      <c r="G588" s="89">
        <v>767896</v>
      </c>
      <c r="H588" t="s">
        <v>146</v>
      </c>
      <c r="I588" t="s">
        <v>147</v>
      </c>
      <c r="J588" s="89"/>
      <c r="K588" t="s">
        <v>127</v>
      </c>
      <c r="L588" t="s">
        <v>128</v>
      </c>
      <c r="N588">
        <v>0</v>
      </c>
      <c r="O588" s="89">
        <v>38394.800000000003</v>
      </c>
      <c r="P588" s="89">
        <v>7678.96</v>
      </c>
      <c r="Q588" t="s">
        <v>130</v>
      </c>
      <c r="R588" t="s">
        <v>131</v>
      </c>
    </row>
    <row r="589" spans="3:18" hidden="1" x14ac:dyDescent="0.25">
      <c r="C589" t="s">
        <v>45</v>
      </c>
      <c r="D589" t="s">
        <v>24</v>
      </c>
      <c r="E589" t="s">
        <v>43</v>
      </c>
      <c r="F589" t="s">
        <v>41</v>
      </c>
      <c r="G589" s="89">
        <v>7619457</v>
      </c>
      <c r="H589" t="s">
        <v>42</v>
      </c>
      <c r="I589" t="s">
        <v>133</v>
      </c>
      <c r="J589" s="89">
        <v>266680995</v>
      </c>
      <c r="K589" t="s">
        <v>144</v>
      </c>
      <c r="N589">
        <v>1</v>
      </c>
      <c r="O589" s="89">
        <v>228583.71</v>
      </c>
      <c r="P589" s="89">
        <v>6857511.2999999998</v>
      </c>
      <c r="Q589" t="s">
        <v>135</v>
      </c>
      <c r="R589" t="s">
        <v>42</v>
      </c>
    </row>
    <row r="590" spans="3:18" hidden="1" x14ac:dyDescent="0.25">
      <c r="C590" t="s">
        <v>45</v>
      </c>
      <c r="D590" t="s">
        <v>21</v>
      </c>
      <c r="E590" t="s">
        <v>40</v>
      </c>
      <c r="F590" t="s">
        <v>41</v>
      </c>
      <c r="G590" s="89">
        <v>1226911</v>
      </c>
      <c r="H590" t="s">
        <v>132</v>
      </c>
      <c r="I590" t="s">
        <v>126</v>
      </c>
      <c r="J590" s="89">
        <v>19630576</v>
      </c>
      <c r="K590" t="s">
        <v>127</v>
      </c>
      <c r="L590" t="s">
        <v>128</v>
      </c>
      <c r="N590">
        <v>1</v>
      </c>
      <c r="O590" s="89">
        <v>36807.33</v>
      </c>
      <c r="P590" s="89">
        <v>625724.61</v>
      </c>
      <c r="Q590" t="s">
        <v>142</v>
      </c>
      <c r="R590" t="s">
        <v>131</v>
      </c>
    </row>
    <row r="591" spans="3:18" x14ac:dyDescent="0.25">
      <c r="C591" t="s">
        <v>47</v>
      </c>
      <c r="D591" t="s">
        <v>23</v>
      </c>
      <c r="E591" t="s">
        <v>40</v>
      </c>
      <c r="F591" t="s">
        <v>41</v>
      </c>
      <c r="G591" s="89">
        <v>1113075</v>
      </c>
      <c r="H591" t="s">
        <v>146</v>
      </c>
      <c r="I591" t="s">
        <v>126</v>
      </c>
      <c r="J591" s="89">
        <v>13356900</v>
      </c>
      <c r="K591" t="s">
        <v>127</v>
      </c>
      <c r="L591" t="s">
        <v>128</v>
      </c>
      <c r="N591">
        <v>1</v>
      </c>
      <c r="O591" s="89">
        <v>44523</v>
      </c>
      <c r="P591" s="89">
        <v>745760.25</v>
      </c>
      <c r="Q591" t="s">
        <v>137</v>
      </c>
      <c r="R591" t="s">
        <v>131</v>
      </c>
    </row>
    <row r="592" spans="3:18" hidden="1" x14ac:dyDescent="0.25">
      <c r="C592" t="s">
        <v>45</v>
      </c>
      <c r="D592" t="s">
        <v>138</v>
      </c>
      <c r="E592" t="s">
        <v>43</v>
      </c>
      <c r="F592" t="s">
        <v>41</v>
      </c>
      <c r="G592" s="89">
        <v>1051674</v>
      </c>
      <c r="H592" t="s">
        <v>140</v>
      </c>
      <c r="I592" t="s">
        <v>133</v>
      </c>
      <c r="J592" s="89">
        <v>30498546</v>
      </c>
      <c r="K592" t="s">
        <v>134</v>
      </c>
      <c r="L592" t="s">
        <v>128</v>
      </c>
      <c r="N592">
        <v>1</v>
      </c>
      <c r="O592" s="89">
        <v>31550.22</v>
      </c>
      <c r="P592" s="89">
        <v>546870.48</v>
      </c>
      <c r="Q592" t="s">
        <v>142</v>
      </c>
      <c r="R592" t="s">
        <v>131</v>
      </c>
    </row>
    <row r="593" spans="3:18" hidden="1" x14ac:dyDescent="0.25">
      <c r="C593" t="s">
        <v>45</v>
      </c>
      <c r="D593" t="s">
        <v>19</v>
      </c>
      <c r="E593" t="s">
        <v>43</v>
      </c>
      <c r="F593" t="s">
        <v>41</v>
      </c>
      <c r="G593" s="89">
        <v>20254732</v>
      </c>
      <c r="H593" t="s">
        <v>146</v>
      </c>
      <c r="I593" t="s">
        <v>133</v>
      </c>
      <c r="J593" s="89">
        <v>526623032</v>
      </c>
      <c r="K593" t="s">
        <v>127</v>
      </c>
      <c r="L593" t="s">
        <v>128</v>
      </c>
      <c r="N593">
        <v>1</v>
      </c>
      <c r="O593" s="89">
        <v>607641.96</v>
      </c>
      <c r="P593" s="89">
        <v>4456041.04</v>
      </c>
      <c r="Q593" t="s">
        <v>130</v>
      </c>
      <c r="R593" t="s">
        <v>131</v>
      </c>
    </row>
    <row r="594" spans="3:18" hidden="1" x14ac:dyDescent="0.25">
      <c r="C594" t="s">
        <v>45</v>
      </c>
      <c r="D594" t="s">
        <v>25</v>
      </c>
      <c r="E594" t="s">
        <v>40</v>
      </c>
      <c r="F594" t="s">
        <v>41</v>
      </c>
      <c r="G594" s="89">
        <v>111310</v>
      </c>
      <c r="H594" t="s">
        <v>42</v>
      </c>
      <c r="I594" t="s">
        <v>133</v>
      </c>
      <c r="J594" s="89">
        <v>2782750</v>
      </c>
      <c r="K594" t="s">
        <v>127</v>
      </c>
      <c r="L594" t="s">
        <v>128</v>
      </c>
      <c r="M594" t="s">
        <v>155</v>
      </c>
      <c r="N594">
        <v>1</v>
      </c>
      <c r="O594" s="89">
        <v>4452.3999999999996</v>
      </c>
      <c r="P594" s="89">
        <v>77917</v>
      </c>
      <c r="Q594" t="s">
        <v>137</v>
      </c>
      <c r="R594" t="s">
        <v>131</v>
      </c>
    </row>
    <row r="595" spans="3:18" x14ac:dyDescent="0.25">
      <c r="C595" t="s">
        <v>47</v>
      </c>
      <c r="D595" t="s">
        <v>19</v>
      </c>
      <c r="E595" t="s">
        <v>40</v>
      </c>
      <c r="F595" t="s">
        <v>41</v>
      </c>
      <c r="G595" s="89">
        <v>239348</v>
      </c>
      <c r="H595" t="s">
        <v>42</v>
      </c>
      <c r="I595" t="s">
        <v>141</v>
      </c>
      <c r="J595" s="89">
        <v>2154132</v>
      </c>
      <c r="K595" t="s">
        <v>144</v>
      </c>
      <c r="N595">
        <v>1</v>
      </c>
      <c r="O595" s="89">
        <v>7180.44</v>
      </c>
      <c r="P595" s="89">
        <v>131641.4</v>
      </c>
      <c r="Q595" t="s">
        <v>142</v>
      </c>
      <c r="R595" t="s">
        <v>131</v>
      </c>
    </row>
    <row r="596" spans="3:18" hidden="1" x14ac:dyDescent="0.25">
      <c r="C596" t="s">
        <v>45</v>
      </c>
      <c r="D596" t="s">
        <v>23</v>
      </c>
      <c r="E596" t="s">
        <v>40</v>
      </c>
      <c r="F596" t="s">
        <v>53</v>
      </c>
      <c r="G596" s="89">
        <v>170431</v>
      </c>
      <c r="H596" t="s">
        <v>146</v>
      </c>
      <c r="I596" t="s">
        <v>133</v>
      </c>
      <c r="J596" s="89">
        <v>5965085</v>
      </c>
      <c r="K596" t="s">
        <v>144</v>
      </c>
      <c r="N596">
        <v>1</v>
      </c>
      <c r="O596" s="89">
        <v>5112.93</v>
      </c>
      <c r="P596" s="89">
        <v>136344.79999999999</v>
      </c>
      <c r="Q596" t="s">
        <v>135</v>
      </c>
      <c r="R596" t="s">
        <v>131</v>
      </c>
    </row>
    <row r="597" spans="3:18" hidden="1" x14ac:dyDescent="0.25">
      <c r="C597" t="s">
        <v>45</v>
      </c>
      <c r="D597" t="s">
        <v>21</v>
      </c>
      <c r="E597" t="s">
        <v>48</v>
      </c>
      <c r="F597" t="s">
        <v>41</v>
      </c>
      <c r="G597" s="89">
        <v>461372</v>
      </c>
      <c r="H597" t="s">
        <v>42</v>
      </c>
      <c r="I597" t="s">
        <v>126</v>
      </c>
      <c r="J597" s="89">
        <v>7381952</v>
      </c>
      <c r="K597" t="s">
        <v>127</v>
      </c>
      <c r="L597" t="s">
        <v>128</v>
      </c>
      <c r="M597" t="s">
        <v>129</v>
      </c>
      <c r="N597">
        <v>1</v>
      </c>
      <c r="O597" s="89">
        <v>13841.16</v>
      </c>
      <c r="P597" s="89">
        <v>244527.16</v>
      </c>
      <c r="Q597" t="s">
        <v>142</v>
      </c>
      <c r="R597" t="s">
        <v>131</v>
      </c>
    </row>
    <row r="598" spans="3:18" hidden="1" x14ac:dyDescent="0.25">
      <c r="C598" t="s">
        <v>45</v>
      </c>
      <c r="D598" t="s">
        <v>23</v>
      </c>
      <c r="E598" t="s">
        <v>40</v>
      </c>
      <c r="F598" t="s">
        <v>41</v>
      </c>
      <c r="G598" s="89">
        <v>665643</v>
      </c>
      <c r="H598" t="s">
        <v>140</v>
      </c>
      <c r="I598" t="s">
        <v>126</v>
      </c>
      <c r="J598" s="89">
        <v>11315931</v>
      </c>
      <c r="K598" t="s">
        <v>127</v>
      </c>
      <c r="L598" t="s">
        <v>128</v>
      </c>
      <c r="N598">
        <v>1</v>
      </c>
      <c r="O598" s="89">
        <v>19969.29</v>
      </c>
      <c r="P598" s="89">
        <v>559140.12</v>
      </c>
      <c r="Q598" t="s">
        <v>135</v>
      </c>
      <c r="R598" t="s">
        <v>131</v>
      </c>
    </row>
    <row r="599" spans="3:18" x14ac:dyDescent="0.25">
      <c r="C599" t="s">
        <v>47</v>
      </c>
      <c r="D599" t="s">
        <v>24</v>
      </c>
      <c r="E599" t="s">
        <v>48</v>
      </c>
      <c r="F599" t="s">
        <v>41</v>
      </c>
      <c r="G599" s="89">
        <v>31568</v>
      </c>
      <c r="H599" t="s">
        <v>42</v>
      </c>
      <c r="I599" t="s">
        <v>133</v>
      </c>
      <c r="J599" s="89">
        <v>1041744</v>
      </c>
      <c r="K599" t="s">
        <v>144</v>
      </c>
      <c r="N599">
        <v>1</v>
      </c>
      <c r="O599" s="89">
        <v>631.36</v>
      </c>
      <c r="P599" s="89">
        <v>10101.76</v>
      </c>
      <c r="Q599" t="s">
        <v>130</v>
      </c>
      <c r="R599" t="s">
        <v>131</v>
      </c>
    </row>
    <row r="600" spans="3:18" hidden="1" x14ac:dyDescent="0.25">
      <c r="C600" t="s">
        <v>39</v>
      </c>
      <c r="D600" t="s">
        <v>21</v>
      </c>
      <c r="E600" t="s">
        <v>43</v>
      </c>
      <c r="F600" t="s">
        <v>41</v>
      </c>
      <c r="G600" s="89">
        <v>9433675</v>
      </c>
      <c r="H600" t="s">
        <v>140</v>
      </c>
      <c r="I600" t="s">
        <v>133</v>
      </c>
      <c r="J600" s="89"/>
      <c r="N600">
        <v>0</v>
      </c>
      <c r="O600" s="89"/>
      <c r="P600" s="89"/>
      <c r="R600" t="s">
        <v>131</v>
      </c>
    </row>
    <row r="601" spans="3:18" x14ac:dyDescent="0.25">
      <c r="C601" t="s">
        <v>47</v>
      </c>
      <c r="D601" t="s">
        <v>138</v>
      </c>
      <c r="E601" t="s">
        <v>48</v>
      </c>
      <c r="F601" t="s">
        <v>41</v>
      </c>
      <c r="G601" s="89">
        <v>6748546</v>
      </c>
      <c r="H601" t="s">
        <v>42</v>
      </c>
      <c r="I601" t="s">
        <v>126</v>
      </c>
      <c r="J601" s="89">
        <v>74234006</v>
      </c>
      <c r="K601" t="s">
        <v>127</v>
      </c>
      <c r="L601" t="s">
        <v>128</v>
      </c>
      <c r="M601" t="s">
        <v>139</v>
      </c>
      <c r="N601">
        <v>1</v>
      </c>
      <c r="O601" s="89">
        <v>337427.3</v>
      </c>
      <c r="P601" s="89">
        <v>4589011.28</v>
      </c>
      <c r="Q601" t="s">
        <v>137</v>
      </c>
      <c r="R601" t="s">
        <v>131</v>
      </c>
    </row>
    <row r="602" spans="3:18" hidden="1" x14ac:dyDescent="0.25">
      <c r="C602" t="s">
        <v>45</v>
      </c>
      <c r="D602" t="s">
        <v>22</v>
      </c>
      <c r="E602" t="s">
        <v>43</v>
      </c>
      <c r="F602" t="s">
        <v>41</v>
      </c>
      <c r="G602" s="89">
        <v>14081</v>
      </c>
      <c r="H602" t="s">
        <v>146</v>
      </c>
      <c r="I602" t="s">
        <v>147</v>
      </c>
      <c r="J602" s="89">
        <v>56324</v>
      </c>
      <c r="K602" t="s">
        <v>127</v>
      </c>
      <c r="L602" t="s">
        <v>128</v>
      </c>
      <c r="N602">
        <v>1</v>
      </c>
      <c r="O602" s="89">
        <v>422.43</v>
      </c>
      <c r="P602" s="89">
        <v>18305.3</v>
      </c>
      <c r="Q602" t="s">
        <v>150</v>
      </c>
      <c r="R602" t="s">
        <v>131</v>
      </c>
    </row>
    <row r="603" spans="3:18" hidden="1" x14ac:dyDescent="0.25">
      <c r="C603" t="s">
        <v>45</v>
      </c>
      <c r="D603" t="s">
        <v>23</v>
      </c>
      <c r="E603" t="s">
        <v>48</v>
      </c>
      <c r="F603" t="s">
        <v>53</v>
      </c>
      <c r="G603" s="89">
        <v>186150</v>
      </c>
      <c r="H603" t="s">
        <v>140</v>
      </c>
      <c r="I603" t="s">
        <v>133</v>
      </c>
      <c r="J603" s="89">
        <v>4095300</v>
      </c>
      <c r="K603" t="s">
        <v>144</v>
      </c>
      <c r="N603">
        <v>1</v>
      </c>
      <c r="O603" s="89">
        <v>5584.5</v>
      </c>
      <c r="P603" s="89">
        <v>80044.5</v>
      </c>
      <c r="Q603" t="s">
        <v>142</v>
      </c>
      <c r="R603" t="s">
        <v>131</v>
      </c>
    </row>
    <row r="604" spans="3:18" hidden="1" x14ac:dyDescent="0.25">
      <c r="C604" t="s">
        <v>45</v>
      </c>
      <c r="D604" t="s">
        <v>21</v>
      </c>
      <c r="E604" t="s">
        <v>43</v>
      </c>
      <c r="F604" t="s">
        <v>41</v>
      </c>
      <c r="G604" s="89">
        <v>253022</v>
      </c>
      <c r="H604" t="s">
        <v>145</v>
      </c>
      <c r="I604" t="s">
        <v>133</v>
      </c>
      <c r="J604" s="89">
        <v>7843682</v>
      </c>
      <c r="K604" t="s">
        <v>127</v>
      </c>
      <c r="L604" t="s">
        <v>151</v>
      </c>
      <c r="N604">
        <v>1</v>
      </c>
      <c r="O604" s="89">
        <v>7590.66</v>
      </c>
      <c r="P604" s="89">
        <v>78436.820000000007</v>
      </c>
      <c r="Q604" t="s">
        <v>130</v>
      </c>
      <c r="R604" t="s">
        <v>131</v>
      </c>
    </row>
    <row r="605" spans="3:18" hidden="1" x14ac:dyDescent="0.25">
      <c r="C605" t="s">
        <v>45</v>
      </c>
      <c r="D605" t="s">
        <v>19</v>
      </c>
      <c r="E605" t="s">
        <v>43</v>
      </c>
      <c r="F605" t="s">
        <v>41</v>
      </c>
      <c r="G605" s="89">
        <v>251378</v>
      </c>
      <c r="H605" t="s">
        <v>132</v>
      </c>
      <c r="I605" t="s">
        <v>126</v>
      </c>
      <c r="J605" s="89">
        <v>4273426</v>
      </c>
      <c r="K605" t="s">
        <v>144</v>
      </c>
      <c r="N605">
        <v>1</v>
      </c>
      <c r="O605" s="89">
        <v>7541.34</v>
      </c>
      <c r="P605" s="89">
        <v>180992.16</v>
      </c>
      <c r="Q605" t="s">
        <v>137</v>
      </c>
      <c r="R605" t="s">
        <v>131</v>
      </c>
    </row>
    <row r="606" spans="3:18" hidden="1" x14ac:dyDescent="0.25">
      <c r="C606" t="s">
        <v>45</v>
      </c>
      <c r="D606" t="s">
        <v>22</v>
      </c>
      <c r="E606" t="s">
        <v>40</v>
      </c>
      <c r="F606" t="s">
        <v>41</v>
      </c>
      <c r="G606" s="89">
        <v>86576</v>
      </c>
      <c r="H606" t="s">
        <v>132</v>
      </c>
      <c r="I606" t="s">
        <v>141</v>
      </c>
      <c r="J606" s="89">
        <v>606032</v>
      </c>
      <c r="K606" t="s">
        <v>134</v>
      </c>
      <c r="L606" t="s">
        <v>128</v>
      </c>
      <c r="N606">
        <v>1</v>
      </c>
      <c r="O606" s="89">
        <v>3463.04</v>
      </c>
      <c r="P606" s="89">
        <v>43288</v>
      </c>
      <c r="Q606" t="s">
        <v>142</v>
      </c>
      <c r="R606" t="s">
        <v>131</v>
      </c>
    </row>
    <row r="607" spans="3:18" x14ac:dyDescent="0.25">
      <c r="C607" t="s">
        <v>47</v>
      </c>
      <c r="D607" t="s">
        <v>23</v>
      </c>
      <c r="E607" t="s">
        <v>40</v>
      </c>
      <c r="F607" t="s">
        <v>41</v>
      </c>
      <c r="G607" s="89">
        <v>12316038</v>
      </c>
      <c r="H607" t="s">
        <v>140</v>
      </c>
      <c r="I607" t="s">
        <v>126</v>
      </c>
      <c r="J607" s="89">
        <v>147792456</v>
      </c>
      <c r="K607" t="s">
        <v>127</v>
      </c>
      <c r="L607" t="s">
        <v>128</v>
      </c>
      <c r="N607">
        <v>1</v>
      </c>
      <c r="O607" s="89">
        <v>492641.52</v>
      </c>
      <c r="P607" s="89">
        <v>8128585.0800000001</v>
      </c>
      <c r="Q607" t="s">
        <v>137</v>
      </c>
      <c r="R607" t="s">
        <v>131</v>
      </c>
    </row>
    <row r="608" spans="3:18" hidden="1" x14ac:dyDescent="0.25">
      <c r="C608" t="s">
        <v>45</v>
      </c>
      <c r="D608" t="s">
        <v>22</v>
      </c>
      <c r="E608" t="s">
        <v>40</v>
      </c>
      <c r="F608" t="s">
        <v>41</v>
      </c>
      <c r="G608" s="89">
        <v>26941</v>
      </c>
      <c r="H608" t="s">
        <v>132</v>
      </c>
      <c r="I608" t="s">
        <v>126</v>
      </c>
      <c r="J608" s="89">
        <v>404115</v>
      </c>
      <c r="K608" t="s">
        <v>127</v>
      </c>
      <c r="L608" t="s">
        <v>151</v>
      </c>
      <c r="N608">
        <v>1</v>
      </c>
      <c r="O608" s="89">
        <v>808.23</v>
      </c>
      <c r="P608" s="89">
        <v>7004.66</v>
      </c>
      <c r="Q608" t="s">
        <v>130</v>
      </c>
      <c r="R608" t="s">
        <v>131</v>
      </c>
    </row>
    <row r="609" spans="3:18" hidden="1" x14ac:dyDescent="0.25">
      <c r="C609" t="s">
        <v>45</v>
      </c>
      <c r="D609" t="s">
        <v>24</v>
      </c>
      <c r="E609" t="s">
        <v>44</v>
      </c>
      <c r="F609" t="s">
        <v>41</v>
      </c>
      <c r="G609" s="89">
        <v>230584</v>
      </c>
      <c r="H609" t="s">
        <v>145</v>
      </c>
      <c r="I609" t="s">
        <v>133</v>
      </c>
      <c r="J609" s="89">
        <v>6917520</v>
      </c>
      <c r="K609" t="s">
        <v>144</v>
      </c>
      <c r="N609">
        <v>1</v>
      </c>
      <c r="O609" s="89">
        <v>6917.52</v>
      </c>
      <c r="P609" s="89">
        <v>193690.56</v>
      </c>
      <c r="Q609" t="s">
        <v>135</v>
      </c>
      <c r="R609" t="s">
        <v>131</v>
      </c>
    </row>
    <row r="610" spans="3:18" x14ac:dyDescent="0.25">
      <c r="C610" t="s">
        <v>47</v>
      </c>
      <c r="D610" t="s">
        <v>21</v>
      </c>
      <c r="E610" t="s">
        <v>40</v>
      </c>
      <c r="F610" t="s">
        <v>41</v>
      </c>
      <c r="G610" s="89">
        <v>2717142</v>
      </c>
      <c r="H610" t="s">
        <v>140</v>
      </c>
      <c r="I610" t="s">
        <v>126</v>
      </c>
      <c r="J610" s="89">
        <v>35322846</v>
      </c>
      <c r="K610" t="s">
        <v>144</v>
      </c>
      <c r="N610">
        <v>1</v>
      </c>
      <c r="O610" s="89">
        <v>108685.68</v>
      </c>
      <c r="P610" s="89">
        <v>1901999.4</v>
      </c>
      <c r="Q610" t="s">
        <v>137</v>
      </c>
      <c r="R610" t="s">
        <v>131</v>
      </c>
    </row>
    <row r="611" spans="3:18" x14ac:dyDescent="0.25">
      <c r="C611" t="s">
        <v>47</v>
      </c>
      <c r="D611" t="s">
        <v>21</v>
      </c>
      <c r="E611" t="s">
        <v>43</v>
      </c>
      <c r="F611" t="s">
        <v>41</v>
      </c>
      <c r="G611" s="89">
        <v>150525</v>
      </c>
      <c r="H611" t="s">
        <v>132</v>
      </c>
      <c r="I611" t="s">
        <v>126</v>
      </c>
      <c r="J611" s="89">
        <v>1655775</v>
      </c>
      <c r="K611" t="s">
        <v>127</v>
      </c>
      <c r="L611" t="s">
        <v>128</v>
      </c>
      <c r="N611">
        <v>1</v>
      </c>
      <c r="O611" s="89">
        <v>6021</v>
      </c>
      <c r="P611" s="89">
        <v>109883.25</v>
      </c>
      <c r="Q611" t="s">
        <v>137</v>
      </c>
      <c r="R611" t="s">
        <v>131</v>
      </c>
    </row>
    <row r="612" spans="3:18" x14ac:dyDescent="0.25">
      <c r="C612" t="s">
        <v>47</v>
      </c>
      <c r="D612" t="s">
        <v>23</v>
      </c>
      <c r="E612" t="s">
        <v>48</v>
      </c>
      <c r="F612" t="s">
        <v>41</v>
      </c>
      <c r="G612" s="89">
        <v>141833</v>
      </c>
      <c r="H612" t="s">
        <v>140</v>
      </c>
      <c r="I612" t="s">
        <v>141</v>
      </c>
      <c r="J612" s="89">
        <v>850998</v>
      </c>
      <c r="K612" t="s">
        <v>144</v>
      </c>
      <c r="N612">
        <v>1</v>
      </c>
      <c r="O612" s="89">
        <v>4254.99</v>
      </c>
      <c r="P612" s="89">
        <v>107793.08</v>
      </c>
      <c r="Q612" t="s">
        <v>137</v>
      </c>
      <c r="R612" t="s">
        <v>131</v>
      </c>
    </row>
    <row r="613" spans="3:18" hidden="1" x14ac:dyDescent="0.25">
      <c r="C613" t="s">
        <v>45</v>
      </c>
      <c r="D613" t="s">
        <v>25</v>
      </c>
      <c r="E613" t="s">
        <v>44</v>
      </c>
      <c r="F613" t="s">
        <v>41</v>
      </c>
      <c r="G613" s="89">
        <v>80932</v>
      </c>
      <c r="H613" t="s">
        <v>146</v>
      </c>
      <c r="I613" t="s">
        <v>133</v>
      </c>
      <c r="J613" s="89">
        <v>2347028</v>
      </c>
      <c r="K613" t="s">
        <v>127</v>
      </c>
      <c r="L613" t="s">
        <v>128</v>
      </c>
      <c r="N613">
        <v>1</v>
      </c>
      <c r="O613" s="89">
        <v>2427.96</v>
      </c>
      <c r="P613" s="89">
        <v>64745.599999999999</v>
      </c>
      <c r="Q613" t="s">
        <v>135</v>
      </c>
      <c r="R613" t="s">
        <v>131</v>
      </c>
    </row>
    <row r="614" spans="3:18" hidden="1" x14ac:dyDescent="0.25">
      <c r="C614" t="s">
        <v>45</v>
      </c>
      <c r="D614" t="s">
        <v>24</v>
      </c>
      <c r="E614" t="s">
        <v>48</v>
      </c>
      <c r="F614" t="s">
        <v>41</v>
      </c>
      <c r="G614" s="89">
        <v>37023</v>
      </c>
      <c r="H614" t="s">
        <v>132</v>
      </c>
      <c r="I614" t="s">
        <v>141</v>
      </c>
      <c r="J614" s="89">
        <v>333207</v>
      </c>
      <c r="K614" t="s">
        <v>144</v>
      </c>
      <c r="N614">
        <v>1</v>
      </c>
      <c r="O614" s="89">
        <v>1110.69</v>
      </c>
      <c r="P614" s="89">
        <v>9996.2099999999991</v>
      </c>
      <c r="Q614" t="s">
        <v>130</v>
      </c>
      <c r="R614" t="s">
        <v>131</v>
      </c>
    </row>
    <row r="615" spans="3:18" hidden="1" x14ac:dyDescent="0.25">
      <c r="C615" t="s">
        <v>45</v>
      </c>
      <c r="D615" t="s">
        <v>21</v>
      </c>
      <c r="E615" t="s">
        <v>43</v>
      </c>
      <c r="F615" t="s">
        <v>41</v>
      </c>
      <c r="G615" s="89">
        <v>131449948</v>
      </c>
      <c r="H615" t="s">
        <v>42</v>
      </c>
      <c r="I615" t="s">
        <v>133</v>
      </c>
      <c r="J615" s="89">
        <v>4863648076</v>
      </c>
      <c r="K615" t="s">
        <v>144</v>
      </c>
      <c r="N615">
        <v>1</v>
      </c>
      <c r="O615" s="89">
        <v>3943498.44</v>
      </c>
      <c r="P615" s="89">
        <v>116990453.72</v>
      </c>
      <c r="Q615" t="s">
        <v>135</v>
      </c>
      <c r="R615" t="s">
        <v>42</v>
      </c>
    </row>
    <row r="616" spans="3:18" hidden="1" x14ac:dyDescent="0.25">
      <c r="C616" t="s">
        <v>45</v>
      </c>
      <c r="D616" t="s">
        <v>22</v>
      </c>
      <c r="E616" t="s">
        <v>40</v>
      </c>
      <c r="F616" t="s">
        <v>41</v>
      </c>
      <c r="G616" s="89">
        <v>122859</v>
      </c>
      <c r="H616" t="s">
        <v>132</v>
      </c>
      <c r="I616" t="s">
        <v>133</v>
      </c>
      <c r="J616" s="89">
        <v>3194334</v>
      </c>
      <c r="K616" t="s">
        <v>134</v>
      </c>
      <c r="L616" t="s">
        <v>128</v>
      </c>
      <c r="N616">
        <v>1</v>
      </c>
      <c r="O616" s="89">
        <v>4914.3599999999997</v>
      </c>
      <c r="P616" s="89">
        <v>109344.51</v>
      </c>
      <c r="Q616" t="s">
        <v>135</v>
      </c>
      <c r="R616" t="s">
        <v>131</v>
      </c>
    </row>
    <row r="617" spans="3:18" hidden="1" x14ac:dyDescent="0.25">
      <c r="C617" t="s">
        <v>45</v>
      </c>
      <c r="D617" t="s">
        <v>24</v>
      </c>
      <c r="E617" t="s">
        <v>46</v>
      </c>
      <c r="F617" t="s">
        <v>41</v>
      </c>
      <c r="G617" s="89">
        <v>332850</v>
      </c>
      <c r="H617" t="s">
        <v>42</v>
      </c>
      <c r="I617" t="s">
        <v>133</v>
      </c>
      <c r="J617" s="89">
        <v>11982600</v>
      </c>
      <c r="K617" t="s">
        <v>127</v>
      </c>
      <c r="L617" t="s">
        <v>128</v>
      </c>
      <c r="M617" t="s">
        <v>148</v>
      </c>
      <c r="N617">
        <v>1</v>
      </c>
      <c r="O617" s="89">
        <v>9985.5</v>
      </c>
      <c r="P617" s="89">
        <v>436033.5</v>
      </c>
      <c r="Q617" t="s">
        <v>150</v>
      </c>
      <c r="R617" t="s">
        <v>42</v>
      </c>
    </row>
    <row r="618" spans="3:18" hidden="1" x14ac:dyDescent="0.25">
      <c r="C618" t="s">
        <v>45</v>
      </c>
      <c r="D618" t="s">
        <v>21</v>
      </c>
      <c r="E618" t="s">
        <v>43</v>
      </c>
      <c r="F618" t="s">
        <v>41</v>
      </c>
      <c r="G618" s="89">
        <v>97944</v>
      </c>
      <c r="H618" t="s">
        <v>140</v>
      </c>
      <c r="I618" t="s">
        <v>147</v>
      </c>
      <c r="J618" s="89"/>
      <c r="K618" t="s">
        <v>127</v>
      </c>
      <c r="L618" t="s">
        <v>128</v>
      </c>
      <c r="N618">
        <v>0</v>
      </c>
      <c r="O618" s="89">
        <v>3917.76</v>
      </c>
      <c r="P618" s="89">
        <v>1958.88</v>
      </c>
      <c r="Q618" t="s">
        <v>130</v>
      </c>
      <c r="R618" t="s">
        <v>131</v>
      </c>
    </row>
    <row r="619" spans="3:18" hidden="1" x14ac:dyDescent="0.25">
      <c r="C619" t="s">
        <v>45</v>
      </c>
      <c r="D619" t="s">
        <v>19</v>
      </c>
      <c r="E619" t="s">
        <v>40</v>
      </c>
      <c r="F619" t="s">
        <v>41</v>
      </c>
      <c r="G619" s="89">
        <v>37030502</v>
      </c>
      <c r="H619" t="s">
        <v>42</v>
      </c>
      <c r="I619" t="s">
        <v>147</v>
      </c>
      <c r="J619" s="89">
        <v>74061004</v>
      </c>
      <c r="K619" t="s">
        <v>127</v>
      </c>
      <c r="L619" t="s">
        <v>128</v>
      </c>
      <c r="M619" t="s">
        <v>136</v>
      </c>
      <c r="N619">
        <v>1</v>
      </c>
      <c r="O619" s="89">
        <v>1481220.08</v>
      </c>
      <c r="P619" s="89">
        <v>6295185.3399999999</v>
      </c>
      <c r="Q619" t="s">
        <v>130</v>
      </c>
      <c r="R619" t="s">
        <v>131</v>
      </c>
    </row>
    <row r="620" spans="3:18" x14ac:dyDescent="0.25">
      <c r="C620" t="s">
        <v>47</v>
      </c>
      <c r="D620" t="s">
        <v>22</v>
      </c>
      <c r="E620" t="s">
        <v>44</v>
      </c>
      <c r="F620" t="s">
        <v>41</v>
      </c>
      <c r="G620" s="89">
        <v>141539</v>
      </c>
      <c r="H620" t="s">
        <v>42</v>
      </c>
      <c r="I620" t="s">
        <v>141</v>
      </c>
      <c r="J620" s="89">
        <v>849234</v>
      </c>
      <c r="K620" t="s">
        <v>127</v>
      </c>
      <c r="L620" t="s">
        <v>128</v>
      </c>
      <c r="M620" t="s">
        <v>143</v>
      </c>
      <c r="N620">
        <v>1</v>
      </c>
      <c r="O620" s="89">
        <v>5661.56</v>
      </c>
      <c r="P620" s="89">
        <v>67938.720000000001</v>
      </c>
      <c r="Q620" t="s">
        <v>142</v>
      </c>
      <c r="R620" t="s">
        <v>42</v>
      </c>
    </row>
    <row r="621" spans="3:18" hidden="1" x14ac:dyDescent="0.25">
      <c r="C621" t="s">
        <v>45</v>
      </c>
      <c r="D621" t="s">
        <v>24</v>
      </c>
      <c r="E621" t="s">
        <v>52</v>
      </c>
      <c r="F621" t="s">
        <v>41</v>
      </c>
      <c r="G621" s="89">
        <v>1986642</v>
      </c>
      <c r="H621" t="s">
        <v>42</v>
      </c>
      <c r="I621" t="s">
        <v>133</v>
      </c>
      <c r="J621" s="89">
        <v>69532470</v>
      </c>
      <c r="K621" t="s">
        <v>144</v>
      </c>
      <c r="N621">
        <v>1</v>
      </c>
      <c r="O621" s="89">
        <v>59599.26</v>
      </c>
      <c r="P621" s="89">
        <v>2403836.8199999998</v>
      </c>
      <c r="Q621" t="s">
        <v>150</v>
      </c>
      <c r="R621" t="s">
        <v>42</v>
      </c>
    </row>
    <row r="622" spans="3:18" hidden="1" x14ac:dyDescent="0.25">
      <c r="C622" t="s">
        <v>45</v>
      </c>
      <c r="D622" t="s">
        <v>21</v>
      </c>
      <c r="E622" t="s">
        <v>40</v>
      </c>
      <c r="F622" t="s">
        <v>41</v>
      </c>
      <c r="G622" s="89">
        <v>669570</v>
      </c>
      <c r="H622" t="s">
        <v>132</v>
      </c>
      <c r="I622" t="s">
        <v>133</v>
      </c>
      <c r="J622" s="89">
        <v>20087100</v>
      </c>
      <c r="K622" t="s">
        <v>144</v>
      </c>
      <c r="N622">
        <v>1</v>
      </c>
      <c r="O622" s="89">
        <v>20087.099999999999</v>
      </c>
      <c r="P622" s="89">
        <v>475394.7</v>
      </c>
      <c r="Q622" t="s">
        <v>137</v>
      </c>
      <c r="R622" t="s">
        <v>131</v>
      </c>
    </row>
    <row r="623" spans="3:18" hidden="1" x14ac:dyDescent="0.25">
      <c r="C623" t="s">
        <v>45</v>
      </c>
      <c r="D623" t="s">
        <v>24</v>
      </c>
      <c r="E623" t="s">
        <v>46</v>
      </c>
      <c r="F623" t="s">
        <v>53</v>
      </c>
      <c r="G623" s="89">
        <v>363225</v>
      </c>
      <c r="H623" t="s">
        <v>42</v>
      </c>
      <c r="I623" t="s">
        <v>133</v>
      </c>
      <c r="J623" s="89">
        <v>13439325</v>
      </c>
      <c r="K623" t="s">
        <v>144</v>
      </c>
      <c r="N623">
        <v>1</v>
      </c>
      <c r="O623" s="89">
        <v>10896.75</v>
      </c>
      <c r="P623" s="89">
        <v>308741.25</v>
      </c>
      <c r="Q623" t="s">
        <v>135</v>
      </c>
      <c r="R623" t="s">
        <v>42</v>
      </c>
    </row>
    <row r="624" spans="3:18" hidden="1" x14ac:dyDescent="0.25">
      <c r="C624" t="s">
        <v>45</v>
      </c>
      <c r="D624" t="s">
        <v>20</v>
      </c>
      <c r="E624" t="s">
        <v>48</v>
      </c>
      <c r="F624" t="s">
        <v>41</v>
      </c>
      <c r="G624" s="89">
        <v>50038</v>
      </c>
      <c r="H624" t="s">
        <v>42</v>
      </c>
      <c r="I624" t="s">
        <v>133</v>
      </c>
      <c r="J624" s="89">
        <v>1801368</v>
      </c>
      <c r="K624" t="s">
        <v>144</v>
      </c>
      <c r="N624">
        <v>1</v>
      </c>
      <c r="O624" s="89">
        <v>1501.14</v>
      </c>
      <c r="P624" s="89">
        <v>35526.980000000003</v>
      </c>
      <c r="Q624" t="s">
        <v>137</v>
      </c>
      <c r="R624" t="s">
        <v>131</v>
      </c>
    </row>
    <row r="625" spans="3:18" x14ac:dyDescent="0.25">
      <c r="C625" t="s">
        <v>47</v>
      </c>
      <c r="D625" t="s">
        <v>19</v>
      </c>
      <c r="E625" t="s">
        <v>43</v>
      </c>
      <c r="F625" t="s">
        <v>41</v>
      </c>
      <c r="G625" s="89">
        <v>45865</v>
      </c>
      <c r="H625" t="s">
        <v>146</v>
      </c>
      <c r="I625" t="s">
        <v>133</v>
      </c>
      <c r="J625" s="89">
        <v>1192490</v>
      </c>
      <c r="K625" t="s">
        <v>127</v>
      </c>
      <c r="L625" t="s">
        <v>128</v>
      </c>
      <c r="N625">
        <v>1</v>
      </c>
      <c r="O625" s="89">
        <v>4586.5</v>
      </c>
      <c r="P625" s="89">
        <v>2751.9</v>
      </c>
      <c r="Q625" t="s">
        <v>130</v>
      </c>
      <c r="R625" t="s">
        <v>131</v>
      </c>
    </row>
    <row r="626" spans="3:18" hidden="1" x14ac:dyDescent="0.25">
      <c r="C626" t="s">
        <v>45</v>
      </c>
      <c r="D626" t="s">
        <v>21</v>
      </c>
      <c r="E626" t="s">
        <v>43</v>
      </c>
      <c r="F626" t="s">
        <v>53</v>
      </c>
      <c r="G626" s="89">
        <v>36069</v>
      </c>
      <c r="H626" t="s">
        <v>146</v>
      </c>
      <c r="I626" t="s">
        <v>133</v>
      </c>
      <c r="J626" s="89">
        <v>1118139</v>
      </c>
      <c r="K626" t="s">
        <v>144</v>
      </c>
      <c r="N626">
        <v>1</v>
      </c>
      <c r="O626" s="89">
        <v>1082.07</v>
      </c>
      <c r="P626" s="89">
        <v>2524.83</v>
      </c>
      <c r="Q626" t="s">
        <v>130</v>
      </c>
      <c r="R626" t="s">
        <v>131</v>
      </c>
    </row>
    <row r="627" spans="3:18" hidden="1" x14ac:dyDescent="0.25">
      <c r="C627" t="s">
        <v>45</v>
      </c>
      <c r="D627" t="s">
        <v>21</v>
      </c>
      <c r="E627" t="s">
        <v>48</v>
      </c>
      <c r="F627" t="s">
        <v>41</v>
      </c>
      <c r="G627" s="89">
        <v>84812</v>
      </c>
      <c r="H627" t="s">
        <v>42</v>
      </c>
      <c r="I627" t="s">
        <v>133</v>
      </c>
      <c r="J627" s="89">
        <v>2798796</v>
      </c>
      <c r="K627" t="s">
        <v>144</v>
      </c>
      <c r="N627">
        <v>1</v>
      </c>
      <c r="O627" s="89">
        <v>2544.36</v>
      </c>
      <c r="P627" s="89">
        <v>45798.48</v>
      </c>
      <c r="Q627" t="s">
        <v>142</v>
      </c>
      <c r="R627" t="s">
        <v>131</v>
      </c>
    </row>
    <row r="628" spans="3:18" hidden="1" x14ac:dyDescent="0.25">
      <c r="C628" t="s">
        <v>45</v>
      </c>
      <c r="D628" t="s">
        <v>25</v>
      </c>
      <c r="E628" t="s">
        <v>44</v>
      </c>
      <c r="F628" t="s">
        <v>41</v>
      </c>
      <c r="G628" s="89">
        <v>62073</v>
      </c>
      <c r="H628" t="s">
        <v>42</v>
      </c>
      <c r="I628" t="s">
        <v>133</v>
      </c>
      <c r="J628" s="89">
        <v>1489752</v>
      </c>
      <c r="K628" t="s">
        <v>127</v>
      </c>
      <c r="L628" t="s">
        <v>128</v>
      </c>
      <c r="M628" t="s">
        <v>155</v>
      </c>
      <c r="N628">
        <v>1</v>
      </c>
      <c r="O628" s="89">
        <v>2482.92</v>
      </c>
      <c r="P628" s="89">
        <v>24829.200000000001</v>
      </c>
      <c r="Q628" t="s">
        <v>130</v>
      </c>
      <c r="R628" t="s">
        <v>131</v>
      </c>
    </row>
    <row r="629" spans="3:18" hidden="1" x14ac:dyDescent="0.25">
      <c r="C629" t="s">
        <v>45</v>
      </c>
      <c r="D629" t="s">
        <v>149</v>
      </c>
      <c r="E629" t="s">
        <v>43</v>
      </c>
      <c r="F629" t="s">
        <v>41</v>
      </c>
      <c r="G629" s="89">
        <v>51935</v>
      </c>
      <c r="H629" t="s">
        <v>140</v>
      </c>
      <c r="I629" t="s">
        <v>133</v>
      </c>
      <c r="J629" s="89">
        <v>1506115</v>
      </c>
      <c r="K629" t="s">
        <v>127</v>
      </c>
      <c r="L629" t="s">
        <v>151</v>
      </c>
      <c r="N629">
        <v>1</v>
      </c>
      <c r="O629" s="89">
        <v>1558.05</v>
      </c>
      <c r="P629" s="89">
        <v>12464.4</v>
      </c>
      <c r="Q629" t="s">
        <v>130</v>
      </c>
      <c r="R629" t="s">
        <v>131</v>
      </c>
    </row>
    <row r="630" spans="3:18" x14ac:dyDescent="0.25">
      <c r="C630" t="s">
        <v>47</v>
      </c>
      <c r="D630" t="s">
        <v>19</v>
      </c>
      <c r="E630" t="s">
        <v>43</v>
      </c>
      <c r="F630" t="s">
        <v>41</v>
      </c>
      <c r="G630" s="89">
        <v>2005539</v>
      </c>
      <c r="H630" t="s">
        <v>146</v>
      </c>
      <c r="I630" t="s">
        <v>141</v>
      </c>
      <c r="J630" s="89">
        <v>16044312</v>
      </c>
      <c r="K630" t="s">
        <v>127</v>
      </c>
      <c r="L630" t="s">
        <v>128</v>
      </c>
      <c r="N630">
        <v>1</v>
      </c>
      <c r="O630" s="89">
        <v>80221.56</v>
      </c>
      <c r="P630" s="89">
        <v>1062935.67</v>
      </c>
      <c r="Q630" t="s">
        <v>142</v>
      </c>
      <c r="R630" t="s">
        <v>131</v>
      </c>
    </row>
    <row r="631" spans="3:18" hidden="1" x14ac:dyDescent="0.25">
      <c r="C631" t="s">
        <v>45</v>
      </c>
      <c r="D631" t="s">
        <v>149</v>
      </c>
      <c r="E631" t="s">
        <v>43</v>
      </c>
      <c r="F631" t="s">
        <v>41</v>
      </c>
      <c r="G631" s="89">
        <v>244381</v>
      </c>
      <c r="H631" t="s">
        <v>140</v>
      </c>
      <c r="I631" t="s">
        <v>141</v>
      </c>
      <c r="J631" s="89">
        <v>2199429</v>
      </c>
      <c r="K631" t="s">
        <v>127</v>
      </c>
      <c r="L631" t="s">
        <v>128</v>
      </c>
      <c r="N631">
        <v>1</v>
      </c>
      <c r="O631" s="89">
        <v>9775.24</v>
      </c>
      <c r="P631" s="89">
        <v>112415.26</v>
      </c>
      <c r="Q631" t="s">
        <v>142</v>
      </c>
      <c r="R631" t="s">
        <v>131</v>
      </c>
    </row>
    <row r="632" spans="3:18" hidden="1" x14ac:dyDescent="0.25">
      <c r="C632" t="s">
        <v>45</v>
      </c>
      <c r="D632" t="s">
        <v>24</v>
      </c>
      <c r="E632" t="s">
        <v>48</v>
      </c>
      <c r="F632" t="s">
        <v>41</v>
      </c>
      <c r="G632" s="89">
        <v>92551</v>
      </c>
      <c r="H632" t="s">
        <v>42</v>
      </c>
      <c r="I632" t="s">
        <v>133</v>
      </c>
      <c r="J632" s="89">
        <v>3146734</v>
      </c>
      <c r="K632" t="s">
        <v>134</v>
      </c>
      <c r="N632">
        <v>1</v>
      </c>
      <c r="O632" s="89">
        <v>2776.53</v>
      </c>
      <c r="P632" s="89">
        <v>49977.54</v>
      </c>
      <c r="Q632" t="s">
        <v>142</v>
      </c>
      <c r="R632" t="s">
        <v>131</v>
      </c>
    </row>
    <row r="633" spans="3:18" hidden="1" x14ac:dyDescent="0.25">
      <c r="C633" t="s">
        <v>45</v>
      </c>
      <c r="D633" t="s">
        <v>21</v>
      </c>
      <c r="E633" t="s">
        <v>43</v>
      </c>
      <c r="F633" t="s">
        <v>41</v>
      </c>
      <c r="G633" s="89">
        <v>14895</v>
      </c>
      <c r="H633" t="s">
        <v>154</v>
      </c>
      <c r="I633" t="s">
        <v>126</v>
      </c>
      <c r="J633" s="89">
        <v>193635</v>
      </c>
      <c r="K633" t="s">
        <v>134</v>
      </c>
      <c r="L633" t="s">
        <v>128</v>
      </c>
      <c r="N633">
        <v>1</v>
      </c>
      <c r="O633" s="89">
        <v>446.85</v>
      </c>
      <c r="P633" s="89">
        <v>595.79999999999995</v>
      </c>
      <c r="Q633" t="s">
        <v>130</v>
      </c>
      <c r="R633" t="s">
        <v>131</v>
      </c>
    </row>
    <row r="634" spans="3:18" x14ac:dyDescent="0.25">
      <c r="C634" t="s">
        <v>47</v>
      </c>
      <c r="D634" t="s">
        <v>21</v>
      </c>
      <c r="E634" t="s">
        <v>43</v>
      </c>
      <c r="F634" t="s">
        <v>41</v>
      </c>
      <c r="G634" s="89">
        <v>137248</v>
      </c>
      <c r="H634" t="s">
        <v>42</v>
      </c>
      <c r="I634" t="s">
        <v>126</v>
      </c>
      <c r="J634" s="89">
        <v>1509728</v>
      </c>
      <c r="K634" t="s">
        <v>144</v>
      </c>
      <c r="N634">
        <v>1</v>
      </c>
      <c r="O634" s="89">
        <v>6862.4</v>
      </c>
      <c r="P634" s="89">
        <v>80976.320000000007</v>
      </c>
      <c r="Q634" t="s">
        <v>142</v>
      </c>
      <c r="R634" t="s">
        <v>131</v>
      </c>
    </row>
    <row r="635" spans="3:18" hidden="1" x14ac:dyDescent="0.25">
      <c r="C635" t="s">
        <v>45</v>
      </c>
      <c r="D635" t="s">
        <v>23</v>
      </c>
      <c r="E635" t="s">
        <v>48</v>
      </c>
      <c r="F635" t="s">
        <v>41</v>
      </c>
      <c r="G635" s="89">
        <v>126249946</v>
      </c>
      <c r="H635" t="s">
        <v>42</v>
      </c>
      <c r="I635" t="s">
        <v>133</v>
      </c>
      <c r="J635" s="89">
        <v>3913748326</v>
      </c>
      <c r="K635" t="s">
        <v>127</v>
      </c>
      <c r="L635" t="s">
        <v>128</v>
      </c>
      <c r="M635" t="s">
        <v>152</v>
      </c>
      <c r="N635">
        <v>1</v>
      </c>
      <c r="O635" s="89">
        <v>3787498.38</v>
      </c>
      <c r="P635" s="89">
        <v>89637461.659999996</v>
      </c>
      <c r="Q635" t="s">
        <v>137</v>
      </c>
      <c r="R635" t="s">
        <v>131</v>
      </c>
    </row>
    <row r="636" spans="3:18" hidden="1" x14ac:dyDescent="0.25">
      <c r="C636" t="s">
        <v>45</v>
      </c>
      <c r="D636" t="s">
        <v>21</v>
      </c>
      <c r="E636" t="s">
        <v>43</v>
      </c>
      <c r="F636" t="s">
        <v>41</v>
      </c>
      <c r="G636" s="89">
        <v>49148</v>
      </c>
      <c r="H636" t="s">
        <v>154</v>
      </c>
      <c r="I636" t="s">
        <v>153</v>
      </c>
      <c r="J636" s="89"/>
      <c r="K636" t="s">
        <v>127</v>
      </c>
      <c r="L636" t="s">
        <v>128</v>
      </c>
      <c r="N636">
        <v>0</v>
      </c>
      <c r="O636" s="89">
        <v>1965.92</v>
      </c>
      <c r="P636" s="89">
        <v>3931.84</v>
      </c>
      <c r="Q636" t="s">
        <v>130</v>
      </c>
      <c r="R636" t="s">
        <v>131</v>
      </c>
    </row>
    <row r="637" spans="3:18" hidden="1" x14ac:dyDescent="0.25">
      <c r="C637" t="s">
        <v>45</v>
      </c>
      <c r="D637" t="s">
        <v>23</v>
      </c>
      <c r="E637" t="s">
        <v>40</v>
      </c>
      <c r="F637" t="s">
        <v>41</v>
      </c>
      <c r="G637" s="89">
        <v>99379</v>
      </c>
      <c r="H637" t="s">
        <v>132</v>
      </c>
      <c r="I637" t="s">
        <v>126</v>
      </c>
      <c r="J637" s="89">
        <v>1788822</v>
      </c>
      <c r="K637" t="s">
        <v>144</v>
      </c>
      <c r="N637">
        <v>1</v>
      </c>
      <c r="O637" s="89">
        <v>2981.37</v>
      </c>
      <c r="P637" s="89">
        <v>84472.15</v>
      </c>
      <c r="Q637" t="s">
        <v>135</v>
      </c>
      <c r="R637" t="s">
        <v>131</v>
      </c>
    </row>
    <row r="638" spans="3:18" hidden="1" x14ac:dyDescent="0.25">
      <c r="C638" t="s">
        <v>45</v>
      </c>
      <c r="D638" t="s">
        <v>21</v>
      </c>
      <c r="E638" t="s">
        <v>43</v>
      </c>
      <c r="F638" t="s">
        <v>41</v>
      </c>
      <c r="G638" s="89">
        <v>23028818</v>
      </c>
      <c r="H638" t="s">
        <v>145</v>
      </c>
      <c r="I638" t="s">
        <v>133</v>
      </c>
      <c r="J638" s="89">
        <v>667835722</v>
      </c>
      <c r="K638" t="s">
        <v>127</v>
      </c>
      <c r="L638" t="s">
        <v>128</v>
      </c>
      <c r="N638">
        <v>1</v>
      </c>
      <c r="O638" s="89">
        <v>690864.54</v>
      </c>
      <c r="P638" s="89">
        <v>19574495.300000001</v>
      </c>
      <c r="Q638" t="s">
        <v>135</v>
      </c>
      <c r="R638" t="s">
        <v>131</v>
      </c>
    </row>
    <row r="639" spans="3:18" hidden="1" x14ac:dyDescent="0.25">
      <c r="C639" t="s">
        <v>45</v>
      </c>
      <c r="D639" t="s">
        <v>23</v>
      </c>
      <c r="E639" t="s">
        <v>40</v>
      </c>
      <c r="F639" t="s">
        <v>41</v>
      </c>
      <c r="G639" s="89">
        <v>2346908</v>
      </c>
      <c r="H639" t="s">
        <v>42</v>
      </c>
      <c r="I639" t="s">
        <v>147</v>
      </c>
      <c r="J639" s="89">
        <v>9387632</v>
      </c>
      <c r="K639" t="s">
        <v>144</v>
      </c>
      <c r="N639">
        <v>1</v>
      </c>
      <c r="O639" s="89">
        <v>93876.32</v>
      </c>
      <c r="P639" s="89">
        <v>539788.84</v>
      </c>
      <c r="Q639" t="s">
        <v>130</v>
      </c>
      <c r="R639" t="s">
        <v>131</v>
      </c>
    </row>
    <row r="640" spans="3:18" hidden="1" x14ac:dyDescent="0.25">
      <c r="C640" t="s">
        <v>39</v>
      </c>
      <c r="D640" t="s">
        <v>138</v>
      </c>
      <c r="E640" t="s">
        <v>43</v>
      </c>
      <c r="F640" t="s">
        <v>41</v>
      </c>
      <c r="G640" s="89">
        <v>3361416</v>
      </c>
      <c r="H640" t="s">
        <v>146</v>
      </c>
      <c r="I640" t="s">
        <v>133</v>
      </c>
      <c r="J640" s="89"/>
      <c r="N640">
        <v>0</v>
      </c>
      <c r="O640" s="89"/>
      <c r="P640" s="89"/>
      <c r="R640" t="s">
        <v>131</v>
      </c>
    </row>
    <row r="641" spans="3:18" hidden="1" x14ac:dyDescent="0.25">
      <c r="C641" t="s">
        <v>45</v>
      </c>
      <c r="D641" t="s">
        <v>24</v>
      </c>
      <c r="E641" t="s">
        <v>40</v>
      </c>
      <c r="F641" t="s">
        <v>41</v>
      </c>
      <c r="G641" s="89">
        <v>236959</v>
      </c>
      <c r="H641" t="s">
        <v>42</v>
      </c>
      <c r="I641" t="s">
        <v>126</v>
      </c>
      <c r="J641" s="89">
        <v>3791344</v>
      </c>
      <c r="K641" t="s">
        <v>127</v>
      </c>
      <c r="L641" t="s">
        <v>128</v>
      </c>
      <c r="M641" t="s">
        <v>148</v>
      </c>
      <c r="N641">
        <v>1</v>
      </c>
      <c r="O641" s="89">
        <v>9478.36</v>
      </c>
      <c r="P641" s="89">
        <v>56870.16</v>
      </c>
      <c r="Q641" t="s">
        <v>130</v>
      </c>
      <c r="R641" t="s">
        <v>42</v>
      </c>
    </row>
    <row r="642" spans="3:18" hidden="1" x14ac:dyDescent="0.25">
      <c r="C642" t="s">
        <v>45</v>
      </c>
      <c r="D642" t="s">
        <v>138</v>
      </c>
      <c r="E642" t="s">
        <v>40</v>
      </c>
      <c r="F642" t="s">
        <v>41</v>
      </c>
      <c r="G642" s="89">
        <v>13957089</v>
      </c>
      <c r="H642" t="s">
        <v>42</v>
      </c>
      <c r="I642" t="s">
        <v>133</v>
      </c>
      <c r="J642" s="89">
        <v>460583937</v>
      </c>
      <c r="K642" t="s">
        <v>144</v>
      </c>
      <c r="N642">
        <v>1</v>
      </c>
      <c r="O642" s="89">
        <v>418712.67</v>
      </c>
      <c r="P642" s="89">
        <v>10049104.08</v>
      </c>
      <c r="Q642" t="s">
        <v>137</v>
      </c>
      <c r="R642" t="s">
        <v>42</v>
      </c>
    </row>
    <row r="643" spans="3:18" x14ac:dyDescent="0.25">
      <c r="C643" t="s">
        <v>47</v>
      </c>
      <c r="D643" t="s">
        <v>25</v>
      </c>
      <c r="E643" t="s">
        <v>44</v>
      </c>
      <c r="F643" t="s">
        <v>41</v>
      </c>
      <c r="G643" s="89">
        <v>146857</v>
      </c>
      <c r="H643" t="s">
        <v>146</v>
      </c>
      <c r="I643" t="s">
        <v>141</v>
      </c>
      <c r="J643" s="89">
        <v>1174856</v>
      </c>
      <c r="K643" t="s">
        <v>127</v>
      </c>
      <c r="L643" t="s">
        <v>128</v>
      </c>
      <c r="N643">
        <v>1</v>
      </c>
      <c r="O643" s="89">
        <v>5874.28</v>
      </c>
      <c r="P643" s="89">
        <v>86645.63</v>
      </c>
      <c r="Q643" t="s">
        <v>142</v>
      </c>
      <c r="R643" t="s">
        <v>131</v>
      </c>
    </row>
    <row r="644" spans="3:18" hidden="1" x14ac:dyDescent="0.25">
      <c r="C644" t="s">
        <v>45</v>
      </c>
      <c r="D644" t="s">
        <v>22</v>
      </c>
      <c r="E644" t="s">
        <v>40</v>
      </c>
      <c r="F644" t="s">
        <v>41</v>
      </c>
      <c r="G644" s="89">
        <v>22811365</v>
      </c>
      <c r="H644" t="s">
        <v>140</v>
      </c>
      <c r="I644" t="s">
        <v>133</v>
      </c>
      <c r="J644" s="89">
        <v>684340950</v>
      </c>
      <c r="K644" t="s">
        <v>144</v>
      </c>
      <c r="N644">
        <v>1</v>
      </c>
      <c r="O644" s="89">
        <v>684340.95</v>
      </c>
      <c r="P644" s="89">
        <v>11405682.5</v>
      </c>
      <c r="Q644" t="s">
        <v>142</v>
      </c>
      <c r="R644" t="s">
        <v>131</v>
      </c>
    </row>
    <row r="645" spans="3:18" hidden="1" x14ac:dyDescent="0.25">
      <c r="C645" t="s">
        <v>45</v>
      </c>
      <c r="D645" t="s">
        <v>21</v>
      </c>
      <c r="E645" t="s">
        <v>48</v>
      </c>
      <c r="F645" t="s">
        <v>41</v>
      </c>
      <c r="G645" s="89">
        <v>27581135</v>
      </c>
      <c r="H645" t="s">
        <v>42</v>
      </c>
      <c r="I645" t="s">
        <v>133</v>
      </c>
      <c r="J645" s="89">
        <v>937758590</v>
      </c>
      <c r="K645" t="s">
        <v>144</v>
      </c>
      <c r="N645">
        <v>1</v>
      </c>
      <c r="O645" s="89">
        <v>827434.05</v>
      </c>
      <c r="P645" s="89">
        <v>19582605.850000001</v>
      </c>
      <c r="Q645" t="s">
        <v>137</v>
      </c>
      <c r="R645" t="s">
        <v>42</v>
      </c>
    </row>
    <row r="646" spans="3:18" hidden="1" x14ac:dyDescent="0.25">
      <c r="C646" t="s">
        <v>45</v>
      </c>
      <c r="D646" t="s">
        <v>22</v>
      </c>
      <c r="E646" t="s">
        <v>40</v>
      </c>
      <c r="F646" t="s">
        <v>41</v>
      </c>
      <c r="G646" s="89">
        <v>33294044</v>
      </c>
      <c r="H646" t="s">
        <v>140</v>
      </c>
      <c r="I646" t="s">
        <v>126</v>
      </c>
      <c r="J646" s="89">
        <v>565998748</v>
      </c>
      <c r="K646" t="s">
        <v>127</v>
      </c>
      <c r="L646" t="s">
        <v>128</v>
      </c>
      <c r="N646">
        <v>1</v>
      </c>
      <c r="O646" s="89">
        <v>998821.32</v>
      </c>
      <c r="P646" s="89">
        <v>22307009.48</v>
      </c>
      <c r="Q646" t="s">
        <v>137</v>
      </c>
      <c r="R646" t="s">
        <v>131</v>
      </c>
    </row>
    <row r="647" spans="3:18" x14ac:dyDescent="0.25">
      <c r="C647" t="s">
        <v>47</v>
      </c>
      <c r="D647" t="s">
        <v>20</v>
      </c>
      <c r="E647" t="s">
        <v>40</v>
      </c>
      <c r="F647" t="s">
        <v>41</v>
      </c>
      <c r="G647" s="89">
        <v>3578914</v>
      </c>
      <c r="H647" t="s">
        <v>140</v>
      </c>
      <c r="I647" t="s">
        <v>126</v>
      </c>
      <c r="J647" s="89">
        <v>39368054</v>
      </c>
      <c r="K647" t="s">
        <v>127</v>
      </c>
      <c r="L647" t="s">
        <v>128</v>
      </c>
      <c r="N647">
        <v>1</v>
      </c>
      <c r="O647" s="89">
        <v>143156.56</v>
      </c>
      <c r="P647" s="89">
        <v>1145252.48</v>
      </c>
      <c r="Q647" t="s">
        <v>130</v>
      </c>
      <c r="R647" t="s">
        <v>131</v>
      </c>
    </row>
    <row r="648" spans="3:18" hidden="1" x14ac:dyDescent="0.25">
      <c r="C648" t="s">
        <v>45</v>
      </c>
      <c r="D648" t="s">
        <v>21</v>
      </c>
      <c r="E648" t="s">
        <v>48</v>
      </c>
      <c r="F648" t="s">
        <v>41</v>
      </c>
      <c r="G648" s="89">
        <v>373570</v>
      </c>
      <c r="H648" t="s">
        <v>42</v>
      </c>
      <c r="I648" t="s">
        <v>133</v>
      </c>
      <c r="J648" s="89">
        <v>11207100</v>
      </c>
      <c r="K648" t="s">
        <v>127</v>
      </c>
      <c r="L648" t="s">
        <v>128</v>
      </c>
      <c r="M648" t="s">
        <v>129</v>
      </c>
      <c r="N648">
        <v>1</v>
      </c>
      <c r="O648" s="89">
        <v>11207.1</v>
      </c>
      <c r="P648" s="89">
        <v>104599.6</v>
      </c>
      <c r="Q648" t="s">
        <v>130</v>
      </c>
      <c r="R648" t="s">
        <v>131</v>
      </c>
    </row>
    <row r="649" spans="3:18" hidden="1" x14ac:dyDescent="0.25">
      <c r="C649" t="s">
        <v>45</v>
      </c>
      <c r="D649" t="s">
        <v>20</v>
      </c>
      <c r="E649" t="s">
        <v>43</v>
      </c>
      <c r="F649" t="s">
        <v>41</v>
      </c>
      <c r="G649" s="89">
        <v>217343</v>
      </c>
      <c r="H649" t="s">
        <v>140</v>
      </c>
      <c r="I649" t="s">
        <v>126</v>
      </c>
      <c r="J649" s="89">
        <v>3477488</v>
      </c>
      <c r="K649" t="s">
        <v>144</v>
      </c>
      <c r="N649">
        <v>1</v>
      </c>
      <c r="O649" s="89">
        <v>6520.29</v>
      </c>
      <c r="P649" s="89">
        <v>104324.64</v>
      </c>
      <c r="Q649" t="s">
        <v>142</v>
      </c>
      <c r="R649" t="s">
        <v>131</v>
      </c>
    </row>
    <row r="650" spans="3:18" x14ac:dyDescent="0.25">
      <c r="C650" t="s">
        <v>47</v>
      </c>
      <c r="D650" t="s">
        <v>23</v>
      </c>
      <c r="E650" t="s">
        <v>40</v>
      </c>
      <c r="F650" t="s">
        <v>41</v>
      </c>
      <c r="G650" s="89">
        <v>233321</v>
      </c>
      <c r="H650" t="s">
        <v>145</v>
      </c>
      <c r="I650" t="s">
        <v>141</v>
      </c>
      <c r="J650" s="89">
        <v>1633247</v>
      </c>
      <c r="K650" t="s">
        <v>127</v>
      </c>
      <c r="L650" t="s">
        <v>128</v>
      </c>
      <c r="N650">
        <v>1</v>
      </c>
      <c r="O650" s="89">
        <v>11666.05</v>
      </c>
      <c r="P650" s="89">
        <v>25665.31</v>
      </c>
      <c r="Q650" t="s">
        <v>130</v>
      </c>
      <c r="R650" t="s">
        <v>131</v>
      </c>
    </row>
    <row r="651" spans="3:18" hidden="1" x14ac:dyDescent="0.25">
      <c r="C651" t="s">
        <v>45</v>
      </c>
      <c r="D651" t="s">
        <v>21</v>
      </c>
      <c r="E651" t="s">
        <v>43</v>
      </c>
      <c r="F651" t="s">
        <v>41</v>
      </c>
      <c r="G651" s="89">
        <v>219406321</v>
      </c>
      <c r="H651" t="s">
        <v>132</v>
      </c>
      <c r="I651" t="s">
        <v>133</v>
      </c>
      <c r="J651" s="89">
        <v>6143376988</v>
      </c>
      <c r="K651" t="s">
        <v>127</v>
      </c>
      <c r="L651" t="s">
        <v>128</v>
      </c>
      <c r="N651">
        <v>1</v>
      </c>
      <c r="O651" s="89">
        <v>6582189.6299999999</v>
      </c>
      <c r="P651" s="89">
        <v>151390361.49000001</v>
      </c>
      <c r="Q651" t="s">
        <v>137</v>
      </c>
      <c r="R651" t="s">
        <v>131</v>
      </c>
    </row>
    <row r="652" spans="3:18" hidden="1" x14ac:dyDescent="0.25">
      <c r="C652" t="s">
        <v>45</v>
      </c>
      <c r="D652" t="s">
        <v>23</v>
      </c>
      <c r="E652" t="s">
        <v>48</v>
      </c>
      <c r="F652" t="s">
        <v>41</v>
      </c>
      <c r="G652" s="89">
        <v>375525</v>
      </c>
      <c r="H652" t="s">
        <v>42</v>
      </c>
      <c r="I652" t="s">
        <v>126</v>
      </c>
      <c r="J652" s="89">
        <v>6008400</v>
      </c>
      <c r="K652" t="s">
        <v>144</v>
      </c>
      <c r="N652">
        <v>1</v>
      </c>
      <c r="O652" s="89">
        <v>11265.75</v>
      </c>
      <c r="P652" s="89">
        <v>108902.25</v>
      </c>
      <c r="Q652" t="s">
        <v>130</v>
      </c>
      <c r="R652" t="s">
        <v>131</v>
      </c>
    </row>
    <row r="653" spans="3:18" hidden="1" x14ac:dyDescent="0.25">
      <c r="C653" t="s">
        <v>45</v>
      </c>
      <c r="D653" t="s">
        <v>23</v>
      </c>
      <c r="E653" t="s">
        <v>40</v>
      </c>
      <c r="F653" t="s">
        <v>41</v>
      </c>
      <c r="G653" s="89">
        <v>209821</v>
      </c>
      <c r="H653" t="s">
        <v>42</v>
      </c>
      <c r="I653" t="s">
        <v>126</v>
      </c>
      <c r="J653" s="89">
        <v>2937494</v>
      </c>
      <c r="K653" t="s">
        <v>144</v>
      </c>
      <c r="N653">
        <v>1</v>
      </c>
      <c r="O653" s="89">
        <v>6294.63</v>
      </c>
      <c r="P653" s="89">
        <v>174151.43</v>
      </c>
      <c r="Q653" t="s">
        <v>135</v>
      </c>
      <c r="R653" t="s">
        <v>131</v>
      </c>
    </row>
    <row r="654" spans="3:18" hidden="1" x14ac:dyDescent="0.25">
      <c r="C654" t="s">
        <v>45</v>
      </c>
      <c r="D654" t="s">
        <v>24</v>
      </c>
      <c r="E654" t="s">
        <v>40</v>
      </c>
      <c r="F654" t="s">
        <v>41</v>
      </c>
      <c r="G654" s="89">
        <v>58819</v>
      </c>
      <c r="H654" t="s">
        <v>146</v>
      </c>
      <c r="I654" t="s">
        <v>133</v>
      </c>
      <c r="J654" s="89">
        <v>2235122</v>
      </c>
      <c r="K654" t="s">
        <v>127</v>
      </c>
      <c r="L654" t="s">
        <v>128</v>
      </c>
      <c r="N654">
        <v>1</v>
      </c>
      <c r="O654" s="89">
        <v>1764.57</v>
      </c>
      <c r="P654" s="89">
        <v>47643.39</v>
      </c>
      <c r="Q654" t="s">
        <v>135</v>
      </c>
      <c r="R654" t="s">
        <v>131</v>
      </c>
    </row>
    <row r="655" spans="3:18" hidden="1" x14ac:dyDescent="0.25">
      <c r="C655" t="s">
        <v>45</v>
      </c>
      <c r="D655" t="s">
        <v>19</v>
      </c>
      <c r="E655" t="s">
        <v>40</v>
      </c>
      <c r="F655" t="s">
        <v>41</v>
      </c>
      <c r="G655" s="89">
        <v>91273</v>
      </c>
      <c r="H655" t="s">
        <v>42</v>
      </c>
      <c r="I655" t="s">
        <v>126</v>
      </c>
      <c r="J655" s="89">
        <v>1277822</v>
      </c>
      <c r="K655" t="s">
        <v>134</v>
      </c>
      <c r="L655" t="s">
        <v>128</v>
      </c>
      <c r="M655" t="s">
        <v>136</v>
      </c>
      <c r="N655">
        <v>1</v>
      </c>
      <c r="O655" s="89">
        <v>2738.19</v>
      </c>
      <c r="P655" s="89">
        <v>41985.58</v>
      </c>
      <c r="Q655" t="s">
        <v>142</v>
      </c>
      <c r="R655" t="s">
        <v>131</v>
      </c>
    </row>
    <row r="656" spans="3:18" hidden="1" x14ac:dyDescent="0.25">
      <c r="C656" t="s">
        <v>45</v>
      </c>
      <c r="D656" t="s">
        <v>19</v>
      </c>
      <c r="E656" t="s">
        <v>43</v>
      </c>
      <c r="F656" t="s">
        <v>41</v>
      </c>
      <c r="G656" s="89">
        <v>220697</v>
      </c>
      <c r="H656" t="s">
        <v>132</v>
      </c>
      <c r="I656" t="s">
        <v>141</v>
      </c>
      <c r="J656" s="89">
        <v>1765576</v>
      </c>
      <c r="K656" t="s">
        <v>127</v>
      </c>
      <c r="L656" t="s">
        <v>128</v>
      </c>
      <c r="N656">
        <v>1</v>
      </c>
      <c r="O656" s="89">
        <v>11034.85</v>
      </c>
      <c r="P656" s="89">
        <v>108141.53</v>
      </c>
      <c r="Q656" t="s">
        <v>142</v>
      </c>
      <c r="R656" t="s">
        <v>131</v>
      </c>
    </row>
    <row r="657" spans="3:18" hidden="1" x14ac:dyDescent="0.25">
      <c r="C657" t="s">
        <v>45</v>
      </c>
      <c r="D657" t="s">
        <v>24</v>
      </c>
      <c r="E657" t="s">
        <v>43</v>
      </c>
      <c r="F657" t="s">
        <v>41</v>
      </c>
      <c r="G657" s="89">
        <v>141312</v>
      </c>
      <c r="H657" t="s">
        <v>42</v>
      </c>
      <c r="I657" t="s">
        <v>133</v>
      </c>
      <c r="J657" s="89">
        <v>4804608</v>
      </c>
      <c r="K657" t="s">
        <v>134</v>
      </c>
      <c r="L657" t="s">
        <v>128</v>
      </c>
      <c r="M657" t="s">
        <v>148</v>
      </c>
      <c r="N657">
        <v>1</v>
      </c>
      <c r="O657" s="89">
        <v>5652.48</v>
      </c>
      <c r="P657" s="89">
        <v>113049.60000000001</v>
      </c>
      <c r="Q657" t="s">
        <v>135</v>
      </c>
      <c r="R657" t="s">
        <v>42</v>
      </c>
    </row>
    <row r="658" spans="3:18" hidden="1" x14ac:dyDescent="0.25">
      <c r="C658" t="s">
        <v>45</v>
      </c>
      <c r="D658" t="s">
        <v>21</v>
      </c>
      <c r="E658" t="s">
        <v>40</v>
      </c>
      <c r="F658" t="s">
        <v>41</v>
      </c>
      <c r="G658" s="89">
        <v>150104</v>
      </c>
      <c r="H658" t="s">
        <v>132</v>
      </c>
      <c r="I658" t="s">
        <v>147</v>
      </c>
      <c r="J658" s="89">
        <v>450312</v>
      </c>
      <c r="K658" t="s">
        <v>127</v>
      </c>
      <c r="L658" t="s">
        <v>128</v>
      </c>
      <c r="N658">
        <v>1</v>
      </c>
      <c r="O658" s="89">
        <v>6004.16</v>
      </c>
      <c r="P658" s="89">
        <v>19513.52</v>
      </c>
      <c r="Q658" t="s">
        <v>130</v>
      </c>
      <c r="R658" t="s">
        <v>131</v>
      </c>
    </row>
    <row r="659" spans="3:18" hidden="1" x14ac:dyDescent="0.25">
      <c r="C659" t="s">
        <v>45</v>
      </c>
      <c r="D659" t="s">
        <v>20</v>
      </c>
      <c r="E659" t="s">
        <v>43</v>
      </c>
      <c r="F659" t="s">
        <v>53</v>
      </c>
      <c r="G659" s="89">
        <v>123452</v>
      </c>
      <c r="H659" t="s">
        <v>140</v>
      </c>
      <c r="I659" t="s">
        <v>126</v>
      </c>
      <c r="J659" s="89">
        <v>2222136</v>
      </c>
      <c r="K659" t="s">
        <v>144</v>
      </c>
      <c r="N659">
        <v>1</v>
      </c>
      <c r="O659" s="89">
        <v>3703.56</v>
      </c>
      <c r="P659" s="89">
        <v>29628.48</v>
      </c>
      <c r="Q659" t="s">
        <v>130</v>
      </c>
      <c r="R659" t="s">
        <v>131</v>
      </c>
    </row>
    <row r="660" spans="3:18" hidden="1" x14ac:dyDescent="0.25">
      <c r="C660" t="s">
        <v>45</v>
      </c>
      <c r="D660" t="s">
        <v>22</v>
      </c>
      <c r="E660" t="s">
        <v>48</v>
      </c>
      <c r="F660" t="s">
        <v>41</v>
      </c>
      <c r="G660" s="89">
        <v>531509</v>
      </c>
      <c r="H660" t="s">
        <v>42</v>
      </c>
      <c r="I660" t="s">
        <v>126</v>
      </c>
      <c r="J660" s="89">
        <v>8504144</v>
      </c>
      <c r="K660" t="s">
        <v>127</v>
      </c>
      <c r="L660" t="s">
        <v>128</v>
      </c>
      <c r="M660" t="s">
        <v>143</v>
      </c>
      <c r="N660">
        <v>1</v>
      </c>
      <c r="O660" s="89">
        <v>21260.36</v>
      </c>
      <c r="P660" s="89">
        <v>154137.60999999999</v>
      </c>
      <c r="Q660" t="s">
        <v>130</v>
      </c>
      <c r="R660" t="s">
        <v>131</v>
      </c>
    </row>
    <row r="661" spans="3:18" hidden="1" x14ac:dyDescent="0.25">
      <c r="C661" t="s">
        <v>39</v>
      </c>
      <c r="D661" t="s">
        <v>24</v>
      </c>
      <c r="E661" t="s">
        <v>48</v>
      </c>
      <c r="F661" t="s">
        <v>41</v>
      </c>
      <c r="G661" s="89">
        <v>302091</v>
      </c>
      <c r="H661" t="s">
        <v>140</v>
      </c>
      <c r="I661" t="s">
        <v>133</v>
      </c>
      <c r="J661" s="89"/>
      <c r="N661">
        <v>0</v>
      </c>
      <c r="O661" s="89"/>
      <c r="P661" s="89"/>
      <c r="R661" t="s">
        <v>131</v>
      </c>
    </row>
    <row r="662" spans="3:18" x14ac:dyDescent="0.25">
      <c r="C662" t="s">
        <v>47</v>
      </c>
      <c r="D662" t="s">
        <v>23</v>
      </c>
      <c r="E662" t="s">
        <v>48</v>
      </c>
      <c r="F662" t="s">
        <v>41</v>
      </c>
      <c r="G662" s="89">
        <v>77046</v>
      </c>
      <c r="H662" t="s">
        <v>145</v>
      </c>
      <c r="I662" t="s">
        <v>147</v>
      </c>
      <c r="J662" s="89">
        <v>231138</v>
      </c>
      <c r="K662" t="s">
        <v>127</v>
      </c>
      <c r="L662" t="s">
        <v>128</v>
      </c>
      <c r="N662">
        <v>1</v>
      </c>
      <c r="O662" s="89">
        <v>3852.3</v>
      </c>
      <c r="P662" s="89">
        <v>20802.419999999998</v>
      </c>
      <c r="Q662" t="s">
        <v>130</v>
      </c>
      <c r="R662" t="s">
        <v>131</v>
      </c>
    </row>
    <row r="663" spans="3:18" x14ac:dyDescent="0.25">
      <c r="C663" t="s">
        <v>47</v>
      </c>
      <c r="D663" t="s">
        <v>24</v>
      </c>
      <c r="E663" t="s">
        <v>46</v>
      </c>
      <c r="F663" t="s">
        <v>41</v>
      </c>
      <c r="G663" s="89">
        <v>4347213</v>
      </c>
      <c r="H663" t="s">
        <v>42</v>
      </c>
      <c r="I663" t="s">
        <v>126</v>
      </c>
      <c r="J663" s="89">
        <v>69555408</v>
      </c>
      <c r="K663" t="s">
        <v>127</v>
      </c>
      <c r="L663" t="s">
        <v>128</v>
      </c>
      <c r="M663" t="s">
        <v>148</v>
      </c>
      <c r="N663">
        <v>1</v>
      </c>
      <c r="O663" s="89">
        <v>217360.65</v>
      </c>
      <c r="P663" s="89">
        <v>1999717.98</v>
      </c>
      <c r="Q663" t="s">
        <v>142</v>
      </c>
      <c r="R663" t="s">
        <v>42</v>
      </c>
    </row>
    <row r="664" spans="3:18" x14ac:dyDescent="0.25">
      <c r="C664" t="s">
        <v>47</v>
      </c>
      <c r="D664" t="s">
        <v>24</v>
      </c>
      <c r="E664" t="s">
        <v>44</v>
      </c>
      <c r="F664" t="s">
        <v>41</v>
      </c>
      <c r="G664" s="89">
        <v>142431</v>
      </c>
      <c r="H664" t="s">
        <v>146</v>
      </c>
      <c r="I664" t="s">
        <v>147</v>
      </c>
      <c r="J664" s="89">
        <v>284862</v>
      </c>
      <c r="K664" t="s">
        <v>127</v>
      </c>
      <c r="L664" t="s">
        <v>128</v>
      </c>
      <c r="N664">
        <v>1</v>
      </c>
      <c r="O664" s="89">
        <v>5697.24</v>
      </c>
      <c r="P664" s="89">
        <v>17091.72</v>
      </c>
      <c r="Q664" t="s">
        <v>130</v>
      </c>
      <c r="R664" t="s">
        <v>131</v>
      </c>
    </row>
    <row r="665" spans="3:18" hidden="1" x14ac:dyDescent="0.25">
      <c r="C665" t="s">
        <v>45</v>
      </c>
      <c r="D665" t="s">
        <v>22</v>
      </c>
      <c r="E665" t="s">
        <v>40</v>
      </c>
      <c r="F665" t="s">
        <v>41</v>
      </c>
      <c r="G665" s="89">
        <v>254533</v>
      </c>
      <c r="H665" t="s">
        <v>132</v>
      </c>
      <c r="I665" t="s">
        <v>133</v>
      </c>
      <c r="J665" s="89">
        <v>6617858</v>
      </c>
      <c r="K665" t="s">
        <v>127</v>
      </c>
      <c r="L665" t="s">
        <v>151</v>
      </c>
      <c r="N665">
        <v>1</v>
      </c>
      <c r="O665" s="89">
        <v>7635.99</v>
      </c>
      <c r="P665" s="89">
        <v>127266.5</v>
      </c>
      <c r="Q665" t="s">
        <v>142</v>
      </c>
      <c r="R665" t="s">
        <v>131</v>
      </c>
    </row>
    <row r="666" spans="3:18" hidden="1" x14ac:dyDescent="0.25">
      <c r="C666" t="s">
        <v>45</v>
      </c>
      <c r="D666" t="s">
        <v>21</v>
      </c>
      <c r="E666" t="s">
        <v>40</v>
      </c>
      <c r="F666" t="s">
        <v>41</v>
      </c>
      <c r="G666" s="89">
        <v>2641898</v>
      </c>
      <c r="H666" t="s">
        <v>146</v>
      </c>
      <c r="I666" t="s">
        <v>133</v>
      </c>
      <c r="J666" s="89">
        <v>89824532</v>
      </c>
      <c r="K666" t="s">
        <v>144</v>
      </c>
      <c r="N666">
        <v>1</v>
      </c>
      <c r="O666" s="89">
        <v>79256.94</v>
      </c>
      <c r="P666" s="89">
        <v>422703.68</v>
      </c>
      <c r="Q666" t="s">
        <v>130</v>
      </c>
      <c r="R666" t="s">
        <v>131</v>
      </c>
    </row>
    <row r="667" spans="3:18" hidden="1" x14ac:dyDescent="0.25">
      <c r="C667" t="s">
        <v>45</v>
      </c>
      <c r="D667" t="s">
        <v>24</v>
      </c>
      <c r="E667" t="s">
        <v>40</v>
      </c>
      <c r="F667" t="s">
        <v>41</v>
      </c>
      <c r="G667" s="89">
        <v>2609112</v>
      </c>
      <c r="H667" t="s">
        <v>140</v>
      </c>
      <c r="I667" t="s">
        <v>141</v>
      </c>
      <c r="J667" s="89">
        <v>20872896</v>
      </c>
      <c r="K667" t="s">
        <v>127</v>
      </c>
      <c r="L667" t="s">
        <v>128</v>
      </c>
      <c r="N667">
        <v>1</v>
      </c>
      <c r="O667" s="89">
        <v>78273.36</v>
      </c>
      <c r="P667" s="89">
        <v>574004.64</v>
      </c>
      <c r="Q667" t="s">
        <v>130</v>
      </c>
      <c r="R667" t="s">
        <v>131</v>
      </c>
    </row>
    <row r="668" spans="3:18" hidden="1" x14ac:dyDescent="0.25">
      <c r="C668" t="s">
        <v>45</v>
      </c>
      <c r="D668" t="s">
        <v>19</v>
      </c>
      <c r="E668" t="s">
        <v>43</v>
      </c>
      <c r="F668" t="s">
        <v>41</v>
      </c>
      <c r="G668" s="89">
        <v>2072289</v>
      </c>
      <c r="H668" t="s">
        <v>42</v>
      </c>
      <c r="I668" t="s">
        <v>133</v>
      </c>
      <c r="J668" s="89">
        <v>66313248</v>
      </c>
      <c r="K668" t="s">
        <v>127</v>
      </c>
      <c r="L668" t="s">
        <v>128</v>
      </c>
      <c r="M668" t="s">
        <v>143</v>
      </c>
      <c r="N668">
        <v>1</v>
      </c>
      <c r="O668" s="89">
        <v>62168.67</v>
      </c>
      <c r="P668" s="89">
        <v>1492048.08</v>
      </c>
      <c r="Q668" t="s">
        <v>137</v>
      </c>
      <c r="R668" t="s">
        <v>131</v>
      </c>
    </row>
    <row r="669" spans="3:18" hidden="1" x14ac:dyDescent="0.25">
      <c r="C669" t="s">
        <v>45</v>
      </c>
      <c r="D669" t="s">
        <v>24</v>
      </c>
      <c r="E669" t="s">
        <v>40</v>
      </c>
      <c r="F669" t="s">
        <v>41</v>
      </c>
      <c r="G669" s="89">
        <v>2375145</v>
      </c>
      <c r="H669" t="s">
        <v>140</v>
      </c>
      <c r="I669" t="s">
        <v>133</v>
      </c>
      <c r="J669" s="89">
        <v>64128915</v>
      </c>
      <c r="K669" t="s">
        <v>127</v>
      </c>
      <c r="L669" t="s">
        <v>128</v>
      </c>
      <c r="N669">
        <v>1</v>
      </c>
      <c r="O669" s="89">
        <v>71254.350000000006</v>
      </c>
      <c r="P669" s="89">
        <v>1211323.95</v>
      </c>
      <c r="Q669" t="s">
        <v>142</v>
      </c>
      <c r="R669" t="s">
        <v>131</v>
      </c>
    </row>
    <row r="670" spans="3:18" hidden="1" x14ac:dyDescent="0.25">
      <c r="C670" t="s">
        <v>45</v>
      </c>
      <c r="D670" t="s">
        <v>138</v>
      </c>
      <c r="E670" t="s">
        <v>43</v>
      </c>
      <c r="F670" t="s">
        <v>41</v>
      </c>
      <c r="G670" s="89">
        <v>15254827</v>
      </c>
      <c r="H670" t="s">
        <v>145</v>
      </c>
      <c r="I670" t="s">
        <v>126</v>
      </c>
      <c r="J670" s="89">
        <v>259332059</v>
      </c>
      <c r="K670" t="s">
        <v>127</v>
      </c>
      <c r="L670" t="s">
        <v>128</v>
      </c>
      <c r="N670">
        <v>1</v>
      </c>
      <c r="O670" s="89">
        <v>457644.81</v>
      </c>
      <c r="P670" s="89">
        <v>7474865.2300000004</v>
      </c>
      <c r="Q670" t="s">
        <v>142</v>
      </c>
      <c r="R670" t="s">
        <v>131</v>
      </c>
    </row>
    <row r="671" spans="3:18" hidden="1" x14ac:dyDescent="0.25">
      <c r="C671" t="s">
        <v>45</v>
      </c>
      <c r="D671" t="s">
        <v>20</v>
      </c>
      <c r="E671" t="s">
        <v>43</v>
      </c>
      <c r="F671" t="s">
        <v>41</v>
      </c>
      <c r="G671" s="89">
        <v>1406833</v>
      </c>
      <c r="H671" t="s">
        <v>132</v>
      </c>
      <c r="I671" t="s">
        <v>133</v>
      </c>
      <c r="J671" s="89">
        <v>45018656</v>
      </c>
      <c r="K671" t="s">
        <v>144</v>
      </c>
      <c r="N671">
        <v>1</v>
      </c>
      <c r="O671" s="89">
        <v>42204.99</v>
      </c>
      <c r="P671" s="89">
        <v>717484.83</v>
      </c>
      <c r="Q671" t="s">
        <v>142</v>
      </c>
      <c r="R671" t="s">
        <v>131</v>
      </c>
    </row>
    <row r="672" spans="3:18" x14ac:dyDescent="0.25">
      <c r="C672" t="s">
        <v>47</v>
      </c>
      <c r="D672" t="s">
        <v>50</v>
      </c>
      <c r="E672" t="s">
        <v>50</v>
      </c>
      <c r="F672" t="s">
        <v>41</v>
      </c>
      <c r="G672" s="89">
        <v>4410397</v>
      </c>
      <c r="H672" t="s">
        <v>79</v>
      </c>
      <c r="I672" t="s">
        <v>126</v>
      </c>
      <c r="J672" s="89">
        <v>88207940</v>
      </c>
      <c r="K672" t="s">
        <v>127</v>
      </c>
      <c r="N672">
        <v>1</v>
      </c>
      <c r="O672" s="89">
        <v>176415.88</v>
      </c>
      <c r="P672" s="89">
        <v>2205198.5</v>
      </c>
      <c r="Q672" t="s">
        <v>142</v>
      </c>
      <c r="R672" t="s">
        <v>79</v>
      </c>
    </row>
    <row r="673" spans="3:18" hidden="1" x14ac:dyDescent="0.25">
      <c r="C673" t="s">
        <v>45</v>
      </c>
      <c r="D673" t="s">
        <v>23</v>
      </c>
      <c r="E673" t="s">
        <v>40</v>
      </c>
      <c r="F673" t="s">
        <v>41</v>
      </c>
      <c r="G673" s="89">
        <v>15329858</v>
      </c>
      <c r="H673" t="s">
        <v>145</v>
      </c>
      <c r="I673" t="s">
        <v>126</v>
      </c>
      <c r="J673" s="89">
        <v>214618012</v>
      </c>
      <c r="K673" t="s">
        <v>127</v>
      </c>
      <c r="L673" t="s">
        <v>128</v>
      </c>
      <c r="N673">
        <v>1</v>
      </c>
      <c r="O673" s="89">
        <v>459895.74</v>
      </c>
      <c r="P673" s="89">
        <v>4292360.24</v>
      </c>
      <c r="Q673" t="s">
        <v>130</v>
      </c>
      <c r="R673" t="s">
        <v>131</v>
      </c>
    </row>
    <row r="674" spans="3:18" x14ac:dyDescent="0.25">
      <c r="C674" t="s">
        <v>47</v>
      </c>
      <c r="D674" t="s">
        <v>21</v>
      </c>
      <c r="E674" t="s">
        <v>40</v>
      </c>
      <c r="F674" t="s">
        <v>41</v>
      </c>
      <c r="G674" s="89">
        <v>3789532</v>
      </c>
      <c r="H674" t="s">
        <v>132</v>
      </c>
      <c r="I674" t="s">
        <v>141</v>
      </c>
      <c r="J674" s="89">
        <v>26526724</v>
      </c>
      <c r="K674" t="s">
        <v>127</v>
      </c>
      <c r="L674" t="s">
        <v>128</v>
      </c>
      <c r="N674">
        <v>1</v>
      </c>
      <c r="O674" s="89">
        <v>151581.28</v>
      </c>
      <c r="P674" s="89">
        <v>985278.32</v>
      </c>
      <c r="Q674" t="s">
        <v>130</v>
      </c>
      <c r="R674" t="s">
        <v>131</v>
      </c>
    </row>
    <row r="675" spans="3:18" hidden="1" x14ac:dyDescent="0.25">
      <c r="C675" t="s">
        <v>45</v>
      </c>
      <c r="D675" t="s">
        <v>24</v>
      </c>
      <c r="E675" t="s">
        <v>48</v>
      </c>
      <c r="F675" t="s">
        <v>41</v>
      </c>
      <c r="G675" s="89">
        <v>80248</v>
      </c>
      <c r="H675" t="s">
        <v>140</v>
      </c>
      <c r="I675" t="s">
        <v>133</v>
      </c>
      <c r="J675" s="89">
        <v>2407440</v>
      </c>
      <c r="K675" t="s">
        <v>127</v>
      </c>
      <c r="L675" t="s">
        <v>151</v>
      </c>
      <c r="N675">
        <v>1</v>
      </c>
      <c r="O675" s="89">
        <v>2407.44</v>
      </c>
      <c r="P675" s="89">
        <v>39321.519999999997</v>
      </c>
      <c r="Q675" t="s">
        <v>142</v>
      </c>
      <c r="R675" t="s">
        <v>131</v>
      </c>
    </row>
    <row r="676" spans="3:18" x14ac:dyDescent="0.25">
      <c r="C676" t="s">
        <v>47</v>
      </c>
      <c r="D676" t="s">
        <v>21</v>
      </c>
      <c r="E676" t="s">
        <v>43</v>
      </c>
      <c r="F676" t="s">
        <v>41</v>
      </c>
      <c r="G676" s="89">
        <v>3550028</v>
      </c>
      <c r="H676" t="s">
        <v>42</v>
      </c>
      <c r="I676" t="s">
        <v>141</v>
      </c>
      <c r="J676" s="89">
        <v>24850196</v>
      </c>
      <c r="K676" t="s">
        <v>127</v>
      </c>
      <c r="L676" t="s">
        <v>128</v>
      </c>
      <c r="M676" t="s">
        <v>129</v>
      </c>
      <c r="N676">
        <v>1</v>
      </c>
      <c r="O676" s="89">
        <v>142001.12</v>
      </c>
      <c r="P676" s="89">
        <v>1633012.88</v>
      </c>
      <c r="Q676" t="s">
        <v>142</v>
      </c>
      <c r="R676" t="s">
        <v>42</v>
      </c>
    </row>
    <row r="677" spans="3:18" hidden="1" x14ac:dyDescent="0.25">
      <c r="C677" t="s">
        <v>45</v>
      </c>
      <c r="D677" t="s">
        <v>23</v>
      </c>
      <c r="E677" t="s">
        <v>48</v>
      </c>
      <c r="F677" t="s">
        <v>41</v>
      </c>
      <c r="G677" s="89">
        <v>106818</v>
      </c>
      <c r="H677" t="s">
        <v>42</v>
      </c>
      <c r="I677" t="s">
        <v>133</v>
      </c>
      <c r="J677" s="89">
        <v>3418176</v>
      </c>
      <c r="K677" t="s">
        <v>127</v>
      </c>
      <c r="L677" t="s">
        <v>128</v>
      </c>
      <c r="M677" t="s">
        <v>136</v>
      </c>
      <c r="N677">
        <v>1</v>
      </c>
      <c r="O677" s="89">
        <v>3204.54</v>
      </c>
      <c r="P677" s="89">
        <v>65158.98</v>
      </c>
      <c r="Q677" t="s">
        <v>137</v>
      </c>
      <c r="R677" t="s">
        <v>131</v>
      </c>
    </row>
    <row r="678" spans="3:18" x14ac:dyDescent="0.25">
      <c r="C678" t="s">
        <v>47</v>
      </c>
      <c r="D678" t="s">
        <v>24</v>
      </c>
      <c r="E678" t="s">
        <v>40</v>
      </c>
      <c r="F678" t="s">
        <v>41</v>
      </c>
      <c r="G678" s="89">
        <v>1902327</v>
      </c>
      <c r="H678" t="s">
        <v>146</v>
      </c>
      <c r="I678" t="s">
        <v>141</v>
      </c>
      <c r="J678" s="89">
        <v>15218616</v>
      </c>
      <c r="K678" t="s">
        <v>127</v>
      </c>
      <c r="L678" t="s">
        <v>128</v>
      </c>
      <c r="N678">
        <v>1</v>
      </c>
      <c r="O678" s="89">
        <v>76093.08</v>
      </c>
      <c r="P678" s="89">
        <v>818000.61</v>
      </c>
      <c r="Q678" t="s">
        <v>142</v>
      </c>
      <c r="R678" t="s">
        <v>131</v>
      </c>
    </row>
    <row r="679" spans="3:18" x14ac:dyDescent="0.25">
      <c r="C679" t="s">
        <v>47</v>
      </c>
      <c r="D679" t="s">
        <v>19</v>
      </c>
      <c r="E679" t="s">
        <v>43</v>
      </c>
      <c r="F679" t="s">
        <v>41</v>
      </c>
      <c r="G679" s="89">
        <v>2530713</v>
      </c>
      <c r="H679" t="s">
        <v>146</v>
      </c>
      <c r="I679" t="s">
        <v>126</v>
      </c>
      <c r="J679" s="89">
        <v>35429982</v>
      </c>
      <c r="K679" t="s">
        <v>144</v>
      </c>
      <c r="N679">
        <v>1</v>
      </c>
      <c r="O679" s="89">
        <v>101228.52</v>
      </c>
      <c r="P679" s="89">
        <v>506142.6</v>
      </c>
      <c r="Q679" t="s">
        <v>130</v>
      </c>
      <c r="R679" t="s">
        <v>131</v>
      </c>
    </row>
    <row r="680" spans="3:18" hidden="1" x14ac:dyDescent="0.25">
      <c r="C680" t="s">
        <v>45</v>
      </c>
      <c r="D680" t="s">
        <v>24</v>
      </c>
      <c r="E680" t="s">
        <v>48</v>
      </c>
      <c r="F680" t="s">
        <v>41</v>
      </c>
      <c r="G680" s="89">
        <v>8338601</v>
      </c>
      <c r="H680" t="s">
        <v>146</v>
      </c>
      <c r="I680" t="s">
        <v>133</v>
      </c>
      <c r="J680" s="89">
        <v>208465025</v>
      </c>
      <c r="K680" t="s">
        <v>127</v>
      </c>
      <c r="L680" t="s">
        <v>128</v>
      </c>
      <c r="N680">
        <v>1</v>
      </c>
      <c r="O680" s="89">
        <v>250158.03</v>
      </c>
      <c r="P680" s="89">
        <v>4252686.51</v>
      </c>
      <c r="Q680" t="s">
        <v>142</v>
      </c>
      <c r="R680" t="s">
        <v>131</v>
      </c>
    </row>
    <row r="681" spans="3:18" hidden="1" x14ac:dyDescent="0.25">
      <c r="C681" t="s">
        <v>45</v>
      </c>
      <c r="D681" t="s">
        <v>22</v>
      </c>
      <c r="E681" t="s">
        <v>44</v>
      </c>
      <c r="F681" t="s">
        <v>53</v>
      </c>
      <c r="G681" s="89">
        <v>47925</v>
      </c>
      <c r="H681" t="s">
        <v>42</v>
      </c>
      <c r="I681" t="s">
        <v>133</v>
      </c>
      <c r="J681" s="89">
        <v>1917000</v>
      </c>
      <c r="K681" t="s">
        <v>144</v>
      </c>
      <c r="N681">
        <v>1</v>
      </c>
      <c r="O681" s="89">
        <v>1437.75</v>
      </c>
      <c r="P681" s="89">
        <v>11022.75</v>
      </c>
      <c r="Q681" t="s">
        <v>130</v>
      </c>
      <c r="R681" t="s">
        <v>42</v>
      </c>
    </row>
    <row r="682" spans="3:18" hidden="1" x14ac:dyDescent="0.25">
      <c r="C682" t="s">
        <v>45</v>
      </c>
      <c r="D682" t="s">
        <v>22</v>
      </c>
      <c r="E682" t="s">
        <v>43</v>
      </c>
      <c r="F682" t="s">
        <v>41</v>
      </c>
      <c r="G682" s="89">
        <v>87276</v>
      </c>
      <c r="H682" t="s">
        <v>145</v>
      </c>
      <c r="I682" t="s">
        <v>126</v>
      </c>
      <c r="J682" s="89">
        <v>1570968</v>
      </c>
      <c r="K682" t="s">
        <v>134</v>
      </c>
      <c r="L682" t="s">
        <v>128</v>
      </c>
      <c r="N682">
        <v>1</v>
      </c>
      <c r="O682" s="89">
        <v>2618.2800000000002</v>
      </c>
      <c r="P682" s="89">
        <v>54111.12</v>
      </c>
      <c r="Q682" t="s">
        <v>137</v>
      </c>
      <c r="R682" t="s">
        <v>131</v>
      </c>
    </row>
    <row r="683" spans="3:18" hidden="1" x14ac:dyDescent="0.25">
      <c r="C683" t="s">
        <v>45</v>
      </c>
      <c r="D683" t="s">
        <v>23</v>
      </c>
      <c r="E683" t="s">
        <v>48</v>
      </c>
      <c r="F683" t="s">
        <v>41</v>
      </c>
      <c r="G683" s="89">
        <v>13797</v>
      </c>
      <c r="H683" t="s">
        <v>42</v>
      </c>
      <c r="I683" t="s">
        <v>126</v>
      </c>
      <c r="J683" s="89">
        <v>193158</v>
      </c>
      <c r="K683" t="s">
        <v>127</v>
      </c>
      <c r="L683" t="s">
        <v>128</v>
      </c>
      <c r="M683" t="s">
        <v>152</v>
      </c>
      <c r="N683">
        <v>1</v>
      </c>
      <c r="O683" s="89">
        <v>413.91</v>
      </c>
      <c r="P683" s="89">
        <v>15038.73</v>
      </c>
      <c r="Q683" t="s">
        <v>150</v>
      </c>
      <c r="R683" t="s">
        <v>131</v>
      </c>
    </row>
    <row r="684" spans="3:18" x14ac:dyDescent="0.25">
      <c r="C684" t="s">
        <v>47</v>
      </c>
      <c r="D684" t="s">
        <v>20</v>
      </c>
      <c r="E684" t="s">
        <v>40</v>
      </c>
      <c r="F684" t="s">
        <v>41</v>
      </c>
      <c r="G684" s="89">
        <v>465865</v>
      </c>
      <c r="H684" t="s">
        <v>146</v>
      </c>
      <c r="I684" t="s">
        <v>126</v>
      </c>
      <c r="J684" s="89">
        <v>5590380</v>
      </c>
      <c r="K684" t="s">
        <v>127</v>
      </c>
      <c r="L684" t="s">
        <v>128</v>
      </c>
      <c r="N684">
        <v>1</v>
      </c>
      <c r="O684" s="89">
        <v>23293.25</v>
      </c>
      <c r="P684" s="89">
        <v>307470.90000000002</v>
      </c>
      <c r="Q684" t="s">
        <v>137</v>
      </c>
      <c r="R684" t="s">
        <v>131</v>
      </c>
    </row>
    <row r="685" spans="3:18" hidden="1" x14ac:dyDescent="0.25">
      <c r="C685" t="s">
        <v>45</v>
      </c>
      <c r="D685" t="s">
        <v>22</v>
      </c>
      <c r="E685" t="s">
        <v>43</v>
      </c>
      <c r="F685" t="s">
        <v>41</v>
      </c>
      <c r="G685" s="89">
        <v>71</v>
      </c>
      <c r="H685" t="s">
        <v>146</v>
      </c>
      <c r="I685" t="s">
        <v>147</v>
      </c>
      <c r="J685" s="89"/>
      <c r="K685" t="s">
        <v>127</v>
      </c>
      <c r="L685" t="s">
        <v>128</v>
      </c>
      <c r="N685">
        <v>0</v>
      </c>
      <c r="O685" s="89">
        <v>3.55</v>
      </c>
      <c r="P685" s="89">
        <v>0</v>
      </c>
      <c r="Q685" t="s">
        <v>130</v>
      </c>
      <c r="R685" t="s">
        <v>131</v>
      </c>
    </row>
    <row r="686" spans="3:18" x14ac:dyDescent="0.25">
      <c r="C686" t="s">
        <v>47</v>
      </c>
      <c r="D686" t="s">
        <v>23</v>
      </c>
      <c r="E686" t="s">
        <v>40</v>
      </c>
      <c r="F686" t="s">
        <v>41</v>
      </c>
      <c r="G686" s="89">
        <v>97388</v>
      </c>
      <c r="H686" t="s">
        <v>146</v>
      </c>
      <c r="I686" t="s">
        <v>141</v>
      </c>
      <c r="J686" s="89">
        <v>876492</v>
      </c>
      <c r="K686" t="s">
        <v>127</v>
      </c>
      <c r="L686" t="s">
        <v>128</v>
      </c>
      <c r="N686">
        <v>1</v>
      </c>
      <c r="O686" s="89">
        <v>3895.52</v>
      </c>
      <c r="P686" s="89">
        <v>60380.56</v>
      </c>
      <c r="Q686" t="s">
        <v>137</v>
      </c>
      <c r="R686" t="s">
        <v>131</v>
      </c>
    </row>
    <row r="687" spans="3:18" hidden="1" x14ac:dyDescent="0.25">
      <c r="C687" t="s">
        <v>45</v>
      </c>
      <c r="D687" t="s">
        <v>21</v>
      </c>
      <c r="E687" t="s">
        <v>44</v>
      </c>
      <c r="F687" t="s">
        <v>41</v>
      </c>
      <c r="G687" s="89">
        <v>93456</v>
      </c>
      <c r="H687" t="s">
        <v>42</v>
      </c>
      <c r="I687" t="s">
        <v>126</v>
      </c>
      <c r="J687" s="89">
        <v>1028016</v>
      </c>
      <c r="K687" t="s">
        <v>144</v>
      </c>
      <c r="N687">
        <v>1</v>
      </c>
      <c r="O687" s="89">
        <v>2803.68</v>
      </c>
      <c r="P687" s="89">
        <v>45793.440000000002</v>
      </c>
      <c r="Q687" t="s">
        <v>142</v>
      </c>
      <c r="R687" t="s">
        <v>42</v>
      </c>
    </row>
    <row r="688" spans="3:18" x14ac:dyDescent="0.25">
      <c r="C688" t="s">
        <v>47</v>
      </c>
      <c r="D688" t="s">
        <v>21</v>
      </c>
      <c r="E688" t="s">
        <v>40</v>
      </c>
      <c r="F688" t="s">
        <v>41</v>
      </c>
      <c r="G688" s="89">
        <v>300319</v>
      </c>
      <c r="H688" t="s">
        <v>146</v>
      </c>
      <c r="I688" t="s">
        <v>153</v>
      </c>
      <c r="J688" s="89"/>
      <c r="K688" t="s">
        <v>127</v>
      </c>
      <c r="L688" t="s">
        <v>128</v>
      </c>
      <c r="N688">
        <v>0</v>
      </c>
      <c r="O688" s="89">
        <v>9009.57</v>
      </c>
      <c r="P688" s="89">
        <v>222236.06</v>
      </c>
      <c r="Q688" t="s">
        <v>137</v>
      </c>
      <c r="R688" t="s">
        <v>131</v>
      </c>
    </row>
    <row r="689" spans="3:18" hidden="1" x14ac:dyDescent="0.25">
      <c r="C689" t="s">
        <v>45</v>
      </c>
      <c r="D689" t="s">
        <v>22</v>
      </c>
      <c r="E689" t="s">
        <v>48</v>
      </c>
      <c r="F689" t="s">
        <v>41</v>
      </c>
      <c r="G689" s="89">
        <v>756664</v>
      </c>
      <c r="H689" t="s">
        <v>42</v>
      </c>
      <c r="I689" t="s">
        <v>141</v>
      </c>
      <c r="J689" s="89">
        <v>5296648</v>
      </c>
      <c r="K689" t="s">
        <v>127</v>
      </c>
      <c r="L689" t="s">
        <v>128</v>
      </c>
      <c r="M689" t="s">
        <v>143</v>
      </c>
      <c r="N689">
        <v>1</v>
      </c>
      <c r="O689" s="89">
        <v>22699.919999999998</v>
      </c>
      <c r="P689" s="89">
        <v>219432.56</v>
      </c>
      <c r="Q689" t="s">
        <v>130</v>
      </c>
      <c r="R689" t="s">
        <v>42</v>
      </c>
    </row>
    <row r="690" spans="3:18" hidden="1" x14ac:dyDescent="0.25">
      <c r="C690" t="s">
        <v>45</v>
      </c>
      <c r="D690" t="s">
        <v>23</v>
      </c>
      <c r="E690" t="s">
        <v>48</v>
      </c>
      <c r="F690" t="s">
        <v>41</v>
      </c>
      <c r="G690" s="89">
        <v>1884484</v>
      </c>
      <c r="H690" t="s">
        <v>145</v>
      </c>
      <c r="I690" t="s">
        <v>126</v>
      </c>
      <c r="J690" s="89">
        <v>26382776</v>
      </c>
      <c r="K690" t="s">
        <v>127</v>
      </c>
      <c r="L690" t="s">
        <v>128</v>
      </c>
      <c r="N690">
        <v>1</v>
      </c>
      <c r="O690" s="89">
        <v>56534.52</v>
      </c>
      <c r="P690" s="89">
        <v>508810.68</v>
      </c>
      <c r="Q690" t="s">
        <v>130</v>
      </c>
      <c r="R690" t="s">
        <v>131</v>
      </c>
    </row>
    <row r="691" spans="3:18" hidden="1" x14ac:dyDescent="0.25">
      <c r="C691" t="s">
        <v>45</v>
      </c>
      <c r="D691" t="s">
        <v>24</v>
      </c>
      <c r="E691" t="s">
        <v>48</v>
      </c>
      <c r="F691" t="s">
        <v>41</v>
      </c>
      <c r="G691" s="89">
        <v>253194</v>
      </c>
      <c r="H691" t="s">
        <v>140</v>
      </c>
      <c r="I691" t="s">
        <v>126</v>
      </c>
      <c r="J691" s="89">
        <v>4051104</v>
      </c>
      <c r="K691" t="s">
        <v>144</v>
      </c>
      <c r="N691">
        <v>1</v>
      </c>
      <c r="O691" s="89">
        <v>7595.82</v>
      </c>
      <c r="P691" s="89">
        <v>210151.02</v>
      </c>
      <c r="Q691" t="s">
        <v>135</v>
      </c>
      <c r="R691" t="s">
        <v>131</v>
      </c>
    </row>
    <row r="692" spans="3:18" x14ac:dyDescent="0.25">
      <c r="C692" t="s">
        <v>47</v>
      </c>
      <c r="D692" t="s">
        <v>20</v>
      </c>
      <c r="E692" t="s">
        <v>40</v>
      </c>
      <c r="F692" t="s">
        <v>41</v>
      </c>
      <c r="G692" s="89">
        <v>290167</v>
      </c>
      <c r="H692" t="s">
        <v>146</v>
      </c>
      <c r="I692" t="s">
        <v>141</v>
      </c>
      <c r="J692" s="89">
        <v>2901670</v>
      </c>
      <c r="K692" t="s">
        <v>144</v>
      </c>
      <c r="N692">
        <v>1</v>
      </c>
      <c r="O692" s="89">
        <v>8705.01</v>
      </c>
      <c r="P692" s="89">
        <v>110263.46</v>
      </c>
      <c r="Q692" t="s">
        <v>130</v>
      </c>
      <c r="R692" t="s">
        <v>131</v>
      </c>
    </row>
    <row r="693" spans="3:18" hidden="1" x14ac:dyDescent="0.25">
      <c r="C693" t="s">
        <v>45</v>
      </c>
      <c r="D693" t="s">
        <v>23</v>
      </c>
      <c r="E693" t="s">
        <v>48</v>
      </c>
      <c r="F693" t="s">
        <v>41</v>
      </c>
      <c r="G693" s="89">
        <v>174927</v>
      </c>
      <c r="H693" t="s">
        <v>42</v>
      </c>
      <c r="I693" t="s">
        <v>133</v>
      </c>
      <c r="J693" s="89">
        <v>6472299</v>
      </c>
      <c r="K693" t="s">
        <v>134</v>
      </c>
      <c r="L693" t="s">
        <v>128</v>
      </c>
      <c r="M693" t="s">
        <v>152</v>
      </c>
      <c r="N693">
        <v>1</v>
      </c>
      <c r="O693" s="89">
        <v>5247.81</v>
      </c>
      <c r="P693" s="89">
        <v>141690.87</v>
      </c>
      <c r="Q693" t="s">
        <v>135</v>
      </c>
      <c r="R693" t="s">
        <v>42</v>
      </c>
    </row>
    <row r="694" spans="3:18" hidden="1" x14ac:dyDescent="0.25">
      <c r="C694" t="s">
        <v>45</v>
      </c>
      <c r="D694" t="s">
        <v>22</v>
      </c>
      <c r="E694" t="s">
        <v>46</v>
      </c>
      <c r="F694" t="s">
        <v>41</v>
      </c>
      <c r="G694" s="89">
        <v>80005</v>
      </c>
      <c r="H694" t="s">
        <v>42</v>
      </c>
      <c r="I694" t="s">
        <v>133</v>
      </c>
      <c r="J694" s="89">
        <v>3120195</v>
      </c>
      <c r="K694" t="s">
        <v>134</v>
      </c>
      <c r="L694" t="s">
        <v>128</v>
      </c>
      <c r="M694" t="s">
        <v>143</v>
      </c>
      <c r="N694">
        <v>1</v>
      </c>
      <c r="O694" s="89">
        <v>2400.15</v>
      </c>
      <c r="P694" s="89">
        <v>63203.95</v>
      </c>
      <c r="Q694" t="s">
        <v>137</v>
      </c>
      <c r="R694" t="s">
        <v>42</v>
      </c>
    </row>
    <row r="695" spans="3:18" hidden="1" x14ac:dyDescent="0.25">
      <c r="C695" t="s">
        <v>45</v>
      </c>
      <c r="D695" t="s">
        <v>22</v>
      </c>
      <c r="E695" t="s">
        <v>43</v>
      </c>
      <c r="F695" t="s">
        <v>41</v>
      </c>
      <c r="G695" s="89">
        <v>10866351</v>
      </c>
      <c r="H695" t="s">
        <v>140</v>
      </c>
      <c r="I695" t="s">
        <v>147</v>
      </c>
      <c r="J695" s="89">
        <v>10866351</v>
      </c>
      <c r="K695" t="s">
        <v>127</v>
      </c>
      <c r="L695" t="s">
        <v>128</v>
      </c>
      <c r="N695">
        <v>1</v>
      </c>
      <c r="O695" s="89">
        <v>543317.55000000005</v>
      </c>
      <c r="P695" s="89">
        <v>11409668.550000001</v>
      </c>
      <c r="Q695" t="s">
        <v>150</v>
      </c>
      <c r="R695" t="s">
        <v>131</v>
      </c>
    </row>
    <row r="696" spans="3:18" x14ac:dyDescent="0.25">
      <c r="C696" t="s">
        <v>47</v>
      </c>
      <c r="D696" t="s">
        <v>22</v>
      </c>
      <c r="E696" t="s">
        <v>40</v>
      </c>
      <c r="F696" t="s">
        <v>41</v>
      </c>
      <c r="G696" s="89">
        <v>209325</v>
      </c>
      <c r="H696" t="s">
        <v>132</v>
      </c>
      <c r="I696" t="s">
        <v>147</v>
      </c>
      <c r="J696" s="89">
        <v>837300</v>
      </c>
      <c r="K696" t="s">
        <v>127</v>
      </c>
      <c r="L696" t="s">
        <v>128</v>
      </c>
      <c r="N696">
        <v>1</v>
      </c>
      <c r="O696" s="89">
        <v>8373</v>
      </c>
      <c r="P696" s="89">
        <v>104662.5</v>
      </c>
      <c r="Q696" t="s">
        <v>142</v>
      </c>
      <c r="R696" t="s">
        <v>131</v>
      </c>
    </row>
    <row r="697" spans="3:18" x14ac:dyDescent="0.25">
      <c r="C697" t="s">
        <v>47</v>
      </c>
      <c r="D697" t="s">
        <v>21</v>
      </c>
      <c r="E697" t="s">
        <v>43</v>
      </c>
      <c r="F697" t="s">
        <v>41</v>
      </c>
      <c r="G697" s="89">
        <v>120806</v>
      </c>
      <c r="H697" t="s">
        <v>146</v>
      </c>
      <c r="I697" t="s">
        <v>133</v>
      </c>
      <c r="J697" s="89">
        <v>2778538</v>
      </c>
      <c r="K697" t="s">
        <v>127</v>
      </c>
      <c r="L697" t="s">
        <v>128</v>
      </c>
      <c r="N697">
        <v>1</v>
      </c>
      <c r="O697" s="89">
        <v>8456.42</v>
      </c>
      <c r="P697" s="89">
        <v>79731.960000000006</v>
      </c>
      <c r="Q697" t="s">
        <v>137</v>
      </c>
      <c r="R697" t="s">
        <v>131</v>
      </c>
    </row>
    <row r="698" spans="3:18" x14ac:dyDescent="0.25">
      <c r="C698" t="s">
        <v>47</v>
      </c>
      <c r="D698" t="s">
        <v>21</v>
      </c>
      <c r="E698" t="s">
        <v>43</v>
      </c>
      <c r="F698" t="s">
        <v>41</v>
      </c>
      <c r="G698" s="89">
        <v>19857</v>
      </c>
      <c r="H698" t="s">
        <v>146</v>
      </c>
      <c r="I698" t="s">
        <v>133</v>
      </c>
      <c r="J698" s="89">
        <v>595710</v>
      </c>
      <c r="K698" t="s">
        <v>144</v>
      </c>
      <c r="N698">
        <v>1</v>
      </c>
      <c r="O698" s="89">
        <v>595.71</v>
      </c>
      <c r="P698" s="89">
        <v>6552.81</v>
      </c>
      <c r="Q698" t="s">
        <v>130</v>
      </c>
      <c r="R698" t="s">
        <v>131</v>
      </c>
    </row>
    <row r="699" spans="3:18" hidden="1" x14ac:dyDescent="0.25">
      <c r="C699" t="s">
        <v>45</v>
      </c>
      <c r="D699" t="s">
        <v>25</v>
      </c>
      <c r="E699" t="s">
        <v>48</v>
      </c>
      <c r="F699" t="s">
        <v>41</v>
      </c>
      <c r="G699" s="89">
        <v>28996</v>
      </c>
      <c r="H699" t="s">
        <v>146</v>
      </c>
      <c r="I699" t="s">
        <v>141</v>
      </c>
      <c r="J699" s="89">
        <v>202972</v>
      </c>
      <c r="K699" t="s">
        <v>144</v>
      </c>
      <c r="N699">
        <v>1</v>
      </c>
      <c r="O699" s="89">
        <v>1449.8</v>
      </c>
      <c r="P699" s="89">
        <v>2319.6799999999998</v>
      </c>
      <c r="Q699" t="s">
        <v>130</v>
      </c>
      <c r="R699" t="s">
        <v>131</v>
      </c>
    </row>
    <row r="700" spans="3:18" hidden="1" x14ac:dyDescent="0.25">
      <c r="C700" t="s">
        <v>45</v>
      </c>
      <c r="D700" t="s">
        <v>20</v>
      </c>
      <c r="E700" t="s">
        <v>43</v>
      </c>
      <c r="F700" t="s">
        <v>41</v>
      </c>
      <c r="G700" s="89">
        <v>20109231</v>
      </c>
      <c r="H700" t="s">
        <v>42</v>
      </c>
      <c r="I700" t="s">
        <v>126</v>
      </c>
      <c r="J700" s="89">
        <v>301638465</v>
      </c>
      <c r="K700" t="s">
        <v>127</v>
      </c>
      <c r="L700" t="s">
        <v>128</v>
      </c>
      <c r="M700" t="s">
        <v>139</v>
      </c>
      <c r="N700">
        <v>1</v>
      </c>
      <c r="O700" s="89">
        <v>603276.93000000005</v>
      </c>
      <c r="P700" s="89">
        <v>5429492.3700000001</v>
      </c>
      <c r="Q700" t="s">
        <v>130</v>
      </c>
      <c r="R700" t="s">
        <v>131</v>
      </c>
    </row>
    <row r="701" spans="3:18" hidden="1" x14ac:dyDescent="0.25">
      <c r="C701" t="s">
        <v>45</v>
      </c>
      <c r="D701" t="s">
        <v>149</v>
      </c>
      <c r="E701" t="s">
        <v>43</v>
      </c>
      <c r="F701" t="s">
        <v>41</v>
      </c>
      <c r="G701" s="89">
        <v>232887</v>
      </c>
      <c r="H701" t="s">
        <v>145</v>
      </c>
      <c r="I701" t="s">
        <v>147</v>
      </c>
      <c r="J701" s="89">
        <v>1164435</v>
      </c>
      <c r="K701" t="s">
        <v>127</v>
      </c>
      <c r="L701" t="s">
        <v>128</v>
      </c>
      <c r="N701">
        <v>1</v>
      </c>
      <c r="O701" s="89">
        <v>6986.61</v>
      </c>
      <c r="P701" s="89">
        <v>109456.89</v>
      </c>
      <c r="Q701" t="s">
        <v>142</v>
      </c>
      <c r="R701" t="s">
        <v>131</v>
      </c>
    </row>
    <row r="702" spans="3:18" x14ac:dyDescent="0.25">
      <c r="C702" t="s">
        <v>47</v>
      </c>
      <c r="D702" t="s">
        <v>23</v>
      </c>
      <c r="E702" t="s">
        <v>48</v>
      </c>
      <c r="F702" t="s">
        <v>41</v>
      </c>
      <c r="G702" s="89">
        <v>10018</v>
      </c>
      <c r="H702" t="s">
        <v>140</v>
      </c>
      <c r="I702" t="s">
        <v>153</v>
      </c>
      <c r="J702" s="89"/>
      <c r="K702" t="s">
        <v>127</v>
      </c>
      <c r="L702" t="s">
        <v>128</v>
      </c>
      <c r="N702">
        <v>0</v>
      </c>
      <c r="O702" s="89">
        <v>200.36</v>
      </c>
      <c r="P702" s="89">
        <v>300.54000000000002</v>
      </c>
      <c r="Q702" t="s">
        <v>130</v>
      </c>
      <c r="R702" t="s">
        <v>131</v>
      </c>
    </row>
    <row r="703" spans="3:18" hidden="1" x14ac:dyDescent="0.25">
      <c r="C703" t="s">
        <v>45</v>
      </c>
      <c r="D703" t="s">
        <v>23</v>
      </c>
      <c r="E703" t="s">
        <v>48</v>
      </c>
      <c r="F703" t="s">
        <v>41</v>
      </c>
      <c r="G703" s="89">
        <v>371962</v>
      </c>
      <c r="H703" t="s">
        <v>42</v>
      </c>
      <c r="I703" t="s">
        <v>126</v>
      </c>
      <c r="J703" s="89">
        <v>5579430</v>
      </c>
      <c r="K703" t="s">
        <v>144</v>
      </c>
      <c r="N703">
        <v>1</v>
      </c>
      <c r="O703" s="89">
        <v>11158.86</v>
      </c>
      <c r="P703" s="89">
        <v>193420.24</v>
      </c>
      <c r="Q703" t="s">
        <v>142</v>
      </c>
      <c r="R703" t="s">
        <v>131</v>
      </c>
    </row>
    <row r="704" spans="3:18" hidden="1" x14ac:dyDescent="0.25">
      <c r="C704" t="s">
        <v>45</v>
      </c>
      <c r="D704" t="s">
        <v>138</v>
      </c>
      <c r="E704" t="s">
        <v>43</v>
      </c>
      <c r="F704" t="s">
        <v>41</v>
      </c>
      <c r="G704" s="89">
        <v>11390119</v>
      </c>
      <c r="H704" t="s">
        <v>140</v>
      </c>
      <c r="I704" t="s">
        <v>141</v>
      </c>
      <c r="J704" s="89">
        <v>79730833</v>
      </c>
      <c r="K704" t="s">
        <v>127</v>
      </c>
      <c r="L704" t="s">
        <v>128</v>
      </c>
      <c r="N704">
        <v>1</v>
      </c>
      <c r="O704" s="89">
        <v>341703.57</v>
      </c>
      <c r="P704" s="89">
        <v>2391924.9900000002</v>
      </c>
      <c r="Q704" t="s">
        <v>130</v>
      </c>
      <c r="R704" t="s">
        <v>131</v>
      </c>
    </row>
    <row r="705" spans="3:18" x14ac:dyDescent="0.25">
      <c r="C705" t="s">
        <v>47</v>
      </c>
      <c r="D705" t="s">
        <v>23</v>
      </c>
      <c r="E705" t="s">
        <v>40</v>
      </c>
      <c r="F705" t="s">
        <v>41</v>
      </c>
      <c r="G705" s="89">
        <v>1029988</v>
      </c>
      <c r="H705" t="s">
        <v>145</v>
      </c>
      <c r="I705" t="s">
        <v>141</v>
      </c>
      <c r="J705" s="89">
        <v>7209916</v>
      </c>
      <c r="K705" t="s">
        <v>127</v>
      </c>
      <c r="L705" t="s">
        <v>128</v>
      </c>
      <c r="N705">
        <v>1</v>
      </c>
      <c r="O705" s="89">
        <v>41199.519999999997</v>
      </c>
      <c r="P705" s="89">
        <v>525293.88</v>
      </c>
      <c r="Q705" t="s">
        <v>142</v>
      </c>
      <c r="R705" t="s">
        <v>131</v>
      </c>
    </row>
    <row r="706" spans="3:18" x14ac:dyDescent="0.25">
      <c r="C706" t="s">
        <v>47</v>
      </c>
      <c r="D706" t="s">
        <v>25</v>
      </c>
      <c r="E706" t="s">
        <v>44</v>
      </c>
      <c r="F706" t="s">
        <v>41</v>
      </c>
      <c r="G706" s="89">
        <v>115505</v>
      </c>
      <c r="H706" t="s">
        <v>145</v>
      </c>
      <c r="I706" t="s">
        <v>147</v>
      </c>
      <c r="J706" s="89">
        <v>231010</v>
      </c>
      <c r="K706" t="s">
        <v>127</v>
      </c>
      <c r="L706" t="s">
        <v>128</v>
      </c>
      <c r="N706">
        <v>1</v>
      </c>
      <c r="O706" s="89">
        <v>4620.2</v>
      </c>
      <c r="P706" s="89">
        <v>11550.5</v>
      </c>
      <c r="Q706" t="s">
        <v>130</v>
      </c>
      <c r="R706" t="s">
        <v>131</v>
      </c>
    </row>
    <row r="707" spans="3:18" hidden="1" x14ac:dyDescent="0.25">
      <c r="C707" t="s">
        <v>45</v>
      </c>
      <c r="D707" t="s">
        <v>19</v>
      </c>
      <c r="E707" t="s">
        <v>43</v>
      </c>
      <c r="F707" t="s">
        <v>41</v>
      </c>
      <c r="G707" s="89">
        <v>13645</v>
      </c>
      <c r="H707" t="s">
        <v>146</v>
      </c>
      <c r="I707" t="s">
        <v>133</v>
      </c>
      <c r="J707" s="89">
        <v>354770</v>
      </c>
      <c r="K707" t="s">
        <v>134</v>
      </c>
      <c r="L707" t="s">
        <v>128</v>
      </c>
      <c r="N707">
        <v>1</v>
      </c>
      <c r="O707" s="89">
        <v>682.25</v>
      </c>
      <c r="P707" s="89">
        <v>4093.5</v>
      </c>
      <c r="Q707" t="s">
        <v>130</v>
      </c>
      <c r="R707" t="s">
        <v>131</v>
      </c>
    </row>
    <row r="708" spans="3:18" hidden="1" x14ac:dyDescent="0.25">
      <c r="C708" t="s">
        <v>45</v>
      </c>
      <c r="D708" t="s">
        <v>23</v>
      </c>
      <c r="E708" t="s">
        <v>43</v>
      </c>
      <c r="F708" t="s">
        <v>41</v>
      </c>
      <c r="G708" s="89">
        <v>3180401</v>
      </c>
      <c r="H708" t="s">
        <v>146</v>
      </c>
      <c r="I708" t="s">
        <v>133</v>
      </c>
      <c r="J708" s="89">
        <v>95412030</v>
      </c>
      <c r="K708" t="s">
        <v>127</v>
      </c>
      <c r="L708" t="s">
        <v>128</v>
      </c>
      <c r="N708">
        <v>1</v>
      </c>
      <c r="O708" s="89">
        <v>95412.03</v>
      </c>
      <c r="P708" s="89">
        <v>2162672.6800000002</v>
      </c>
      <c r="Q708" t="s">
        <v>137</v>
      </c>
      <c r="R708" t="s">
        <v>131</v>
      </c>
    </row>
    <row r="709" spans="3:18" x14ac:dyDescent="0.25">
      <c r="C709" t="s">
        <v>47</v>
      </c>
      <c r="D709" t="s">
        <v>24</v>
      </c>
      <c r="E709" t="s">
        <v>44</v>
      </c>
      <c r="F709" t="s">
        <v>41</v>
      </c>
      <c r="G709" s="89">
        <v>134404</v>
      </c>
      <c r="H709" t="s">
        <v>146</v>
      </c>
      <c r="I709" t="s">
        <v>141</v>
      </c>
      <c r="J709" s="89">
        <v>806424</v>
      </c>
      <c r="K709" t="s">
        <v>127</v>
      </c>
      <c r="L709" t="s">
        <v>128</v>
      </c>
      <c r="N709">
        <v>1</v>
      </c>
      <c r="O709" s="89">
        <v>5376.16</v>
      </c>
      <c r="P709" s="89">
        <v>45697.36</v>
      </c>
      <c r="Q709" t="s">
        <v>130</v>
      </c>
      <c r="R709" t="s">
        <v>131</v>
      </c>
    </row>
    <row r="710" spans="3:18" hidden="1" x14ac:dyDescent="0.25">
      <c r="C710" t="s">
        <v>45</v>
      </c>
      <c r="D710" t="s">
        <v>22</v>
      </c>
      <c r="E710" t="s">
        <v>48</v>
      </c>
      <c r="F710" t="s">
        <v>41</v>
      </c>
      <c r="G710" s="89">
        <v>364509</v>
      </c>
      <c r="H710" t="s">
        <v>146</v>
      </c>
      <c r="I710" t="s">
        <v>133</v>
      </c>
      <c r="J710" s="89">
        <v>12028797</v>
      </c>
      <c r="K710" t="s">
        <v>144</v>
      </c>
      <c r="N710">
        <v>1</v>
      </c>
      <c r="O710" s="89">
        <v>10935.27</v>
      </c>
      <c r="P710" s="89">
        <v>61966.53</v>
      </c>
      <c r="Q710" t="s">
        <v>130</v>
      </c>
      <c r="R710" t="s">
        <v>131</v>
      </c>
    </row>
    <row r="711" spans="3:18" hidden="1" x14ac:dyDescent="0.25">
      <c r="C711" t="s">
        <v>45</v>
      </c>
      <c r="D711" t="s">
        <v>149</v>
      </c>
      <c r="E711" t="s">
        <v>43</v>
      </c>
      <c r="F711" t="s">
        <v>41</v>
      </c>
      <c r="G711" s="89">
        <v>7747555</v>
      </c>
      <c r="H711" t="s">
        <v>42</v>
      </c>
      <c r="I711" t="s">
        <v>147</v>
      </c>
      <c r="J711" s="89">
        <v>7747555</v>
      </c>
      <c r="K711" t="s">
        <v>127</v>
      </c>
      <c r="L711" t="s">
        <v>128</v>
      </c>
      <c r="M711" t="s">
        <v>136</v>
      </c>
      <c r="N711">
        <v>1</v>
      </c>
      <c r="O711" s="89">
        <v>309902.2</v>
      </c>
      <c r="P711" s="89">
        <v>3796301.95</v>
      </c>
      <c r="Q711" t="s">
        <v>142</v>
      </c>
      <c r="R711" t="s">
        <v>131</v>
      </c>
    </row>
    <row r="712" spans="3:18" hidden="1" x14ac:dyDescent="0.25">
      <c r="C712" t="s">
        <v>45</v>
      </c>
      <c r="D712" t="s">
        <v>20</v>
      </c>
      <c r="E712" t="s">
        <v>43</v>
      </c>
      <c r="F712" t="s">
        <v>41</v>
      </c>
      <c r="G712" s="89">
        <v>229915</v>
      </c>
      <c r="H712" t="s">
        <v>42</v>
      </c>
      <c r="I712" t="s">
        <v>141</v>
      </c>
      <c r="J712" s="89">
        <v>2069235</v>
      </c>
      <c r="K712" t="s">
        <v>144</v>
      </c>
      <c r="N712">
        <v>1</v>
      </c>
      <c r="O712" s="89">
        <v>6897.45</v>
      </c>
      <c r="P712" s="89">
        <v>110359.2</v>
      </c>
      <c r="Q712" t="s">
        <v>142</v>
      </c>
      <c r="R712" t="s">
        <v>42</v>
      </c>
    </row>
    <row r="713" spans="3:18" x14ac:dyDescent="0.25">
      <c r="C713" t="s">
        <v>47</v>
      </c>
      <c r="D713" t="s">
        <v>21</v>
      </c>
      <c r="E713" t="s">
        <v>43</v>
      </c>
      <c r="F713" t="s">
        <v>41</v>
      </c>
      <c r="G713" s="89">
        <v>644</v>
      </c>
      <c r="H713" t="s">
        <v>140</v>
      </c>
      <c r="I713" t="s">
        <v>147</v>
      </c>
      <c r="J713" s="89"/>
      <c r="K713" t="s">
        <v>127</v>
      </c>
      <c r="L713" t="s">
        <v>128</v>
      </c>
      <c r="N713">
        <v>0</v>
      </c>
      <c r="O713" s="89">
        <v>0</v>
      </c>
      <c r="P713" s="89">
        <v>289.8</v>
      </c>
      <c r="Q713" t="s">
        <v>142</v>
      </c>
      <c r="R713" t="s">
        <v>131</v>
      </c>
    </row>
    <row r="714" spans="3:18" hidden="1" x14ac:dyDescent="0.25">
      <c r="C714" t="s">
        <v>45</v>
      </c>
      <c r="D714" t="s">
        <v>22</v>
      </c>
      <c r="E714" t="s">
        <v>40</v>
      </c>
      <c r="F714" t="s">
        <v>53</v>
      </c>
      <c r="G714" s="89">
        <v>104519</v>
      </c>
      <c r="H714" t="s">
        <v>132</v>
      </c>
      <c r="I714" t="s">
        <v>133</v>
      </c>
      <c r="J714" s="89">
        <v>2612975</v>
      </c>
      <c r="K714" t="s">
        <v>144</v>
      </c>
      <c r="N714">
        <v>1</v>
      </c>
      <c r="O714" s="89">
        <v>3135.57</v>
      </c>
      <c r="P714" s="89">
        <v>59575.83</v>
      </c>
      <c r="Q714" t="s">
        <v>142</v>
      </c>
      <c r="R714" t="s">
        <v>131</v>
      </c>
    </row>
    <row r="715" spans="3:18" hidden="1" x14ac:dyDescent="0.25">
      <c r="C715" t="s">
        <v>45</v>
      </c>
      <c r="D715" t="s">
        <v>138</v>
      </c>
      <c r="E715" t="s">
        <v>43</v>
      </c>
      <c r="F715" t="s">
        <v>41</v>
      </c>
      <c r="G715" s="89">
        <v>273287</v>
      </c>
      <c r="H715" t="s">
        <v>42</v>
      </c>
      <c r="I715" t="s">
        <v>133</v>
      </c>
      <c r="J715" s="89">
        <v>8471897</v>
      </c>
      <c r="K715" t="s">
        <v>127</v>
      </c>
      <c r="L715" t="s">
        <v>128</v>
      </c>
      <c r="M715" t="s">
        <v>136</v>
      </c>
      <c r="N715">
        <v>1</v>
      </c>
      <c r="O715" s="89">
        <v>10931.48</v>
      </c>
      <c r="P715" s="89">
        <v>196766.64</v>
      </c>
      <c r="Q715" t="s">
        <v>137</v>
      </c>
      <c r="R715" t="s">
        <v>42</v>
      </c>
    </row>
    <row r="716" spans="3:18" hidden="1" x14ac:dyDescent="0.25">
      <c r="C716" t="s">
        <v>45</v>
      </c>
      <c r="D716" t="s">
        <v>23</v>
      </c>
      <c r="E716" t="s">
        <v>46</v>
      </c>
      <c r="F716" t="s">
        <v>41</v>
      </c>
      <c r="G716" s="89">
        <v>422704</v>
      </c>
      <c r="H716" t="s">
        <v>42</v>
      </c>
      <c r="I716" t="s">
        <v>126</v>
      </c>
      <c r="J716" s="89">
        <v>7185968</v>
      </c>
      <c r="K716" t="s">
        <v>144</v>
      </c>
      <c r="N716">
        <v>1</v>
      </c>
      <c r="O716" s="89">
        <v>12681.12</v>
      </c>
      <c r="P716" s="89">
        <v>109903.03999999999</v>
      </c>
      <c r="Q716" t="s">
        <v>130</v>
      </c>
      <c r="R716" t="s">
        <v>42</v>
      </c>
    </row>
    <row r="717" spans="3:18" hidden="1" x14ac:dyDescent="0.25">
      <c r="C717" t="s">
        <v>45</v>
      </c>
      <c r="D717" t="s">
        <v>138</v>
      </c>
      <c r="E717" t="s">
        <v>40</v>
      </c>
      <c r="F717" t="s">
        <v>41</v>
      </c>
      <c r="G717" s="89">
        <v>9112902</v>
      </c>
      <c r="H717" t="s">
        <v>42</v>
      </c>
      <c r="I717" t="s">
        <v>133</v>
      </c>
      <c r="J717" s="89">
        <v>282499962</v>
      </c>
      <c r="K717" t="s">
        <v>127</v>
      </c>
      <c r="L717" t="s">
        <v>128</v>
      </c>
      <c r="M717" t="s">
        <v>139</v>
      </c>
      <c r="N717">
        <v>1</v>
      </c>
      <c r="O717" s="89">
        <v>273387.06</v>
      </c>
      <c r="P717" s="89">
        <v>6287902.3799999999</v>
      </c>
      <c r="Q717" t="s">
        <v>137</v>
      </c>
      <c r="R717" t="s">
        <v>42</v>
      </c>
    </row>
    <row r="718" spans="3:18" hidden="1" x14ac:dyDescent="0.25">
      <c r="C718" t="s">
        <v>45</v>
      </c>
      <c r="D718" t="s">
        <v>19</v>
      </c>
      <c r="E718" t="s">
        <v>43</v>
      </c>
      <c r="F718" t="s">
        <v>41</v>
      </c>
      <c r="G718" s="89">
        <v>67251</v>
      </c>
      <c r="H718" t="s">
        <v>42</v>
      </c>
      <c r="I718" t="s">
        <v>126</v>
      </c>
      <c r="J718" s="89">
        <v>941514</v>
      </c>
      <c r="K718" t="s">
        <v>134</v>
      </c>
      <c r="L718" t="s">
        <v>128</v>
      </c>
      <c r="M718" t="s">
        <v>136</v>
      </c>
      <c r="N718">
        <v>1</v>
      </c>
      <c r="O718" s="89">
        <v>2017.53</v>
      </c>
      <c r="P718" s="89">
        <v>29590.44</v>
      </c>
      <c r="Q718" t="s">
        <v>142</v>
      </c>
      <c r="R718" t="s">
        <v>131</v>
      </c>
    </row>
    <row r="719" spans="3:18" hidden="1" x14ac:dyDescent="0.25">
      <c r="C719" t="s">
        <v>45</v>
      </c>
      <c r="D719" t="s">
        <v>23</v>
      </c>
      <c r="E719" t="s">
        <v>44</v>
      </c>
      <c r="F719" t="s">
        <v>41</v>
      </c>
      <c r="G719" s="89">
        <v>38124</v>
      </c>
      <c r="H719" t="s">
        <v>42</v>
      </c>
      <c r="I719" t="s">
        <v>126</v>
      </c>
      <c r="J719" s="89">
        <v>686232</v>
      </c>
      <c r="K719" t="s">
        <v>134</v>
      </c>
      <c r="L719" t="s">
        <v>128</v>
      </c>
      <c r="M719" t="s">
        <v>152</v>
      </c>
      <c r="N719">
        <v>1</v>
      </c>
      <c r="O719" s="89">
        <v>1524.96</v>
      </c>
      <c r="P719" s="89">
        <v>23255.64</v>
      </c>
      <c r="Q719" t="s">
        <v>137</v>
      </c>
      <c r="R719" t="s">
        <v>42</v>
      </c>
    </row>
    <row r="720" spans="3:18" hidden="1" x14ac:dyDescent="0.25">
      <c r="C720" t="s">
        <v>45</v>
      </c>
      <c r="D720" t="s">
        <v>138</v>
      </c>
      <c r="E720" t="s">
        <v>43</v>
      </c>
      <c r="F720" t="s">
        <v>41</v>
      </c>
      <c r="G720" s="89">
        <v>161333</v>
      </c>
      <c r="H720" t="s">
        <v>140</v>
      </c>
      <c r="I720" t="s">
        <v>126</v>
      </c>
      <c r="J720" s="89">
        <v>2581328</v>
      </c>
      <c r="K720" t="s">
        <v>134</v>
      </c>
      <c r="L720" t="s">
        <v>128</v>
      </c>
      <c r="N720">
        <v>1</v>
      </c>
      <c r="O720" s="89">
        <v>4839.99</v>
      </c>
      <c r="P720" s="89">
        <v>83893.16</v>
      </c>
      <c r="Q720" t="s">
        <v>142</v>
      </c>
      <c r="R720" t="s">
        <v>131</v>
      </c>
    </row>
    <row r="721" spans="3:18" hidden="1" x14ac:dyDescent="0.25">
      <c r="C721" t="s">
        <v>45</v>
      </c>
      <c r="D721" t="s">
        <v>21</v>
      </c>
      <c r="E721" t="s">
        <v>43</v>
      </c>
      <c r="F721" t="s">
        <v>41</v>
      </c>
      <c r="G721" s="89">
        <v>1356945</v>
      </c>
      <c r="H721" t="s">
        <v>146</v>
      </c>
      <c r="I721" t="s">
        <v>126</v>
      </c>
      <c r="J721" s="89">
        <v>23068065</v>
      </c>
      <c r="K721" t="s">
        <v>144</v>
      </c>
      <c r="N721">
        <v>1</v>
      </c>
      <c r="O721" s="89">
        <v>40708.35</v>
      </c>
      <c r="P721" s="89">
        <v>366375.15</v>
      </c>
      <c r="Q721" t="s">
        <v>130</v>
      </c>
      <c r="R721" t="s">
        <v>131</v>
      </c>
    </row>
    <row r="722" spans="3:18" hidden="1" x14ac:dyDescent="0.25">
      <c r="C722" t="s">
        <v>45</v>
      </c>
      <c r="D722" t="s">
        <v>24</v>
      </c>
      <c r="E722" t="s">
        <v>48</v>
      </c>
      <c r="F722" t="s">
        <v>41</v>
      </c>
      <c r="G722" s="89">
        <v>43757382</v>
      </c>
      <c r="H722" t="s">
        <v>140</v>
      </c>
      <c r="I722" t="s">
        <v>147</v>
      </c>
      <c r="J722" s="89">
        <v>131272146</v>
      </c>
      <c r="K722" t="s">
        <v>127</v>
      </c>
      <c r="L722" t="s">
        <v>128</v>
      </c>
      <c r="N722">
        <v>1</v>
      </c>
      <c r="O722" s="89">
        <v>1312721.46</v>
      </c>
      <c r="P722" s="89">
        <v>4813312.0199999996</v>
      </c>
      <c r="Q722" t="s">
        <v>130</v>
      </c>
      <c r="R722" t="s">
        <v>131</v>
      </c>
    </row>
    <row r="723" spans="3:18" hidden="1" x14ac:dyDescent="0.25">
      <c r="C723" t="s">
        <v>45</v>
      </c>
      <c r="D723" t="s">
        <v>22</v>
      </c>
      <c r="E723" t="s">
        <v>40</v>
      </c>
      <c r="F723" t="s">
        <v>41</v>
      </c>
      <c r="G723" s="89">
        <v>257425</v>
      </c>
      <c r="H723" t="s">
        <v>145</v>
      </c>
      <c r="I723" t="s">
        <v>126</v>
      </c>
      <c r="J723" s="89">
        <v>3603950</v>
      </c>
      <c r="K723" t="s">
        <v>134</v>
      </c>
      <c r="L723" t="s">
        <v>128</v>
      </c>
      <c r="N723">
        <v>1</v>
      </c>
      <c r="O723" s="89">
        <v>7722.75</v>
      </c>
      <c r="P723" s="89">
        <v>136435.25</v>
      </c>
      <c r="Q723" t="s">
        <v>142</v>
      </c>
      <c r="R723" t="s">
        <v>131</v>
      </c>
    </row>
    <row r="724" spans="3:18" hidden="1" x14ac:dyDescent="0.25">
      <c r="C724" t="s">
        <v>45</v>
      </c>
      <c r="D724" t="s">
        <v>22</v>
      </c>
      <c r="E724" t="s">
        <v>40</v>
      </c>
      <c r="F724" t="s">
        <v>41</v>
      </c>
      <c r="G724" s="89">
        <v>1711863</v>
      </c>
      <c r="H724" t="s">
        <v>145</v>
      </c>
      <c r="I724" t="s">
        <v>126</v>
      </c>
      <c r="J724" s="89">
        <v>25677945</v>
      </c>
      <c r="K724" t="s">
        <v>144</v>
      </c>
      <c r="N724">
        <v>1</v>
      </c>
      <c r="O724" s="89">
        <v>51355.89</v>
      </c>
      <c r="P724" s="89">
        <v>838812.87</v>
      </c>
      <c r="Q724" t="s">
        <v>142</v>
      </c>
      <c r="R724" t="s">
        <v>131</v>
      </c>
    </row>
    <row r="725" spans="3:18" hidden="1" x14ac:dyDescent="0.25">
      <c r="C725" t="s">
        <v>45</v>
      </c>
      <c r="D725" t="s">
        <v>24</v>
      </c>
      <c r="E725" t="s">
        <v>44</v>
      </c>
      <c r="F725" t="s">
        <v>41</v>
      </c>
      <c r="G725" s="89">
        <v>1264950</v>
      </c>
      <c r="H725" t="s">
        <v>145</v>
      </c>
      <c r="I725" t="s">
        <v>133</v>
      </c>
      <c r="J725" s="89">
        <v>35418600</v>
      </c>
      <c r="K725" t="s">
        <v>127</v>
      </c>
      <c r="L725" t="s">
        <v>128</v>
      </c>
      <c r="N725">
        <v>1</v>
      </c>
      <c r="O725" s="89">
        <v>50598</v>
      </c>
      <c r="P725" s="89">
        <v>657774</v>
      </c>
      <c r="Q725" t="s">
        <v>142</v>
      </c>
      <c r="R725" t="s">
        <v>131</v>
      </c>
    </row>
    <row r="726" spans="3:18" hidden="1" x14ac:dyDescent="0.25">
      <c r="C726" t="s">
        <v>45</v>
      </c>
      <c r="D726" t="s">
        <v>21</v>
      </c>
      <c r="E726" t="s">
        <v>40</v>
      </c>
      <c r="F726" t="s">
        <v>41</v>
      </c>
      <c r="G726" s="89">
        <v>259</v>
      </c>
      <c r="H726" t="s">
        <v>140</v>
      </c>
      <c r="I726" t="s">
        <v>147</v>
      </c>
      <c r="J726" s="89"/>
      <c r="K726" t="s">
        <v>127</v>
      </c>
      <c r="L726" t="s">
        <v>128</v>
      </c>
      <c r="N726">
        <v>0</v>
      </c>
      <c r="O726" s="89">
        <v>10.36</v>
      </c>
      <c r="P726" s="89">
        <v>0</v>
      </c>
      <c r="Q726" t="s">
        <v>130</v>
      </c>
      <c r="R726" t="s">
        <v>131</v>
      </c>
    </row>
    <row r="727" spans="3:18" x14ac:dyDescent="0.25">
      <c r="C727" t="s">
        <v>47</v>
      </c>
      <c r="D727" t="s">
        <v>138</v>
      </c>
      <c r="E727" t="s">
        <v>40</v>
      </c>
      <c r="F727" t="s">
        <v>41</v>
      </c>
      <c r="G727" s="89">
        <v>17547386</v>
      </c>
      <c r="H727" t="s">
        <v>42</v>
      </c>
      <c r="I727" t="s">
        <v>141</v>
      </c>
      <c r="J727" s="89">
        <v>140379088</v>
      </c>
      <c r="K727" t="s">
        <v>127</v>
      </c>
      <c r="L727" t="s">
        <v>128</v>
      </c>
      <c r="M727" t="s">
        <v>139</v>
      </c>
      <c r="N727">
        <v>1</v>
      </c>
      <c r="O727" s="89">
        <v>701895.44</v>
      </c>
      <c r="P727" s="89">
        <v>8949166.8599999994</v>
      </c>
      <c r="Q727" t="s">
        <v>142</v>
      </c>
      <c r="R727" t="s">
        <v>131</v>
      </c>
    </row>
    <row r="728" spans="3:18" hidden="1" x14ac:dyDescent="0.25">
      <c r="C728" t="s">
        <v>45</v>
      </c>
      <c r="D728" t="s">
        <v>24</v>
      </c>
      <c r="E728" t="s">
        <v>40</v>
      </c>
      <c r="F728" t="s">
        <v>41</v>
      </c>
      <c r="G728" s="89">
        <v>69158</v>
      </c>
      <c r="H728" t="s">
        <v>42</v>
      </c>
      <c r="I728" t="s">
        <v>126</v>
      </c>
      <c r="J728" s="89">
        <v>1314002</v>
      </c>
      <c r="K728" t="s">
        <v>144</v>
      </c>
      <c r="N728">
        <v>1</v>
      </c>
      <c r="O728" s="89">
        <v>2074.7399999999998</v>
      </c>
      <c r="P728" s="89">
        <v>41494.800000000003</v>
      </c>
      <c r="Q728" t="s">
        <v>137</v>
      </c>
      <c r="R728" t="s">
        <v>131</v>
      </c>
    </row>
    <row r="729" spans="3:18" hidden="1" x14ac:dyDescent="0.25">
      <c r="C729" t="s">
        <v>45</v>
      </c>
      <c r="D729" t="s">
        <v>25</v>
      </c>
      <c r="E729" t="s">
        <v>48</v>
      </c>
      <c r="F729" t="s">
        <v>41</v>
      </c>
      <c r="G729" s="89">
        <v>49828</v>
      </c>
      <c r="H729" t="s">
        <v>140</v>
      </c>
      <c r="I729" t="s">
        <v>133</v>
      </c>
      <c r="J729" s="89">
        <v>1494840</v>
      </c>
      <c r="K729" t="s">
        <v>144</v>
      </c>
      <c r="N729">
        <v>1</v>
      </c>
      <c r="O729" s="89">
        <v>1494.84</v>
      </c>
      <c r="P729" s="89">
        <v>25910.560000000001</v>
      </c>
      <c r="Q729" t="s">
        <v>142</v>
      </c>
      <c r="R729" t="s">
        <v>131</v>
      </c>
    </row>
    <row r="730" spans="3:18" hidden="1" x14ac:dyDescent="0.25">
      <c r="C730" t="s">
        <v>45</v>
      </c>
      <c r="D730" t="s">
        <v>149</v>
      </c>
      <c r="E730" t="s">
        <v>48</v>
      </c>
      <c r="F730" t="s">
        <v>41</v>
      </c>
      <c r="G730" s="89">
        <v>481858</v>
      </c>
      <c r="H730" t="s">
        <v>42</v>
      </c>
      <c r="I730" t="s">
        <v>133</v>
      </c>
      <c r="J730" s="89">
        <v>15901314</v>
      </c>
      <c r="K730" t="s">
        <v>127</v>
      </c>
      <c r="L730" t="s">
        <v>128</v>
      </c>
      <c r="M730" t="s">
        <v>136</v>
      </c>
      <c r="N730">
        <v>1</v>
      </c>
      <c r="O730" s="89">
        <v>14455.74</v>
      </c>
      <c r="P730" s="89">
        <v>390304.98</v>
      </c>
      <c r="Q730" t="s">
        <v>135</v>
      </c>
      <c r="R730" t="s">
        <v>42</v>
      </c>
    </row>
    <row r="731" spans="3:18" hidden="1" x14ac:dyDescent="0.25">
      <c r="C731" t="s">
        <v>45</v>
      </c>
      <c r="D731" t="s">
        <v>138</v>
      </c>
      <c r="E731" t="s">
        <v>43</v>
      </c>
      <c r="F731" t="s">
        <v>41</v>
      </c>
      <c r="G731" s="89">
        <v>921606</v>
      </c>
      <c r="H731" t="s">
        <v>42</v>
      </c>
      <c r="I731" t="s">
        <v>133</v>
      </c>
      <c r="J731" s="89">
        <v>25804968</v>
      </c>
      <c r="K731" t="s">
        <v>127</v>
      </c>
      <c r="L731" t="s">
        <v>128</v>
      </c>
      <c r="M731" t="s">
        <v>129</v>
      </c>
      <c r="N731">
        <v>1</v>
      </c>
      <c r="O731" s="89">
        <v>27648.18</v>
      </c>
      <c r="P731" s="89">
        <v>460803</v>
      </c>
      <c r="Q731" t="s">
        <v>142</v>
      </c>
      <c r="R731" t="s">
        <v>42</v>
      </c>
    </row>
    <row r="732" spans="3:18" x14ac:dyDescent="0.25">
      <c r="C732" t="s">
        <v>47</v>
      </c>
      <c r="D732" t="s">
        <v>138</v>
      </c>
      <c r="E732" t="s">
        <v>40</v>
      </c>
      <c r="F732" t="s">
        <v>41</v>
      </c>
      <c r="G732" s="89">
        <v>505765</v>
      </c>
      <c r="H732" t="s">
        <v>145</v>
      </c>
      <c r="I732" t="s">
        <v>126</v>
      </c>
      <c r="J732" s="89">
        <v>6069180</v>
      </c>
      <c r="K732" t="s">
        <v>144</v>
      </c>
      <c r="N732">
        <v>1</v>
      </c>
      <c r="O732" s="89">
        <v>15172.95</v>
      </c>
      <c r="P732" s="89">
        <v>359093.15</v>
      </c>
      <c r="Q732" t="s">
        <v>137</v>
      </c>
      <c r="R732" t="s">
        <v>131</v>
      </c>
    </row>
    <row r="733" spans="3:18" hidden="1" x14ac:dyDescent="0.25">
      <c r="C733" t="s">
        <v>45</v>
      </c>
      <c r="D733" t="s">
        <v>24</v>
      </c>
      <c r="E733" t="s">
        <v>43</v>
      </c>
      <c r="F733" t="s">
        <v>41</v>
      </c>
      <c r="G733" s="89">
        <v>1112674</v>
      </c>
      <c r="H733" t="s">
        <v>42</v>
      </c>
      <c r="I733" t="s">
        <v>141</v>
      </c>
      <c r="J733" s="89">
        <v>8901392</v>
      </c>
      <c r="K733" t="s">
        <v>127</v>
      </c>
      <c r="L733" t="s">
        <v>128</v>
      </c>
      <c r="M733" t="s">
        <v>148</v>
      </c>
      <c r="N733">
        <v>1</v>
      </c>
      <c r="O733" s="89">
        <v>33380.22</v>
      </c>
      <c r="P733" s="89">
        <v>244788.28</v>
      </c>
      <c r="Q733" t="s">
        <v>130</v>
      </c>
      <c r="R733" t="s">
        <v>131</v>
      </c>
    </row>
    <row r="734" spans="3:18" hidden="1" x14ac:dyDescent="0.25">
      <c r="C734" t="s">
        <v>45</v>
      </c>
      <c r="D734" t="s">
        <v>23</v>
      </c>
      <c r="E734" t="s">
        <v>46</v>
      </c>
      <c r="F734" t="s">
        <v>41</v>
      </c>
      <c r="G734" s="89">
        <v>739501</v>
      </c>
      <c r="H734" t="s">
        <v>42</v>
      </c>
      <c r="I734" t="s">
        <v>126</v>
      </c>
      <c r="J734" s="89">
        <v>11092515</v>
      </c>
      <c r="K734" t="s">
        <v>144</v>
      </c>
      <c r="N734">
        <v>1</v>
      </c>
      <c r="O734" s="89">
        <v>22185.03</v>
      </c>
      <c r="P734" s="89">
        <v>384540.52</v>
      </c>
      <c r="Q734" t="s">
        <v>142</v>
      </c>
      <c r="R734" t="s">
        <v>42</v>
      </c>
    </row>
    <row r="735" spans="3:18" hidden="1" x14ac:dyDescent="0.25">
      <c r="C735" t="s">
        <v>45</v>
      </c>
      <c r="D735" t="s">
        <v>24</v>
      </c>
      <c r="E735" t="s">
        <v>43</v>
      </c>
      <c r="F735" t="s">
        <v>41</v>
      </c>
      <c r="G735" s="89">
        <v>208795</v>
      </c>
      <c r="H735" t="s">
        <v>42</v>
      </c>
      <c r="I735" t="s">
        <v>133</v>
      </c>
      <c r="J735" s="89">
        <v>5428670</v>
      </c>
      <c r="K735" t="s">
        <v>134</v>
      </c>
      <c r="L735" t="s">
        <v>128</v>
      </c>
      <c r="M735" t="s">
        <v>148</v>
      </c>
      <c r="N735">
        <v>1</v>
      </c>
      <c r="O735" s="89">
        <v>6263.85</v>
      </c>
      <c r="P735" s="89">
        <v>108573.4</v>
      </c>
      <c r="Q735" t="s">
        <v>142</v>
      </c>
      <c r="R735" t="s">
        <v>131</v>
      </c>
    </row>
    <row r="736" spans="3:18" hidden="1" x14ac:dyDescent="0.25">
      <c r="C736" t="s">
        <v>45</v>
      </c>
      <c r="D736" t="s">
        <v>23</v>
      </c>
      <c r="E736" t="s">
        <v>48</v>
      </c>
      <c r="F736" t="s">
        <v>41</v>
      </c>
      <c r="G736" s="89">
        <v>46574</v>
      </c>
      <c r="H736" t="s">
        <v>42</v>
      </c>
      <c r="I736" t="s">
        <v>126</v>
      </c>
      <c r="J736" s="89">
        <v>884906</v>
      </c>
      <c r="K736" t="s">
        <v>134</v>
      </c>
      <c r="L736" t="s">
        <v>128</v>
      </c>
      <c r="M736" t="s">
        <v>152</v>
      </c>
      <c r="N736">
        <v>1</v>
      </c>
      <c r="O736" s="89">
        <v>1397.22</v>
      </c>
      <c r="P736" s="89">
        <v>9314.7999999999993</v>
      </c>
      <c r="Q736" t="s">
        <v>130</v>
      </c>
      <c r="R736" t="s">
        <v>42</v>
      </c>
    </row>
    <row r="737" spans="3:18" x14ac:dyDescent="0.25">
      <c r="C737" t="s">
        <v>47</v>
      </c>
      <c r="D737" t="s">
        <v>21</v>
      </c>
      <c r="E737" t="s">
        <v>40</v>
      </c>
      <c r="F737" t="s">
        <v>41</v>
      </c>
      <c r="G737" s="89">
        <v>388949</v>
      </c>
      <c r="H737" t="s">
        <v>140</v>
      </c>
      <c r="I737" t="s">
        <v>153</v>
      </c>
      <c r="J737" s="89"/>
      <c r="K737" t="s">
        <v>127</v>
      </c>
      <c r="L737" t="s">
        <v>128</v>
      </c>
      <c r="N737">
        <v>0</v>
      </c>
      <c r="O737" s="89">
        <v>15557.96</v>
      </c>
      <c r="P737" s="89">
        <v>322827.67</v>
      </c>
      <c r="Q737" t="s">
        <v>135</v>
      </c>
      <c r="R737" t="s">
        <v>131</v>
      </c>
    </row>
    <row r="738" spans="3:18" hidden="1" x14ac:dyDescent="0.25">
      <c r="C738" t="s">
        <v>45</v>
      </c>
      <c r="D738" t="s">
        <v>24</v>
      </c>
      <c r="E738" t="s">
        <v>48</v>
      </c>
      <c r="F738" t="s">
        <v>41</v>
      </c>
      <c r="G738" s="89">
        <v>69527</v>
      </c>
      <c r="H738" t="s">
        <v>140</v>
      </c>
      <c r="I738" t="s">
        <v>141</v>
      </c>
      <c r="J738" s="89">
        <v>556216</v>
      </c>
      <c r="K738" t="s">
        <v>127</v>
      </c>
      <c r="L738" t="s">
        <v>151</v>
      </c>
      <c r="N738">
        <v>1</v>
      </c>
      <c r="O738" s="89">
        <v>1390.54</v>
      </c>
      <c r="P738" s="89">
        <v>35458.769999999997</v>
      </c>
      <c r="Q738" t="s">
        <v>142</v>
      </c>
      <c r="R738" t="s">
        <v>131</v>
      </c>
    </row>
    <row r="739" spans="3:18" x14ac:dyDescent="0.25">
      <c r="C739" t="s">
        <v>47</v>
      </c>
      <c r="D739" t="s">
        <v>22</v>
      </c>
      <c r="E739" t="s">
        <v>43</v>
      </c>
      <c r="F739" t="s">
        <v>41</v>
      </c>
      <c r="G739" s="89">
        <v>828111</v>
      </c>
      <c r="H739" t="s">
        <v>42</v>
      </c>
      <c r="I739" t="s">
        <v>141</v>
      </c>
      <c r="J739" s="89">
        <v>6624888</v>
      </c>
      <c r="K739" t="s">
        <v>127</v>
      </c>
      <c r="L739" t="s">
        <v>128</v>
      </c>
      <c r="M739" t="s">
        <v>143</v>
      </c>
      <c r="N739">
        <v>1</v>
      </c>
      <c r="O739" s="89">
        <v>33124.44</v>
      </c>
      <c r="P739" s="89">
        <v>380931.06</v>
      </c>
      <c r="Q739" t="s">
        <v>142</v>
      </c>
      <c r="R739" t="s">
        <v>131</v>
      </c>
    </row>
    <row r="740" spans="3:18" hidden="1" x14ac:dyDescent="0.25">
      <c r="C740" t="s">
        <v>45</v>
      </c>
      <c r="D740" t="s">
        <v>138</v>
      </c>
      <c r="E740" t="s">
        <v>40</v>
      </c>
      <c r="F740" t="s">
        <v>41</v>
      </c>
      <c r="G740" s="89">
        <v>230566</v>
      </c>
      <c r="H740" t="s">
        <v>140</v>
      </c>
      <c r="I740" t="s">
        <v>133</v>
      </c>
      <c r="J740" s="89">
        <v>7839244</v>
      </c>
      <c r="K740" t="s">
        <v>144</v>
      </c>
      <c r="N740">
        <v>1</v>
      </c>
      <c r="O740" s="89">
        <v>6916.98</v>
      </c>
      <c r="P740" s="89">
        <v>193675.44</v>
      </c>
      <c r="Q740" t="s">
        <v>135</v>
      </c>
      <c r="R740" t="s">
        <v>131</v>
      </c>
    </row>
    <row r="741" spans="3:18" hidden="1" x14ac:dyDescent="0.25">
      <c r="C741" t="s">
        <v>45</v>
      </c>
      <c r="D741" t="s">
        <v>21</v>
      </c>
      <c r="E741" t="s">
        <v>43</v>
      </c>
      <c r="F741" t="s">
        <v>41</v>
      </c>
      <c r="G741" s="89">
        <v>190</v>
      </c>
      <c r="H741" t="s">
        <v>145</v>
      </c>
      <c r="I741" t="s">
        <v>147</v>
      </c>
      <c r="J741" s="89"/>
      <c r="K741" t="s">
        <v>127</v>
      </c>
      <c r="L741" t="s">
        <v>151</v>
      </c>
      <c r="N741">
        <v>0</v>
      </c>
      <c r="O741" s="89">
        <v>5.7</v>
      </c>
      <c r="P741" s="89">
        <v>0</v>
      </c>
      <c r="Q741" t="s">
        <v>130</v>
      </c>
      <c r="R741" t="s">
        <v>131</v>
      </c>
    </row>
    <row r="742" spans="3:18" hidden="1" x14ac:dyDescent="0.25">
      <c r="C742" t="s">
        <v>39</v>
      </c>
      <c r="D742" t="s">
        <v>23</v>
      </c>
      <c r="E742" t="s">
        <v>40</v>
      </c>
      <c r="F742" t="s">
        <v>41</v>
      </c>
      <c r="G742" s="89">
        <v>381666</v>
      </c>
      <c r="H742" t="s">
        <v>42</v>
      </c>
      <c r="I742" t="s">
        <v>133</v>
      </c>
      <c r="J742" s="89"/>
      <c r="N742">
        <v>0</v>
      </c>
      <c r="O742" s="89"/>
      <c r="P742" s="89"/>
      <c r="R742" t="s">
        <v>131</v>
      </c>
    </row>
    <row r="743" spans="3:18" hidden="1" x14ac:dyDescent="0.25">
      <c r="C743" t="s">
        <v>45</v>
      </c>
      <c r="D743" t="s">
        <v>19</v>
      </c>
      <c r="E743" t="s">
        <v>40</v>
      </c>
      <c r="F743" t="s">
        <v>41</v>
      </c>
      <c r="G743" s="89">
        <v>672971</v>
      </c>
      <c r="H743" t="s">
        <v>42</v>
      </c>
      <c r="I743" t="s">
        <v>133</v>
      </c>
      <c r="J743" s="89">
        <v>22881014</v>
      </c>
      <c r="K743" t="s">
        <v>144</v>
      </c>
      <c r="N743">
        <v>1</v>
      </c>
      <c r="O743" s="89">
        <v>20189.13</v>
      </c>
      <c r="P743" s="89">
        <v>444160.86</v>
      </c>
      <c r="Q743" t="s">
        <v>137</v>
      </c>
      <c r="R743" t="s">
        <v>42</v>
      </c>
    </row>
    <row r="744" spans="3:18" hidden="1" x14ac:dyDescent="0.25">
      <c r="C744" t="s">
        <v>45</v>
      </c>
      <c r="D744" t="s">
        <v>22</v>
      </c>
      <c r="E744" t="s">
        <v>40</v>
      </c>
      <c r="F744" t="s">
        <v>41</v>
      </c>
      <c r="G744" s="89">
        <v>385230</v>
      </c>
      <c r="H744" t="s">
        <v>132</v>
      </c>
      <c r="I744" t="s">
        <v>147</v>
      </c>
      <c r="J744" s="89">
        <v>1540920</v>
      </c>
      <c r="K744" t="s">
        <v>127</v>
      </c>
      <c r="L744" t="s">
        <v>128</v>
      </c>
      <c r="N744">
        <v>1</v>
      </c>
      <c r="O744" s="89">
        <v>15409.2</v>
      </c>
      <c r="P744" s="89">
        <v>184910.4</v>
      </c>
      <c r="Q744" t="s">
        <v>142</v>
      </c>
      <c r="R744" t="s">
        <v>131</v>
      </c>
    </row>
    <row r="745" spans="3:18" x14ac:dyDescent="0.25">
      <c r="C745" t="s">
        <v>47</v>
      </c>
      <c r="D745" t="s">
        <v>23</v>
      </c>
      <c r="E745" t="s">
        <v>44</v>
      </c>
      <c r="F745" t="s">
        <v>41</v>
      </c>
      <c r="G745" s="89">
        <v>410194</v>
      </c>
      <c r="H745" t="s">
        <v>42</v>
      </c>
      <c r="I745" t="s">
        <v>141</v>
      </c>
      <c r="J745" s="89">
        <v>3691746</v>
      </c>
      <c r="K745" t="s">
        <v>127</v>
      </c>
      <c r="L745" t="s">
        <v>128</v>
      </c>
      <c r="M745" t="s">
        <v>152</v>
      </c>
      <c r="N745">
        <v>1</v>
      </c>
      <c r="O745" s="89">
        <v>12305.82</v>
      </c>
      <c r="P745" s="89">
        <v>176383.42</v>
      </c>
      <c r="Q745" t="s">
        <v>142</v>
      </c>
      <c r="R745" t="s">
        <v>131</v>
      </c>
    </row>
    <row r="746" spans="3:18" x14ac:dyDescent="0.25">
      <c r="C746" t="s">
        <v>47</v>
      </c>
      <c r="D746" t="s">
        <v>138</v>
      </c>
      <c r="E746" t="s">
        <v>40</v>
      </c>
      <c r="F746" t="s">
        <v>41</v>
      </c>
      <c r="G746" s="89">
        <v>1955541</v>
      </c>
      <c r="H746" t="s">
        <v>132</v>
      </c>
      <c r="I746" t="s">
        <v>141</v>
      </c>
      <c r="J746" s="89">
        <v>19555410</v>
      </c>
      <c r="K746" t="s">
        <v>144</v>
      </c>
      <c r="N746">
        <v>1</v>
      </c>
      <c r="O746" s="89">
        <v>97777.05</v>
      </c>
      <c r="P746" s="89">
        <v>1368878.7</v>
      </c>
      <c r="Q746" t="s">
        <v>137</v>
      </c>
      <c r="R746" t="s">
        <v>131</v>
      </c>
    </row>
    <row r="747" spans="3:18" hidden="1" x14ac:dyDescent="0.25">
      <c r="C747" t="s">
        <v>45</v>
      </c>
      <c r="D747" t="s">
        <v>149</v>
      </c>
      <c r="E747" t="s">
        <v>43</v>
      </c>
      <c r="F747" t="s">
        <v>41</v>
      </c>
      <c r="G747" s="89">
        <v>15719971</v>
      </c>
      <c r="H747" t="s">
        <v>42</v>
      </c>
      <c r="I747" t="s">
        <v>126</v>
      </c>
      <c r="J747" s="89">
        <v>267239507</v>
      </c>
      <c r="K747" t="s">
        <v>127</v>
      </c>
      <c r="L747" t="s">
        <v>128</v>
      </c>
      <c r="M747" t="s">
        <v>136</v>
      </c>
      <c r="N747">
        <v>1</v>
      </c>
      <c r="O747" s="89">
        <v>471599.13</v>
      </c>
      <c r="P747" s="89">
        <v>7545586.0800000001</v>
      </c>
      <c r="Q747" t="s">
        <v>142</v>
      </c>
      <c r="R747" t="s">
        <v>131</v>
      </c>
    </row>
    <row r="748" spans="3:18" x14ac:dyDescent="0.25">
      <c r="C748" t="s">
        <v>47</v>
      </c>
      <c r="D748" t="s">
        <v>25</v>
      </c>
      <c r="E748" t="s">
        <v>48</v>
      </c>
      <c r="F748" t="s">
        <v>41</v>
      </c>
      <c r="G748" s="89">
        <v>23</v>
      </c>
      <c r="H748" t="s">
        <v>145</v>
      </c>
      <c r="I748" t="s">
        <v>147</v>
      </c>
      <c r="J748" s="89"/>
      <c r="K748" t="s">
        <v>127</v>
      </c>
      <c r="L748" t="s">
        <v>128</v>
      </c>
      <c r="N748">
        <v>0</v>
      </c>
      <c r="O748" s="89">
        <v>0</v>
      </c>
      <c r="P748" s="89">
        <v>0</v>
      </c>
      <c r="Q748" t="s">
        <v>130</v>
      </c>
      <c r="R748" t="s">
        <v>131</v>
      </c>
    </row>
    <row r="749" spans="3:18" hidden="1" x14ac:dyDescent="0.25">
      <c r="C749" t="s">
        <v>45</v>
      </c>
      <c r="D749" t="s">
        <v>24</v>
      </c>
      <c r="E749" t="s">
        <v>44</v>
      </c>
      <c r="F749" t="s">
        <v>53</v>
      </c>
      <c r="G749" s="89">
        <v>257282</v>
      </c>
      <c r="H749" t="s">
        <v>42</v>
      </c>
      <c r="I749" t="s">
        <v>133</v>
      </c>
      <c r="J749" s="89">
        <v>6689332</v>
      </c>
      <c r="K749" t="s">
        <v>144</v>
      </c>
      <c r="N749">
        <v>1</v>
      </c>
      <c r="O749" s="89">
        <v>7718.46</v>
      </c>
      <c r="P749" s="89">
        <v>123495.36</v>
      </c>
      <c r="Q749" t="s">
        <v>142</v>
      </c>
      <c r="R749" t="s">
        <v>42</v>
      </c>
    </row>
    <row r="750" spans="3:18" hidden="1" x14ac:dyDescent="0.25">
      <c r="C750" t="s">
        <v>45</v>
      </c>
      <c r="D750" t="s">
        <v>25</v>
      </c>
      <c r="E750" t="s">
        <v>48</v>
      </c>
      <c r="F750" t="s">
        <v>41</v>
      </c>
      <c r="G750" s="89">
        <v>297453</v>
      </c>
      <c r="H750" t="s">
        <v>146</v>
      </c>
      <c r="I750" t="s">
        <v>133</v>
      </c>
      <c r="J750" s="89">
        <v>10708308</v>
      </c>
      <c r="K750" t="s">
        <v>134</v>
      </c>
      <c r="L750" t="s">
        <v>128</v>
      </c>
      <c r="N750">
        <v>1</v>
      </c>
      <c r="O750" s="89">
        <v>8923.59</v>
      </c>
      <c r="P750" s="89">
        <v>288529.40999999997</v>
      </c>
      <c r="Q750" t="s">
        <v>135</v>
      </c>
      <c r="R750" t="s">
        <v>131</v>
      </c>
    </row>
    <row r="751" spans="3:18" hidden="1" x14ac:dyDescent="0.25">
      <c r="C751" t="s">
        <v>39</v>
      </c>
      <c r="D751" t="s">
        <v>23</v>
      </c>
      <c r="E751" t="s">
        <v>40</v>
      </c>
      <c r="F751" t="s">
        <v>41</v>
      </c>
      <c r="G751" s="89">
        <v>76227</v>
      </c>
      <c r="H751" t="s">
        <v>146</v>
      </c>
      <c r="I751" t="s">
        <v>133</v>
      </c>
      <c r="J751" s="89"/>
      <c r="N751">
        <v>0</v>
      </c>
      <c r="O751" s="89"/>
      <c r="P751" s="89"/>
      <c r="R751" t="s">
        <v>131</v>
      </c>
    </row>
    <row r="752" spans="3:18" hidden="1" x14ac:dyDescent="0.25">
      <c r="C752" t="s">
        <v>45</v>
      </c>
      <c r="D752" t="s">
        <v>19</v>
      </c>
      <c r="E752" t="s">
        <v>43</v>
      </c>
      <c r="F752" t="s">
        <v>41</v>
      </c>
      <c r="G752" s="89">
        <v>345911</v>
      </c>
      <c r="I752" t="s">
        <v>133</v>
      </c>
      <c r="J752" s="89">
        <v>12798707</v>
      </c>
      <c r="K752" t="s">
        <v>127</v>
      </c>
      <c r="L752" t="s">
        <v>128</v>
      </c>
      <c r="N752">
        <v>1</v>
      </c>
      <c r="O752" s="89">
        <v>10377.33</v>
      </c>
      <c r="P752" s="89">
        <v>283647.02</v>
      </c>
      <c r="Q752" t="s">
        <v>135</v>
      </c>
      <c r="R752" t="s">
        <v>131</v>
      </c>
    </row>
    <row r="753" spans="3:18" hidden="1" x14ac:dyDescent="0.25">
      <c r="C753" t="s">
        <v>45</v>
      </c>
      <c r="D753" t="s">
        <v>21</v>
      </c>
      <c r="E753" t="s">
        <v>48</v>
      </c>
      <c r="F753" t="s">
        <v>41</v>
      </c>
      <c r="G753" s="89">
        <v>647451</v>
      </c>
      <c r="H753" t="s">
        <v>42</v>
      </c>
      <c r="I753" t="s">
        <v>126</v>
      </c>
      <c r="J753" s="89">
        <v>11006667</v>
      </c>
      <c r="K753" t="s">
        <v>144</v>
      </c>
      <c r="N753">
        <v>1</v>
      </c>
      <c r="O753" s="89">
        <v>19423.53</v>
      </c>
      <c r="P753" s="89">
        <v>543858.84</v>
      </c>
      <c r="Q753" t="s">
        <v>135</v>
      </c>
      <c r="R753" t="s">
        <v>42</v>
      </c>
    </row>
    <row r="754" spans="3:18" x14ac:dyDescent="0.25">
      <c r="C754" t="s">
        <v>47</v>
      </c>
      <c r="D754" t="s">
        <v>24</v>
      </c>
      <c r="E754" t="s">
        <v>48</v>
      </c>
      <c r="F754" t="s">
        <v>41</v>
      </c>
      <c r="G754" s="89">
        <v>115267</v>
      </c>
      <c r="H754" t="s">
        <v>146</v>
      </c>
      <c r="I754" t="s">
        <v>153</v>
      </c>
      <c r="J754" s="89"/>
      <c r="K754" t="s">
        <v>127</v>
      </c>
      <c r="L754" t="s">
        <v>128</v>
      </c>
      <c r="N754">
        <v>0</v>
      </c>
      <c r="O754" s="89">
        <v>5763.35</v>
      </c>
      <c r="P754" s="89">
        <v>16137.38</v>
      </c>
      <c r="Q754" t="s">
        <v>130</v>
      </c>
      <c r="R754" t="s">
        <v>131</v>
      </c>
    </row>
    <row r="755" spans="3:18" x14ac:dyDescent="0.25">
      <c r="C755" t="s">
        <v>47</v>
      </c>
      <c r="D755" t="s">
        <v>21</v>
      </c>
      <c r="E755" t="s">
        <v>40</v>
      </c>
      <c r="F755" t="s">
        <v>41</v>
      </c>
      <c r="G755" s="89">
        <v>452238</v>
      </c>
      <c r="H755" t="s">
        <v>140</v>
      </c>
      <c r="I755" t="s">
        <v>141</v>
      </c>
      <c r="J755" s="89">
        <v>4070142</v>
      </c>
      <c r="K755" t="s">
        <v>144</v>
      </c>
      <c r="N755">
        <v>1</v>
      </c>
      <c r="O755" s="89">
        <v>18089.52</v>
      </c>
      <c r="P755" s="89">
        <v>244208.52</v>
      </c>
      <c r="Q755" t="s">
        <v>142</v>
      </c>
      <c r="R755" t="s">
        <v>131</v>
      </c>
    </row>
    <row r="756" spans="3:18" hidden="1" x14ac:dyDescent="0.25">
      <c r="C756" t="s">
        <v>45</v>
      </c>
      <c r="D756" t="s">
        <v>21</v>
      </c>
      <c r="E756" t="s">
        <v>43</v>
      </c>
      <c r="F756" t="s">
        <v>41</v>
      </c>
      <c r="G756" s="89">
        <v>275284</v>
      </c>
      <c r="H756" t="s">
        <v>145</v>
      </c>
      <c r="I756" t="s">
        <v>133</v>
      </c>
      <c r="J756" s="89">
        <v>8258520</v>
      </c>
      <c r="K756" t="s">
        <v>134</v>
      </c>
      <c r="L756" t="s">
        <v>128</v>
      </c>
      <c r="N756">
        <v>1</v>
      </c>
      <c r="O756" s="89">
        <v>8258.52</v>
      </c>
      <c r="P756" s="89">
        <v>151406.20000000001</v>
      </c>
      <c r="Q756" t="s">
        <v>142</v>
      </c>
      <c r="R756" t="s">
        <v>131</v>
      </c>
    </row>
    <row r="757" spans="3:18" x14ac:dyDescent="0.25">
      <c r="C757" t="s">
        <v>47</v>
      </c>
      <c r="D757" t="s">
        <v>21</v>
      </c>
      <c r="E757" t="s">
        <v>40</v>
      </c>
      <c r="F757" t="s">
        <v>41</v>
      </c>
      <c r="G757" s="89">
        <v>188578</v>
      </c>
      <c r="H757" t="s">
        <v>42</v>
      </c>
      <c r="I757" t="s">
        <v>133</v>
      </c>
      <c r="J757" s="89">
        <v>3771560</v>
      </c>
      <c r="K757" t="s">
        <v>127</v>
      </c>
      <c r="L757" t="s">
        <v>128</v>
      </c>
      <c r="M757" t="s">
        <v>129</v>
      </c>
      <c r="N757">
        <v>1</v>
      </c>
      <c r="O757" s="89">
        <v>7543.12</v>
      </c>
      <c r="P757" s="89">
        <v>164062.85999999999</v>
      </c>
      <c r="Q757" t="s">
        <v>135</v>
      </c>
      <c r="R757" t="s">
        <v>131</v>
      </c>
    </row>
    <row r="758" spans="3:18" x14ac:dyDescent="0.25">
      <c r="C758" t="s">
        <v>47</v>
      </c>
      <c r="D758" t="s">
        <v>22</v>
      </c>
      <c r="E758" t="s">
        <v>40</v>
      </c>
      <c r="F758" t="s">
        <v>41</v>
      </c>
      <c r="G758" s="89">
        <v>110000</v>
      </c>
      <c r="H758" t="s">
        <v>145</v>
      </c>
      <c r="I758" t="s">
        <v>153</v>
      </c>
      <c r="J758" s="89"/>
      <c r="K758" t="s">
        <v>127</v>
      </c>
      <c r="L758" t="s">
        <v>128</v>
      </c>
      <c r="N758">
        <v>0</v>
      </c>
      <c r="O758" s="89">
        <v>5500</v>
      </c>
      <c r="P758" s="89">
        <v>112200</v>
      </c>
      <c r="Q758" t="s">
        <v>150</v>
      </c>
      <c r="R758" t="s">
        <v>131</v>
      </c>
    </row>
    <row r="759" spans="3:18" x14ac:dyDescent="0.25">
      <c r="C759" t="s">
        <v>47</v>
      </c>
      <c r="D759" t="s">
        <v>20</v>
      </c>
      <c r="E759" t="s">
        <v>40</v>
      </c>
      <c r="F759" t="s">
        <v>41</v>
      </c>
      <c r="G759" s="89">
        <v>740075</v>
      </c>
      <c r="H759" t="s">
        <v>145</v>
      </c>
      <c r="I759" t="s">
        <v>126</v>
      </c>
      <c r="J759" s="89">
        <v>10361050</v>
      </c>
      <c r="K759" t="s">
        <v>127</v>
      </c>
      <c r="L759" t="s">
        <v>128</v>
      </c>
      <c r="N759">
        <v>1</v>
      </c>
      <c r="O759" s="89">
        <v>29603</v>
      </c>
      <c r="P759" s="89">
        <v>510651.75</v>
      </c>
      <c r="Q759" t="s">
        <v>137</v>
      </c>
      <c r="R759" t="s">
        <v>131</v>
      </c>
    </row>
    <row r="760" spans="3:18" hidden="1" x14ac:dyDescent="0.25">
      <c r="C760" t="s">
        <v>45</v>
      </c>
      <c r="D760" t="s">
        <v>24</v>
      </c>
      <c r="E760" t="s">
        <v>44</v>
      </c>
      <c r="F760" t="s">
        <v>41</v>
      </c>
      <c r="G760" s="89">
        <v>148292</v>
      </c>
      <c r="H760" t="s">
        <v>132</v>
      </c>
      <c r="I760" t="s">
        <v>133</v>
      </c>
      <c r="J760" s="89">
        <v>5190220</v>
      </c>
      <c r="K760" t="s">
        <v>144</v>
      </c>
      <c r="N760">
        <v>1</v>
      </c>
      <c r="O760" s="89">
        <v>4448.76</v>
      </c>
      <c r="P760" s="89">
        <v>111219</v>
      </c>
      <c r="Q760" t="s">
        <v>137</v>
      </c>
      <c r="R760" t="s">
        <v>131</v>
      </c>
    </row>
    <row r="761" spans="3:18" hidden="1" x14ac:dyDescent="0.25">
      <c r="C761" t="s">
        <v>45</v>
      </c>
      <c r="D761" t="s">
        <v>24</v>
      </c>
      <c r="E761" t="s">
        <v>43</v>
      </c>
      <c r="F761" t="s">
        <v>41</v>
      </c>
      <c r="G761" s="89">
        <v>188617</v>
      </c>
      <c r="H761" t="s">
        <v>42</v>
      </c>
      <c r="I761" t="s">
        <v>133</v>
      </c>
      <c r="J761" s="89">
        <v>4149574</v>
      </c>
      <c r="K761" t="s">
        <v>134</v>
      </c>
      <c r="L761" t="s">
        <v>128</v>
      </c>
      <c r="M761" t="s">
        <v>148</v>
      </c>
      <c r="N761">
        <v>1</v>
      </c>
      <c r="O761" s="89">
        <v>5658.51</v>
      </c>
      <c r="P761" s="89">
        <v>18861.7</v>
      </c>
      <c r="Q761" t="s">
        <v>130</v>
      </c>
      <c r="R761" t="s">
        <v>131</v>
      </c>
    </row>
    <row r="762" spans="3:18" x14ac:dyDescent="0.25">
      <c r="C762" t="s">
        <v>47</v>
      </c>
      <c r="D762" t="s">
        <v>24</v>
      </c>
      <c r="E762" t="s">
        <v>44</v>
      </c>
      <c r="F762" t="s">
        <v>41</v>
      </c>
      <c r="G762" s="89">
        <v>45624</v>
      </c>
      <c r="H762" t="s">
        <v>42</v>
      </c>
      <c r="I762" t="s">
        <v>133</v>
      </c>
      <c r="J762" s="89">
        <v>1049352</v>
      </c>
      <c r="K762" t="s">
        <v>127</v>
      </c>
      <c r="L762" t="s">
        <v>128</v>
      </c>
      <c r="M762" t="s">
        <v>148</v>
      </c>
      <c r="N762">
        <v>1</v>
      </c>
      <c r="O762" s="89">
        <v>1368.72</v>
      </c>
      <c r="P762" s="89">
        <v>21443.279999999999</v>
      </c>
      <c r="Q762" t="s">
        <v>142</v>
      </c>
      <c r="R762" t="s">
        <v>131</v>
      </c>
    </row>
    <row r="763" spans="3:18" hidden="1" x14ac:dyDescent="0.25">
      <c r="C763" t="s">
        <v>45</v>
      </c>
      <c r="D763" t="s">
        <v>149</v>
      </c>
      <c r="E763" t="s">
        <v>43</v>
      </c>
      <c r="F763" t="s">
        <v>41</v>
      </c>
      <c r="G763" s="89">
        <v>995692</v>
      </c>
      <c r="H763" t="s">
        <v>42</v>
      </c>
      <c r="I763" t="s">
        <v>133</v>
      </c>
      <c r="J763" s="89">
        <v>29870760</v>
      </c>
      <c r="K763" t="s">
        <v>144</v>
      </c>
      <c r="N763">
        <v>1</v>
      </c>
      <c r="O763" s="89">
        <v>29870.76</v>
      </c>
      <c r="P763" s="89">
        <v>248923</v>
      </c>
      <c r="Q763" t="s">
        <v>130</v>
      </c>
      <c r="R763" t="s">
        <v>131</v>
      </c>
    </row>
    <row r="764" spans="3:18" hidden="1" x14ac:dyDescent="0.25">
      <c r="C764" t="s">
        <v>45</v>
      </c>
      <c r="D764" t="s">
        <v>23</v>
      </c>
      <c r="E764" t="s">
        <v>48</v>
      </c>
      <c r="F764" t="s">
        <v>41</v>
      </c>
      <c r="G764" s="89">
        <v>74585</v>
      </c>
      <c r="H764" t="s">
        <v>140</v>
      </c>
      <c r="I764" t="s">
        <v>141</v>
      </c>
      <c r="J764" s="89">
        <v>596680</v>
      </c>
      <c r="K764" t="s">
        <v>127</v>
      </c>
      <c r="L764" t="s">
        <v>128</v>
      </c>
      <c r="N764">
        <v>1</v>
      </c>
      <c r="O764" s="89">
        <v>2237.5500000000002</v>
      </c>
      <c r="P764" s="89">
        <v>63397.25</v>
      </c>
      <c r="Q764" t="s">
        <v>135</v>
      </c>
      <c r="R764" t="s">
        <v>131</v>
      </c>
    </row>
    <row r="765" spans="3:18" x14ac:dyDescent="0.25">
      <c r="C765" t="s">
        <v>47</v>
      </c>
      <c r="D765" t="s">
        <v>21</v>
      </c>
      <c r="E765" t="s">
        <v>43</v>
      </c>
      <c r="F765" t="s">
        <v>41</v>
      </c>
      <c r="G765" s="89">
        <v>516345</v>
      </c>
      <c r="H765" t="s">
        <v>140</v>
      </c>
      <c r="I765" t="s">
        <v>147</v>
      </c>
      <c r="J765" s="89"/>
      <c r="K765" t="s">
        <v>127</v>
      </c>
      <c r="L765" t="s">
        <v>128</v>
      </c>
      <c r="N765">
        <v>0</v>
      </c>
      <c r="O765" s="89">
        <v>20653.8</v>
      </c>
      <c r="P765" s="89">
        <v>51634.5</v>
      </c>
      <c r="Q765" t="s">
        <v>130</v>
      </c>
      <c r="R765" t="s">
        <v>131</v>
      </c>
    </row>
    <row r="766" spans="3:18" hidden="1" x14ac:dyDescent="0.25">
      <c r="C766" t="s">
        <v>45</v>
      </c>
      <c r="D766" t="s">
        <v>149</v>
      </c>
      <c r="E766" t="s">
        <v>43</v>
      </c>
      <c r="F766" t="s">
        <v>41</v>
      </c>
      <c r="G766" s="89">
        <v>5666925</v>
      </c>
      <c r="H766" t="s">
        <v>42</v>
      </c>
      <c r="I766" t="s">
        <v>147</v>
      </c>
      <c r="J766" s="89">
        <v>17000775</v>
      </c>
      <c r="K766" t="s">
        <v>127</v>
      </c>
      <c r="L766" t="s">
        <v>128</v>
      </c>
      <c r="M766" t="s">
        <v>136</v>
      </c>
      <c r="N766">
        <v>1</v>
      </c>
      <c r="O766" s="89">
        <v>170007.75</v>
      </c>
      <c r="P766" s="89">
        <v>1020046.5</v>
      </c>
      <c r="Q766" t="s">
        <v>130</v>
      </c>
      <c r="R766" t="s">
        <v>131</v>
      </c>
    </row>
    <row r="767" spans="3:18" hidden="1" x14ac:dyDescent="0.25">
      <c r="C767" t="s">
        <v>45</v>
      </c>
      <c r="D767" t="s">
        <v>21</v>
      </c>
      <c r="E767" t="s">
        <v>43</v>
      </c>
      <c r="F767" t="s">
        <v>41</v>
      </c>
      <c r="G767" s="89">
        <v>2315434</v>
      </c>
      <c r="H767" t="s">
        <v>140</v>
      </c>
      <c r="I767" t="s">
        <v>133</v>
      </c>
      <c r="J767" s="89">
        <v>81040190</v>
      </c>
      <c r="K767" t="s">
        <v>144</v>
      </c>
      <c r="N767">
        <v>1</v>
      </c>
      <c r="O767" s="89">
        <v>69463.02</v>
      </c>
      <c r="P767" s="89">
        <v>1944964.56</v>
      </c>
      <c r="Q767" t="s">
        <v>135</v>
      </c>
      <c r="R767" t="s">
        <v>131</v>
      </c>
    </row>
    <row r="768" spans="3:18" x14ac:dyDescent="0.25">
      <c r="C768" t="s">
        <v>47</v>
      </c>
      <c r="D768" t="s">
        <v>21</v>
      </c>
      <c r="E768" t="s">
        <v>40</v>
      </c>
      <c r="F768" t="s">
        <v>41</v>
      </c>
      <c r="G768" s="89">
        <v>2002910</v>
      </c>
      <c r="H768" t="s">
        <v>140</v>
      </c>
      <c r="I768" t="s">
        <v>147</v>
      </c>
      <c r="J768" s="89">
        <v>10014550</v>
      </c>
      <c r="K768" t="s">
        <v>144</v>
      </c>
      <c r="N768">
        <v>1</v>
      </c>
      <c r="O768" s="89">
        <v>60087.3</v>
      </c>
      <c r="P768" s="89">
        <v>1442095.2</v>
      </c>
      <c r="Q768" t="s">
        <v>137</v>
      </c>
      <c r="R768" t="s">
        <v>131</v>
      </c>
    </row>
    <row r="769" spans="3:18" hidden="1" x14ac:dyDescent="0.25">
      <c r="C769" t="s">
        <v>45</v>
      </c>
      <c r="D769" t="s">
        <v>22</v>
      </c>
      <c r="E769" t="s">
        <v>40</v>
      </c>
      <c r="F769" t="s">
        <v>41</v>
      </c>
      <c r="G769" s="89">
        <v>649219</v>
      </c>
      <c r="H769" t="s">
        <v>42</v>
      </c>
      <c r="I769" t="s">
        <v>126</v>
      </c>
      <c r="J769" s="89">
        <v>10387504</v>
      </c>
      <c r="K769" t="s">
        <v>134</v>
      </c>
      <c r="L769" t="s">
        <v>128</v>
      </c>
      <c r="M769" t="s">
        <v>143</v>
      </c>
      <c r="N769">
        <v>1</v>
      </c>
      <c r="O769" s="89">
        <v>19476.57</v>
      </c>
      <c r="P769" s="89">
        <v>441468.92</v>
      </c>
      <c r="Q769" t="s">
        <v>137</v>
      </c>
      <c r="R769" t="s">
        <v>131</v>
      </c>
    </row>
    <row r="770" spans="3:18" hidden="1" x14ac:dyDescent="0.25">
      <c r="C770" t="s">
        <v>45</v>
      </c>
      <c r="D770" t="s">
        <v>19</v>
      </c>
      <c r="E770" t="s">
        <v>43</v>
      </c>
      <c r="F770" t="s">
        <v>41</v>
      </c>
      <c r="G770" s="89">
        <v>39113</v>
      </c>
      <c r="H770" t="s">
        <v>132</v>
      </c>
      <c r="I770" t="s">
        <v>126</v>
      </c>
      <c r="J770" s="89">
        <v>664921</v>
      </c>
      <c r="K770" t="s">
        <v>134</v>
      </c>
      <c r="L770" t="s">
        <v>128</v>
      </c>
      <c r="N770">
        <v>1</v>
      </c>
      <c r="O770" s="89">
        <v>1564.52</v>
      </c>
      <c r="P770" s="89">
        <v>5866.95</v>
      </c>
      <c r="Q770" t="s">
        <v>130</v>
      </c>
      <c r="R770" t="s">
        <v>131</v>
      </c>
    </row>
    <row r="771" spans="3:18" hidden="1" x14ac:dyDescent="0.25">
      <c r="C771" t="s">
        <v>45</v>
      </c>
      <c r="D771" t="s">
        <v>22</v>
      </c>
      <c r="E771" t="s">
        <v>48</v>
      </c>
      <c r="F771" t="s">
        <v>41</v>
      </c>
      <c r="G771" s="89">
        <v>68796</v>
      </c>
      <c r="H771" t="s">
        <v>145</v>
      </c>
      <c r="I771" t="s">
        <v>133</v>
      </c>
      <c r="J771" s="89">
        <v>1788696</v>
      </c>
      <c r="K771" t="s">
        <v>127</v>
      </c>
      <c r="L771" t="s">
        <v>128</v>
      </c>
      <c r="N771">
        <v>1</v>
      </c>
      <c r="O771" s="89">
        <v>2063.88</v>
      </c>
      <c r="P771" s="89">
        <v>32334.12</v>
      </c>
      <c r="Q771" t="s">
        <v>142</v>
      </c>
      <c r="R771" t="s">
        <v>131</v>
      </c>
    </row>
    <row r="772" spans="3:18" x14ac:dyDescent="0.25">
      <c r="C772" t="s">
        <v>47</v>
      </c>
      <c r="D772" t="s">
        <v>23</v>
      </c>
      <c r="E772" t="s">
        <v>48</v>
      </c>
      <c r="F772" t="s">
        <v>41</v>
      </c>
      <c r="G772" s="89">
        <v>47602</v>
      </c>
      <c r="H772" t="s">
        <v>145</v>
      </c>
      <c r="I772" t="s">
        <v>141</v>
      </c>
      <c r="J772" s="89">
        <v>333214</v>
      </c>
      <c r="K772" t="s">
        <v>127</v>
      </c>
      <c r="L772" t="s">
        <v>128</v>
      </c>
      <c r="N772">
        <v>1</v>
      </c>
      <c r="O772" s="89">
        <v>2380.1</v>
      </c>
      <c r="P772" s="89">
        <v>19516.82</v>
      </c>
      <c r="Q772" t="s">
        <v>142</v>
      </c>
      <c r="R772" t="s">
        <v>131</v>
      </c>
    </row>
    <row r="773" spans="3:18" x14ac:dyDescent="0.25">
      <c r="C773" t="s">
        <v>47</v>
      </c>
      <c r="D773" t="s">
        <v>21</v>
      </c>
      <c r="E773" t="s">
        <v>43</v>
      </c>
      <c r="F773" t="s">
        <v>41</v>
      </c>
      <c r="G773" s="89">
        <v>1619694</v>
      </c>
      <c r="H773" t="s">
        <v>42</v>
      </c>
      <c r="I773" t="s">
        <v>141</v>
      </c>
      <c r="J773" s="89">
        <v>11337858</v>
      </c>
      <c r="K773" t="s">
        <v>127</v>
      </c>
      <c r="L773" t="s">
        <v>128</v>
      </c>
      <c r="M773" t="s">
        <v>129</v>
      </c>
      <c r="N773">
        <v>1</v>
      </c>
      <c r="O773" s="89">
        <v>64787.76</v>
      </c>
      <c r="P773" s="89">
        <v>518302.08</v>
      </c>
      <c r="Q773" t="s">
        <v>130</v>
      </c>
      <c r="R773" t="s">
        <v>42</v>
      </c>
    </row>
    <row r="774" spans="3:18" hidden="1" x14ac:dyDescent="0.25">
      <c r="C774" t="s">
        <v>45</v>
      </c>
      <c r="D774" t="s">
        <v>23</v>
      </c>
      <c r="E774" t="s">
        <v>48</v>
      </c>
      <c r="F774" t="s">
        <v>41</v>
      </c>
      <c r="G774" s="89">
        <v>75490</v>
      </c>
      <c r="H774" t="s">
        <v>132</v>
      </c>
      <c r="I774" t="s">
        <v>141</v>
      </c>
      <c r="J774" s="89">
        <v>679410</v>
      </c>
      <c r="K774" t="s">
        <v>144</v>
      </c>
      <c r="N774">
        <v>1</v>
      </c>
      <c r="O774" s="89">
        <v>2264.6999999999998</v>
      </c>
      <c r="P774" s="89">
        <v>20382.3</v>
      </c>
      <c r="Q774" t="s">
        <v>130</v>
      </c>
      <c r="R774" t="s">
        <v>131</v>
      </c>
    </row>
    <row r="775" spans="3:18" hidden="1" x14ac:dyDescent="0.25">
      <c r="C775" t="s">
        <v>45</v>
      </c>
      <c r="D775" t="s">
        <v>149</v>
      </c>
      <c r="E775" t="s">
        <v>44</v>
      </c>
      <c r="F775" t="s">
        <v>41</v>
      </c>
      <c r="G775" s="89">
        <v>128219</v>
      </c>
      <c r="H775" t="s">
        <v>42</v>
      </c>
      <c r="I775" t="s">
        <v>133</v>
      </c>
      <c r="J775" s="89">
        <v>3333694</v>
      </c>
      <c r="K775" t="s">
        <v>144</v>
      </c>
      <c r="N775">
        <v>1</v>
      </c>
      <c r="O775" s="89">
        <v>3846.57</v>
      </c>
      <c r="P775" s="89">
        <v>101293.01</v>
      </c>
      <c r="Q775" t="s">
        <v>137</v>
      </c>
      <c r="R775" t="s">
        <v>42</v>
      </c>
    </row>
    <row r="776" spans="3:18" hidden="1" x14ac:dyDescent="0.25">
      <c r="C776" t="s">
        <v>45</v>
      </c>
      <c r="D776" t="s">
        <v>138</v>
      </c>
      <c r="E776" t="s">
        <v>43</v>
      </c>
      <c r="F776" t="s">
        <v>41</v>
      </c>
      <c r="G776" s="89">
        <v>2965042</v>
      </c>
      <c r="H776" t="s">
        <v>42</v>
      </c>
      <c r="I776" t="s">
        <v>133</v>
      </c>
      <c r="J776" s="89">
        <v>88951260</v>
      </c>
      <c r="K776" t="s">
        <v>134</v>
      </c>
      <c r="L776" t="s">
        <v>128</v>
      </c>
      <c r="M776" t="s">
        <v>139</v>
      </c>
      <c r="N776">
        <v>1</v>
      </c>
      <c r="O776" s="89">
        <v>88951.26</v>
      </c>
      <c r="P776" s="89">
        <v>2045878.98</v>
      </c>
      <c r="Q776" t="s">
        <v>137</v>
      </c>
      <c r="R776" t="s">
        <v>131</v>
      </c>
    </row>
    <row r="777" spans="3:18" hidden="1" x14ac:dyDescent="0.25">
      <c r="C777" t="s">
        <v>45</v>
      </c>
      <c r="D777" t="s">
        <v>20</v>
      </c>
      <c r="E777" t="s">
        <v>43</v>
      </c>
      <c r="F777" t="s">
        <v>41</v>
      </c>
      <c r="G777" s="89">
        <v>28844</v>
      </c>
      <c r="H777" t="s">
        <v>42</v>
      </c>
      <c r="I777" t="s">
        <v>147</v>
      </c>
      <c r="J777" s="89">
        <v>115376</v>
      </c>
      <c r="K777" t="s">
        <v>134</v>
      </c>
      <c r="L777" t="s">
        <v>128</v>
      </c>
      <c r="M777" t="s">
        <v>139</v>
      </c>
      <c r="N777">
        <v>1</v>
      </c>
      <c r="O777" s="89">
        <v>865.32</v>
      </c>
      <c r="P777" s="89">
        <v>2595.96</v>
      </c>
      <c r="Q777" t="s">
        <v>130</v>
      </c>
      <c r="R777" t="s">
        <v>131</v>
      </c>
    </row>
    <row r="778" spans="3:18" hidden="1" x14ac:dyDescent="0.25">
      <c r="C778" t="s">
        <v>45</v>
      </c>
      <c r="D778" t="s">
        <v>50</v>
      </c>
      <c r="E778" t="s">
        <v>50</v>
      </c>
      <c r="F778" t="s">
        <v>53</v>
      </c>
      <c r="G778" s="89">
        <v>8739</v>
      </c>
      <c r="H778" t="s">
        <v>79</v>
      </c>
      <c r="I778" t="s">
        <v>133</v>
      </c>
      <c r="J778" s="89">
        <v>270909</v>
      </c>
      <c r="K778" t="s">
        <v>144</v>
      </c>
      <c r="N778">
        <v>1</v>
      </c>
      <c r="O778" s="89">
        <v>262.17</v>
      </c>
      <c r="P778" s="89">
        <v>9438.1200000000008</v>
      </c>
      <c r="Q778" t="s">
        <v>150</v>
      </c>
      <c r="R778" t="s">
        <v>79</v>
      </c>
    </row>
    <row r="779" spans="3:18" hidden="1" x14ac:dyDescent="0.25">
      <c r="C779" t="s">
        <v>45</v>
      </c>
      <c r="D779" t="s">
        <v>149</v>
      </c>
      <c r="E779" t="s">
        <v>43</v>
      </c>
      <c r="F779" t="s">
        <v>41</v>
      </c>
      <c r="G779" s="89">
        <v>34053363</v>
      </c>
      <c r="H779" t="s">
        <v>42</v>
      </c>
      <c r="I779" t="s">
        <v>133</v>
      </c>
      <c r="J779" s="89">
        <v>1157814342</v>
      </c>
      <c r="K779" t="s">
        <v>127</v>
      </c>
      <c r="L779" t="s">
        <v>128</v>
      </c>
      <c r="M779" t="s">
        <v>136</v>
      </c>
      <c r="N779">
        <v>1</v>
      </c>
      <c r="O779" s="89">
        <v>1021600.89</v>
      </c>
      <c r="P779" s="89">
        <v>28264291.289999999</v>
      </c>
      <c r="Q779" t="s">
        <v>135</v>
      </c>
      <c r="R779" t="s">
        <v>131</v>
      </c>
    </row>
    <row r="780" spans="3:18" hidden="1" x14ac:dyDescent="0.25">
      <c r="C780" t="s">
        <v>45</v>
      </c>
      <c r="D780" t="s">
        <v>23</v>
      </c>
      <c r="E780" t="s">
        <v>40</v>
      </c>
      <c r="F780" t="s">
        <v>41</v>
      </c>
      <c r="G780" s="89">
        <v>703233</v>
      </c>
      <c r="H780" t="s">
        <v>140</v>
      </c>
      <c r="I780" t="s">
        <v>147</v>
      </c>
      <c r="J780" s="89">
        <v>2109699</v>
      </c>
      <c r="K780" t="s">
        <v>144</v>
      </c>
      <c r="N780">
        <v>1</v>
      </c>
      <c r="O780" s="89">
        <v>28129.32</v>
      </c>
      <c r="P780" s="89">
        <v>77355.63</v>
      </c>
      <c r="Q780" t="s">
        <v>130</v>
      </c>
      <c r="R780" t="s">
        <v>131</v>
      </c>
    </row>
    <row r="781" spans="3:18" hidden="1" x14ac:dyDescent="0.25">
      <c r="C781" t="s">
        <v>45</v>
      </c>
      <c r="D781" t="s">
        <v>24</v>
      </c>
      <c r="E781" t="s">
        <v>40</v>
      </c>
      <c r="F781" t="s">
        <v>41</v>
      </c>
      <c r="G781" s="89">
        <v>43556</v>
      </c>
      <c r="H781" t="s">
        <v>42</v>
      </c>
      <c r="I781" t="s">
        <v>133</v>
      </c>
      <c r="J781" s="89">
        <v>1742240</v>
      </c>
      <c r="K781" t="s">
        <v>127</v>
      </c>
      <c r="L781" t="s">
        <v>128</v>
      </c>
      <c r="M781" t="s">
        <v>148</v>
      </c>
      <c r="N781">
        <v>1</v>
      </c>
      <c r="O781" s="89">
        <v>1742.24</v>
      </c>
      <c r="P781" s="89">
        <v>35280.36</v>
      </c>
      <c r="Q781" t="s">
        <v>135</v>
      </c>
      <c r="R781" t="s">
        <v>42</v>
      </c>
    </row>
    <row r="782" spans="3:18" hidden="1" x14ac:dyDescent="0.25">
      <c r="C782" t="s">
        <v>45</v>
      </c>
      <c r="D782" t="s">
        <v>21</v>
      </c>
      <c r="E782" t="s">
        <v>40</v>
      </c>
      <c r="F782" t="s">
        <v>53</v>
      </c>
      <c r="G782" s="89">
        <v>321086</v>
      </c>
      <c r="H782" t="s">
        <v>42</v>
      </c>
      <c r="I782" t="s">
        <v>126</v>
      </c>
      <c r="J782" s="89">
        <v>4816290</v>
      </c>
      <c r="K782" t="s">
        <v>144</v>
      </c>
      <c r="N782">
        <v>1</v>
      </c>
      <c r="O782" s="89">
        <v>9632.58</v>
      </c>
      <c r="P782" s="89">
        <v>256868.8</v>
      </c>
      <c r="Q782" t="s">
        <v>135</v>
      </c>
      <c r="R782" t="s">
        <v>42</v>
      </c>
    </row>
    <row r="783" spans="3:18" hidden="1" x14ac:dyDescent="0.25">
      <c r="C783" t="s">
        <v>45</v>
      </c>
      <c r="D783" t="s">
        <v>24</v>
      </c>
      <c r="E783" t="s">
        <v>48</v>
      </c>
      <c r="F783" t="s">
        <v>41</v>
      </c>
      <c r="G783" s="89">
        <v>367802</v>
      </c>
      <c r="H783" t="s">
        <v>140</v>
      </c>
      <c r="I783" t="s">
        <v>141</v>
      </c>
      <c r="J783" s="89">
        <v>3678020</v>
      </c>
      <c r="K783" t="s">
        <v>144</v>
      </c>
      <c r="N783">
        <v>1</v>
      </c>
      <c r="O783" s="89">
        <v>11034.06</v>
      </c>
      <c r="P783" s="89">
        <v>268495.46000000002</v>
      </c>
      <c r="Q783" t="s">
        <v>137</v>
      </c>
      <c r="R783" t="s">
        <v>131</v>
      </c>
    </row>
    <row r="784" spans="3:18" hidden="1" x14ac:dyDescent="0.25">
      <c r="C784" t="s">
        <v>39</v>
      </c>
      <c r="D784" t="s">
        <v>22</v>
      </c>
      <c r="E784" t="s">
        <v>40</v>
      </c>
      <c r="F784" t="s">
        <v>41</v>
      </c>
      <c r="G784" s="89">
        <v>9350</v>
      </c>
      <c r="H784" t="s">
        <v>132</v>
      </c>
      <c r="I784" t="s">
        <v>133</v>
      </c>
      <c r="J784" s="89"/>
      <c r="N784">
        <v>0</v>
      </c>
      <c r="O784" s="89"/>
      <c r="P784" s="89"/>
      <c r="R784" t="s">
        <v>131</v>
      </c>
    </row>
    <row r="785" spans="3:18" hidden="1" x14ac:dyDescent="0.25">
      <c r="C785" t="s">
        <v>45</v>
      </c>
      <c r="D785" t="s">
        <v>19</v>
      </c>
      <c r="E785" t="s">
        <v>43</v>
      </c>
      <c r="F785" t="s">
        <v>41</v>
      </c>
      <c r="G785" s="89">
        <v>190069</v>
      </c>
      <c r="H785" t="s">
        <v>42</v>
      </c>
      <c r="I785" t="s">
        <v>126</v>
      </c>
      <c r="J785" s="89">
        <v>3801380</v>
      </c>
      <c r="K785" t="s">
        <v>127</v>
      </c>
      <c r="L785" t="s">
        <v>128</v>
      </c>
      <c r="M785" t="s">
        <v>148</v>
      </c>
      <c r="N785">
        <v>1</v>
      </c>
      <c r="O785" s="89">
        <v>5702.07</v>
      </c>
      <c r="P785" s="89">
        <v>77928.289999999994</v>
      </c>
      <c r="Q785" t="s">
        <v>142</v>
      </c>
      <c r="R785" t="s">
        <v>131</v>
      </c>
    </row>
    <row r="786" spans="3:18" hidden="1" x14ac:dyDescent="0.25">
      <c r="C786" t="s">
        <v>45</v>
      </c>
      <c r="D786" t="s">
        <v>23</v>
      </c>
      <c r="E786" t="s">
        <v>40</v>
      </c>
      <c r="F786" t="s">
        <v>41</v>
      </c>
      <c r="G786" s="89">
        <v>74743</v>
      </c>
      <c r="H786" t="s">
        <v>42</v>
      </c>
      <c r="I786" t="s">
        <v>133</v>
      </c>
      <c r="J786" s="89">
        <v>1719089</v>
      </c>
      <c r="K786" t="s">
        <v>127</v>
      </c>
      <c r="L786" t="s">
        <v>151</v>
      </c>
      <c r="M786" t="s">
        <v>156</v>
      </c>
      <c r="N786">
        <v>1</v>
      </c>
      <c r="O786" s="89">
        <v>2989.72</v>
      </c>
      <c r="P786" s="89">
        <v>34381.78</v>
      </c>
      <c r="Q786" t="s">
        <v>142</v>
      </c>
      <c r="R786" t="s">
        <v>131</v>
      </c>
    </row>
    <row r="787" spans="3:18" x14ac:dyDescent="0.25">
      <c r="C787" t="s">
        <v>47</v>
      </c>
      <c r="D787" t="s">
        <v>22</v>
      </c>
      <c r="E787" t="s">
        <v>40</v>
      </c>
      <c r="F787" t="s">
        <v>41</v>
      </c>
      <c r="G787" s="89">
        <v>314714</v>
      </c>
      <c r="H787" t="s">
        <v>42</v>
      </c>
      <c r="I787" t="s">
        <v>133</v>
      </c>
      <c r="J787" s="89">
        <v>9756134</v>
      </c>
      <c r="K787" t="s">
        <v>127</v>
      </c>
      <c r="L787" t="s">
        <v>128</v>
      </c>
      <c r="M787" t="s">
        <v>143</v>
      </c>
      <c r="N787">
        <v>1</v>
      </c>
      <c r="O787" s="89">
        <v>12588.56</v>
      </c>
      <c r="P787" s="89">
        <v>176239.84</v>
      </c>
      <c r="Q787" t="s">
        <v>142</v>
      </c>
      <c r="R787" t="s">
        <v>131</v>
      </c>
    </row>
    <row r="788" spans="3:18" x14ac:dyDescent="0.25">
      <c r="C788" t="s">
        <v>47</v>
      </c>
      <c r="D788" t="s">
        <v>25</v>
      </c>
      <c r="E788" t="s">
        <v>44</v>
      </c>
      <c r="F788" t="s">
        <v>41</v>
      </c>
      <c r="G788" s="89">
        <v>238730</v>
      </c>
      <c r="H788" t="s">
        <v>146</v>
      </c>
      <c r="I788" t="s">
        <v>147</v>
      </c>
      <c r="J788" s="89">
        <v>716190</v>
      </c>
      <c r="K788" t="s">
        <v>127</v>
      </c>
      <c r="L788" t="s">
        <v>128</v>
      </c>
      <c r="N788">
        <v>1</v>
      </c>
      <c r="O788" s="89">
        <v>11936.5</v>
      </c>
      <c r="P788" s="89">
        <v>28647.599999999999</v>
      </c>
      <c r="Q788" t="s">
        <v>130</v>
      </c>
      <c r="R788" t="s">
        <v>131</v>
      </c>
    </row>
    <row r="789" spans="3:18" hidden="1" x14ac:dyDescent="0.25">
      <c r="C789" t="s">
        <v>45</v>
      </c>
      <c r="D789" t="s">
        <v>23</v>
      </c>
      <c r="E789" t="s">
        <v>40</v>
      </c>
      <c r="F789" t="s">
        <v>41</v>
      </c>
      <c r="G789" s="89">
        <v>74337</v>
      </c>
      <c r="H789" t="s">
        <v>140</v>
      </c>
      <c r="I789" t="s">
        <v>133</v>
      </c>
      <c r="J789" s="89">
        <v>2601795</v>
      </c>
      <c r="K789" t="s">
        <v>134</v>
      </c>
      <c r="L789" t="s">
        <v>151</v>
      </c>
      <c r="N789">
        <v>1</v>
      </c>
      <c r="O789" s="89">
        <v>2230.11</v>
      </c>
      <c r="P789" s="89">
        <v>26761.32</v>
      </c>
      <c r="Q789" t="s">
        <v>130</v>
      </c>
      <c r="R789" t="s">
        <v>131</v>
      </c>
    </row>
    <row r="790" spans="3:18" hidden="1" x14ac:dyDescent="0.25">
      <c r="C790" t="s">
        <v>45</v>
      </c>
      <c r="D790" t="s">
        <v>20</v>
      </c>
      <c r="E790" t="s">
        <v>40</v>
      </c>
      <c r="F790" t="s">
        <v>41</v>
      </c>
      <c r="G790" s="89">
        <v>144315</v>
      </c>
      <c r="H790" t="s">
        <v>140</v>
      </c>
      <c r="I790" t="s">
        <v>133</v>
      </c>
      <c r="J790" s="89">
        <v>4040820</v>
      </c>
      <c r="K790" t="s">
        <v>144</v>
      </c>
      <c r="N790">
        <v>1</v>
      </c>
      <c r="O790" s="89">
        <v>4329.45</v>
      </c>
      <c r="P790" s="89">
        <v>76486.95</v>
      </c>
      <c r="Q790" t="s">
        <v>142</v>
      </c>
      <c r="R790" t="s">
        <v>131</v>
      </c>
    </row>
    <row r="791" spans="3:18" hidden="1" x14ac:dyDescent="0.25">
      <c r="C791" t="s">
        <v>45</v>
      </c>
      <c r="D791" t="s">
        <v>19</v>
      </c>
      <c r="E791" t="s">
        <v>43</v>
      </c>
      <c r="F791" t="s">
        <v>41</v>
      </c>
      <c r="G791" s="89">
        <v>27760481</v>
      </c>
      <c r="H791" t="s">
        <v>42</v>
      </c>
      <c r="I791" t="s">
        <v>126</v>
      </c>
      <c r="J791" s="89">
        <v>444167696</v>
      </c>
      <c r="K791" t="s">
        <v>127</v>
      </c>
      <c r="L791" t="s">
        <v>128</v>
      </c>
      <c r="M791" t="s">
        <v>136</v>
      </c>
      <c r="N791">
        <v>1</v>
      </c>
      <c r="O791" s="89">
        <v>832814.43</v>
      </c>
      <c r="P791" s="89">
        <v>6940120.25</v>
      </c>
      <c r="Q791" t="s">
        <v>130</v>
      </c>
      <c r="R791" t="s">
        <v>131</v>
      </c>
    </row>
    <row r="792" spans="3:18" hidden="1" x14ac:dyDescent="0.25">
      <c r="C792" t="s">
        <v>45</v>
      </c>
      <c r="D792" t="s">
        <v>21</v>
      </c>
      <c r="E792" t="s">
        <v>40</v>
      </c>
      <c r="F792" t="s">
        <v>41</v>
      </c>
      <c r="G792" s="89">
        <v>625533</v>
      </c>
      <c r="H792" t="s">
        <v>42</v>
      </c>
      <c r="I792" t="s">
        <v>133</v>
      </c>
      <c r="J792" s="89">
        <v>15638325</v>
      </c>
      <c r="K792" t="s">
        <v>127</v>
      </c>
      <c r="L792" t="s">
        <v>128</v>
      </c>
      <c r="M792" t="s">
        <v>136</v>
      </c>
      <c r="N792">
        <v>1</v>
      </c>
      <c r="O792" s="89">
        <v>18765.990000000002</v>
      </c>
      <c r="P792" s="89">
        <v>412851.78</v>
      </c>
      <c r="Q792" t="s">
        <v>137</v>
      </c>
      <c r="R792" t="s">
        <v>42</v>
      </c>
    </row>
    <row r="793" spans="3:18" hidden="1" x14ac:dyDescent="0.25">
      <c r="C793" t="s">
        <v>45</v>
      </c>
      <c r="D793" t="s">
        <v>22</v>
      </c>
      <c r="E793" t="s">
        <v>43</v>
      </c>
      <c r="F793" t="s">
        <v>41</v>
      </c>
      <c r="G793" s="89">
        <v>28309</v>
      </c>
      <c r="H793" t="s">
        <v>132</v>
      </c>
      <c r="I793" t="s">
        <v>141</v>
      </c>
      <c r="J793" s="89">
        <v>254781</v>
      </c>
      <c r="K793" t="s">
        <v>144</v>
      </c>
      <c r="N793">
        <v>1</v>
      </c>
      <c r="O793" s="89">
        <v>849.27</v>
      </c>
      <c r="P793" s="89">
        <v>3113.99</v>
      </c>
      <c r="Q793" t="s">
        <v>130</v>
      </c>
      <c r="R793" t="s">
        <v>131</v>
      </c>
    </row>
    <row r="794" spans="3:18" hidden="1" x14ac:dyDescent="0.25">
      <c r="C794" t="s">
        <v>45</v>
      </c>
      <c r="D794" t="s">
        <v>22</v>
      </c>
      <c r="E794" t="s">
        <v>40</v>
      </c>
      <c r="F794" t="s">
        <v>41</v>
      </c>
      <c r="G794" s="89">
        <v>48158746</v>
      </c>
      <c r="H794" t="s">
        <v>42</v>
      </c>
      <c r="I794" t="s">
        <v>126</v>
      </c>
      <c r="J794" s="89">
        <v>818698682</v>
      </c>
      <c r="K794" t="s">
        <v>127</v>
      </c>
      <c r="L794" t="s">
        <v>128</v>
      </c>
      <c r="M794" t="s">
        <v>143</v>
      </c>
      <c r="N794">
        <v>1</v>
      </c>
      <c r="O794" s="89">
        <v>1444762.38</v>
      </c>
      <c r="P794" s="89">
        <v>32747947.280000001</v>
      </c>
      <c r="Q794" t="s">
        <v>137</v>
      </c>
      <c r="R794" t="s">
        <v>131</v>
      </c>
    </row>
    <row r="795" spans="3:18" x14ac:dyDescent="0.25">
      <c r="C795" t="s">
        <v>47</v>
      </c>
      <c r="D795" t="s">
        <v>21</v>
      </c>
      <c r="E795" t="s">
        <v>40</v>
      </c>
      <c r="F795" t="s">
        <v>41</v>
      </c>
      <c r="G795" s="89">
        <v>21850076</v>
      </c>
      <c r="H795" t="s">
        <v>140</v>
      </c>
      <c r="I795" t="s">
        <v>126</v>
      </c>
      <c r="J795" s="89">
        <v>262200912</v>
      </c>
      <c r="K795" t="s">
        <v>127</v>
      </c>
      <c r="L795" t="s">
        <v>128</v>
      </c>
      <c r="N795">
        <v>1</v>
      </c>
      <c r="O795" s="89">
        <v>874003.04</v>
      </c>
      <c r="P795" s="89">
        <v>14639550.92</v>
      </c>
      <c r="Q795" t="s">
        <v>137</v>
      </c>
      <c r="R795" t="s">
        <v>131</v>
      </c>
    </row>
    <row r="796" spans="3:18" hidden="1" x14ac:dyDescent="0.25">
      <c r="C796" t="s">
        <v>45</v>
      </c>
      <c r="D796" t="s">
        <v>138</v>
      </c>
      <c r="E796" t="s">
        <v>40</v>
      </c>
      <c r="F796" t="s">
        <v>41</v>
      </c>
      <c r="G796" s="89">
        <v>425102</v>
      </c>
      <c r="H796" t="s">
        <v>140</v>
      </c>
      <c r="I796" t="s">
        <v>133</v>
      </c>
      <c r="J796" s="89">
        <v>11902856</v>
      </c>
      <c r="K796" t="s">
        <v>127</v>
      </c>
      <c r="L796" t="s">
        <v>128</v>
      </c>
      <c r="N796">
        <v>1</v>
      </c>
      <c r="O796" s="89">
        <v>17004.080000000002</v>
      </c>
      <c r="P796" s="89">
        <v>204048.96</v>
      </c>
      <c r="Q796" t="s">
        <v>142</v>
      </c>
      <c r="R796" t="s">
        <v>131</v>
      </c>
    </row>
    <row r="797" spans="3:18" hidden="1" x14ac:dyDescent="0.25">
      <c r="C797" t="s">
        <v>45</v>
      </c>
      <c r="D797" t="s">
        <v>22</v>
      </c>
      <c r="E797" t="s">
        <v>40</v>
      </c>
      <c r="F797" t="s">
        <v>41</v>
      </c>
      <c r="G797" s="89">
        <v>284999</v>
      </c>
      <c r="H797" t="s">
        <v>42</v>
      </c>
      <c r="I797" t="s">
        <v>133</v>
      </c>
      <c r="J797" s="89">
        <v>8549970</v>
      </c>
      <c r="K797" t="s">
        <v>134</v>
      </c>
      <c r="L797" t="s">
        <v>128</v>
      </c>
      <c r="M797" t="s">
        <v>143</v>
      </c>
      <c r="N797">
        <v>1</v>
      </c>
      <c r="O797" s="89">
        <v>8549.9699999999993</v>
      </c>
      <c r="P797" s="89">
        <v>390448.63</v>
      </c>
      <c r="Q797" t="s">
        <v>150</v>
      </c>
      <c r="R797" t="s">
        <v>131</v>
      </c>
    </row>
    <row r="798" spans="3:18" x14ac:dyDescent="0.25">
      <c r="C798" t="s">
        <v>47</v>
      </c>
      <c r="D798" t="s">
        <v>21</v>
      </c>
      <c r="E798" t="s">
        <v>40</v>
      </c>
      <c r="F798" t="s">
        <v>41</v>
      </c>
      <c r="G798" s="89">
        <v>52237500</v>
      </c>
      <c r="H798" t="s">
        <v>146</v>
      </c>
      <c r="I798" t="s">
        <v>147</v>
      </c>
      <c r="J798" s="89">
        <v>52237500</v>
      </c>
      <c r="K798" t="s">
        <v>144</v>
      </c>
      <c r="N798">
        <v>1</v>
      </c>
      <c r="O798" s="89">
        <v>2089500</v>
      </c>
      <c r="P798" s="89">
        <v>42834750</v>
      </c>
      <c r="Q798" t="s">
        <v>135</v>
      </c>
      <c r="R798" t="s">
        <v>131</v>
      </c>
    </row>
    <row r="799" spans="3:18" x14ac:dyDescent="0.25">
      <c r="C799" t="s">
        <v>47</v>
      </c>
      <c r="D799" t="s">
        <v>22</v>
      </c>
      <c r="E799" t="s">
        <v>40</v>
      </c>
      <c r="F799" t="s">
        <v>41</v>
      </c>
      <c r="G799" s="89">
        <v>5664119</v>
      </c>
      <c r="H799" t="s">
        <v>140</v>
      </c>
      <c r="I799" t="s">
        <v>147</v>
      </c>
      <c r="J799" s="89">
        <v>22656476</v>
      </c>
      <c r="K799" t="s">
        <v>127</v>
      </c>
      <c r="L799" t="s">
        <v>128</v>
      </c>
      <c r="N799">
        <v>1</v>
      </c>
      <c r="O799" s="89">
        <v>283205.95</v>
      </c>
      <c r="P799" s="89">
        <v>2605494.7400000002</v>
      </c>
      <c r="Q799" t="s">
        <v>142</v>
      </c>
      <c r="R799" t="s">
        <v>131</v>
      </c>
    </row>
    <row r="800" spans="3:18" hidden="1" x14ac:dyDescent="0.25">
      <c r="C800" t="s">
        <v>45</v>
      </c>
      <c r="D800" t="s">
        <v>50</v>
      </c>
      <c r="E800" t="s">
        <v>50</v>
      </c>
      <c r="F800" t="s">
        <v>41</v>
      </c>
      <c r="G800" s="89">
        <v>2305252</v>
      </c>
      <c r="H800" t="s">
        <v>79</v>
      </c>
      <c r="I800" t="s">
        <v>147</v>
      </c>
      <c r="J800" s="89">
        <v>6915756</v>
      </c>
      <c r="K800" t="s">
        <v>127</v>
      </c>
      <c r="N800">
        <v>1</v>
      </c>
      <c r="O800" s="89">
        <v>92210.08</v>
      </c>
      <c r="P800" s="89">
        <v>2674092.3199999998</v>
      </c>
      <c r="Q800" t="s">
        <v>150</v>
      </c>
      <c r="R800" t="s">
        <v>79</v>
      </c>
    </row>
    <row r="801" spans="3:18" hidden="1" x14ac:dyDescent="0.25">
      <c r="C801" t="s">
        <v>45</v>
      </c>
      <c r="D801" t="s">
        <v>23</v>
      </c>
      <c r="E801" t="s">
        <v>43</v>
      </c>
      <c r="F801" t="s">
        <v>41</v>
      </c>
      <c r="G801" s="89">
        <v>1818261</v>
      </c>
      <c r="H801" t="s">
        <v>132</v>
      </c>
      <c r="I801" t="s">
        <v>133</v>
      </c>
      <c r="J801" s="89">
        <v>47274786</v>
      </c>
      <c r="K801" t="s">
        <v>127</v>
      </c>
      <c r="L801" t="s">
        <v>128</v>
      </c>
      <c r="N801">
        <v>1</v>
      </c>
      <c r="O801" s="89">
        <v>54547.83</v>
      </c>
      <c r="P801" s="89">
        <v>945495.72</v>
      </c>
      <c r="Q801" t="s">
        <v>142</v>
      </c>
      <c r="R801" t="s">
        <v>131</v>
      </c>
    </row>
    <row r="802" spans="3:18" hidden="1" x14ac:dyDescent="0.25">
      <c r="C802" t="s">
        <v>45</v>
      </c>
      <c r="D802" t="s">
        <v>24</v>
      </c>
      <c r="E802" t="s">
        <v>48</v>
      </c>
      <c r="F802" t="s">
        <v>41</v>
      </c>
      <c r="G802" s="89">
        <v>24833</v>
      </c>
      <c r="H802" t="s">
        <v>146</v>
      </c>
      <c r="I802" t="s">
        <v>126</v>
      </c>
      <c r="J802" s="89">
        <v>397328</v>
      </c>
      <c r="K802" t="s">
        <v>127</v>
      </c>
      <c r="L802" t="s">
        <v>128</v>
      </c>
      <c r="N802">
        <v>1</v>
      </c>
      <c r="O802" s="89">
        <v>1241.6500000000001</v>
      </c>
      <c r="P802" s="89">
        <v>22846.36</v>
      </c>
      <c r="Q802" t="s">
        <v>135</v>
      </c>
      <c r="R802" t="s">
        <v>131</v>
      </c>
    </row>
    <row r="803" spans="3:18" hidden="1" x14ac:dyDescent="0.25">
      <c r="C803" t="s">
        <v>45</v>
      </c>
      <c r="D803" t="s">
        <v>19</v>
      </c>
      <c r="E803" t="s">
        <v>40</v>
      </c>
      <c r="F803" t="s">
        <v>41</v>
      </c>
      <c r="G803" s="89">
        <v>2121286</v>
      </c>
      <c r="H803" t="s">
        <v>42</v>
      </c>
      <c r="I803" t="s">
        <v>126</v>
      </c>
      <c r="J803" s="89">
        <v>36061862</v>
      </c>
      <c r="K803" t="s">
        <v>127</v>
      </c>
      <c r="L803" t="s">
        <v>128</v>
      </c>
      <c r="M803" t="s">
        <v>136</v>
      </c>
      <c r="N803">
        <v>1</v>
      </c>
      <c r="O803" s="89">
        <v>63638.58</v>
      </c>
      <c r="P803" s="89">
        <v>1018217.28</v>
      </c>
      <c r="Q803" t="s">
        <v>142</v>
      </c>
      <c r="R803" t="s">
        <v>131</v>
      </c>
    </row>
    <row r="804" spans="3:18" hidden="1" x14ac:dyDescent="0.25">
      <c r="C804" t="s">
        <v>45</v>
      </c>
      <c r="D804" t="s">
        <v>24</v>
      </c>
      <c r="E804" t="s">
        <v>48</v>
      </c>
      <c r="F804" t="s">
        <v>41</v>
      </c>
      <c r="G804" s="89">
        <v>496648</v>
      </c>
      <c r="H804" t="s">
        <v>140</v>
      </c>
      <c r="I804" t="s">
        <v>147</v>
      </c>
      <c r="J804" s="89">
        <v>1489944</v>
      </c>
      <c r="K804" t="s">
        <v>144</v>
      </c>
      <c r="N804">
        <v>1</v>
      </c>
      <c r="O804" s="89">
        <v>19865.919999999998</v>
      </c>
      <c r="P804" s="89">
        <v>248324</v>
      </c>
      <c r="Q804" t="s">
        <v>142</v>
      </c>
      <c r="R804" t="s">
        <v>131</v>
      </c>
    </row>
    <row r="805" spans="3:18" hidden="1" x14ac:dyDescent="0.25">
      <c r="C805" t="s">
        <v>45</v>
      </c>
      <c r="D805" t="s">
        <v>23</v>
      </c>
      <c r="E805" t="s">
        <v>43</v>
      </c>
      <c r="F805" t="s">
        <v>41</v>
      </c>
      <c r="G805" s="89">
        <v>640950</v>
      </c>
      <c r="H805" t="s">
        <v>140</v>
      </c>
      <c r="I805" t="s">
        <v>133</v>
      </c>
      <c r="J805" s="89">
        <v>19228500</v>
      </c>
      <c r="K805" t="s">
        <v>127</v>
      </c>
      <c r="L805" t="s">
        <v>128</v>
      </c>
      <c r="N805">
        <v>1</v>
      </c>
      <c r="O805" s="89">
        <v>25638</v>
      </c>
      <c r="P805" s="89">
        <v>531988.5</v>
      </c>
      <c r="Q805" t="s">
        <v>135</v>
      </c>
      <c r="R805" t="s">
        <v>131</v>
      </c>
    </row>
    <row r="806" spans="3:18" hidden="1" x14ac:dyDescent="0.25">
      <c r="C806" t="s">
        <v>45</v>
      </c>
      <c r="D806" t="s">
        <v>19</v>
      </c>
      <c r="E806" t="s">
        <v>48</v>
      </c>
      <c r="F806" t="s">
        <v>41</v>
      </c>
      <c r="G806" s="89">
        <v>59431</v>
      </c>
      <c r="H806" t="s">
        <v>42</v>
      </c>
      <c r="I806" t="s">
        <v>126</v>
      </c>
      <c r="J806" s="89">
        <v>1010327</v>
      </c>
      <c r="K806" t="s">
        <v>144</v>
      </c>
      <c r="N806">
        <v>1</v>
      </c>
      <c r="O806" s="89">
        <v>1782.93</v>
      </c>
      <c r="P806" s="89">
        <v>41601.699999999997</v>
      </c>
      <c r="Q806" t="s">
        <v>137</v>
      </c>
      <c r="R806" t="s">
        <v>131</v>
      </c>
    </row>
    <row r="807" spans="3:18" hidden="1" x14ac:dyDescent="0.25">
      <c r="C807" t="s">
        <v>45</v>
      </c>
      <c r="D807" t="s">
        <v>23</v>
      </c>
      <c r="E807" t="s">
        <v>44</v>
      </c>
      <c r="F807" t="s">
        <v>41</v>
      </c>
      <c r="G807" s="89">
        <v>379045</v>
      </c>
      <c r="H807" t="s">
        <v>140</v>
      </c>
      <c r="I807" t="s">
        <v>133</v>
      </c>
      <c r="J807" s="89">
        <v>12508485</v>
      </c>
      <c r="K807" t="s">
        <v>127</v>
      </c>
      <c r="L807" t="s">
        <v>128</v>
      </c>
      <c r="N807">
        <v>1</v>
      </c>
      <c r="O807" s="89">
        <v>11371.35</v>
      </c>
      <c r="P807" s="89">
        <v>261541.05</v>
      </c>
      <c r="Q807" t="s">
        <v>137</v>
      </c>
      <c r="R807" t="s">
        <v>131</v>
      </c>
    </row>
    <row r="808" spans="3:18" hidden="1" x14ac:dyDescent="0.25">
      <c r="C808" t="s">
        <v>45</v>
      </c>
      <c r="D808" t="s">
        <v>23</v>
      </c>
      <c r="E808" t="s">
        <v>43</v>
      </c>
      <c r="F808" t="s">
        <v>41</v>
      </c>
      <c r="G808" s="89">
        <v>195929</v>
      </c>
      <c r="H808" t="s">
        <v>140</v>
      </c>
      <c r="I808" t="s">
        <v>133</v>
      </c>
      <c r="J808" s="89">
        <v>6465657</v>
      </c>
      <c r="K808" t="s">
        <v>144</v>
      </c>
      <c r="N808">
        <v>1</v>
      </c>
      <c r="O808" s="89">
        <v>5877.87</v>
      </c>
      <c r="P808" s="89">
        <v>162621.07</v>
      </c>
      <c r="Q808" t="s">
        <v>135</v>
      </c>
      <c r="R808" t="s">
        <v>131</v>
      </c>
    </row>
    <row r="809" spans="3:18" hidden="1" x14ac:dyDescent="0.25">
      <c r="C809" t="s">
        <v>45</v>
      </c>
      <c r="D809" t="s">
        <v>22</v>
      </c>
      <c r="E809" t="s">
        <v>40</v>
      </c>
      <c r="F809" t="s">
        <v>53</v>
      </c>
      <c r="G809" s="89">
        <v>4077531</v>
      </c>
      <c r="H809" t="s">
        <v>42</v>
      </c>
      <c r="I809" t="s">
        <v>133</v>
      </c>
      <c r="J809" s="89">
        <v>134558523</v>
      </c>
      <c r="K809" t="s">
        <v>144</v>
      </c>
      <c r="N809">
        <v>1</v>
      </c>
      <c r="O809" s="89">
        <v>122325.93</v>
      </c>
      <c r="P809" s="89">
        <v>3425126.04</v>
      </c>
      <c r="Q809" t="s">
        <v>135</v>
      </c>
      <c r="R809" t="s">
        <v>42</v>
      </c>
    </row>
    <row r="810" spans="3:18" hidden="1" x14ac:dyDescent="0.25">
      <c r="C810" t="s">
        <v>45</v>
      </c>
      <c r="D810" t="s">
        <v>23</v>
      </c>
      <c r="E810" t="s">
        <v>43</v>
      </c>
      <c r="F810" t="s">
        <v>41</v>
      </c>
      <c r="G810" s="89">
        <v>8882</v>
      </c>
      <c r="H810" t="s">
        <v>42</v>
      </c>
      <c r="I810" t="s">
        <v>133</v>
      </c>
      <c r="J810" s="89">
        <v>248696</v>
      </c>
      <c r="K810" t="s">
        <v>134</v>
      </c>
      <c r="L810" t="s">
        <v>128</v>
      </c>
      <c r="M810" t="s">
        <v>152</v>
      </c>
      <c r="N810">
        <v>1</v>
      </c>
      <c r="O810" s="89">
        <v>266.45999999999998</v>
      </c>
      <c r="P810" s="89">
        <v>4618.6400000000003</v>
      </c>
      <c r="Q810" t="s">
        <v>142</v>
      </c>
      <c r="R810" t="s">
        <v>131</v>
      </c>
    </row>
    <row r="811" spans="3:18" hidden="1" x14ac:dyDescent="0.25">
      <c r="C811" t="s">
        <v>45</v>
      </c>
      <c r="D811" t="s">
        <v>149</v>
      </c>
      <c r="E811" t="s">
        <v>43</v>
      </c>
      <c r="F811" t="s">
        <v>41</v>
      </c>
      <c r="G811" s="89">
        <v>83321</v>
      </c>
      <c r="H811" t="s">
        <v>42</v>
      </c>
      <c r="I811" t="s">
        <v>126</v>
      </c>
      <c r="J811" s="89">
        <v>1416457</v>
      </c>
      <c r="K811" t="s">
        <v>134</v>
      </c>
      <c r="L811" t="s">
        <v>128</v>
      </c>
      <c r="M811" t="s">
        <v>136</v>
      </c>
      <c r="N811">
        <v>1</v>
      </c>
      <c r="O811" s="89">
        <v>3332.84</v>
      </c>
      <c r="P811" s="89">
        <v>36661.24</v>
      </c>
      <c r="Q811" t="s">
        <v>142</v>
      </c>
      <c r="R811" t="s">
        <v>131</v>
      </c>
    </row>
    <row r="812" spans="3:18" hidden="1" x14ac:dyDescent="0.25">
      <c r="C812" t="s">
        <v>45</v>
      </c>
      <c r="D812" t="s">
        <v>20</v>
      </c>
      <c r="E812" t="s">
        <v>40</v>
      </c>
      <c r="F812" t="s">
        <v>41</v>
      </c>
      <c r="G812" s="89">
        <v>5086297</v>
      </c>
      <c r="H812" t="s">
        <v>42</v>
      </c>
      <c r="I812" t="s">
        <v>147</v>
      </c>
      <c r="J812" s="89">
        <v>15258891</v>
      </c>
      <c r="K812" t="s">
        <v>134</v>
      </c>
      <c r="L812" t="s">
        <v>128</v>
      </c>
      <c r="M812" t="s">
        <v>139</v>
      </c>
      <c r="N812">
        <v>1</v>
      </c>
      <c r="O812" s="89">
        <v>203451.88</v>
      </c>
      <c r="P812" s="89">
        <v>2899189.29</v>
      </c>
      <c r="Q812" t="s">
        <v>142</v>
      </c>
      <c r="R812" t="s">
        <v>131</v>
      </c>
    </row>
    <row r="813" spans="3:18" hidden="1" x14ac:dyDescent="0.25">
      <c r="C813" t="s">
        <v>45</v>
      </c>
      <c r="D813" t="s">
        <v>21</v>
      </c>
      <c r="E813" t="s">
        <v>43</v>
      </c>
      <c r="F813" t="s">
        <v>41</v>
      </c>
      <c r="G813" s="89">
        <v>1337281</v>
      </c>
      <c r="H813" t="s">
        <v>132</v>
      </c>
      <c r="I813" t="s">
        <v>126</v>
      </c>
      <c r="J813" s="89">
        <v>21396496</v>
      </c>
      <c r="K813" t="s">
        <v>144</v>
      </c>
      <c r="N813">
        <v>1</v>
      </c>
      <c r="O813" s="89">
        <v>40118.43</v>
      </c>
      <c r="P813" s="89">
        <v>949469.51</v>
      </c>
      <c r="Q813" t="s">
        <v>137</v>
      </c>
      <c r="R813" t="s">
        <v>131</v>
      </c>
    </row>
    <row r="814" spans="3:18" hidden="1" x14ac:dyDescent="0.25">
      <c r="C814" t="s">
        <v>45</v>
      </c>
      <c r="D814" t="s">
        <v>24</v>
      </c>
      <c r="E814" t="s">
        <v>40</v>
      </c>
      <c r="F814" t="s">
        <v>41</v>
      </c>
      <c r="G814" s="89">
        <v>26314886</v>
      </c>
      <c r="H814" t="s">
        <v>42</v>
      </c>
      <c r="I814" t="s">
        <v>133</v>
      </c>
      <c r="J814" s="89">
        <v>763131694</v>
      </c>
      <c r="K814" t="s">
        <v>127</v>
      </c>
      <c r="L814" t="s">
        <v>128</v>
      </c>
      <c r="M814" t="s">
        <v>148</v>
      </c>
      <c r="N814">
        <v>1</v>
      </c>
      <c r="O814" s="89">
        <v>789446.58</v>
      </c>
      <c r="P814" s="89">
        <v>13683740.720000001</v>
      </c>
      <c r="Q814" t="s">
        <v>142</v>
      </c>
      <c r="R814" t="s">
        <v>131</v>
      </c>
    </row>
    <row r="815" spans="3:18" hidden="1" x14ac:dyDescent="0.25">
      <c r="C815" t="s">
        <v>45</v>
      </c>
      <c r="D815" t="s">
        <v>25</v>
      </c>
      <c r="E815" t="s">
        <v>48</v>
      </c>
      <c r="F815" t="s">
        <v>41</v>
      </c>
      <c r="G815" s="89">
        <v>1586475</v>
      </c>
      <c r="H815" t="s">
        <v>146</v>
      </c>
      <c r="I815" t="s">
        <v>141</v>
      </c>
      <c r="J815" s="89">
        <v>11105325</v>
      </c>
      <c r="K815" t="s">
        <v>127</v>
      </c>
      <c r="L815" t="s">
        <v>128</v>
      </c>
      <c r="N815">
        <v>1</v>
      </c>
      <c r="O815" s="89">
        <v>47594.25</v>
      </c>
      <c r="P815" s="89">
        <v>317295</v>
      </c>
      <c r="Q815" t="s">
        <v>130</v>
      </c>
      <c r="R815" t="s">
        <v>131</v>
      </c>
    </row>
    <row r="816" spans="3:18" hidden="1" x14ac:dyDescent="0.25">
      <c r="C816" t="s">
        <v>45</v>
      </c>
      <c r="D816" t="s">
        <v>20</v>
      </c>
      <c r="E816" t="s">
        <v>48</v>
      </c>
      <c r="F816" t="s">
        <v>41</v>
      </c>
      <c r="G816" s="89">
        <v>99324</v>
      </c>
      <c r="H816" t="s">
        <v>42</v>
      </c>
      <c r="I816" t="s">
        <v>126</v>
      </c>
      <c r="J816" s="89">
        <v>1688508</v>
      </c>
      <c r="K816" t="s">
        <v>127</v>
      </c>
      <c r="L816" t="s">
        <v>128</v>
      </c>
      <c r="M816" t="s">
        <v>139</v>
      </c>
      <c r="N816">
        <v>1</v>
      </c>
      <c r="O816" s="89">
        <v>3972.96</v>
      </c>
      <c r="P816" s="89">
        <v>66547.08</v>
      </c>
      <c r="Q816" t="s">
        <v>137</v>
      </c>
      <c r="R816" t="s">
        <v>131</v>
      </c>
    </row>
    <row r="817" spans="3:18" hidden="1" x14ac:dyDescent="0.25">
      <c r="C817" t="s">
        <v>45</v>
      </c>
      <c r="D817" t="s">
        <v>19</v>
      </c>
      <c r="E817" t="s">
        <v>43</v>
      </c>
      <c r="F817" t="s">
        <v>41</v>
      </c>
      <c r="G817" s="89">
        <v>647667</v>
      </c>
      <c r="H817" t="s">
        <v>42</v>
      </c>
      <c r="I817" t="s">
        <v>147</v>
      </c>
      <c r="J817" s="89">
        <v>647667</v>
      </c>
      <c r="K817" t="s">
        <v>127</v>
      </c>
      <c r="L817" t="s">
        <v>128</v>
      </c>
      <c r="M817" t="s">
        <v>136</v>
      </c>
      <c r="N817">
        <v>1</v>
      </c>
      <c r="O817" s="89">
        <v>32383.35</v>
      </c>
      <c r="P817" s="89">
        <v>278496.81</v>
      </c>
      <c r="Q817" t="s">
        <v>142</v>
      </c>
      <c r="R817" t="s">
        <v>131</v>
      </c>
    </row>
    <row r="818" spans="3:18" hidden="1" x14ac:dyDescent="0.25">
      <c r="C818" t="s">
        <v>45</v>
      </c>
      <c r="D818" t="s">
        <v>50</v>
      </c>
      <c r="E818" t="s">
        <v>50</v>
      </c>
      <c r="F818" t="s">
        <v>41</v>
      </c>
      <c r="G818" s="89">
        <v>0</v>
      </c>
      <c r="H818" t="s">
        <v>51</v>
      </c>
      <c r="I818" t="s">
        <v>141</v>
      </c>
      <c r="J818" s="89">
        <v>0</v>
      </c>
      <c r="K818" t="s">
        <v>127</v>
      </c>
      <c r="N818">
        <v>1</v>
      </c>
      <c r="O818" s="89">
        <v>0</v>
      </c>
      <c r="P818" s="89">
        <v>0</v>
      </c>
      <c r="Q818" t="s">
        <v>150</v>
      </c>
    </row>
    <row r="819" spans="3:18" hidden="1" x14ac:dyDescent="0.25">
      <c r="C819" t="s">
        <v>45</v>
      </c>
      <c r="D819" t="s">
        <v>21</v>
      </c>
      <c r="E819" t="s">
        <v>43</v>
      </c>
      <c r="F819" t="s">
        <v>41</v>
      </c>
      <c r="G819" s="89">
        <v>67764</v>
      </c>
      <c r="H819" t="s">
        <v>140</v>
      </c>
      <c r="I819" t="s">
        <v>153</v>
      </c>
      <c r="J819" s="89"/>
      <c r="K819" t="s">
        <v>127</v>
      </c>
      <c r="L819" t="s">
        <v>128</v>
      </c>
      <c r="N819">
        <v>0</v>
      </c>
      <c r="O819" s="89">
        <v>2032.92</v>
      </c>
      <c r="P819" s="89">
        <v>0</v>
      </c>
      <c r="Q819" t="s">
        <v>130</v>
      </c>
      <c r="R819" t="s">
        <v>131</v>
      </c>
    </row>
    <row r="820" spans="3:18" hidden="1" x14ac:dyDescent="0.25">
      <c r="C820" t="s">
        <v>45</v>
      </c>
      <c r="D820" t="s">
        <v>21</v>
      </c>
      <c r="E820" t="s">
        <v>43</v>
      </c>
      <c r="F820" t="s">
        <v>41</v>
      </c>
      <c r="G820" s="89">
        <v>589421</v>
      </c>
      <c r="H820" t="s">
        <v>42</v>
      </c>
      <c r="I820" t="s">
        <v>126</v>
      </c>
      <c r="J820" s="89">
        <v>9430736</v>
      </c>
      <c r="K820" t="s">
        <v>127</v>
      </c>
      <c r="L820" t="s">
        <v>128</v>
      </c>
      <c r="M820" t="s">
        <v>143</v>
      </c>
      <c r="N820">
        <v>1</v>
      </c>
      <c r="O820" s="89">
        <v>17682.63</v>
      </c>
      <c r="P820" s="89">
        <v>277027.87</v>
      </c>
      <c r="Q820" t="s">
        <v>142</v>
      </c>
      <c r="R820" t="s">
        <v>42</v>
      </c>
    </row>
    <row r="821" spans="3:18" x14ac:dyDescent="0.25">
      <c r="C821" t="s">
        <v>47</v>
      </c>
      <c r="D821" t="s">
        <v>138</v>
      </c>
      <c r="E821" t="s">
        <v>40</v>
      </c>
      <c r="F821" t="s">
        <v>41</v>
      </c>
      <c r="G821" s="89">
        <v>3046015</v>
      </c>
      <c r="H821" t="s">
        <v>140</v>
      </c>
      <c r="I821" t="s">
        <v>147</v>
      </c>
      <c r="J821" s="89">
        <v>9138045</v>
      </c>
      <c r="K821" t="s">
        <v>144</v>
      </c>
      <c r="N821">
        <v>1</v>
      </c>
      <c r="O821" s="89">
        <v>121840.6</v>
      </c>
      <c r="P821" s="89">
        <v>1370706.75</v>
      </c>
      <c r="Q821" t="s">
        <v>142</v>
      </c>
      <c r="R821" t="s">
        <v>131</v>
      </c>
    </row>
    <row r="822" spans="3:18" hidden="1" x14ac:dyDescent="0.25">
      <c r="C822" t="s">
        <v>45</v>
      </c>
      <c r="D822" t="s">
        <v>19</v>
      </c>
      <c r="E822" t="s">
        <v>40</v>
      </c>
      <c r="F822" t="s">
        <v>41</v>
      </c>
      <c r="G822" s="89">
        <v>1879927</v>
      </c>
      <c r="H822" t="s">
        <v>42</v>
      </c>
      <c r="I822" t="s">
        <v>133</v>
      </c>
      <c r="J822" s="89">
        <v>54517883</v>
      </c>
      <c r="K822" t="s">
        <v>127</v>
      </c>
      <c r="L822" t="s">
        <v>128</v>
      </c>
      <c r="M822" t="s">
        <v>136</v>
      </c>
      <c r="N822">
        <v>1</v>
      </c>
      <c r="O822" s="89">
        <v>56397.81</v>
      </c>
      <c r="P822" s="89">
        <v>469981.75</v>
      </c>
      <c r="Q822" t="s">
        <v>130</v>
      </c>
      <c r="R822" t="s">
        <v>131</v>
      </c>
    </row>
    <row r="823" spans="3:18" hidden="1" x14ac:dyDescent="0.25">
      <c r="C823" t="s">
        <v>45</v>
      </c>
      <c r="D823" t="s">
        <v>23</v>
      </c>
      <c r="E823" t="s">
        <v>43</v>
      </c>
      <c r="F823" t="s">
        <v>41</v>
      </c>
      <c r="G823" s="89">
        <v>280216</v>
      </c>
      <c r="H823" t="s">
        <v>146</v>
      </c>
      <c r="I823" t="s">
        <v>133</v>
      </c>
      <c r="J823" s="89">
        <v>8966912</v>
      </c>
      <c r="K823" t="s">
        <v>144</v>
      </c>
      <c r="N823">
        <v>1</v>
      </c>
      <c r="O823" s="89">
        <v>8406.48</v>
      </c>
      <c r="P823" s="89">
        <v>75658.320000000007</v>
      </c>
      <c r="Q823" t="s">
        <v>130</v>
      </c>
      <c r="R823" t="s">
        <v>131</v>
      </c>
    </row>
    <row r="824" spans="3:18" hidden="1" x14ac:dyDescent="0.25">
      <c r="C824" t="s">
        <v>45</v>
      </c>
      <c r="D824" t="s">
        <v>22</v>
      </c>
      <c r="E824" t="s">
        <v>43</v>
      </c>
      <c r="F824" t="s">
        <v>41</v>
      </c>
      <c r="G824" s="89">
        <v>255164379</v>
      </c>
      <c r="H824" t="s">
        <v>42</v>
      </c>
      <c r="I824" t="s">
        <v>133</v>
      </c>
      <c r="J824" s="89">
        <v>7910095749</v>
      </c>
      <c r="K824" t="s">
        <v>127</v>
      </c>
      <c r="L824" t="s">
        <v>128</v>
      </c>
      <c r="M824" t="s">
        <v>143</v>
      </c>
      <c r="N824">
        <v>1</v>
      </c>
      <c r="O824" s="89">
        <v>7654931.3700000001</v>
      </c>
      <c r="P824" s="89">
        <v>181166709.09</v>
      </c>
      <c r="Q824" t="s">
        <v>137</v>
      </c>
      <c r="R824" t="s">
        <v>131</v>
      </c>
    </row>
    <row r="825" spans="3:18" hidden="1" x14ac:dyDescent="0.25">
      <c r="C825" t="s">
        <v>45</v>
      </c>
      <c r="D825" t="s">
        <v>23</v>
      </c>
      <c r="E825" t="s">
        <v>48</v>
      </c>
      <c r="F825" t="s">
        <v>41</v>
      </c>
      <c r="G825" s="89">
        <v>56513548</v>
      </c>
      <c r="H825" t="s">
        <v>140</v>
      </c>
      <c r="I825" t="s">
        <v>133</v>
      </c>
      <c r="J825" s="89">
        <v>1469352248</v>
      </c>
      <c r="K825" t="s">
        <v>127</v>
      </c>
      <c r="L825" t="s">
        <v>128</v>
      </c>
      <c r="N825">
        <v>1</v>
      </c>
      <c r="O825" s="89">
        <v>1695406.44</v>
      </c>
      <c r="P825" s="89">
        <v>28821909.48</v>
      </c>
      <c r="Q825" t="s">
        <v>142</v>
      </c>
      <c r="R825" t="s">
        <v>131</v>
      </c>
    </row>
    <row r="826" spans="3:18" hidden="1" x14ac:dyDescent="0.25">
      <c r="C826" t="s">
        <v>45</v>
      </c>
      <c r="D826" t="s">
        <v>50</v>
      </c>
      <c r="E826" t="s">
        <v>50</v>
      </c>
      <c r="F826" t="s">
        <v>41</v>
      </c>
      <c r="G826" s="89">
        <v>6718</v>
      </c>
      <c r="H826" t="s">
        <v>79</v>
      </c>
      <c r="I826" t="s">
        <v>141</v>
      </c>
      <c r="J826" s="89">
        <v>53744</v>
      </c>
      <c r="K826" t="s">
        <v>127</v>
      </c>
      <c r="N826">
        <v>1</v>
      </c>
      <c r="O826" s="89">
        <v>201.54</v>
      </c>
      <c r="P826" s="89">
        <v>5240.04</v>
      </c>
      <c r="Q826" t="s">
        <v>137</v>
      </c>
      <c r="R826" t="s">
        <v>79</v>
      </c>
    </row>
    <row r="827" spans="3:18" hidden="1" x14ac:dyDescent="0.25">
      <c r="C827" t="s">
        <v>45</v>
      </c>
      <c r="D827" t="s">
        <v>20</v>
      </c>
      <c r="E827" t="s">
        <v>43</v>
      </c>
      <c r="F827" t="s">
        <v>41</v>
      </c>
      <c r="G827" s="89">
        <v>5389732</v>
      </c>
      <c r="H827" t="s">
        <v>132</v>
      </c>
      <c r="I827" t="s">
        <v>126</v>
      </c>
      <c r="J827" s="89">
        <v>86235712</v>
      </c>
      <c r="K827" t="s">
        <v>127</v>
      </c>
      <c r="L827" t="s">
        <v>128</v>
      </c>
      <c r="N827">
        <v>1</v>
      </c>
      <c r="O827" s="89">
        <v>161691.96</v>
      </c>
      <c r="P827" s="89">
        <v>2640968.6800000002</v>
      </c>
      <c r="Q827" t="s">
        <v>142</v>
      </c>
      <c r="R827" t="s">
        <v>131</v>
      </c>
    </row>
    <row r="828" spans="3:18" x14ac:dyDescent="0.25">
      <c r="C828" t="s">
        <v>47</v>
      </c>
      <c r="D828" t="s">
        <v>25</v>
      </c>
      <c r="E828" t="s">
        <v>48</v>
      </c>
      <c r="F828" t="s">
        <v>41</v>
      </c>
      <c r="G828" s="89">
        <v>143</v>
      </c>
      <c r="H828" t="s">
        <v>146</v>
      </c>
      <c r="I828" t="s">
        <v>147</v>
      </c>
      <c r="J828" s="89"/>
      <c r="K828" t="s">
        <v>127</v>
      </c>
      <c r="L828" t="s">
        <v>128</v>
      </c>
      <c r="N828">
        <v>0</v>
      </c>
      <c r="O828" s="89">
        <v>1.43</v>
      </c>
      <c r="P828" s="89">
        <v>0</v>
      </c>
      <c r="Q828" t="s">
        <v>130</v>
      </c>
      <c r="R828" t="s">
        <v>131</v>
      </c>
    </row>
    <row r="829" spans="3:18" x14ac:dyDescent="0.25">
      <c r="C829" t="s">
        <v>47</v>
      </c>
      <c r="D829" t="s">
        <v>138</v>
      </c>
      <c r="E829" t="s">
        <v>48</v>
      </c>
      <c r="F829" t="s">
        <v>41</v>
      </c>
      <c r="G829" s="89">
        <v>159290</v>
      </c>
      <c r="H829" t="s">
        <v>145</v>
      </c>
      <c r="I829" t="s">
        <v>141</v>
      </c>
      <c r="J829" s="89">
        <v>1433610</v>
      </c>
      <c r="K829" t="s">
        <v>127</v>
      </c>
      <c r="L829" t="s">
        <v>128</v>
      </c>
      <c r="N829">
        <v>1</v>
      </c>
      <c r="O829" s="89">
        <v>6371.6</v>
      </c>
      <c r="P829" s="89">
        <v>74866.3</v>
      </c>
      <c r="Q829" t="s">
        <v>142</v>
      </c>
      <c r="R829" t="s">
        <v>131</v>
      </c>
    </row>
    <row r="830" spans="3:18" x14ac:dyDescent="0.25">
      <c r="C830" t="s">
        <v>47</v>
      </c>
      <c r="D830" t="s">
        <v>138</v>
      </c>
      <c r="E830" t="s">
        <v>40</v>
      </c>
      <c r="F830" t="s">
        <v>41</v>
      </c>
      <c r="G830" s="89">
        <v>558634</v>
      </c>
      <c r="H830" t="s">
        <v>146</v>
      </c>
      <c r="I830" t="s">
        <v>126</v>
      </c>
      <c r="J830" s="89">
        <v>7820876</v>
      </c>
      <c r="K830" t="s">
        <v>144</v>
      </c>
      <c r="N830">
        <v>1</v>
      </c>
      <c r="O830" s="89">
        <v>22345.360000000001</v>
      </c>
      <c r="P830" s="89">
        <v>324007.71999999997</v>
      </c>
      <c r="Q830" t="s">
        <v>142</v>
      </c>
      <c r="R830" t="s">
        <v>131</v>
      </c>
    </row>
    <row r="831" spans="3:18" hidden="1" x14ac:dyDescent="0.25">
      <c r="C831" t="s">
        <v>45</v>
      </c>
      <c r="D831" t="s">
        <v>22</v>
      </c>
      <c r="E831" t="s">
        <v>43</v>
      </c>
      <c r="F831" t="s">
        <v>41</v>
      </c>
      <c r="G831" s="89">
        <v>325913</v>
      </c>
      <c r="H831" t="s">
        <v>140</v>
      </c>
      <c r="I831" t="s">
        <v>147</v>
      </c>
      <c r="J831" s="89">
        <v>651826</v>
      </c>
      <c r="K831" t="s">
        <v>144</v>
      </c>
      <c r="N831">
        <v>1</v>
      </c>
      <c r="O831" s="89">
        <v>16295.65</v>
      </c>
      <c r="P831" s="89">
        <v>133624.32999999999</v>
      </c>
      <c r="Q831" t="s">
        <v>142</v>
      </c>
      <c r="R831" t="s">
        <v>131</v>
      </c>
    </row>
    <row r="832" spans="3:18" hidden="1" x14ac:dyDescent="0.25">
      <c r="C832" t="s">
        <v>45</v>
      </c>
      <c r="D832" t="s">
        <v>23</v>
      </c>
      <c r="E832" t="s">
        <v>40</v>
      </c>
      <c r="F832" t="s">
        <v>41</v>
      </c>
      <c r="G832" s="89">
        <v>2873416</v>
      </c>
      <c r="H832" t="s">
        <v>145</v>
      </c>
      <c r="I832" t="s">
        <v>133</v>
      </c>
      <c r="J832" s="89">
        <v>86202480</v>
      </c>
      <c r="K832" t="s">
        <v>144</v>
      </c>
      <c r="N832">
        <v>1</v>
      </c>
      <c r="O832" s="89">
        <v>86202.48</v>
      </c>
      <c r="P832" s="89">
        <v>804556.48</v>
      </c>
      <c r="Q832" t="s">
        <v>130</v>
      </c>
      <c r="R832" t="s">
        <v>131</v>
      </c>
    </row>
    <row r="833" spans="3:18" x14ac:dyDescent="0.25">
      <c r="C833" t="s">
        <v>47</v>
      </c>
      <c r="D833" t="s">
        <v>23</v>
      </c>
      <c r="E833" t="s">
        <v>48</v>
      </c>
      <c r="F833" t="s">
        <v>41</v>
      </c>
      <c r="G833" s="89">
        <v>690611</v>
      </c>
      <c r="H833" t="s">
        <v>140</v>
      </c>
      <c r="I833" t="s">
        <v>126</v>
      </c>
      <c r="J833" s="89">
        <v>7596721</v>
      </c>
      <c r="K833" t="s">
        <v>144</v>
      </c>
      <c r="N833">
        <v>1</v>
      </c>
      <c r="O833" s="89">
        <v>27624.44</v>
      </c>
      <c r="P833" s="89">
        <v>393648.27</v>
      </c>
      <c r="Q833" t="s">
        <v>142</v>
      </c>
      <c r="R833" t="s">
        <v>131</v>
      </c>
    </row>
    <row r="834" spans="3:18" x14ac:dyDescent="0.25">
      <c r="C834" t="s">
        <v>47</v>
      </c>
      <c r="D834" t="s">
        <v>21</v>
      </c>
      <c r="E834" t="s">
        <v>43</v>
      </c>
      <c r="F834" t="s">
        <v>41</v>
      </c>
      <c r="G834" s="89">
        <v>59613</v>
      </c>
      <c r="H834" t="s">
        <v>42</v>
      </c>
      <c r="I834" t="s">
        <v>141</v>
      </c>
      <c r="J834" s="89">
        <v>536517</v>
      </c>
      <c r="K834" t="s">
        <v>127</v>
      </c>
      <c r="L834" t="s">
        <v>128</v>
      </c>
      <c r="M834" t="s">
        <v>129</v>
      </c>
      <c r="N834">
        <v>1</v>
      </c>
      <c r="O834" s="89">
        <v>2384.52</v>
      </c>
      <c r="P834" s="89">
        <v>37556.19</v>
      </c>
      <c r="Q834" t="s">
        <v>137</v>
      </c>
      <c r="R834" t="s">
        <v>42</v>
      </c>
    </row>
    <row r="835" spans="3:18" hidden="1" x14ac:dyDescent="0.25">
      <c r="C835" t="s">
        <v>45</v>
      </c>
      <c r="D835" t="s">
        <v>23</v>
      </c>
      <c r="E835" t="s">
        <v>46</v>
      </c>
      <c r="F835" t="s">
        <v>41</v>
      </c>
      <c r="G835" s="89">
        <v>68514</v>
      </c>
      <c r="H835" t="s">
        <v>42</v>
      </c>
      <c r="I835" t="s">
        <v>133</v>
      </c>
      <c r="J835" s="89">
        <v>1507308</v>
      </c>
      <c r="K835" t="s">
        <v>127</v>
      </c>
      <c r="L835" t="s">
        <v>128</v>
      </c>
      <c r="M835" t="s">
        <v>129</v>
      </c>
      <c r="N835">
        <v>1</v>
      </c>
      <c r="O835" s="89">
        <v>2740.56</v>
      </c>
      <c r="P835" s="89">
        <v>42478.68</v>
      </c>
      <c r="Q835" t="s">
        <v>137</v>
      </c>
      <c r="R835" t="s">
        <v>42</v>
      </c>
    </row>
    <row r="836" spans="3:18" hidden="1" x14ac:dyDescent="0.25">
      <c r="C836" t="s">
        <v>45</v>
      </c>
      <c r="D836" t="s">
        <v>24</v>
      </c>
      <c r="E836" t="s">
        <v>48</v>
      </c>
      <c r="F836" t="s">
        <v>41</v>
      </c>
      <c r="G836" s="89">
        <v>83436</v>
      </c>
      <c r="H836" t="s">
        <v>140</v>
      </c>
      <c r="I836" t="s">
        <v>141</v>
      </c>
      <c r="J836" s="89">
        <v>834360</v>
      </c>
      <c r="K836" t="s">
        <v>127</v>
      </c>
      <c r="L836" t="s">
        <v>128</v>
      </c>
      <c r="N836">
        <v>1</v>
      </c>
      <c r="O836" s="89">
        <v>3337.44</v>
      </c>
      <c r="P836" s="89">
        <v>74258.039999999994</v>
      </c>
      <c r="Q836" t="s">
        <v>135</v>
      </c>
      <c r="R836" t="s">
        <v>131</v>
      </c>
    </row>
    <row r="837" spans="3:18" hidden="1" x14ac:dyDescent="0.25">
      <c r="C837" t="s">
        <v>45</v>
      </c>
      <c r="D837" t="s">
        <v>25</v>
      </c>
      <c r="E837" t="s">
        <v>44</v>
      </c>
      <c r="F837" t="s">
        <v>41</v>
      </c>
      <c r="G837" s="89">
        <v>19929</v>
      </c>
      <c r="H837" t="s">
        <v>140</v>
      </c>
      <c r="I837" t="s">
        <v>141</v>
      </c>
      <c r="J837" s="89">
        <v>119574</v>
      </c>
      <c r="K837" t="s">
        <v>127</v>
      </c>
      <c r="L837" t="s">
        <v>128</v>
      </c>
      <c r="N837">
        <v>1</v>
      </c>
      <c r="O837" s="89">
        <v>597.87</v>
      </c>
      <c r="P837" s="89">
        <v>8968.0499999999993</v>
      </c>
      <c r="Q837" t="s">
        <v>142</v>
      </c>
      <c r="R837" t="s">
        <v>131</v>
      </c>
    </row>
    <row r="838" spans="3:18" hidden="1" x14ac:dyDescent="0.25">
      <c r="C838" t="s">
        <v>45</v>
      </c>
      <c r="D838" t="s">
        <v>138</v>
      </c>
      <c r="E838" t="s">
        <v>43</v>
      </c>
      <c r="F838" t="s">
        <v>41</v>
      </c>
      <c r="G838" s="89">
        <v>6554363</v>
      </c>
      <c r="H838" t="s">
        <v>146</v>
      </c>
      <c r="I838" t="s">
        <v>133</v>
      </c>
      <c r="J838" s="89">
        <v>163859075</v>
      </c>
      <c r="K838" t="s">
        <v>127</v>
      </c>
      <c r="L838" t="s">
        <v>128</v>
      </c>
      <c r="N838">
        <v>1</v>
      </c>
      <c r="O838" s="89">
        <v>196630.89</v>
      </c>
      <c r="P838" s="89">
        <v>3408268.76</v>
      </c>
      <c r="Q838" t="s">
        <v>142</v>
      </c>
      <c r="R838" t="s">
        <v>131</v>
      </c>
    </row>
    <row r="839" spans="3:18" hidden="1" x14ac:dyDescent="0.25">
      <c r="C839" t="s">
        <v>45</v>
      </c>
      <c r="D839" t="s">
        <v>21</v>
      </c>
      <c r="E839" t="s">
        <v>43</v>
      </c>
      <c r="F839" t="s">
        <v>41</v>
      </c>
      <c r="G839" s="89">
        <v>53099</v>
      </c>
      <c r="H839" t="s">
        <v>42</v>
      </c>
      <c r="I839" t="s">
        <v>126</v>
      </c>
      <c r="J839" s="89">
        <v>902683</v>
      </c>
      <c r="K839" t="s">
        <v>134</v>
      </c>
      <c r="L839" t="s">
        <v>128</v>
      </c>
      <c r="M839" t="s">
        <v>143</v>
      </c>
      <c r="N839">
        <v>1</v>
      </c>
      <c r="O839" s="89">
        <v>1592.97</v>
      </c>
      <c r="P839" s="89">
        <v>21770.59</v>
      </c>
      <c r="Q839" t="s">
        <v>142</v>
      </c>
      <c r="R839" t="s">
        <v>42</v>
      </c>
    </row>
    <row r="840" spans="3:18" hidden="1" x14ac:dyDescent="0.25">
      <c r="C840" t="s">
        <v>45</v>
      </c>
      <c r="D840" t="s">
        <v>24</v>
      </c>
      <c r="E840" t="s">
        <v>40</v>
      </c>
      <c r="F840" t="s">
        <v>41</v>
      </c>
      <c r="G840" s="89">
        <v>584103</v>
      </c>
      <c r="H840" t="s">
        <v>146</v>
      </c>
      <c r="I840" t="s">
        <v>133</v>
      </c>
      <c r="J840" s="89">
        <v>15770781</v>
      </c>
      <c r="K840" t="s">
        <v>127</v>
      </c>
      <c r="L840" t="s">
        <v>128</v>
      </c>
      <c r="N840">
        <v>1</v>
      </c>
      <c r="O840" s="89">
        <v>17523.09</v>
      </c>
      <c r="P840" s="89">
        <v>157707.81</v>
      </c>
      <c r="Q840" t="s">
        <v>130</v>
      </c>
      <c r="R840" t="s">
        <v>131</v>
      </c>
    </row>
    <row r="841" spans="3:18" hidden="1" x14ac:dyDescent="0.25">
      <c r="C841" t="s">
        <v>45</v>
      </c>
      <c r="D841" t="s">
        <v>138</v>
      </c>
      <c r="E841" t="s">
        <v>43</v>
      </c>
      <c r="F841" t="s">
        <v>41</v>
      </c>
      <c r="G841" s="89">
        <v>5313132</v>
      </c>
      <c r="H841" t="s">
        <v>140</v>
      </c>
      <c r="I841" t="s">
        <v>133</v>
      </c>
      <c r="J841" s="89">
        <v>159393960</v>
      </c>
      <c r="K841" t="s">
        <v>127</v>
      </c>
      <c r="L841" t="s">
        <v>128</v>
      </c>
      <c r="N841">
        <v>1</v>
      </c>
      <c r="O841" s="89">
        <v>159393.96</v>
      </c>
      <c r="P841" s="89">
        <v>4463030.88</v>
      </c>
      <c r="Q841" t="s">
        <v>135</v>
      </c>
      <c r="R841" t="s">
        <v>131</v>
      </c>
    </row>
    <row r="842" spans="3:18" hidden="1" x14ac:dyDescent="0.25">
      <c r="C842" t="s">
        <v>45</v>
      </c>
      <c r="D842" t="s">
        <v>23</v>
      </c>
      <c r="E842" t="s">
        <v>40</v>
      </c>
      <c r="F842" t="s">
        <v>41</v>
      </c>
      <c r="G842" s="89">
        <v>6805143</v>
      </c>
      <c r="H842" t="s">
        <v>132</v>
      </c>
      <c r="I842" t="s">
        <v>126</v>
      </c>
      <c r="J842" s="89">
        <v>115687431</v>
      </c>
      <c r="K842" t="s">
        <v>127</v>
      </c>
      <c r="L842" t="s">
        <v>128</v>
      </c>
      <c r="N842">
        <v>1</v>
      </c>
      <c r="O842" s="89">
        <v>204154.29</v>
      </c>
      <c r="P842" s="89">
        <v>4559445.8099999996</v>
      </c>
      <c r="Q842" t="s">
        <v>137</v>
      </c>
      <c r="R842" t="s">
        <v>131</v>
      </c>
    </row>
    <row r="843" spans="3:18" hidden="1" x14ac:dyDescent="0.25">
      <c r="C843" t="s">
        <v>45</v>
      </c>
      <c r="D843" t="s">
        <v>21</v>
      </c>
      <c r="E843" t="s">
        <v>43</v>
      </c>
      <c r="F843" t="s">
        <v>41</v>
      </c>
      <c r="G843" s="89">
        <v>248796</v>
      </c>
      <c r="H843" t="s">
        <v>132</v>
      </c>
      <c r="I843" t="s">
        <v>141</v>
      </c>
      <c r="J843" s="89">
        <v>1990368</v>
      </c>
      <c r="K843" t="s">
        <v>127</v>
      </c>
      <c r="L843" t="s">
        <v>128</v>
      </c>
      <c r="N843">
        <v>1</v>
      </c>
      <c r="O843" s="89">
        <v>9951.84</v>
      </c>
      <c r="P843" s="89">
        <v>343338.48</v>
      </c>
      <c r="Q843" t="s">
        <v>150</v>
      </c>
      <c r="R843" t="s">
        <v>131</v>
      </c>
    </row>
    <row r="844" spans="3:18" hidden="1" x14ac:dyDescent="0.25">
      <c r="C844" t="s">
        <v>45</v>
      </c>
      <c r="D844" t="s">
        <v>22</v>
      </c>
      <c r="E844" t="s">
        <v>46</v>
      </c>
      <c r="F844" t="s">
        <v>41</v>
      </c>
      <c r="G844" s="89">
        <v>910000</v>
      </c>
      <c r="H844" t="s">
        <v>42</v>
      </c>
      <c r="I844" t="s">
        <v>133</v>
      </c>
      <c r="J844" s="89">
        <v>35490000</v>
      </c>
      <c r="K844" t="s">
        <v>144</v>
      </c>
      <c r="N844">
        <v>1</v>
      </c>
      <c r="O844" s="89">
        <v>27300</v>
      </c>
      <c r="P844" s="89">
        <v>910000</v>
      </c>
      <c r="Q844" t="s">
        <v>150</v>
      </c>
      <c r="R844" t="s">
        <v>42</v>
      </c>
    </row>
    <row r="845" spans="3:18" hidden="1" x14ac:dyDescent="0.25">
      <c r="C845" t="s">
        <v>45</v>
      </c>
      <c r="D845" t="s">
        <v>22</v>
      </c>
      <c r="E845" t="s">
        <v>46</v>
      </c>
      <c r="F845" t="s">
        <v>53</v>
      </c>
      <c r="G845" s="89">
        <v>81318</v>
      </c>
      <c r="H845" t="s">
        <v>42</v>
      </c>
      <c r="I845" t="s">
        <v>133</v>
      </c>
      <c r="J845" s="89">
        <v>1951632</v>
      </c>
      <c r="K845" t="s">
        <v>127</v>
      </c>
      <c r="L845" t="s">
        <v>128</v>
      </c>
      <c r="M845" t="s">
        <v>143</v>
      </c>
      <c r="N845">
        <v>1</v>
      </c>
      <c r="O845" s="89">
        <v>2439.54</v>
      </c>
      <c r="P845" s="89">
        <v>59362.14</v>
      </c>
      <c r="Q845" t="s">
        <v>137</v>
      </c>
      <c r="R845" t="s">
        <v>42</v>
      </c>
    </row>
    <row r="846" spans="3:18" hidden="1" x14ac:dyDescent="0.25">
      <c r="C846" t="s">
        <v>45</v>
      </c>
      <c r="D846" t="s">
        <v>149</v>
      </c>
      <c r="E846" t="s">
        <v>43</v>
      </c>
      <c r="F846" t="s">
        <v>41</v>
      </c>
      <c r="G846" s="89">
        <v>527689</v>
      </c>
      <c r="H846" t="s">
        <v>42</v>
      </c>
      <c r="I846" t="s">
        <v>126</v>
      </c>
      <c r="J846" s="89">
        <v>7387646</v>
      </c>
      <c r="K846" t="s">
        <v>144</v>
      </c>
      <c r="N846">
        <v>1</v>
      </c>
      <c r="O846" s="89">
        <v>10553.78</v>
      </c>
      <c r="P846" s="89">
        <v>443258.76</v>
      </c>
      <c r="Q846" t="s">
        <v>135</v>
      </c>
      <c r="R846" t="s">
        <v>42</v>
      </c>
    </row>
    <row r="847" spans="3:18" hidden="1" x14ac:dyDescent="0.25">
      <c r="C847" t="s">
        <v>39</v>
      </c>
      <c r="D847" t="s">
        <v>23</v>
      </c>
      <c r="E847" t="s">
        <v>40</v>
      </c>
      <c r="F847" t="s">
        <v>41</v>
      </c>
      <c r="G847" s="89">
        <v>3448211</v>
      </c>
      <c r="H847" t="s">
        <v>140</v>
      </c>
      <c r="I847" t="s">
        <v>133</v>
      </c>
      <c r="J847" s="89"/>
      <c r="N847">
        <v>0</v>
      </c>
      <c r="O847" s="89"/>
      <c r="P847" s="89"/>
      <c r="R847" t="s">
        <v>131</v>
      </c>
    </row>
    <row r="848" spans="3:18" hidden="1" x14ac:dyDescent="0.25">
      <c r="C848" t="s">
        <v>45</v>
      </c>
      <c r="D848" t="s">
        <v>23</v>
      </c>
      <c r="E848" t="s">
        <v>48</v>
      </c>
      <c r="F848" t="s">
        <v>41</v>
      </c>
      <c r="G848" s="89">
        <v>165301</v>
      </c>
      <c r="H848" t="s">
        <v>140</v>
      </c>
      <c r="I848" t="s">
        <v>126</v>
      </c>
      <c r="J848" s="89">
        <v>2479515</v>
      </c>
      <c r="K848" t="s">
        <v>134</v>
      </c>
      <c r="L848" t="s">
        <v>128</v>
      </c>
      <c r="N848">
        <v>1</v>
      </c>
      <c r="O848" s="89">
        <v>4959.03</v>
      </c>
      <c r="P848" s="89">
        <v>71079.429999999993</v>
      </c>
      <c r="Q848" t="s">
        <v>142</v>
      </c>
      <c r="R848" t="s">
        <v>131</v>
      </c>
    </row>
    <row r="849" spans="3:18" hidden="1" x14ac:dyDescent="0.25">
      <c r="C849" t="s">
        <v>45</v>
      </c>
      <c r="D849" t="s">
        <v>19</v>
      </c>
      <c r="E849" t="s">
        <v>43</v>
      </c>
      <c r="F849" t="s">
        <v>41</v>
      </c>
      <c r="G849" s="89">
        <v>480912</v>
      </c>
      <c r="H849" t="s">
        <v>42</v>
      </c>
      <c r="I849" t="s">
        <v>141</v>
      </c>
      <c r="J849" s="89">
        <v>3847296</v>
      </c>
      <c r="K849" t="s">
        <v>134</v>
      </c>
      <c r="L849" t="s">
        <v>128</v>
      </c>
      <c r="M849" t="s">
        <v>136</v>
      </c>
      <c r="N849">
        <v>1</v>
      </c>
      <c r="O849" s="89">
        <v>14427.36</v>
      </c>
      <c r="P849" s="89">
        <v>96182.399999999994</v>
      </c>
      <c r="Q849" t="s">
        <v>130</v>
      </c>
      <c r="R849" t="s">
        <v>131</v>
      </c>
    </row>
    <row r="850" spans="3:18" hidden="1" x14ac:dyDescent="0.25">
      <c r="C850" t="s">
        <v>45</v>
      </c>
      <c r="D850" t="s">
        <v>23</v>
      </c>
      <c r="E850" t="s">
        <v>40</v>
      </c>
      <c r="F850" t="s">
        <v>41</v>
      </c>
      <c r="G850" s="89">
        <v>271462</v>
      </c>
      <c r="H850" t="s">
        <v>140</v>
      </c>
      <c r="I850" t="s">
        <v>133</v>
      </c>
      <c r="J850" s="89">
        <v>7058012</v>
      </c>
      <c r="K850" t="s">
        <v>127</v>
      </c>
      <c r="L850" t="s">
        <v>151</v>
      </c>
      <c r="N850">
        <v>1</v>
      </c>
      <c r="O850" s="89">
        <v>8143.86</v>
      </c>
      <c r="P850" s="89">
        <v>135731</v>
      </c>
      <c r="Q850" t="s">
        <v>142</v>
      </c>
      <c r="R850" t="s">
        <v>131</v>
      </c>
    </row>
    <row r="851" spans="3:18" hidden="1" x14ac:dyDescent="0.25">
      <c r="C851" t="s">
        <v>45</v>
      </c>
      <c r="D851" t="s">
        <v>24</v>
      </c>
      <c r="E851" t="s">
        <v>48</v>
      </c>
      <c r="F851" t="s">
        <v>41</v>
      </c>
      <c r="G851" s="89">
        <v>50234</v>
      </c>
      <c r="H851" t="s">
        <v>145</v>
      </c>
      <c r="I851" t="s">
        <v>133</v>
      </c>
      <c r="J851" s="89">
        <v>1255850</v>
      </c>
      <c r="K851" t="s">
        <v>127</v>
      </c>
      <c r="L851" t="s">
        <v>151</v>
      </c>
      <c r="N851">
        <v>1</v>
      </c>
      <c r="O851" s="89">
        <v>2009.36</v>
      </c>
      <c r="P851" s="89">
        <v>31145.08</v>
      </c>
      <c r="Q851" t="s">
        <v>137</v>
      </c>
      <c r="R851" t="s">
        <v>131</v>
      </c>
    </row>
    <row r="852" spans="3:18" hidden="1" x14ac:dyDescent="0.25">
      <c r="C852" t="s">
        <v>45</v>
      </c>
      <c r="D852" t="s">
        <v>22</v>
      </c>
      <c r="E852" t="s">
        <v>40</v>
      </c>
      <c r="F852" t="s">
        <v>41</v>
      </c>
      <c r="G852" s="89">
        <v>980284</v>
      </c>
      <c r="H852" t="s">
        <v>42</v>
      </c>
      <c r="I852" t="s">
        <v>126</v>
      </c>
      <c r="J852" s="89">
        <v>17645112</v>
      </c>
      <c r="K852" t="s">
        <v>144</v>
      </c>
      <c r="N852">
        <v>1</v>
      </c>
      <c r="O852" s="89">
        <v>29408.52</v>
      </c>
      <c r="P852" s="89">
        <v>803832.88</v>
      </c>
      <c r="Q852" t="s">
        <v>135</v>
      </c>
      <c r="R852" t="s">
        <v>42</v>
      </c>
    </row>
    <row r="853" spans="3:18" hidden="1" x14ac:dyDescent="0.25">
      <c r="C853" t="s">
        <v>45</v>
      </c>
      <c r="D853" t="s">
        <v>50</v>
      </c>
      <c r="E853" t="s">
        <v>50</v>
      </c>
      <c r="F853" t="s">
        <v>41</v>
      </c>
      <c r="G853" s="89">
        <v>275375</v>
      </c>
      <c r="H853" t="s">
        <v>79</v>
      </c>
      <c r="I853" t="s">
        <v>133</v>
      </c>
      <c r="J853" s="89">
        <v>6884375</v>
      </c>
      <c r="K853" t="s">
        <v>127</v>
      </c>
      <c r="N853">
        <v>1</v>
      </c>
      <c r="O853" s="89">
        <v>8261.25</v>
      </c>
      <c r="P853" s="89">
        <v>11015</v>
      </c>
      <c r="Q853" t="s">
        <v>130</v>
      </c>
      <c r="R853" t="s">
        <v>79</v>
      </c>
    </row>
    <row r="854" spans="3:18" hidden="1" x14ac:dyDescent="0.25">
      <c r="C854" t="s">
        <v>45</v>
      </c>
      <c r="D854" t="s">
        <v>25</v>
      </c>
      <c r="E854" t="s">
        <v>44</v>
      </c>
      <c r="F854" t="s">
        <v>41</v>
      </c>
      <c r="G854" s="89">
        <v>187712</v>
      </c>
      <c r="H854" t="s">
        <v>146</v>
      </c>
      <c r="I854" t="s">
        <v>133</v>
      </c>
      <c r="J854" s="89">
        <v>5631360</v>
      </c>
      <c r="K854" t="s">
        <v>144</v>
      </c>
      <c r="N854">
        <v>1</v>
      </c>
      <c r="O854" s="89">
        <v>5631.36</v>
      </c>
      <c r="P854" s="89">
        <v>28156.799999999999</v>
      </c>
      <c r="Q854" t="s">
        <v>130</v>
      </c>
      <c r="R854" t="s">
        <v>131</v>
      </c>
    </row>
    <row r="855" spans="3:18" x14ac:dyDescent="0.25">
      <c r="C855" t="s">
        <v>47</v>
      </c>
      <c r="D855" t="s">
        <v>138</v>
      </c>
      <c r="E855" t="s">
        <v>40</v>
      </c>
      <c r="F855" t="s">
        <v>41</v>
      </c>
      <c r="G855" s="89">
        <v>639997</v>
      </c>
      <c r="H855" t="s">
        <v>145</v>
      </c>
      <c r="I855" t="s">
        <v>147</v>
      </c>
      <c r="J855" s="89">
        <v>2559988</v>
      </c>
      <c r="K855" t="s">
        <v>127</v>
      </c>
      <c r="L855" t="s">
        <v>128</v>
      </c>
      <c r="N855">
        <v>1</v>
      </c>
      <c r="O855" s="89">
        <v>25599.88</v>
      </c>
      <c r="P855" s="89">
        <v>275198.71000000002</v>
      </c>
      <c r="Q855" t="s">
        <v>142</v>
      </c>
      <c r="R855" t="s">
        <v>131</v>
      </c>
    </row>
    <row r="856" spans="3:18" hidden="1" x14ac:dyDescent="0.25">
      <c r="C856" t="s">
        <v>45</v>
      </c>
      <c r="D856" t="s">
        <v>21</v>
      </c>
      <c r="E856" t="s">
        <v>43</v>
      </c>
      <c r="F856" t="s">
        <v>41</v>
      </c>
      <c r="G856" s="89">
        <v>93635</v>
      </c>
      <c r="H856" t="s">
        <v>132</v>
      </c>
      <c r="I856" t="s">
        <v>133</v>
      </c>
      <c r="J856" s="89">
        <v>2996320</v>
      </c>
      <c r="K856" t="s">
        <v>134</v>
      </c>
      <c r="N856">
        <v>1</v>
      </c>
      <c r="O856" s="89">
        <v>2809.05</v>
      </c>
      <c r="P856" s="89">
        <v>33708.6</v>
      </c>
      <c r="Q856" t="s">
        <v>130</v>
      </c>
      <c r="R856" t="s">
        <v>131</v>
      </c>
    </row>
    <row r="857" spans="3:18" hidden="1" x14ac:dyDescent="0.25">
      <c r="C857" t="s">
        <v>45</v>
      </c>
      <c r="D857" t="s">
        <v>149</v>
      </c>
      <c r="E857" t="s">
        <v>43</v>
      </c>
      <c r="F857" t="s">
        <v>41</v>
      </c>
      <c r="G857" s="89">
        <v>2406373</v>
      </c>
      <c r="H857" t="s">
        <v>42</v>
      </c>
      <c r="I857" t="s">
        <v>133</v>
      </c>
      <c r="J857" s="89">
        <v>74597563</v>
      </c>
      <c r="K857" t="s">
        <v>144</v>
      </c>
      <c r="N857">
        <v>1</v>
      </c>
      <c r="O857" s="89">
        <v>72191.19</v>
      </c>
      <c r="P857" s="89">
        <v>1997289.59</v>
      </c>
      <c r="Q857" t="s">
        <v>135</v>
      </c>
      <c r="R857" t="s">
        <v>131</v>
      </c>
    </row>
    <row r="858" spans="3:18" hidden="1" x14ac:dyDescent="0.25">
      <c r="C858" t="s">
        <v>45</v>
      </c>
      <c r="D858" t="s">
        <v>24</v>
      </c>
      <c r="E858" t="s">
        <v>48</v>
      </c>
      <c r="F858" t="s">
        <v>41</v>
      </c>
      <c r="G858" s="89">
        <v>53345</v>
      </c>
      <c r="H858" t="s">
        <v>146</v>
      </c>
      <c r="I858" t="s">
        <v>141</v>
      </c>
      <c r="J858" s="89">
        <v>533450</v>
      </c>
      <c r="K858" t="s">
        <v>127</v>
      </c>
      <c r="L858" t="s">
        <v>128</v>
      </c>
      <c r="N858">
        <v>1</v>
      </c>
      <c r="O858" s="89">
        <v>533.45000000000005</v>
      </c>
      <c r="P858" s="89">
        <v>44809.8</v>
      </c>
      <c r="Q858" t="s">
        <v>135</v>
      </c>
      <c r="R858" t="s">
        <v>131</v>
      </c>
    </row>
    <row r="859" spans="3:18" x14ac:dyDescent="0.25">
      <c r="C859" t="s">
        <v>47</v>
      </c>
      <c r="D859" t="s">
        <v>22</v>
      </c>
      <c r="E859" t="s">
        <v>40</v>
      </c>
      <c r="F859" t="s">
        <v>41</v>
      </c>
      <c r="G859" s="89">
        <v>3781341</v>
      </c>
      <c r="H859" t="s">
        <v>140</v>
      </c>
      <c r="I859" t="s">
        <v>126</v>
      </c>
      <c r="J859" s="89">
        <v>49157433</v>
      </c>
      <c r="K859" t="s">
        <v>144</v>
      </c>
      <c r="N859">
        <v>1</v>
      </c>
      <c r="O859" s="89">
        <v>151253.64000000001</v>
      </c>
      <c r="P859" s="89">
        <v>831895.02</v>
      </c>
      <c r="Q859" t="s">
        <v>130</v>
      </c>
      <c r="R859" t="s">
        <v>131</v>
      </c>
    </row>
    <row r="860" spans="3:18" hidden="1" x14ac:dyDescent="0.25">
      <c r="C860" t="s">
        <v>45</v>
      </c>
      <c r="D860" t="s">
        <v>22</v>
      </c>
      <c r="E860" t="s">
        <v>40</v>
      </c>
      <c r="F860" t="s">
        <v>41</v>
      </c>
      <c r="G860" s="89">
        <v>6217</v>
      </c>
      <c r="H860" t="s">
        <v>145</v>
      </c>
      <c r="I860" t="s">
        <v>133</v>
      </c>
      <c r="J860" s="89">
        <v>217595</v>
      </c>
      <c r="K860" t="s">
        <v>127</v>
      </c>
      <c r="L860" t="s">
        <v>151</v>
      </c>
      <c r="N860">
        <v>1</v>
      </c>
      <c r="O860" s="89">
        <v>186.51</v>
      </c>
      <c r="P860" s="89">
        <v>6030.49</v>
      </c>
      <c r="Q860" t="s">
        <v>135</v>
      </c>
      <c r="R860" t="s">
        <v>131</v>
      </c>
    </row>
    <row r="861" spans="3:18" hidden="1" x14ac:dyDescent="0.25">
      <c r="C861" t="s">
        <v>45</v>
      </c>
      <c r="D861" t="s">
        <v>19</v>
      </c>
      <c r="E861" t="s">
        <v>43</v>
      </c>
      <c r="F861" t="s">
        <v>41</v>
      </c>
      <c r="G861" s="89">
        <v>12200187</v>
      </c>
      <c r="H861" t="s">
        <v>140</v>
      </c>
      <c r="I861" t="s">
        <v>133</v>
      </c>
      <c r="J861" s="89">
        <v>378205797</v>
      </c>
      <c r="K861" t="s">
        <v>144</v>
      </c>
      <c r="N861">
        <v>1</v>
      </c>
      <c r="O861" s="89">
        <v>366005.61</v>
      </c>
      <c r="P861" s="89">
        <v>2562039.27</v>
      </c>
      <c r="Q861" t="s">
        <v>130</v>
      </c>
      <c r="R861" t="s">
        <v>131</v>
      </c>
    </row>
    <row r="862" spans="3:18" hidden="1" x14ac:dyDescent="0.25">
      <c r="C862" t="s">
        <v>45</v>
      </c>
      <c r="D862" t="s">
        <v>19</v>
      </c>
      <c r="E862" t="s">
        <v>43</v>
      </c>
      <c r="F862" t="s">
        <v>41</v>
      </c>
      <c r="G862" s="89">
        <v>228697</v>
      </c>
      <c r="H862" t="s">
        <v>42</v>
      </c>
      <c r="I862" t="s">
        <v>133</v>
      </c>
      <c r="J862" s="89">
        <v>6403516</v>
      </c>
      <c r="K862" t="s">
        <v>127</v>
      </c>
      <c r="L862" t="s">
        <v>151</v>
      </c>
      <c r="M862" t="s">
        <v>156</v>
      </c>
      <c r="N862">
        <v>1</v>
      </c>
      <c r="O862" s="89">
        <v>6860.91</v>
      </c>
      <c r="P862" s="89">
        <v>68609.100000000006</v>
      </c>
      <c r="Q862" t="s">
        <v>130</v>
      </c>
      <c r="R862" t="s">
        <v>131</v>
      </c>
    </row>
    <row r="863" spans="3:18" hidden="1" x14ac:dyDescent="0.25">
      <c r="C863" t="s">
        <v>45</v>
      </c>
      <c r="D863" t="s">
        <v>23</v>
      </c>
      <c r="E863" t="s">
        <v>48</v>
      </c>
      <c r="F863" t="s">
        <v>41</v>
      </c>
      <c r="G863" s="89">
        <v>2320691</v>
      </c>
      <c r="H863" t="s">
        <v>140</v>
      </c>
      <c r="I863" t="s">
        <v>133</v>
      </c>
      <c r="J863" s="89">
        <v>78903494</v>
      </c>
      <c r="K863" t="s">
        <v>144</v>
      </c>
      <c r="N863">
        <v>1</v>
      </c>
      <c r="O863" s="89">
        <v>69620.73</v>
      </c>
      <c r="P863" s="89">
        <v>1949380.44</v>
      </c>
      <c r="Q863" t="s">
        <v>135</v>
      </c>
      <c r="R863" t="s">
        <v>131</v>
      </c>
    </row>
    <row r="864" spans="3:18" hidden="1" x14ac:dyDescent="0.25">
      <c r="C864" t="s">
        <v>45</v>
      </c>
      <c r="D864" t="s">
        <v>23</v>
      </c>
      <c r="E864" t="s">
        <v>44</v>
      </c>
      <c r="F864" t="s">
        <v>41</v>
      </c>
      <c r="G864" s="89">
        <v>1973161</v>
      </c>
      <c r="H864" t="s">
        <v>42</v>
      </c>
      <c r="I864" t="s">
        <v>133</v>
      </c>
      <c r="J864" s="89">
        <v>63141152</v>
      </c>
      <c r="K864" t="s">
        <v>127</v>
      </c>
      <c r="L864" t="s">
        <v>128</v>
      </c>
      <c r="M864" t="s">
        <v>152</v>
      </c>
      <c r="N864">
        <v>1</v>
      </c>
      <c r="O864" s="89">
        <v>78926.44</v>
      </c>
      <c r="P864" s="89">
        <v>1381212.7</v>
      </c>
      <c r="Q864" t="s">
        <v>137</v>
      </c>
      <c r="R864" t="s">
        <v>131</v>
      </c>
    </row>
    <row r="865" spans="3:18" hidden="1" x14ac:dyDescent="0.25">
      <c r="C865" t="s">
        <v>45</v>
      </c>
      <c r="D865" t="s">
        <v>24</v>
      </c>
      <c r="E865" t="s">
        <v>48</v>
      </c>
      <c r="F865" t="s">
        <v>41</v>
      </c>
      <c r="G865" s="89">
        <v>6421137</v>
      </c>
      <c r="H865" t="s">
        <v>42</v>
      </c>
      <c r="I865" t="s">
        <v>133</v>
      </c>
      <c r="J865" s="89">
        <v>224739795</v>
      </c>
      <c r="K865" t="s">
        <v>144</v>
      </c>
      <c r="N865">
        <v>1</v>
      </c>
      <c r="O865" s="89">
        <v>192634.11</v>
      </c>
      <c r="P865" s="89">
        <v>4623218.6399999997</v>
      </c>
      <c r="Q865" t="s">
        <v>137</v>
      </c>
      <c r="R865" t="s">
        <v>42</v>
      </c>
    </row>
    <row r="866" spans="3:18" hidden="1" x14ac:dyDescent="0.25">
      <c r="C866" t="s">
        <v>45</v>
      </c>
      <c r="D866" t="s">
        <v>22</v>
      </c>
      <c r="E866" t="s">
        <v>40</v>
      </c>
      <c r="F866" t="s">
        <v>41</v>
      </c>
      <c r="G866" s="89">
        <v>186198</v>
      </c>
      <c r="H866" t="s">
        <v>42</v>
      </c>
      <c r="I866" t="s">
        <v>126</v>
      </c>
      <c r="J866" s="89">
        <v>3723960</v>
      </c>
      <c r="K866" t="s">
        <v>127</v>
      </c>
      <c r="L866" t="s">
        <v>128</v>
      </c>
      <c r="M866" t="s">
        <v>152</v>
      </c>
      <c r="N866">
        <v>1</v>
      </c>
      <c r="O866" s="89">
        <v>5585.94</v>
      </c>
      <c r="P866" s="89">
        <v>107994.84</v>
      </c>
      <c r="Q866" t="s">
        <v>142</v>
      </c>
      <c r="R866" t="s">
        <v>131</v>
      </c>
    </row>
    <row r="867" spans="3:18" hidden="1" x14ac:dyDescent="0.25">
      <c r="C867" t="s">
        <v>45</v>
      </c>
      <c r="D867" t="s">
        <v>20</v>
      </c>
      <c r="E867" t="s">
        <v>43</v>
      </c>
      <c r="F867" t="s">
        <v>41</v>
      </c>
      <c r="G867" s="89">
        <v>175597</v>
      </c>
      <c r="H867" t="s">
        <v>42</v>
      </c>
      <c r="I867" t="s">
        <v>133</v>
      </c>
      <c r="J867" s="89">
        <v>4214328</v>
      </c>
      <c r="K867" t="s">
        <v>127</v>
      </c>
      <c r="L867" t="s">
        <v>128</v>
      </c>
      <c r="M867" t="s">
        <v>129</v>
      </c>
      <c r="N867">
        <v>1</v>
      </c>
      <c r="O867" s="89">
        <v>5267.91</v>
      </c>
      <c r="P867" s="89">
        <v>186132.82</v>
      </c>
      <c r="Q867" t="s">
        <v>150</v>
      </c>
      <c r="R867" t="s">
        <v>131</v>
      </c>
    </row>
    <row r="868" spans="3:18" x14ac:dyDescent="0.25">
      <c r="C868" t="s">
        <v>47</v>
      </c>
      <c r="D868" t="s">
        <v>138</v>
      </c>
      <c r="E868" t="s">
        <v>40</v>
      </c>
      <c r="F868" t="s">
        <v>41</v>
      </c>
      <c r="G868" s="89">
        <v>742984</v>
      </c>
      <c r="H868" t="s">
        <v>42</v>
      </c>
      <c r="I868" t="s">
        <v>126</v>
      </c>
      <c r="J868" s="89">
        <v>9658792</v>
      </c>
      <c r="K868" t="s">
        <v>127</v>
      </c>
      <c r="L868" t="s">
        <v>128</v>
      </c>
      <c r="M868" t="s">
        <v>139</v>
      </c>
      <c r="N868">
        <v>1</v>
      </c>
      <c r="O868" s="89">
        <v>22289.52</v>
      </c>
      <c r="P868" s="89">
        <v>148596.79999999999</v>
      </c>
      <c r="Q868" t="s">
        <v>130</v>
      </c>
      <c r="R868" t="s">
        <v>131</v>
      </c>
    </row>
    <row r="869" spans="3:18" hidden="1" x14ac:dyDescent="0.25">
      <c r="C869" t="s">
        <v>45</v>
      </c>
      <c r="D869" t="s">
        <v>21</v>
      </c>
      <c r="E869" t="s">
        <v>43</v>
      </c>
      <c r="F869" t="s">
        <v>41</v>
      </c>
      <c r="G869" s="89">
        <v>53620</v>
      </c>
      <c r="H869" t="s">
        <v>42</v>
      </c>
      <c r="I869" t="s">
        <v>141</v>
      </c>
      <c r="J869" s="89">
        <v>536200</v>
      </c>
      <c r="K869" t="s">
        <v>127</v>
      </c>
      <c r="L869" t="s">
        <v>151</v>
      </c>
      <c r="M869" t="s">
        <v>156</v>
      </c>
      <c r="N869">
        <v>1</v>
      </c>
      <c r="O869" s="89">
        <v>1608.6</v>
      </c>
      <c r="P869" s="89">
        <v>30027.200000000001</v>
      </c>
      <c r="Q869" t="s">
        <v>142</v>
      </c>
      <c r="R869" t="s">
        <v>131</v>
      </c>
    </row>
    <row r="870" spans="3:18" hidden="1" x14ac:dyDescent="0.25">
      <c r="C870" t="s">
        <v>45</v>
      </c>
      <c r="D870" t="s">
        <v>138</v>
      </c>
      <c r="E870" t="s">
        <v>43</v>
      </c>
      <c r="F870" t="s">
        <v>41</v>
      </c>
      <c r="G870" s="89">
        <v>215887</v>
      </c>
      <c r="H870" t="s">
        <v>145</v>
      </c>
      <c r="I870" t="s">
        <v>126</v>
      </c>
      <c r="J870" s="89">
        <v>4101853</v>
      </c>
      <c r="K870" t="s">
        <v>144</v>
      </c>
      <c r="N870">
        <v>1</v>
      </c>
      <c r="O870" s="89">
        <v>6476.61</v>
      </c>
      <c r="P870" s="89">
        <v>151120.9</v>
      </c>
      <c r="Q870" t="s">
        <v>137</v>
      </c>
      <c r="R870" t="s">
        <v>131</v>
      </c>
    </row>
    <row r="871" spans="3:18" hidden="1" x14ac:dyDescent="0.25">
      <c r="C871" t="s">
        <v>45</v>
      </c>
      <c r="D871" t="s">
        <v>149</v>
      </c>
      <c r="E871" t="s">
        <v>40</v>
      </c>
      <c r="F871" t="s">
        <v>41</v>
      </c>
      <c r="G871" s="89">
        <v>166512</v>
      </c>
      <c r="H871" t="s">
        <v>42</v>
      </c>
      <c r="I871" t="s">
        <v>141</v>
      </c>
      <c r="J871" s="89">
        <v>1332096</v>
      </c>
      <c r="K871" t="s">
        <v>127</v>
      </c>
      <c r="L871" t="s">
        <v>128</v>
      </c>
      <c r="M871" t="s">
        <v>136</v>
      </c>
      <c r="N871">
        <v>1</v>
      </c>
      <c r="O871" s="89">
        <v>4995.3599999999997</v>
      </c>
      <c r="P871" s="89">
        <v>46623.360000000001</v>
      </c>
      <c r="Q871" t="s">
        <v>130</v>
      </c>
      <c r="R871" t="s">
        <v>131</v>
      </c>
    </row>
    <row r="872" spans="3:18" x14ac:dyDescent="0.25">
      <c r="C872" t="s">
        <v>47</v>
      </c>
      <c r="D872" t="s">
        <v>21</v>
      </c>
      <c r="E872" t="s">
        <v>40</v>
      </c>
      <c r="F872" t="s">
        <v>41</v>
      </c>
      <c r="G872" s="89">
        <v>195413</v>
      </c>
      <c r="H872" t="s">
        <v>146</v>
      </c>
      <c r="I872" t="s">
        <v>126</v>
      </c>
      <c r="J872" s="89">
        <v>2344956</v>
      </c>
      <c r="K872" t="s">
        <v>144</v>
      </c>
      <c r="N872">
        <v>1</v>
      </c>
      <c r="O872" s="89">
        <v>11724.78</v>
      </c>
      <c r="P872" s="89">
        <v>173917.57</v>
      </c>
      <c r="Q872" t="s">
        <v>135</v>
      </c>
      <c r="R872" t="s">
        <v>131</v>
      </c>
    </row>
    <row r="873" spans="3:18" hidden="1" x14ac:dyDescent="0.25">
      <c r="C873" t="s">
        <v>45</v>
      </c>
      <c r="D873" t="s">
        <v>21</v>
      </c>
      <c r="E873" t="s">
        <v>40</v>
      </c>
      <c r="F873" t="s">
        <v>41</v>
      </c>
      <c r="G873" s="89">
        <v>864757</v>
      </c>
      <c r="H873" t="s">
        <v>42</v>
      </c>
      <c r="I873" t="s">
        <v>141</v>
      </c>
      <c r="J873" s="89">
        <v>6918056</v>
      </c>
      <c r="K873" t="s">
        <v>127</v>
      </c>
      <c r="L873" t="s">
        <v>128</v>
      </c>
      <c r="M873" t="s">
        <v>129</v>
      </c>
      <c r="N873">
        <v>1</v>
      </c>
      <c r="O873" s="89">
        <v>25942.71</v>
      </c>
      <c r="P873" s="89">
        <v>224836.82</v>
      </c>
      <c r="Q873" t="s">
        <v>130</v>
      </c>
      <c r="R873" t="s">
        <v>42</v>
      </c>
    </row>
    <row r="874" spans="3:18" hidden="1" x14ac:dyDescent="0.25">
      <c r="C874" t="s">
        <v>45</v>
      </c>
      <c r="D874" t="s">
        <v>138</v>
      </c>
      <c r="E874" t="s">
        <v>40</v>
      </c>
      <c r="F874" t="s">
        <v>41</v>
      </c>
      <c r="G874" s="89">
        <v>154649</v>
      </c>
      <c r="H874" t="s">
        <v>42</v>
      </c>
      <c r="I874" t="s">
        <v>133</v>
      </c>
      <c r="J874" s="89">
        <v>5876662</v>
      </c>
      <c r="K874" t="s">
        <v>127</v>
      </c>
      <c r="L874" t="s">
        <v>128</v>
      </c>
      <c r="M874" t="s">
        <v>139</v>
      </c>
      <c r="N874">
        <v>1</v>
      </c>
      <c r="O874" s="89">
        <v>4639.47</v>
      </c>
      <c r="P874" s="89">
        <v>163927.94</v>
      </c>
      <c r="Q874" t="s">
        <v>150</v>
      </c>
      <c r="R874" t="s">
        <v>131</v>
      </c>
    </row>
    <row r="875" spans="3:18" hidden="1" x14ac:dyDescent="0.25">
      <c r="C875" t="s">
        <v>45</v>
      </c>
      <c r="D875" t="s">
        <v>23</v>
      </c>
      <c r="E875" t="s">
        <v>48</v>
      </c>
      <c r="F875" t="s">
        <v>41</v>
      </c>
      <c r="G875" s="89">
        <v>286244</v>
      </c>
      <c r="H875" t="s">
        <v>42</v>
      </c>
      <c r="I875" t="s">
        <v>126</v>
      </c>
      <c r="J875" s="89">
        <v>4579904</v>
      </c>
      <c r="K875" t="s">
        <v>144</v>
      </c>
      <c r="N875">
        <v>1</v>
      </c>
      <c r="O875" s="89">
        <v>8587.32</v>
      </c>
      <c r="P875" s="89">
        <v>237582.52</v>
      </c>
      <c r="Q875" t="s">
        <v>135</v>
      </c>
      <c r="R875" t="s">
        <v>131</v>
      </c>
    </row>
    <row r="876" spans="3:18" hidden="1" x14ac:dyDescent="0.25">
      <c r="C876" t="s">
        <v>45</v>
      </c>
      <c r="D876" t="s">
        <v>23</v>
      </c>
      <c r="E876" t="s">
        <v>48</v>
      </c>
      <c r="F876" t="s">
        <v>53</v>
      </c>
      <c r="G876" s="89">
        <v>141154</v>
      </c>
      <c r="H876" t="s">
        <v>132</v>
      </c>
      <c r="I876" t="s">
        <v>133</v>
      </c>
      <c r="J876" s="89">
        <v>4234620</v>
      </c>
      <c r="K876" t="s">
        <v>144</v>
      </c>
      <c r="N876">
        <v>1</v>
      </c>
      <c r="O876" s="89">
        <v>4234.62</v>
      </c>
      <c r="P876" s="89">
        <v>112923.2</v>
      </c>
      <c r="Q876" t="s">
        <v>135</v>
      </c>
      <c r="R876" t="s">
        <v>131</v>
      </c>
    </row>
    <row r="877" spans="3:18" hidden="1" x14ac:dyDescent="0.25">
      <c r="C877" t="s">
        <v>45</v>
      </c>
      <c r="D877" t="s">
        <v>24</v>
      </c>
      <c r="E877" t="s">
        <v>44</v>
      </c>
      <c r="F877" t="s">
        <v>41</v>
      </c>
      <c r="G877" s="89">
        <v>966300</v>
      </c>
      <c r="H877" t="s">
        <v>42</v>
      </c>
      <c r="I877" t="s">
        <v>133</v>
      </c>
      <c r="J877" s="89">
        <v>36719400</v>
      </c>
      <c r="K877" t="s">
        <v>144</v>
      </c>
      <c r="N877">
        <v>1</v>
      </c>
      <c r="O877" s="89">
        <v>28989</v>
      </c>
      <c r="P877" s="89">
        <v>966300</v>
      </c>
      <c r="Q877" t="s">
        <v>150</v>
      </c>
      <c r="R877" t="s">
        <v>42</v>
      </c>
    </row>
    <row r="878" spans="3:18" hidden="1" x14ac:dyDescent="0.25">
      <c r="C878" t="s">
        <v>45</v>
      </c>
      <c r="D878" t="s">
        <v>24</v>
      </c>
      <c r="E878" t="s">
        <v>44</v>
      </c>
      <c r="F878" t="s">
        <v>41</v>
      </c>
      <c r="G878" s="89">
        <v>404844</v>
      </c>
      <c r="H878" t="s">
        <v>42</v>
      </c>
      <c r="I878" t="s">
        <v>126</v>
      </c>
      <c r="J878" s="89">
        <v>6882348</v>
      </c>
      <c r="K878" t="s">
        <v>144</v>
      </c>
      <c r="N878">
        <v>1</v>
      </c>
      <c r="O878" s="89">
        <v>12145.32</v>
      </c>
      <c r="P878" s="89">
        <v>113356.32</v>
      </c>
      <c r="Q878" t="s">
        <v>130</v>
      </c>
      <c r="R878" t="s">
        <v>42</v>
      </c>
    </row>
    <row r="879" spans="3:18" hidden="1" x14ac:dyDescent="0.25">
      <c r="C879" t="s">
        <v>45</v>
      </c>
      <c r="D879" t="s">
        <v>23</v>
      </c>
      <c r="E879" t="s">
        <v>40</v>
      </c>
      <c r="F879" t="s">
        <v>41</v>
      </c>
      <c r="G879" s="89">
        <v>112679</v>
      </c>
      <c r="H879" t="s">
        <v>42</v>
      </c>
      <c r="I879" t="s">
        <v>133</v>
      </c>
      <c r="J879" s="89">
        <v>3831086</v>
      </c>
      <c r="K879" t="s">
        <v>127</v>
      </c>
      <c r="L879" t="s">
        <v>128</v>
      </c>
      <c r="M879" t="s">
        <v>136</v>
      </c>
      <c r="N879">
        <v>1</v>
      </c>
      <c r="O879" s="89">
        <v>4507.16</v>
      </c>
      <c r="P879" s="89">
        <v>81128.88</v>
      </c>
      <c r="Q879" t="s">
        <v>137</v>
      </c>
      <c r="R879" t="s">
        <v>42</v>
      </c>
    </row>
    <row r="880" spans="3:18" hidden="1" x14ac:dyDescent="0.25">
      <c r="C880" t="s">
        <v>45</v>
      </c>
      <c r="D880" t="s">
        <v>24</v>
      </c>
      <c r="E880" t="s">
        <v>40</v>
      </c>
      <c r="F880" t="s">
        <v>41</v>
      </c>
      <c r="G880" s="89">
        <v>27724</v>
      </c>
      <c r="H880" t="s">
        <v>132</v>
      </c>
      <c r="I880" t="s">
        <v>126</v>
      </c>
      <c r="J880" s="89">
        <v>415860</v>
      </c>
      <c r="K880" t="s">
        <v>144</v>
      </c>
      <c r="N880">
        <v>1</v>
      </c>
      <c r="O880" s="89">
        <v>831.72</v>
      </c>
      <c r="P880" s="89">
        <v>7762.72</v>
      </c>
      <c r="Q880" t="s">
        <v>130</v>
      </c>
      <c r="R880" t="s">
        <v>131</v>
      </c>
    </row>
    <row r="881" spans="3:18" hidden="1" x14ac:dyDescent="0.25">
      <c r="C881" t="s">
        <v>45</v>
      </c>
      <c r="D881" t="s">
        <v>20</v>
      </c>
      <c r="E881" t="s">
        <v>43</v>
      </c>
      <c r="F881" t="s">
        <v>41</v>
      </c>
      <c r="G881" s="89">
        <v>115088</v>
      </c>
      <c r="H881" t="s">
        <v>42</v>
      </c>
      <c r="I881" t="s">
        <v>126</v>
      </c>
      <c r="J881" s="89">
        <v>1381056</v>
      </c>
      <c r="K881" t="s">
        <v>144</v>
      </c>
      <c r="N881">
        <v>1</v>
      </c>
      <c r="O881" s="89">
        <v>4603.5200000000004</v>
      </c>
      <c r="P881" s="89">
        <v>74807.199999999997</v>
      </c>
      <c r="Q881" t="s">
        <v>137</v>
      </c>
      <c r="R881" t="s">
        <v>131</v>
      </c>
    </row>
    <row r="882" spans="3:18" hidden="1" x14ac:dyDescent="0.25">
      <c r="C882" t="s">
        <v>45</v>
      </c>
      <c r="D882" t="s">
        <v>20</v>
      </c>
      <c r="E882" t="s">
        <v>40</v>
      </c>
      <c r="F882" t="s">
        <v>41</v>
      </c>
      <c r="G882" s="89">
        <v>1698561</v>
      </c>
      <c r="H882" t="s">
        <v>42</v>
      </c>
      <c r="I882" t="s">
        <v>141</v>
      </c>
      <c r="J882" s="89">
        <v>13588488</v>
      </c>
      <c r="K882" t="s">
        <v>127</v>
      </c>
      <c r="L882" t="s">
        <v>128</v>
      </c>
      <c r="M882" t="s">
        <v>139</v>
      </c>
      <c r="N882">
        <v>1</v>
      </c>
      <c r="O882" s="89">
        <v>67942.44</v>
      </c>
      <c r="P882" s="89">
        <v>441625.86</v>
      </c>
      <c r="Q882" t="s">
        <v>130</v>
      </c>
      <c r="R882" t="s">
        <v>131</v>
      </c>
    </row>
    <row r="883" spans="3:18" hidden="1" x14ac:dyDescent="0.25">
      <c r="C883" t="s">
        <v>45</v>
      </c>
      <c r="D883" t="s">
        <v>23</v>
      </c>
      <c r="E883" t="s">
        <v>43</v>
      </c>
      <c r="F883" t="s">
        <v>41</v>
      </c>
      <c r="G883" s="89">
        <v>322466</v>
      </c>
      <c r="H883" t="s">
        <v>42</v>
      </c>
      <c r="I883" t="s">
        <v>133</v>
      </c>
      <c r="J883" s="89">
        <v>11286310</v>
      </c>
      <c r="K883" t="s">
        <v>127</v>
      </c>
      <c r="L883" t="s">
        <v>128</v>
      </c>
      <c r="M883" t="s">
        <v>152</v>
      </c>
      <c r="N883">
        <v>1</v>
      </c>
      <c r="O883" s="89">
        <v>12898.64</v>
      </c>
      <c r="P883" s="89">
        <v>270871.44</v>
      </c>
      <c r="Q883" t="s">
        <v>135</v>
      </c>
      <c r="R883" t="s">
        <v>42</v>
      </c>
    </row>
    <row r="884" spans="3:18" hidden="1" x14ac:dyDescent="0.25">
      <c r="C884" t="s">
        <v>45</v>
      </c>
      <c r="D884" t="s">
        <v>23</v>
      </c>
      <c r="E884" t="s">
        <v>40</v>
      </c>
      <c r="F884" t="s">
        <v>41</v>
      </c>
      <c r="G884" s="89">
        <v>25018</v>
      </c>
      <c r="H884" t="s">
        <v>146</v>
      </c>
      <c r="I884" t="s">
        <v>141</v>
      </c>
      <c r="J884" s="89">
        <v>175126</v>
      </c>
      <c r="K884" t="s">
        <v>127</v>
      </c>
      <c r="L884" t="s">
        <v>128</v>
      </c>
      <c r="N884">
        <v>1</v>
      </c>
      <c r="O884" s="89">
        <v>750.54</v>
      </c>
      <c r="P884" s="89">
        <v>15511.16</v>
      </c>
      <c r="Q884" t="s">
        <v>137</v>
      </c>
      <c r="R884" t="s">
        <v>131</v>
      </c>
    </row>
    <row r="885" spans="3:18" hidden="1" x14ac:dyDescent="0.25">
      <c r="C885" t="s">
        <v>45</v>
      </c>
      <c r="D885" t="s">
        <v>23</v>
      </c>
      <c r="E885" t="s">
        <v>40</v>
      </c>
      <c r="F885" t="s">
        <v>53</v>
      </c>
      <c r="G885" s="89">
        <v>150320</v>
      </c>
      <c r="H885" t="s">
        <v>145</v>
      </c>
      <c r="I885" t="s">
        <v>133</v>
      </c>
      <c r="J885" s="89">
        <v>4659920</v>
      </c>
      <c r="K885" t="s">
        <v>144</v>
      </c>
      <c r="N885">
        <v>1</v>
      </c>
      <c r="O885" s="89">
        <v>4509.6000000000004</v>
      </c>
      <c r="P885" s="89">
        <v>124765.6</v>
      </c>
      <c r="Q885" t="s">
        <v>135</v>
      </c>
      <c r="R885" t="s">
        <v>131</v>
      </c>
    </row>
    <row r="886" spans="3:18" hidden="1" x14ac:dyDescent="0.25">
      <c r="C886" t="s">
        <v>45</v>
      </c>
      <c r="D886" t="s">
        <v>19</v>
      </c>
      <c r="E886" t="s">
        <v>43</v>
      </c>
      <c r="F886" t="s">
        <v>41</v>
      </c>
      <c r="G886" s="89">
        <v>207838598</v>
      </c>
      <c r="H886" t="s">
        <v>42</v>
      </c>
      <c r="I886" t="s">
        <v>133</v>
      </c>
      <c r="J886" s="89">
        <v>6235157940</v>
      </c>
      <c r="K886" t="s">
        <v>127</v>
      </c>
      <c r="L886" t="s">
        <v>128</v>
      </c>
      <c r="M886" t="s">
        <v>136</v>
      </c>
      <c r="N886">
        <v>1</v>
      </c>
      <c r="O886" s="89">
        <v>6235157.9400000004</v>
      </c>
      <c r="P886" s="89">
        <v>105997684.98</v>
      </c>
      <c r="Q886" t="s">
        <v>142</v>
      </c>
      <c r="R886" t="s">
        <v>131</v>
      </c>
    </row>
    <row r="887" spans="3:18" hidden="1" x14ac:dyDescent="0.25">
      <c r="C887" t="s">
        <v>45</v>
      </c>
      <c r="D887" t="s">
        <v>23</v>
      </c>
      <c r="E887" t="s">
        <v>40</v>
      </c>
      <c r="F887" t="s">
        <v>41</v>
      </c>
      <c r="G887" s="89">
        <v>93413530</v>
      </c>
      <c r="H887" t="s">
        <v>140</v>
      </c>
      <c r="I887" t="s">
        <v>133</v>
      </c>
      <c r="J887" s="89">
        <v>2428751780</v>
      </c>
      <c r="K887" t="s">
        <v>127</v>
      </c>
      <c r="L887" t="s">
        <v>128</v>
      </c>
      <c r="N887">
        <v>1</v>
      </c>
      <c r="O887" s="89">
        <v>2802405.9</v>
      </c>
      <c r="P887" s="89">
        <v>47640900.299999997</v>
      </c>
      <c r="Q887" t="s">
        <v>142</v>
      </c>
      <c r="R887" t="s">
        <v>131</v>
      </c>
    </row>
    <row r="888" spans="3:18" x14ac:dyDescent="0.25">
      <c r="C888" t="s">
        <v>47</v>
      </c>
      <c r="D888" t="s">
        <v>50</v>
      </c>
      <c r="E888" t="s">
        <v>50</v>
      </c>
      <c r="F888" t="s">
        <v>41</v>
      </c>
      <c r="G888" s="89">
        <v>0</v>
      </c>
      <c r="H888" t="s">
        <v>51</v>
      </c>
      <c r="I888" t="s">
        <v>147</v>
      </c>
      <c r="J888" s="89"/>
      <c r="K888" t="s">
        <v>127</v>
      </c>
      <c r="N888">
        <v>0</v>
      </c>
      <c r="O888" s="89">
        <v>0</v>
      </c>
      <c r="P888" s="89">
        <v>0</v>
      </c>
      <c r="Q888" t="s">
        <v>150</v>
      </c>
    </row>
    <row r="889" spans="3:18" hidden="1" x14ac:dyDescent="0.25">
      <c r="C889" t="s">
        <v>45</v>
      </c>
      <c r="D889" t="s">
        <v>22</v>
      </c>
      <c r="E889" t="s">
        <v>48</v>
      </c>
      <c r="F889" t="s">
        <v>41</v>
      </c>
      <c r="G889" s="89">
        <v>15030</v>
      </c>
      <c r="H889" t="s">
        <v>42</v>
      </c>
      <c r="I889" t="s">
        <v>133</v>
      </c>
      <c r="J889" s="89">
        <v>360720</v>
      </c>
      <c r="K889" t="s">
        <v>134</v>
      </c>
      <c r="L889" t="s">
        <v>128</v>
      </c>
      <c r="M889" t="s">
        <v>143</v>
      </c>
      <c r="N889">
        <v>1</v>
      </c>
      <c r="O889" s="89">
        <v>450.9</v>
      </c>
      <c r="P889" s="89">
        <v>3306.6</v>
      </c>
      <c r="Q889" t="s">
        <v>130</v>
      </c>
      <c r="R889" t="s">
        <v>131</v>
      </c>
    </row>
    <row r="890" spans="3:18" x14ac:dyDescent="0.25">
      <c r="C890" t="s">
        <v>47</v>
      </c>
      <c r="D890" t="s">
        <v>24</v>
      </c>
      <c r="E890" t="s">
        <v>48</v>
      </c>
      <c r="F890" t="s">
        <v>41</v>
      </c>
      <c r="G890" s="89">
        <v>210448</v>
      </c>
      <c r="H890" t="s">
        <v>145</v>
      </c>
      <c r="I890" t="s">
        <v>126</v>
      </c>
      <c r="J890" s="89">
        <v>2314928</v>
      </c>
      <c r="K890" t="s">
        <v>127</v>
      </c>
      <c r="L890" t="s">
        <v>128</v>
      </c>
      <c r="N890">
        <v>1</v>
      </c>
      <c r="O890" s="89">
        <v>8417.92</v>
      </c>
      <c r="P890" s="89">
        <v>136791.20000000001</v>
      </c>
      <c r="Q890" t="s">
        <v>137</v>
      </c>
      <c r="R890" t="s">
        <v>131</v>
      </c>
    </row>
    <row r="891" spans="3:18" hidden="1" x14ac:dyDescent="0.25">
      <c r="C891" t="s">
        <v>45</v>
      </c>
      <c r="D891" t="s">
        <v>149</v>
      </c>
      <c r="E891" t="s">
        <v>43</v>
      </c>
      <c r="F891" t="s">
        <v>41</v>
      </c>
      <c r="G891" s="89">
        <v>65135</v>
      </c>
      <c r="H891" t="s">
        <v>42</v>
      </c>
      <c r="I891" t="s">
        <v>133</v>
      </c>
      <c r="J891" s="89">
        <v>1367835</v>
      </c>
      <c r="K891" t="s">
        <v>127</v>
      </c>
      <c r="L891" t="s">
        <v>151</v>
      </c>
      <c r="M891" t="s">
        <v>156</v>
      </c>
      <c r="N891">
        <v>1</v>
      </c>
      <c r="O891" s="89">
        <v>1954.05</v>
      </c>
      <c r="P891" s="89">
        <v>26705.35</v>
      </c>
      <c r="Q891" t="s">
        <v>142</v>
      </c>
      <c r="R891" t="s">
        <v>42</v>
      </c>
    </row>
    <row r="892" spans="3:18" hidden="1" x14ac:dyDescent="0.25">
      <c r="C892" t="s">
        <v>45</v>
      </c>
      <c r="D892" t="s">
        <v>20</v>
      </c>
      <c r="E892" t="s">
        <v>40</v>
      </c>
      <c r="F892" t="s">
        <v>41</v>
      </c>
      <c r="G892" s="89">
        <v>1134974</v>
      </c>
      <c r="H892" t="s">
        <v>42</v>
      </c>
      <c r="I892" t="s">
        <v>126</v>
      </c>
      <c r="J892" s="89">
        <v>15889636</v>
      </c>
      <c r="K892" t="s">
        <v>127</v>
      </c>
      <c r="L892" t="s">
        <v>128</v>
      </c>
      <c r="M892" t="s">
        <v>139</v>
      </c>
      <c r="N892">
        <v>1</v>
      </c>
      <c r="O892" s="89">
        <v>45398.96</v>
      </c>
      <c r="P892" s="89">
        <v>533437.78</v>
      </c>
      <c r="Q892" t="s">
        <v>142</v>
      </c>
      <c r="R892" t="s">
        <v>42</v>
      </c>
    </row>
    <row r="893" spans="3:18" hidden="1" x14ac:dyDescent="0.25">
      <c r="C893" t="s">
        <v>45</v>
      </c>
      <c r="D893" t="s">
        <v>138</v>
      </c>
      <c r="E893" t="s">
        <v>43</v>
      </c>
      <c r="F893" t="s">
        <v>41</v>
      </c>
      <c r="G893" s="89">
        <v>14262133</v>
      </c>
      <c r="H893" t="s">
        <v>42</v>
      </c>
      <c r="I893" t="s">
        <v>133</v>
      </c>
      <c r="J893" s="89">
        <v>456388256</v>
      </c>
      <c r="K893" t="s">
        <v>144</v>
      </c>
      <c r="N893">
        <v>1</v>
      </c>
      <c r="O893" s="89">
        <v>427863.99</v>
      </c>
      <c r="P893" s="89">
        <v>7416309.1600000001</v>
      </c>
      <c r="Q893" t="s">
        <v>142</v>
      </c>
      <c r="R893" t="s">
        <v>42</v>
      </c>
    </row>
    <row r="894" spans="3:18" x14ac:dyDescent="0.25">
      <c r="C894" t="s">
        <v>47</v>
      </c>
      <c r="D894" t="s">
        <v>21</v>
      </c>
      <c r="E894" t="s">
        <v>40</v>
      </c>
      <c r="F894" t="s">
        <v>41</v>
      </c>
      <c r="G894" s="89">
        <v>2817407</v>
      </c>
      <c r="H894" t="s">
        <v>140</v>
      </c>
      <c r="I894" t="s">
        <v>147</v>
      </c>
      <c r="J894" s="89">
        <v>11269628</v>
      </c>
      <c r="K894" t="s">
        <v>127</v>
      </c>
      <c r="L894" t="s">
        <v>128</v>
      </c>
      <c r="N894">
        <v>1</v>
      </c>
      <c r="O894" s="89">
        <v>169044.42</v>
      </c>
      <c r="P894" s="89">
        <v>2084881.18</v>
      </c>
      <c r="Q894" t="s">
        <v>137</v>
      </c>
      <c r="R894" t="s">
        <v>131</v>
      </c>
    </row>
    <row r="895" spans="3:18" hidden="1" x14ac:dyDescent="0.25">
      <c r="C895" t="s">
        <v>45</v>
      </c>
      <c r="D895" t="s">
        <v>21</v>
      </c>
      <c r="E895" t="s">
        <v>43</v>
      </c>
      <c r="F895" t="s">
        <v>41</v>
      </c>
      <c r="G895" s="89">
        <v>881942</v>
      </c>
      <c r="H895" t="s">
        <v>132</v>
      </c>
      <c r="I895" t="s">
        <v>141</v>
      </c>
      <c r="J895" s="89">
        <v>7055536</v>
      </c>
      <c r="K895" t="s">
        <v>144</v>
      </c>
      <c r="N895">
        <v>1</v>
      </c>
      <c r="O895" s="89">
        <v>26458.26</v>
      </c>
      <c r="P895" s="89">
        <v>149930.14000000001</v>
      </c>
      <c r="Q895" t="s">
        <v>130</v>
      </c>
      <c r="R895" t="s">
        <v>131</v>
      </c>
    </row>
    <row r="896" spans="3:18" x14ac:dyDescent="0.25">
      <c r="C896" t="s">
        <v>47</v>
      </c>
      <c r="D896" t="s">
        <v>21</v>
      </c>
      <c r="E896" t="s">
        <v>40</v>
      </c>
      <c r="F896" t="s">
        <v>41</v>
      </c>
      <c r="G896" s="89">
        <v>305435</v>
      </c>
      <c r="H896" t="s">
        <v>140</v>
      </c>
      <c r="I896" t="s">
        <v>153</v>
      </c>
      <c r="J896" s="89"/>
      <c r="K896" t="s">
        <v>127</v>
      </c>
      <c r="L896" t="s">
        <v>128</v>
      </c>
      <c r="N896">
        <v>0</v>
      </c>
      <c r="O896" s="89">
        <v>24434.799999999999</v>
      </c>
      <c r="P896" s="89">
        <v>42760.9</v>
      </c>
      <c r="Q896" t="s">
        <v>130</v>
      </c>
      <c r="R896" t="s">
        <v>131</v>
      </c>
    </row>
    <row r="897" spans="3:18" hidden="1" x14ac:dyDescent="0.25">
      <c r="C897" t="s">
        <v>45</v>
      </c>
      <c r="D897" t="s">
        <v>22</v>
      </c>
      <c r="E897" t="s">
        <v>40</v>
      </c>
      <c r="F897" t="s">
        <v>41</v>
      </c>
      <c r="G897" s="89">
        <v>8959676</v>
      </c>
      <c r="H897" t="s">
        <v>145</v>
      </c>
      <c r="I897" t="s">
        <v>133</v>
      </c>
      <c r="J897" s="89">
        <v>286709632</v>
      </c>
      <c r="K897" t="s">
        <v>144</v>
      </c>
      <c r="N897">
        <v>1</v>
      </c>
      <c r="O897" s="89">
        <v>268790.28000000003</v>
      </c>
      <c r="P897" s="89">
        <v>6361369.96</v>
      </c>
      <c r="Q897" t="s">
        <v>137</v>
      </c>
      <c r="R897" t="s">
        <v>131</v>
      </c>
    </row>
    <row r="898" spans="3:18" hidden="1" x14ac:dyDescent="0.25">
      <c r="C898" t="s">
        <v>45</v>
      </c>
      <c r="D898" t="s">
        <v>23</v>
      </c>
      <c r="E898" t="s">
        <v>40</v>
      </c>
      <c r="F898" t="s">
        <v>41</v>
      </c>
      <c r="G898" s="89">
        <v>4422484</v>
      </c>
      <c r="H898" t="s">
        <v>42</v>
      </c>
      <c r="I898" t="s">
        <v>133</v>
      </c>
      <c r="J898" s="89">
        <v>145941972</v>
      </c>
      <c r="K898" t="s">
        <v>144</v>
      </c>
      <c r="N898">
        <v>1</v>
      </c>
      <c r="O898" s="89">
        <v>132674.51999999999</v>
      </c>
      <c r="P898" s="89">
        <v>2255466.84</v>
      </c>
      <c r="Q898" t="s">
        <v>142</v>
      </c>
      <c r="R898" t="s">
        <v>42</v>
      </c>
    </row>
    <row r="899" spans="3:18" hidden="1" x14ac:dyDescent="0.25">
      <c r="C899" t="s">
        <v>45</v>
      </c>
      <c r="D899" t="s">
        <v>24</v>
      </c>
      <c r="E899" t="s">
        <v>46</v>
      </c>
      <c r="F899" t="s">
        <v>41</v>
      </c>
      <c r="G899" s="89">
        <v>4293303</v>
      </c>
      <c r="H899" t="s">
        <v>42</v>
      </c>
      <c r="I899" t="s">
        <v>133</v>
      </c>
      <c r="J899" s="89">
        <v>141678999</v>
      </c>
      <c r="K899" t="s">
        <v>144</v>
      </c>
      <c r="N899">
        <v>1</v>
      </c>
      <c r="O899" s="89">
        <v>128799.09</v>
      </c>
      <c r="P899" s="89">
        <v>2189584.5299999998</v>
      </c>
      <c r="Q899" t="s">
        <v>142</v>
      </c>
      <c r="R899" t="s">
        <v>42</v>
      </c>
    </row>
    <row r="900" spans="3:18" hidden="1" x14ac:dyDescent="0.25">
      <c r="C900" t="s">
        <v>45</v>
      </c>
      <c r="D900" t="s">
        <v>138</v>
      </c>
      <c r="E900" t="s">
        <v>40</v>
      </c>
      <c r="F900" t="s">
        <v>41</v>
      </c>
      <c r="G900" s="89">
        <v>288156</v>
      </c>
      <c r="H900" t="s">
        <v>146</v>
      </c>
      <c r="I900" t="s">
        <v>133</v>
      </c>
      <c r="J900" s="89">
        <v>8356524</v>
      </c>
      <c r="K900" t="s">
        <v>127</v>
      </c>
      <c r="L900" t="s">
        <v>128</v>
      </c>
      <c r="N900">
        <v>1</v>
      </c>
      <c r="O900" s="89">
        <v>8644.68</v>
      </c>
      <c r="P900" s="89">
        <v>233406.36</v>
      </c>
      <c r="Q900" t="s">
        <v>135</v>
      </c>
      <c r="R900" t="s">
        <v>131</v>
      </c>
    </row>
    <row r="901" spans="3:18" hidden="1" x14ac:dyDescent="0.25">
      <c r="C901" t="s">
        <v>45</v>
      </c>
      <c r="D901" t="s">
        <v>138</v>
      </c>
      <c r="E901" t="s">
        <v>43</v>
      </c>
      <c r="F901" t="s">
        <v>41</v>
      </c>
      <c r="G901" s="89">
        <v>148453</v>
      </c>
      <c r="H901" t="s">
        <v>42</v>
      </c>
      <c r="I901" t="s">
        <v>126</v>
      </c>
      <c r="J901" s="89">
        <v>2078342</v>
      </c>
      <c r="K901" t="s">
        <v>127</v>
      </c>
      <c r="L901" t="s">
        <v>128</v>
      </c>
      <c r="M901" t="s">
        <v>143</v>
      </c>
      <c r="N901">
        <v>1</v>
      </c>
      <c r="O901" s="89">
        <v>4453.59</v>
      </c>
      <c r="P901" s="89">
        <v>48989.49</v>
      </c>
      <c r="Q901" t="s">
        <v>130</v>
      </c>
      <c r="R901" t="s">
        <v>42</v>
      </c>
    </row>
    <row r="902" spans="3:18" hidden="1" x14ac:dyDescent="0.25">
      <c r="C902" t="s">
        <v>45</v>
      </c>
      <c r="D902" t="s">
        <v>22</v>
      </c>
      <c r="E902" t="s">
        <v>40</v>
      </c>
      <c r="F902" t="s">
        <v>41</v>
      </c>
      <c r="G902" s="89">
        <v>71762</v>
      </c>
      <c r="H902" t="s">
        <v>42</v>
      </c>
      <c r="I902" t="s">
        <v>126</v>
      </c>
      <c r="J902" s="89">
        <v>1291716</v>
      </c>
      <c r="K902" t="s">
        <v>127</v>
      </c>
      <c r="L902" t="s">
        <v>128</v>
      </c>
      <c r="M902" t="s">
        <v>129</v>
      </c>
      <c r="N902">
        <v>1</v>
      </c>
      <c r="O902" s="89">
        <v>2870.48</v>
      </c>
      <c r="P902" s="89">
        <v>27987.18</v>
      </c>
      <c r="Q902" t="s">
        <v>130</v>
      </c>
      <c r="R902" t="s">
        <v>42</v>
      </c>
    </row>
    <row r="903" spans="3:18" hidden="1" x14ac:dyDescent="0.25">
      <c r="C903" t="s">
        <v>45</v>
      </c>
      <c r="D903" t="s">
        <v>21</v>
      </c>
      <c r="E903" t="s">
        <v>43</v>
      </c>
      <c r="F903" t="s">
        <v>41</v>
      </c>
      <c r="G903" s="89">
        <v>204257601</v>
      </c>
      <c r="H903" t="s">
        <v>146</v>
      </c>
      <c r="I903" t="s">
        <v>133</v>
      </c>
      <c r="J903" s="89">
        <v>5719212828</v>
      </c>
      <c r="K903" t="s">
        <v>127</v>
      </c>
      <c r="L903" t="s">
        <v>128</v>
      </c>
      <c r="N903">
        <v>1</v>
      </c>
      <c r="O903" s="89">
        <v>6127728.0300000003</v>
      </c>
      <c r="P903" s="89">
        <v>138895168.68000001</v>
      </c>
      <c r="Q903" t="s">
        <v>137</v>
      </c>
      <c r="R903" t="s">
        <v>131</v>
      </c>
    </row>
    <row r="904" spans="3:18" hidden="1" x14ac:dyDescent="0.25">
      <c r="C904" t="s">
        <v>45</v>
      </c>
      <c r="D904" t="s">
        <v>138</v>
      </c>
      <c r="E904" t="s">
        <v>43</v>
      </c>
      <c r="F904" t="s">
        <v>41</v>
      </c>
      <c r="G904" s="89">
        <v>265658</v>
      </c>
      <c r="H904" t="s">
        <v>145</v>
      </c>
      <c r="I904" t="s">
        <v>126</v>
      </c>
      <c r="J904" s="89">
        <v>4250528</v>
      </c>
      <c r="K904" t="s">
        <v>127</v>
      </c>
      <c r="L904" t="s">
        <v>128</v>
      </c>
      <c r="N904">
        <v>1</v>
      </c>
      <c r="O904" s="89">
        <v>7969.74</v>
      </c>
      <c r="P904" s="89">
        <v>239092.2</v>
      </c>
      <c r="Q904" t="s">
        <v>135</v>
      </c>
      <c r="R904" t="s">
        <v>131</v>
      </c>
    </row>
    <row r="905" spans="3:18" hidden="1" x14ac:dyDescent="0.25">
      <c r="C905" t="s">
        <v>45</v>
      </c>
      <c r="D905" t="s">
        <v>23</v>
      </c>
      <c r="E905" t="s">
        <v>43</v>
      </c>
      <c r="F905" t="s">
        <v>41</v>
      </c>
      <c r="G905" s="89">
        <v>828448</v>
      </c>
      <c r="H905" t="s">
        <v>132</v>
      </c>
      <c r="I905" t="s">
        <v>126</v>
      </c>
      <c r="J905" s="89">
        <v>14083616</v>
      </c>
      <c r="K905" t="s">
        <v>127</v>
      </c>
      <c r="L905" t="s">
        <v>128</v>
      </c>
      <c r="N905">
        <v>1</v>
      </c>
      <c r="O905" s="89">
        <v>24853.439999999999</v>
      </c>
      <c r="P905" s="89">
        <v>405939.52</v>
      </c>
      <c r="Q905" t="s">
        <v>142</v>
      </c>
      <c r="R905" t="s">
        <v>131</v>
      </c>
    </row>
    <row r="906" spans="3:18" x14ac:dyDescent="0.25">
      <c r="C906" t="s">
        <v>47</v>
      </c>
      <c r="D906" t="s">
        <v>138</v>
      </c>
      <c r="E906" t="s">
        <v>40</v>
      </c>
      <c r="F906" t="s">
        <v>41</v>
      </c>
      <c r="G906" s="89">
        <v>9968668</v>
      </c>
      <c r="H906" t="s">
        <v>42</v>
      </c>
      <c r="I906" t="s">
        <v>147</v>
      </c>
      <c r="J906" s="89">
        <v>29906004</v>
      </c>
      <c r="K906" t="s">
        <v>127</v>
      </c>
      <c r="L906" t="s">
        <v>128</v>
      </c>
      <c r="M906" t="s">
        <v>139</v>
      </c>
      <c r="N906">
        <v>1</v>
      </c>
      <c r="O906" s="89">
        <v>398746.72</v>
      </c>
      <c r="P906" s="89">
        <v>1395613.52</v>
      </c>
      <c r="Q906" t="s">
        <v>130</v>
      </c>
      <c r="R906" t="s">
        <v>131</v>
      </c>
    </row>
    <row r="907" spans="3:18" hidden="1" x14ac:dyDescent="0.25">
      <c r="C907" t="s">
        <v>45</v>
      </c>
      <c r="D907" t="s">
        <v>21</v>
      </c>
      <c r="E907" t="s">
        <v>43</v>
      </c>
      <c r="F907" t="s">
        <v>41</v>
      </c>
      <c r="G907" s="89">
        <v>1828232</v>
      </c>
      <c r="H907" t="s">
        <v>140</v>
      </c>
      <c r="I907" t="s">
        <v>147</v>
      </c>
      <c r="J907" s="89">
        <v>5484696</v>
      </c>
      <c r="K907" t="s">
        <v>134</v>
      </c>
      <c r="L907" t="s">
        <v>128</v>
      </c>
      <c r="N907">
        <v>1</v>
      </c>
      <c r="O907" s="89">
        <v>54846.96</v>
      </c>
      <c r="P907" s="89">
        <v>511904.96</v>
      </c>
      <c r="Q907" t="s">
        <v>130</v>
      </c>
      <c r="R907" t="s">
        <v>131</v>
      </c>
    </row>
    <row r="908" spans="3:18" hidden="1" x14ac:dyDescent="0.25">
      <c r="C908" t="s">
        <v>45</v>
      </c>
      <c r="D908" t="s">
        <v>23</v>
      </c>
      <c r="E908" t="s">
        <v>40</v>
      </c>
      <c r="F908" t="s">
        <v>53</v>
      </c>
      <c r="G908" s="89">
        <v>407668</v>
      </c>
      <c r="H908" t="s">
        <v>42</v>
      </c>
      <c r="I908" t="s">
        <v>133</v>
      </c>
      <c r="J908" s="89">
        <v>14676048</v>
      </c>
      <c r="K908" t="s">
        <v>144</v>
      </c>
      <c r="N908">
        <v>1</v>
      </c>
      <c r="O908" s="89">
        <v>16306.72</v>
      </c>
      <c r="P908" s="89">
        <v>285367.59999999998</v>
      </c>
      <c r="Q908" t="s">
        <v>137</v>
      </c>
      <c r="R908" t="s">
        <v>131</v>
      </c>
    </row>
    <row r="909" spans="3:18" hidden="1" x14ac:dyDescent="0.25">
      <c r="C909" t="s">
        <v>45</v>
      </c>
      <c r="D909" t="s">
        <v>21</v>
      </c>
      <c r="E909" t="s">
        <v>48</v>
      </c>
      <c r="F909" t="s">
        <v>41</v>
      </c>
      <c r="G909" s="89">
        <v>46328</v>
      </c>
      <c r="H909" t="s">
        <v>42</v>
      </c>
      <c r="I909" t="s">
        <v>133</v>
      </c>
      <c r="J909" s="89">
        <v>1482496</v>
      </c>
      <c r="K909" t="s">
        <v>134</v>
      </c>
      <c r="L909" t="s">
        <v>128</v>
      </c>
      <c r="M909" t="s">
        <v>129</v>
      </c>
      <c r="N909">
        <v>1</v>
      </c>
      <c r="O909" s="89">
        <v>1389.84</v>
      </c>
      <c r="P909" s="89">
        <v>22237.439999999999</v>
      </c>
      <c r="Q909" t="s">
        <v>142</v>
      </c>
      <c r="R909" t="s">
        <v>42</v>
      </c>
    </row>
    <row r="910" spans="3:18" hidden="1" x14ac:dyDescent="0.25">
      <c r="C910" t="s">
        <v>45</v>
      </c>
      <c r="D910" t="s">
        <v>23</v>
      </c>
      <c r="E910" t="s">
        <v>48</v>
      </c>
      <c r="F910" t="s">
        <v>41</v>
      </c>
      <c r="G910" s="89">
        <v>22239477</v>
      </c>
      <c r="H910" t="s">
        <v>140</v>
      </c>
      <c r="I910" t="s">
        <v>133</v>
      </c>
      <c r="J910" s="89">
        <v>578226402</v>
      </c>
      <c r="K910" t="s">
        <v>127</v>
      </c>
      <c r="L910" t="s">
        <v>128</v>
      </c>
      <c r="N910">
        <v>1</v>
      </c>
      <c r="O910" s="89">
        <v>667184.31000000006</v>
      </c>
      <c r="P910" s="89">
        <v>6004658.79</v>
      </c>
      <c r="Q910" t="s">
        <v>130</v>
      </c>
      <c r="R910" t="s">
        <v>131</v>
      </c>
    </row>
    <row r="911" spans="3:18" x14ac:dyDescent="0.25">
      <c r="C911" t="s">
        <v>47</v>
      </c>
      <c r="D911" t="s">
        <v>138</v>
      </c>
      <c r="E911" t="s">
        <v>48</v>
      </c>
      <c r="F911" t="s">
        <v>41</v>
      </c>
      <c r="G911" s="89">
        <v>20622</v>
      </c>
      <c r="H911" t="s">
        <v>145</v>
      </c>
      <c r="I911" t="s">
        <v>147</v>
      </c>
      <c r="J911" s="89">
        <v>82488</v>
      </c>
      <c r="K911" t="s">
        <v>127</v>
      </c>
      <c r="L911" t="s">
        <v>128</v>
      </c>
      <c r="N911">
        <v>1</v>
      </c>
      <c r="O911" s="89">
        <v>824.88</v>
      </c>
      <c r="P911" s="89">
        <v>12166.98</v>
      </c>
      <c r="Q911" t="s">
        <v>142</v>
      </c>
      <c r="R911" t="s">
        <v>131</v>
      </c>
    </row>
    <row r="912" spans="3:18" hidden="1" x14ac:dyDescent="0.25">
      <c r="C912" t="s">
        <v>45</v>
      </c>
      <c r="D912" t="s">
        <v>23</v>
      </c>
      <c r="E912" t="s">
        <v>48</v>
      </c>
      <c r="F912" t="s">
        <v>41</v>
      </c>
      <c r="G912" s="89">
        <v>100712</v>
      </c>
      <c r="H912" t="s">
        <v>146</v>
      </c>
      <c r="I912" t="s">
        <v>153</v>
      </c>
      <c r="J912" s="89"/>
      <c r="K912" t="s">
        <v>127</v>
      </c>
      <c r="L912" t="s">
        <v>128</v>
      </c>
      <c r="N912">
        <v>0</v>
      </c>
      <c r="O912" s="89">
        <v>4028.48</v>
      </c>
      <c r="P912" s="89">
        <v>27192.240000000002</v>
      </c>
      <c r="Q912" t="s">
        <v>130</v>
      </c>
      <c r="R912" t="s">
        <v>131</v>
      </c>
    </row>
    <row r="913" spans="3:18" hidden="1" x14ac:dyDescent="0.25">
      <c r="C913" t="s">
        <v>45</v>
      </c>
      <c r="D913" t="s">
        <v>24</v>
      </c>
      <c r="E913" t="s">
        <v>44</v>
      </c>
      <c r="F913" t="s">
        <v>41</v>
      </c>
      <c r="G913" s="89">
        <v>2030216</v>
      </c>
      <c r="H913" t="s">
        <v>146</v>
      </c>
      <c r="I913" t="s">
        <v>133</v>
      </c>
      <c r="J913" s="89">
        <v>48725184</v>
      </c>
      <c r="K913" t="s">
        <v>127</v>
      </c>
      <c r="L913" t="s">
        <v>128</v>
      </c>
      <c r="N913">
        <v>1</v>
      </c>
      <c r="O913" s="89">
        <v>60906.48</v>
      </c>
      <c r="P913" s="89">
        <v>1055712.32</v>
      </c>
      <c r="Q913" t="s">
        <v>142</v>
      </c>
      <c r="R913" t="s">
        <v>131</v>
      </c>
    </row>
    <row r="914" spans="3:18" hidden="1" x14ac:dyDescent="0.25">
      <c r="C914" t="s">
        <v>45</v>
      </c>
      <c r="D914" t="s">
        <v>21</v>
      </c>
      <c r="E914" t="s">
        <v>40</v>
      </c>
      <c r="F914" t="s">
        <v>41</v>
      </c>
      <c r="G914" s="89">
        <v>2666724</v>
      </c>
      <c r="H914" t="s">
        <v>42</v>
      </c>
      <c r="I914" t="s">
        <v>126</v>
      </c>
      <c r="J914" s="89">
        <v>45334308</v>
      </c>
      <c r="K914" t="s">
        <v>144</v>
      </c>
      <c r="N914">
        <v>1</v>
      </c>
      <c r="O914" s="89">
        <v>80001.72</v>
      </c>
      <c r="P914" s="89">
        <v>1333362</v>
      </c>
      <c r="Q914" t="s">
        <v>142</v>
      </c>
      <c r="R914" t="s">
        <v>42</v>
      </c>
    </row>
    <row r="915" spans="3:18" hidden="1" x14ac:dyDescent="0.25">
      <c r="C915" t="s">
        <v>45</v>
      </c>
      <c r="D915" t="s">
        <v>19</v>
      </c>
      <c r="E915" t="s">
        <v>43</v>
      </c>
      <c r="F915" t="s">
        <v>41</v>
      </c>
      <c r="G915" s="89">
        <v>86345223</v>
      </c>
      <c r="H915" t="s">
        <v>42</v>
      </c>
      <c r="I915" t="s">
        <v>133</v>
      </c>
      <c r="J915" s="89">
        <v>2417666244</v>
      </c>
      <c r="K915" t="s">
        <v>127</v>
      </c>
      <c r="L915" t="s">
        <v>128</v>
      </c>
      <c r="M915" t="s">
        <v>136</v>
      </c>
      <c r="N915">
        <v>1</v>
      </c>
      <c r="O915" s="89">
        <v>2590356.69</v>
      </c>
      <c r="P915" s="89">
        <v>24176662.440000001</v>
      </c>
      <c r="Q915" t="s">
        <v>130</v>
      </c>
      <c r="R915" t="s">
        <v>131</v>
      </c>
    </row>
    <row r="916" spans="3:18" hidden="1" x14ac:dyDescent="0.25">
      <c r="C916" t="s">
        <v>45</v>
      </c>
      <c r="D916" t="s">
        <v>22</v>
      </c>
      <c r="E916" t="s">
        <v>40</v>
      </c>
      <c r="F916" t="s">
        <v>41</v>
      </c>
      <c r="G916" s="89">
        <v>6398186</v>
      </c>
      <c r="H916" t="s">
        <v>140</v>
      </c>
      <c r="I916" t="s">
        <v>133</v>
      </c>
      <c r="J916" s="89">
        <v>211140138</v>
      </c>
      <c r="K916" t="s">
        <v>144</v>
      </c>
      <c r="N916">
        <v>1</v>
      </c>
      <c r="O916" s="89">
        <v>191945.58</v>
      </c>
      <c r="P916" s="89">
        <v>5374476.2400000002</v>
      </c>
      <c r="Q916" t="s">
        <v>135</v>
      </c>
      <c r="R916" t="s">
        <v>131</v>
      </c>
    </row>
    <row r="917" spans="3:18" x14ac:dyDescent="0.25">
      <c r="C917" t="s">
        <v>47</v>
      </c>
      <c r="D917" t="s">
        <v>19</v>
      </c>
      <c r="E917" t="s">
        <v>44</v>
      </c>
      <c r="F917" t="s">
        <v>41</v>
      </c>
      <c r="G917" s="89">
        <v>88212</v>
      </c>
      <c r="H917" t="s">
        <v>42</v>
      </c>
      <c r="I917" t="s">
        <v>141</v>
      </c>
      <c r="J917" s="89">
        <v>882120</v>
      </c>
      <c r="K917" t="s">
        <v>127</v>
      </c>
      <c r="L917" t="s">
        <v>128</v>
      </c>
      <c r="M917" t="s">
        <v>136</v>
      </c>
      <c r="N917">
        <v>1</v>
      </c>
      <c r="O917" s="89">
        <v>3528.48</v>
      </c>
      <c r="P917" s="89">
        <v>35284.800000000003</v>
      </c>
      <c r="Q917" t="s">
        <v>130</v>
      </c>
      <c r="R917" t="s">
        <v>131</v>
      </c>
    </row>
    <row r="918" spans="3:18" hidden="1" x14ac:dyDescent="0.25">
      <c r="C918" t="s">
        <v>45</v>
      </c>
      <c r="D918" t="s">
        <v>21</v>
      </c>
      <c r="E918" t="s">
        <v>40</v>
      </c>
      <c r="F918" t="s">
        <v>41</v>
      </c>
      <c r="G918" s="89">
        <v>12032200</v>
      </c>
      <c r="H918" t="s">
        <v>42</v>
      </c>
      <c r="I918" t="s">
        <v>133</v>
      </c>
      <c r="J918" s="89">
        <v>457223600</v>
      </c>
      <c r="K918" t="s">
        <v>144</v>
      </c>
      <c r="N918">
        <v>1</v>
      </c>
      <c r="O918" s="89">
        <v>360966</v>
      </c>
      <c r="P918" s="89">
        <v>12032200</v>
      </c>
      <c r="Q918" t="s">
        <v>150</v>
      </c>
      <c r="R918" t="s">
        <v>42</v>
      </c>
    </row>
    <row r="919" spans="3:18" x14ac:dyDescent="0.25">
      <c r="C919" t="s">
        <v>47</v>
      </c>
      <c r="D919" t="s">
        <v>21</v>
      </c>
      <c r="E919" t="s">
        <v>40</v>
      </c>
      <c r="F919" t="s">
        <v>41</v>
      </c>
      <c r="G919" s="89">
        <v>8224</v>
      </c>
      <c r="H919" t="s">
        <v>145</v>
      </c>
      <c r="I919" t="s">
        <v>147</v>
      </c>
      <c r="J919" s="89"/>
      <c r="K919" t="s">
        <v>127</v>
      </c>
      <c r="L919" t="s">
        <v>128</v>
      </c>
      <c r="N919">
        <v>0</v>
      </c>
      <c r="O919" s="89">
        <v>328.96</v>
      </c>
      <c r="P919" s="89">
        <v>0</v>
      </c>
      <c r="Q919" t="s">
        <v>130</v>
      </c>
      <c r="R919" t="s">
        <v>131</v>
      </c>
    </row>
    <row r="920" spans="3:18" hidden="1" x14ac:dyDescent="0.25">
      <c r="C920" t="s">
        <v>45</v>
      </c>
      <c r="D920" t="s">
        <v>20</v>
      </c>
      <c r="E920" t="s">
        <v>43</v>
      </c>
      <c r="F920" t="s">
        <v>41</v>
      </c>
      <c r="G920" s="89">
        <v>4591238</v>
      </c>
      <c r="H920" t="s">
        <v>42</v>
      </c>
      <c r="I920" t="s">
        <v>133</v>
      </c>
      <c r="J920" s="89">
        <v>160693330</v>
      </c>
      <c r="K920" t="s">
        <v>144</v>
      </c>
      <c r="N920">
        <v>1</v>
      </c>
      <c r="O920" s="89">
        <v>137737.14000000001</v>
      </c>
      <c r="P920" s="89">
        <v>3948464.68</v>
      </c>
      <c r="Q920" t="s">
        <v>135</v>
      </c>
      <c r="R920" t="s">
        <v>131</v>
      </c>
    </row>
    <row r="921" spans="3:18" hidden="1" x14ac:dyDescent="0.25">
      <c r="C921" t="s">
        <v>45</v>
      </c>
      <c r="D921" t="s">
        <v>21</v>
      </c>
      <c r="E921" t="s">
        <v>43</v>
      </c>
      <c r="F921" t="s">
        <v>41</v>
      </c>
      <c r="G921" s="89">
        <v>16</v>
      </c>
      <c r="H921" t="s">
        <v>132</v>
      </c>
      <c r="I921" t="s">
        <v>147</v>
      </c>
      <c r="J921" s="89"/>
      <c r="K921" t="s">
        <v>127</v>
      </c>
      <c r="L921" t="s">
        <v>151</v>
      </c>
      <c r="N921">
        <v>0</v>
      </c>
      <c r="O921" s="89">
        <v>0</v>
      </c>
      <c r="P921" s="89">
        <v>0</v>
      </c>
      <c r="Q921" t="s">
        <v>130</v>
      </c>
      <c r="R921" t="s">
        <v>131</v>
      </c>
    </row>
    <row r="922" spans="3:18" x14ac:dyDescent="0.25">
      <c r="C922" t="s">
        <v>47</v>
      </c>
      <c r="D922" t="s">
        <v>23</v>
      </c>
      <c r="E922" t="s">
        <v>40</v>
      </c>
      <c r="F922" t="s">
        <v>41</v>
      </c>
      <c r="G922" s="89">
        <v>516141</v>
      </c>
      <c r="H922" t="s">
        <v>132</v>
      </c>
      <c r="I922" t="s">
        <v>126</v>
      </c>
      <c r="J922" s="89">
        <v>5161410</v>
      </c>
      <c r="K922" t="s">
        <v>127</v>
      </c>
      <c r="L922" t="s">
        <v>128</v>
      </c>
      <c r="N922">
        <v>1</v>
      </c>
      <c r="O922" s="89">
        <v>20645.64</v>
      </c>
      <c r="P922" s="89">
        <v>371621.52</v>
      </c>
      <c r="Q922" t="s">
        <v>137</v>
      </c>
      <c r="R922" t="s">
        <v>131</v>
      </c>
    </row>
    <row r="923" spans="3:18" hidden="1" x14ac:dyDescent="0.25">
      <c r="C923" t="s">
        <v>45</v>
      </c>
      <c r="D923" t="s">
        <v>23</v>
      </c>
      <c r="E923" t="s">
        <v>48</v>
      </c>
      <c r="F923" t="s">
        <v>53</v>
      </c>
      <c r="G923" s="89">
        <v>124764</v>
      </c>
      <c r="H923" t="s">
        <v>42</v>
      </c>
      <c r="I923" t="s">
        <v>126</v>
      </c>
      <c r="J923" s="89">
        <v>1996224</v>
      </c>
      <c r="K923" t="s">
        <v>127</v>
      </c>
      <c r="L923" t="s">
        <v>128</v>
      </c>
      <c r="M923" t="s">
        <v>152</v>
      </c>
      <c r="N923">
        <v>1</v>
      </c>
      <c r="O923" s="89">
        <v>3742.92</v>
      </c>
      <c r="P923" s="89">
        <v>46162.68</v>
      </c>
      <c r="Q923" t="s">
        <v>130</v>
      </c>
      <c r="R923" t="s">
        <v>42</v>
      </c>
    </row>
    <row r="924" spans="3:18" hidden="1" x14ac:dyDescent="0.25">
      <c r="C924" t="s">
        <v>45</v>
      </c>
      <c r="D924" t="s">
        <v>23</v>
      </c>
      <c r="E924" t="s">
        <v>48</v>
      </c>
      <c r="F924" t="s">
        <v>41</v>
      </c>
      <c r="G924" s="89">
        <v>233780</v>
      </c>
      <c r="H924" t="s">
        <v>145</v>
      </c>
      <c r="I924" t="s">
        <v>126</v>
      </c>
      <c r="J924" s="89">
        <v>3740480</v>
      </c>
      <c r="K924" t="s">
        <v>127</v>
      </c>
      <c r="L924" t="s">
        <v>128</v>
      </c>
      <c r="N924">
        <v>1</v>
      </c>
      <c r="O924" s="89">
        <v>9351.2000000000007</v>
      </c>
      <c r="P924" s="89">
        <v>203388.6</v>
      </c>
      <c r="Q924" t="s">
        <v>135</v>
      </c>
      <c r="R924" t="s">
        <v>131</v>
      </c>
    </row>
    <row r="925" spans="3:18" x14ac:dyDescent="0.25">
      <c r="C925" t="s">
        <v>47</v>
      </c>
      <c r="D925" t="s">
        <v>21</v>
      </c>
      <c r="E925" t="s">
        <v>40</v>
      </c>
      <c r="F925" t="s">
        <v>41</v>
      </c>
      <c r="G925" s="89">
        <v>2298783</v>
      </c>
      <c r="H925" t="s">
        <v>132</v>
      </c>
      <c r="I925" t="s">
        <v>126</v>
      </c>
      <c r="J925" s="89">
        <v>27585396</v>
      </c>
      <c r="K925" t="s">
        <v>144</v>
      </c>
      <c r="N925">
        <v>1</v>
      </c>
      <c r="O925" s="89">
        <v>91951.32</v>
      </c>
      <c r="P925" s="89">
        <v>1563172.44</v>
      </c>
      <c r="Q925" t="s">
        <v>137</v>
      </c>
      <c r="R925" t="s">
        <v>131</v>
      </c>
    </row>
    <row r="926" spans="3:18" hidden="1" x14ac:dyDescent="0.25">
      <c r="C926" t="s">
        <v>45</v>
      </c>
      <c r="D926" t="s">
        <v>21</v>
      </c>
      <c r="E926" t="s">
        <v>40</v>
      </c>
      <c r="F926" t="s">
        <v>41</v>
      </c>
      <c r="G926" s="89">
        <v>6323554</v>
      </c>
      <c r="H926" t="s">
        <v>42</v>
      </c>
      <c r="I926" t="s">
        <v>126</v>
      </c>
      <c r="J926" s="89">
        <v>107500418</v>
      </c>
      <c r="K926" t="s">
        <v>127</v>
      </c>
      <c r="L926" t="s">
        <v>128</v>
      </c>
      <c r="M926" t="s">
        <v>129</v>
      </c>
      <c r="N926">
        <v>1</v>
      </c>
      <c r="O926" s="89">
        <v>252942.16</v>
      </c>
      <c r="P926" s="89">
        <v>4173545.64</v>
      </c>
      <c r="Q926" t="s">
        <v>137</v>
      </c>
      <c r="R926" t="s">
        <v>131</v>
      </c>
    </row>
    <row r="927" spans="3:18" hidden="1" x14ac:dyDescent="0.25">
      <c r="C927" t="s">
        <v>45</v>
      </c>
      <c r="D927" t="s">
        <v>22</v>
      </c>
      <c r="E927" t="s">
        <v>43</v>
      </c>
      <c r="F927" t="s">
        <v>53</v>
      </c>
      <c r="G927" s="89">
        <v>78112</v>
      </c>
      <c r="H927" t="s">
        <v>146</v>
      </c>
      <c r="I927" t="s">
        <v>126</v>
      </c>
      <c r="J927" s="89">
        <v>1484128</v>
      </c>
      <c r="K927" t="s">
        <v>144</v>
      </c>
      <c r="N927">
        <v>1</v>
      </c>
      <c r="O927" s="89">
        <v>2343.36</v>
      </c>
      <c r="P927" s="89">
        <v>33588.160000000003</v>
      </c>
      <c r="Q927" t="s">
        <v>142</v>
      </c>
      <c r="R927" t="s">
        <v>131</v>
      </c>
    </row>
    <row r="928" spans="3:18" hidden="1" x14ac:dyDescent="0.25">
      <c r="C928" t="s">
        <v>45</v>
      </c>
      <c r="D928" t="s">
        <v>19</v>
      </c>
      <c r="E928" t="s">
        <v>43</v>
      </c>
      <c r="F928" t="s">
        <v>41</v>
      </c>
      <c r="G928" s="89">
        <v>68466</v>
      </c>
      <c r="H928" t="s">
        <v>42</v>
      </c>
      <c r="I928" t="s">
        <v>141</v>
      </c>
      <c r="J928" s="89">
        <v>616194</v>
      </c>
      <c r="K928" t="s">
        <v>144</v>
      </c>
      <c r="N928">
        <v>1</v>
      </c>
      <c r="O928" s="89">
        <v>2053.98</v>
      </c>
      <c r="P928" s="89">
        <v>23278.44</v>
      </c>
      <c r="Q928" t="s">
        <v>130</v>
      </c>
      <c r="R928" t="s">
        <v>131</v>
      </c>
    </row>
    <row r="929" spans="3:18" hidden="1" x14ac:dyDescent="0.25">
      <c r="C929" t="s">
        <v>45</v>
      </c>
      <c r="D929" t="s">
        <v>19</v>
      </c>
      <c r="E929" t="s">
        <v>43</v>
      </c>
      <c r="F929" t="s">
        <v>41</v>
      </c>
      <c r="G929" s="89">
        <v>799046</v>
      </c>
      <c r="H929" t="s">
        <v>42</v>
      </c>
      <c r="I929" t="s">
        <v>141</v>
      </c>
      <c r="J929" s="89">
        <v>6392368</v>
      </c>
      <c r="K929" t="s">
        <v>127</v>
      </c>
      <c r="L929" t="s">
        <v>128</v>
      </c>
      <c r="M929" t="s">
        <v>136</v>
      </c>
      <c r="N929">
        <v>1</v>
      </c>
      <c r="O929" s="89">
        <v>23971.38</v>
      </c>
      <c r="P929" s="89">
        <v>391532.54</v>
      </c>
      <c r="Q929" t="s">
        <v>142</v>
      </c>
      <c r="R929" t="s">
        <v>42</v>
      </c>
    </row>
    <row r="930" spans="3:18" hidden="1" x14ac:dyDescent="0.25">
      <c r="C930" t="s">
        <v>45</v>
      </c>
      <c r="D930" t="s">
        <v>24</v>
      </c>
      <c r="E930" t="s">
        <v>44</v>
      </c>
      <c r="F930" t="s">
        <v>41</v>
      </c>
      <c r="G930" s="89">
        <v>11262508</v>
      </c>
      <c r="H930" t="s">
        <v>42</v>
      </c>
      <c r="I930" t="s">
        <v>133</v>
      </c>
      <c r="J930" s="89">
        <v>337875240</v>
      </c>
      <c r="K930" t="s">
        <v>127</v>
      </c>
      <c r="L930" t="s">
        <v>128</v>
      </c>
      <c r="M930" t="s">
        <v>148</v>
      </c>
      <c r="N930">
        <v>1</v>
      </c>
      <c r="O930" s="89">
        <v>337875.24</v>
      </c>
      <c r="P930" s="89">
        <v>5856504.1600000001</v>
      </c>
      <c r="Q930" t="s">
        <v>142</v>
      </c>
      <c r="R930" t="s">
        <v>131</v>
      </c>
    </row>
    <row r="931" spans="3:18" hidden="1" x14ac:dyDescent="0.25">
      <c r="C931" t="s">
        <v>45</v>
      </c>
      <c r="D931" t="s">
        <v>25</v>
      </c>
      <c r="E931" t="s">
        <v>48</v>
      </c>
      <c r="F931" t="s">
        <v>41</v>
      </c>
      <c r="G931" s="89">
        <v>269670</v>
      </c>
      <c r="H931" t="s">
        <v>146</v>
      </c>
      <c r="I931" t="s">
        <v>133</v>
      </c>
      <c r="J931" s="89">
        <v>9438450</v>
      </c>
      <c r="K931" t="s">
        <v>127</v>
      </c>
      <c r="L931" t="s">
        <v>128</v>
      </c>
      <c r="N931">
        <v>1</v>
      </c>
      <c r="O931" s="89">
        <v>8090.1</v>
      </c>
      <c r="P931" s="89">
        <v>280456.8</v>
      </c>
      <c r="Q931" t="s">
        <v>150</v>
      </c>
      <c r="R931" t="s">
        <v>131</v>
      </c>
    </row>
    <row r="932" spans="3:18" x14ac:dyDescent="0.25">
      <c r="C932" t="s">
        <v>47</v>
      </c>
      <c r="D932" t="s">
        <v>22</v>
      </c>
      <c r="E932" t="s">
        <v>44</v>
      </c>
      <c r="F932" t="s">
        <v>41</v>
      </c>
      <c r="G932" s="89">
        <v>427127</v>
      </c>
      <c r="H932" t="s">
        <v>42</v>
      </c>
      <c r="I932" t="s">
        <v>141</v>
      </c>
      <c r="J932" s="89">
        <v>2989889</v>
      </c>
      <c r="K932" t="s">
        <v>144</v>
      </c>
      <c r="N932">
        <v>1</v>
      </c>
      <c r="O932" s="89">
        <v>17085.080000000002</v>
      </c>
      <c r="P932" s="89">
        <v>179393.34</v>
      </c>
      <c r="Q932" t="s">
        <v>142</v>
      </c>
      <c r="R932" t="s">
        <v>131</v>
      </c>
    </row>
    <row r="933" spans="3:18" hidden="1" x14ac:dyDescent="0.25">
      <c r="C933" t="s">
        <v>45</v>
      </c>
      <c r="D933" t="s">
        <v>24</v>
      </c>
      <c r="E933" t="s">
        <v>40</v>
      </c>
      <c r="F933" t="s">
        <v>41</v>
      </c>
      <c r="G933" s="89">
        <v>316609</v>
      </c>
      <c r="H933" t="s">
        <v>42</v>
      </c>
      <c r="I933" t="s">
        <v>133</v>
      </c>
      <c r="J933" s="89">
        <v>10131488</v>
      </c>
      <c r="K933" t="s">
        <v>127</v>
      </c>
      <c r="L933" t="s">
        <v>128</v>
      </c>
      <c r="M933" t="s">
        <v>148</v>
      </c>
      <c r="N933">
        <v>1</v>
      </c>
      <c r="O933" s="89">
        <v>9498.27</v>
      </c>
      <c r="P933" s="89">
        <v>357768.17</v>
      </c>
      <c r="Q933" t="s">
        <v>150</v>
      </c>
      <c r="R933" t="s">
        <v>131</v>
      </c>
    </row>
    <row r="934" spans="3:18" x14ac:dyDescent="0.25">
      <c r="C934" t="s">
        <v>47</v>
      </c>
      <c r="D934" t="s">
        <v>138</v>
      </c>
      <c r="E934" t="s">
        <v>40</v>
      </c>
      <c r="F934" t="s">
        <v>41</v>
      </c>
      <c r="G934" s="89">
        <v>5890766</v>
      </c>
      <c r="H934" t="s">
        <v>140</v>
      </c>
      <c r="I934" t="s">
        <v>147</v>
      </c>
      <c r="J934" s="89">
        <v>11781532</v>
      </c>
      <c r="K934" t="s">
        <v>127</v>
      </c>
      <c r="L934" t="s">
        <v>128</v>
      </c>
      <c r="N934">
        <v>1</v>
      </c>
      <c r="O934" s="89">
        <v>294538.3</v>
      </c>
      <c r="P934" s="89">
        <v>1001430.22</v>
      </c>
      <c r="Q934" t="s">
        <v>130</v>
      </c>
      <c r="R934" t="s">
        <v>131</v>
      </c>
    </row>
    <row r="935" spans="3:18" hidden="1" x14ac:dyDescent="0.25">
      <c r="C935" t="s">
        <v>45</v>
      </c>
      <c r="D935" t="s">
        <v>24</v>
      </c>
      <c r="E935" t="s">
        <v>40</v>
      </c>
      <c r="F935" t="s">
        <v>41</v>
      </c>
      <c r="G935" s="89">
        <v>82523</v>
      </c>
      <c r="H935" t="s">
        <v>140</v>
      </c>
      <c r="I935" t="s">
        <v>126</v>
      </c>
      <c r="J935" s="89">
        <v>1567937</v>
      </c>
      <c r="K935" t="s">
        <v>127</v>
      </c>
      <c r="L935" t="s">
        <v>128</v>
      </c>
      <c r="N935">
        <v>1</v>
      </c>
      <c r="O935" s="89">
        <v>1650.46</v>
      </c>
      <c r="P935" s="89">
        <v>49513.8</v>
      </c>
      <c r="Q935" t="s">
        <v>137</v>
      </c>
      <c r="R935" t="s">
        <v>131</v>
      </c>
    </row>
    <row r="936" spans="3:18" hidden="1" x14ac:dyDescent="0.25">
      <c r="C936" t="s">
        <v>45</v>
      </c>
      <c r="D936" t="s">
        <v>24</v>
      </c>
      <c r="E936" t="s">
        <v>44</v>
      </c>
      <c r="F936" t="s">
        <v>41</v>
      </c>
      <c r="G936" s="89">
        <v>42950</v>
      </c>
      <c r="H936" t="s">
        <v>140</v>
      </c>
      <c r="I936" t="s">
        <v>126</v>
      </c>
      <c r="J936" s="89">
        <v>816050</v>
      </c>
      <c r="K936" t="s">
        <v>134</v>
      </c>
      <c r="L936" t="s">
        <v>128</v>
      </c>
      <c r="N936">
        <v>1</v>
      </c>
      <c r="O936" s="89">
        <v>1288.5</v>
      </c>
      <c r="P936" s="89">
        <v>9019.5</v>
      </c>
      <c r="Q936" t="s">
        <v>130</v>
      </c>
      <c r="R936" t="s">
        <v>131</v>
      </c>
    </row>
    <row r="937" spans="3:18" hidden="1" x14ac:dyDescent="0.25">
      <c r="C937" t="s">
        <v>45</v>
      </c>
      <c r="D937" t="s">
        <v>20</v>
      </c>
      <c r="E937" t="s">
        <v>40</v>
      </c>
      <c r="F937" t="s">
        <v>41</v>
      </c>
      <c r="G937" s="89">
        <v>1501285</v>
      </c>
      <c r="H937" t="s">
        <v>42</v>
      </c>
      <c r="I937" t="s">
        <v>133</v>
      </c>
      <c r="J937" s="89">
        <v>45038550</v>
      </c>
      <c r="K937" t="s">
        <v>127</v>
      </c>
      <c r="L937" t="s">
        <v>128</v>
      </c>
      <c r="M937" t="s">
        <v>139</v>
      </c>
      <c r="N937">
        <v>1</v>
      </c>
      <c r="O937" s="89">
        <v>45038.55</v>
      </c>
      <c r="P937" s="89">
        <v>750642.5</v>
      </c>
      <c r="Q937" t="s">
        <v>142</v>
      </c>
      <c r="R937" t="s">
        <v>42</v>
      </c>
    </row>
    <row r="938" spans="3:18" x14ac:dyDescent="0.25">
      <c r="C938" t="s">
        <v>47</v>
      </c>
      <c r="D938" t="s">
        <v>21</v>
      </c>
      <c r="E938" t="s">
        <v>40</v>
      </c>
      <c r="F938" t="s">
        <v>41</v>
      </c>
      <c r="G938" s="89">
        <v>6973494</v>
      </c>
      <c r="H938" t="s">
        <v>146</v>
      </c>
      <c r="I938" t="s">
        <v>126</v>
      </c>
      <c r="J938" s="89">
        <v>76708434</v>
      </c>
      <c r="K938" t="s">
        <v>127</v>
      </c>
      <c r="L938" t="s">
        <v>128</v>
      </c>
      <c r="N938">
        <v>1</v>
      </c>
      <c r="O938" s="89">
        <v>278939.76</v>
      </c>
      <c r="P938" s="89">
        <v>5857734.96</v>
      </c>
      <c r="Q938" t="s">
        <v>135</v>
      </c>
      <c r="R938" t="s">
        <v>131</v>
      </c>
    </row>
    <row r="939" spans="3:18" x14ac:dyDescent="0.25">
      <c r="C939" t="s">
        <v>47</v>
      </c>
      <c r="D939" t="s">
        <v>22</v>
      </c>
      <c r="E939" t="s">
        <v>40</v>
      </c>
      <c r="F939" t="s">
        <v>41</v>
      </c>
      <c r="G939" s="89">
        <v>826215</v>
      </c>
      <c r="H939" t="s">
        <v>146</v>
      </c>
      <c r="I939" t="s">
        <v>141</v>
      </c>
      <c r="J939" s="89">
        <v>5783505</v>
      </c>
      <c r="K939" t="s">
        <v>127</v>
      </c>
      <c r="L939" t="s">
        <v>128</v>
      </c>
      <c r="N939">
        <v>1</v>
      </c>
      <c r="O939" s="89">
        <v>33048.6</v>
      </c>
      <c r="P939" s="89">
        <v>669234.15</v>
      </c>
      <c r="Q939" t="s">
        <v>135</v>
      </c>
      <c r="R939" t="s">
        <v>131</v>
      </c>
    </row>
    <row r="940" spans="3:18" x14ac:dyDescent="0.25">
      <c r="C940" t="s">
        <v>47</v>
      </c>
      <c r="D940" t="s">
        <v>20</v>
      </c>
      <c r="E940" t="s">
        <v>43</v>
      </c>
      <c r="F940" t="s">
        <v>41</v>
      </c>
      <c r="G940" s="89">
        <v>282344</v>
      </c>
      <c r="H940" t="s">
        <v>42</v>
      </c>
      <c r="I940" t="s">
        <v>147</v>
      </c>
      <c r="J940" s="89">
        <v>1129376</v>
      </c>
      <c r="K940" t="s">
        <v>127</v>
      </c>
      <c r="L940" t="s">
        <v>128</v>
      </c>
      <c r="M940" t="s">
        <v>139</v>
      </c>
      <c r="N940">
        <v>1</v>
      </c>
      <c r="O940" s="89">
        <v>11293.76</v>
      </c>
      <c r="P940" s="89">
        <v>47998.48</v>
      </c>
      <c r="Q940" t="s">
        <v>130</v>
      </c>
      <c r="R940" t="s">
        <v>131</v>
      </c>
    </row>
    <row r="941" spans="3:18" hidden="1" x14ac:dyDescent="0.25">
      <c r="C941" t="s">
        <v>45</v>
      </c>
      <c r="D941" t="s">
        <v>138</v>
      </c>
      <c r="E941" t="s">
        <v>40</v>
      </c>
      <c r="F941" t="s">
        <v>41</v>
      </c>
      <c r="G941" s="89">
        <v>54478</v>
      </c>
      <c r="H941" t="s">
        <v>42</v>
      </c>
      <c r="I941" t="s">
        <v>126</v>
      </c>
      <c r="J941" s="89">
        <v>1035082</v>
      </c>
      <c r="K941" t="s">
        <v>134</v>
      </c>
      <c r="L941" t="s">
        <v>128</v>
      </c>
      <c r="M941" t="s">
        <v>139</v>
      </c>
      <c r="N941">
        <v>1</v>
      </c>
      <c r="O941" s="89">
        <v>1634.34</v>
      </c>
      <c r="P941" s="89">
        <v>9806.0400000000009</v>
      </c>
      <c r="Q941" t="s">
        <v>130</v>
      </c>
      <c r="R941" t="s">
        <v>42</v>
      </c>
    </row>
    <row r="942" spans="3:18" hidden="1" x14ac:dyDescent="0.25">
      <c r="C942" t="s">
        <v>45</v>
      </c>
      <c r="D942" t="s">
        <v>23</v>
      </c>
      <c r="E942" t="s">
        <v>43</v>
      </c>
      <c r="F942" t="s">
        <v>41</v>
      </c>
      <c r="G942" s="89">
        <v>184255</v>
      </c>
      <c r="H942" t="s">
        <v>140</v>
      </c>
      <c r="I942" t="s">
        <v>133</v>
      </c>
      <c r="J942" s="89">
        <v>6264670</v>
      </c>
      <c r="K942" t="s">
        <v>144</v>
      </c>
      <c r="N942">
        <v>1</v>
      </c>
      <c r="O942" s="89">
        <v>5527.65</v>
      </c>
      <c r="P942" s="89">
        <v>143718.9</v>
      </c>
      <c r="Q942" t="s">
        <v>137</v>
      </c>
      <c r="R942" t="s">
        <v>131</v>
      </c>
    </row>
    <row r="943" spans="3:18" hidden="1" x14ac:dyDescent="0.25">
      <c r="C943" t="s">
        <v>45</v>
      </c>
      <c r="D943" t="s">
        <v>20</v>
      </c>
      <c r="E943" t="s">
        <v>40</v>
      </c>
      <c r="F943" t="s">
        <v>41</v>
      </c>
      <c r="G943" s="89">
        <v>1142640</v>
      </c>
      <c r="H943" t="s">
        <v>42</v>
      </c>
      <c r="I943" t="s">
        <v>133</v>
      </c>
      <c r="J943" s="89">
        <v>31993920</v>
      </c>
      <c r="K943" t="s">
        <v>127</v>
      </c>
      <c r="L943" t="s">
        <v>128</v>
      </c>
      <c r="M943" t="s">
        <v>139</v>
      </c>
      <c r="N943">
        <v>1</v>
      </c>
      <c r="O943" s="89">
        <v>34279.199999999997</v>
      </c>
      <c r="P943" s="89">
        <v>342792</v>
      </c>
      <c r="Q943" t="s">
        <v>130</v>
      </c>
      <c r="R943" t="s">
        <v>42</v>
      </c>
    </row>
    <row r="944" spans="3:18" hidden="1" x14ac:dyDescent="0.25">
      <c r="C944" t="s">
        <v>45</v>
      </c>
      <c r="D944" t="s">
        <v>23</v>
      </c>
      <c r="E944" t="s">
        <v>48</v>
      </c>
      <c r="F944" t="s">
        <v>41</v>
      </c>
      <c r="G944" s="89">
        <v>48132596</v>
      </c>
      <c r="H944" t="s">
        <v>42</v>
      </c>
      <c r="I944" t="s">
        <v>133</v>
      </c>
      <c r="J944" s="89">
        <v>1636508264</v>
      </c>
      <c r="K944" t="s">
        <v>127</v>
      </c>
      <c r="L944" t="s">
        <v>128</v>
      </c>
      <c r="M944" t="s">
        <v>152</v>
      </c>
      <c r="N944">
        <v>1</v>
      </c>
      <c r="O944" s="89">
        <v>1443977.88</v>
      </c>
      <c r="P944" s="89">
        <v>39950054.68</v>
      </c>
      <c r="Q944" t="s">
        <v>135</v>
      </c>
      <c r="R944" t="s">
        <v>131</v>
      </c>
    </row>
    <row r="945" spans="3:18" hidden="1" x14ac:dyDescent="0.25">
      <c r="C945" t="s">
        <v>45</v>
      </c>
      <c r="D945" t="s">
        <v>24</v>
      </c>
      <c r="E945" t="s">
        <v>52</v>
      </c>
      <c r="F945" t="s">
        <v>41</v>
      </c>
      <c r="G945" s="89">
        <v>2978513</v>
      </c>
      <c r="H945" t="s">
        <v>42</v>
      </c>
      <c r="I945" t="s">
        <v>126</v>
      </c>
      <c r="J945" s="89">
        <v>41699182</v>
      </c>
      <c r="K945" t="s">
        <v>127</v>
      </c>
      <c r="L945" t="s">
        <v>128</v>
      </c>
      <c r="M945" t="s">
        <v>148</v>
      </c>
      <c r="N945">
        <v>1</v>
      </c>
      <c r="O945" s="89">
        <v>119140.52</v>
      </c>
      <c r="P945" s="89">
        <v>1519041.63</v>
      </c>
      <c r="Q945" t="s">
        <v>142</v>
      </c>
      <c r="R945" t="s">
        <v>42</v>
      </c>
    </row>
    <row r="946" spans="3:18" hidden="1" x14ac:dyDescent="0.25">
      <c r="C946" t="s">
        <v>45</v>
      </c>
      <c r="D946" t="s">
        <v>20</v>
      </c>
      <c r="E946" t="s">
        <v>43</v>
      </c>
      <c r="F946" t="s">
        <v>41</v>
      </c>
      <c r="G946" s="89">
        <v>832115</v>
      </c>
      <c r="H946" t="s">
        <v>145</v>
      </c>
      <c r="I946" t="s">
        <v>133</v>
      </c>
      <c r="J946" s="89">
        <v>26627680</v>
      </c>
      <c r="K946" t="s">
        <v>134</v>
      </c>
      <c r="L946" t="s">
        <v>128</v>
      </c>
      <c r="N946">
        <v>1</v>
      </c>
      <c r="O946" s="89">
        <v>24963.45</v>
      </c>
      <c r="P946" s="89">
        <v>565838.19999999995</v>
      </c>
      <c r="Q946" t="s">
        <v>137</v>
      </c>
      <c r="R946" t="s">
        <v>131</v>
      </c>
    </row>
    <row r="947" spans="3:18" hidden="1" x14ac:dyDescent="0.25">
      <c r="C947" t="s">
        <v>45</v>
      </c>
      <c r="D947" t="s">
        <v>19</v>
      </c>
      <c r="E947" t="s">
        <v>43</v>
      </c>
      <c r="F947" t="s">
        <v>41</v>
      </c>
      <c r="G947" s="89">
        <v>894516</v>
      </c>
      <c r="H947" t="s">
        <v>42</v>
      </c>
      <c r="I947" t="s">
        <v>141</v>
      </c>
      <c r="J947" s="89">
        <v>6261612</v>
      </c>
      <c r="K947" t="s">
        <v>127</v>
      </c>
      <c r="L947" t="s">
        <v>128</v>
      </c>
      <c r="M947" t="s">
        <v>136</v>
      </c>
      <c r="N947">
        <v>1</v>
      </c>
      <c r="O947" s="89">
        <v>26835.48</v>
      </c>
      <c r="P947" s="89">
        <v>214683.84</v>
      </c>
      <c r="Q947" t="s">
        <v>130</v>
      </c>
      <c r="R947" t="s">
        <v>42</v>
      </c>
    </row>
    <row r="948" spans="3:18" hidden="1" x14ac:dyDescent="0.25">
      <c r="C948" t="s">
        <v>45</v>
      </c>
      <c r="D948" t="s">
        <v>19</v>
      </c>
      <c r="E948" t="s">
        <v>43</v>
      </c>
      <c r="F948" t="s">
        <v>41</v>
      </c>
      <c r="G948" s="89">
        <v>653444</v>
      </c>
      <c r="H948" t="s">
        <v>42</v>
      </c>
      <c r="I948" t="s">
        <v>133</v>
      </c>
      <c r="J948" s="89">
        <v>17642988</v>
      </c>
      <c r="K948" t="s">
        <v>127</v>
      </c>
      <c r="L948" t="s">
        <v>128</v>
      </c>
      <c r="M948" t="s">
        <v>139</v>
      </c>
      <c r="N948">
        <v>1</v>
      </c>
      <c r="O948" s="89">
        <v>19603.32</v>
      </c>
      <c r="P948" s="89">
        <v>444341.92</v>
      </c>
      <c r="Q948" t="s">
        <v>137</v>
      </c>
      <c r="R948" t="s">
        <v>42</v>
      </c>
    </row>
    <row r="949" spans="3:18" hidden="1" x14ac:dyDescent="0.25">
      <c r="C949" t="s">
        <v>45</v>
      </c>
      <c r="D949" t="s">
        <v>23</v>
      </c>
      <c r="E949" t="s">
        <v>46</v>
      </c>
      <c r="F949" t="s">
        <v>41</v>
      </c>
      <c r="G949" s="89">
        <v>2167629</v>
      </c>
      <c r="H949" t="s">
        <v>42</v>
      </c>
      <c r="I949" t="s">
        <v>133</v>
      </c>
      <c r="J949" s="89">
        <v>71531757</v>
      </c>
      <c r="K949" t="s">
        <v>144</v>
      </c>
      <c r="N949">
        <v>1</v>
      </c>
      <c r="O949" s="89">
        <v>65028.87</v>
      </c>
      <c r="P949" s="89">
        <v>606936.12</v>
      </c>
      <c r="Q949" t="s">
        <v>130</v>
      </c>
      <c r="R949" t="s">
        <v>42</v>
      </c>
    </row>
    <row r="950" spans="3:18" hidden="1" x14ac:dyDescent="0.25">
      <c r="C950" t="s">
        <v>45</v>
      </c>
      <c r="D950" t="s">
        <v>149</v>
      </c>
      <c r="E950" t="s">
        <v>43</v>
      </c>
      <c r="F950" t="s">
        <v>41</v>
      </c>
      <c r="G950" s="89">
        <v>386136</v>
      </c>
      <c r="H950" t="s">
        <v>42</v>
      </c>
      <c r="I950" t="s">
        <v>133</v>
      </c>
      <c r="J950" s="89">
        <v>9267264</v>
      </c>
      <c r="K950" t="s">
        <v>127</v>
      </c>
      <c r="L950" t="s">
        <v>128</v>
      </c>
      <c r="M950" t="s">
        <v>129</v>
      </c>
      <c r="N950">
        <v>1</v>
      </c>
      <c r="O950" s="89">
        <v>11584.08</v>
      </c>
      <c r="P950" s="89">
        <v>324354.24</v>
      </c>
      <c r="Q950" t="s">
        <v>135</v>
      </c>
      <c r="R950" t="s">
        <v>131</v>
      </c>
    </row>
    <row r="951" spans="3:18" x14ac:dyDescent="0.25">
      <c r="C951" t="s">
        <v>47</v>
      </c>
      <c r="D951" t="s">
        <v>22</v>
      </c>
      <c r="E951" t="s">
        <v>48</v>
      </c>
      <c r="F951" t="s">
        <v>41</v>
      </c>
      <c r="G951" s="89">
        <v>729092</v>
      </c>
      <c r="H951" t="s">
        <v>146</v>
      </c>
      <c r="I951" t="s">
        <v>147</v>
      </c>
      <c r="J951" s="89">
        <v>1458184</v>
      </c>
      <c r="K951" t="s">
        <v>127</v>
      </c>
      <c r="L951" t="s">
        <v>128</v>
      </c>
      <c r="N951">
        <v>1</v>
      </c>
      <c r="O951" s="89">
        <v>29163.68</v>
      </c>
      <c r="P951" s="89">
        <v>116654.72</v>
      </c>
      <c r="Q951" t="s">
        <v>130</v>
      </c>
      <c r="R951" t="s">
        <v>131</v>
      </c>
    </row>
    <row r="952" spans="3:18" hidden="1" x14ac:dyDescent="0.25">
      <c r="C952" t="s">
        <v>45</v>
      </c>
      <c r="D952" t="s">
        <v>21</v>
      </c>
      <c r="E952" t="s">
        <v>43</v>
      </c>
      <c r="F952" t="s">
        <v>41</v>
      </c>
      <c r="G952" s="89">
        <v>506681</v>
      </c>
      <c r="H952" t="s">
        <v>146</v>
      </c>
      <c r="I952" t="s">
        <v>141</v>
      </c>
      <c r="J952" s="89">
        <v>4560129</v>
      </c>
      <c r="K952" t="s">
        <v>144</v>
      </c>
      <c r="N952">
        <v>1</v>
      </c>
      <c r="O952" s="89">
        <v>15200.43</v>
      </c>
      <c r="P952" s="89">
        <v>121603.44</v>
      </c>
      <c r="Q952" t="s">
        <v>130</v>
      </c>
      <c r="R952" t="s">
        <v>131</v>
      </c>
    </row>
    <row r="953" spans="3:18" hidden="1" x14ac:dyDescent="0.25">
      <c r="C953" t="s">
        <v>45</v>
      </c>
      <c r="D953" t="s">
        <v>21</v>
      </c>
      <c r="E953" t="s">
        <v>43</v>
      </c>
      <c r="F953" t="s">
        <v>41</v>
      </c>
      <c r="G953" s="89">
        <v>191999</v>
      </c>
      <c r="H953" t="s">
        <v>132</v>
      </c>
      <c r="I953" t="s">
        <v>141</v>
      </c>
      <c r="J953" s="89">
        <v>1343993</v>
      </c>
      <c r="K953" t="s">
        <v>134</v>
      </c>
      <c r="L953" t="s">
        <v>128</v>
      </c>
      <c r="N953">
        <v>1</v>
      </c>
      <c r="O953" s="89">
        <v>5759.97</v>
      </c>
      <c r="P953" s="89">
        <v>42239.78</v>
      </c>
      <c r="Q953" t="s">
        <v>130</v>
      </c>
      <c r="R953" t="s">
        <v>131</v>
      </c>
    </row>
    <row r="954" spans="3:18" hidden="1" x14ac:dyDescent="0.25">
      <c r="C954" t="s">
        <v>45</v>
      </c>
      <c r="D954" t="s">
        <v>22</v>
      </c>
      <c r="E954" t="s">
        <v>40</v>
      </c>
      <c r="F954" t="s">
        <v>41</v>
      </c>
      <c r="G954" s="89">
        <v>100066655</v>
      </c>
      <c r="H954" t="s">
        <v>140</v>
      </c>
      <c r="I954" t="s">
        <v>141</v>
      </c>
      <c r="J954" s="89">
        <v>700466585</v>
      </c>
      <c r="K954" t="s">
        <v>127</v>
      </c>
      <c r="L954" t="s">
        <v>128</v>
      </c>
      <c r="N954">
        <v>1</v>
      </c>
      <c r="O954" s="89">
        <v>3001999.65</v>
      </c>
      <c r="P954" s="89">
        <v>22014664.100000001</v>
      </c>
      <c r="Q954" t="s">
        <v>130</v>
      </c>
      <c r="R954" t="s">
        <v>131</v>
      </c>
    </row>
    <row r="955" spans="3:18" hidden="1" x14ac:dyDescent="0.25">
      <c r="C955" t="s">
        <v>45</v>
      </c>
      <c r="D955" t="s">
        <v>22</v>
      </c>
      <c r="E955" t="s">
        <v>40</v>
      </c>
      <c r="F955" t="s">
        <v>41</v>
      </c>
      <c r="G955" s="89">
        <v>1121931</v>
      </c>
      <c r="H955" t="s">
        <v>42</v>
      </c>
      <c r="I955" t="s">
        <v>126</v>
      </c>
      <c r="J955" s="89">
        <v>19072827</v>
      </c>
      <c r="K955" t="s">
        <v>127</v>
      </c>
      <c r="L955" t="s">
        <v>128</v>
      </c>
      <c r="M955" t="s">
        <v>143</v>
      </c>
      <c r="N955">
        <v>1</v>
      </c>
      <c r="O955" s="89">
        <v>33657.93</v>
      </c>
      <c r="P955" s="89">
        <v>931202.73</v>
      </c>
      <c r="Q955" t="s">
        <v>135</v>
      </c>
      <c r="R955" t="s">
        <v>131</v>
      </c>
    </row>
    <row r="956" spans="3:18" hidden="1" x14ac:dyDescent="0.25">
      <c r="C956" t="s">
        <v>45</v>
      </c>
      <c r="D956" t="s">
        <v>24</v>
      </c>
      <c r="E956" t="s">
        <v>48</v>
      </c>
      <c r="F956" t="s">
        <v>41</v>
      </c>
      <c r="G956" s="89">
        <v>121983</v>
      </c>
      <c r="H956" t="s">
        <v>146</v>
      </c>
      <c r="I956" t="s">
        <v>133</v>
      </c>
      <c r="J956" s="89">
        <v>4391388</v>
      </c>
      <c r="K956" t="s">
        <v>134</v>
      </c>
      <c r="L956" t="s">
        <v>128</v>
      </c>
      <c r="N956">
        <v>1</v>
      </c>
      <c r="O956" s="89">
        <v>3659.49</v>
      </c>
      <c r="P956" s="89">
        <v>78069.119999999995</v>
      </c>
      <c r="Q956" t="s">
        <v>137</v>
      </c>
      <c r="R956" t="s">
        <v>131</v>
      </c>
    </row>
    <row r="957" spans="3:18" hidden="1" x14ac:dyDescent="0.25">
      <c r="C957" t="s">
        <v>45</v>
      </c>
      <c r="D957" t="s">
        <v>23</v>
      </c>
      <c r="E957" t="s">
        <v>48</v>
      </c>
      <c r="F957" t="s">
        <v>53</v>
      </c>
      <c r="G957" s="89">
        <v>30714</v>
      </c>
      <c r="H957" t="s">
        <v>140</v>
      </c>
      <c r="I957" t="s">
        <v>141</v>
      </c>
      <c r="J957" s="89">
        <v>184284</v>
      </c>
      <c r="K957" t="s">
        <v>127</v>
      </c>
      <c r="L957" t="s">
        <v>128</v>
      </c>
      <c r="N957">
        <v>1</v>
      </c>
      <c r="O957" s="89">
        <v>921.42</v>
      </c>
      <c r="P957" s="89">
        <v>4914.24</v>
      </c>
      <c r="Q957" t="s">
        <v>130</v>
      </c>
      <c r="R957" t="s">
        <v>131</v>
      </c>
    </row>
    <row r="958" spans="3:18" hidden="1" x14ac:dyDescent="0.25">
      <c r="C958" t="s">
        <v>45</v>
      </c>
      <c r="D958" t="s">
        <v>22</v>
      </c>
      <c r="E958" t="s">
        <v>43</v>
      </c>
      <c r="F958" t="s">
        <v>41</v>
      </c>
      <c r="G958" s="89">
        <v>6170163</v>
      </c>
      <c r="H958" t="s">
        <v>42</v>
      </c>
      <c r="I958" t="s">
        <v>133</v>
      </c>
      <c r="J958" s="89">
        <v>185104890</v>
      </c>
      <c r="K958" t="s">
        <v>144</v>
      </c>
      <c r="N958">
        <v>1</v>
      </c>
      <c r="O958" s="89">
        <v>185104.89</v>
      </c>
      <c r="P958" s="89">
        <v>3146783.13</v>
      </c>
      <c r="Q958" t="s">
        <v>142</v>
      </c>
      <c r="R958" t="s">
        <v>131</v>
      </c>
    </row>
    <row r="959" spans="3:18" hidden="1" x14ac:dyDescent="0.25">
      <c r="C959" t="s">
        <v>45</v>
      </c>
      <c r="D959" t="s">
        <v>22</v>
      </c>
      <c r="E959" t="s">
        <v>40</v>
      </c>
      <c r="F959" t="s">
        <v>41</v>
      </c>
      <c r="G959" s="89">
        <v>269357192</v>
      </c>
      <c r="H959" t="s">
        <v>140</v>
      </c>
      <c r="I959" t="s">
        <v>133</v>
      </c>
      <c r="J959" s="89">
        <v>7003286992</v>
      </c>
      <c r="K959" t="s">
        <v>127</v>
      </c>
      <c r="L959" t="s">
        <v>128</v>
      </c>
      <c r="N959">
        <v>1</v>
      </c>
      <c r="O959" s="89">
        <v>8080715.7599999998</v>
      </c>
      <c r="P959" s="89">
        <v>137372167.91999999</v>
      </c>
      <c r="Q959" t="s">
        <v>142</v>
      </c>
      <c r="R959" t="s">
        <v>131</v>
      </c>
    </row>
    <row r="960" spans="3:18" hidden="1" x14ac:dyDescent="0.25">
      <c r="C960" t="s">
        <v>45</v>
      </c>
      <c r="D960" t="s">
        <v>19</v>
      </c>
      <c r="E960" t="s">
        <v>40</v>
      </c>
      <c r="F960" t="s">
        <v>41</v>
      </c>
      <c r="G960" s="89">
        <v>372612</v>
      </c>
      <c r="H960" t="s">
        <v>42</v>
      </c>
      <c r="I960" t="s">
        <v>133</v>
      </c>
      <c r="J960" s="89">
        <v>11550972</v>
      </c>
      <c r="K960" t="s">
        <v>134</v>
      </c>
      <c r="L960" t="s">
        <v>128</v>
      </c>
      <c r="M960" t="s">
        <v>136</v>
      </c>
      <c r="N960">
        <v>1</v>
      </c>
      <c r="O960" s="89">
        <v>11178.36</v>
      </c>
      <c r="P960" s="89">
        <v>279459</v>
      </c>
      <c r="Q960" t="s">
        <v>137</v>
      </c>
      <c r="R960" t="s">
        <v>131</v>
      </c>
    </row>
    <row r="961" spans="3:18" hidden="1" x14ac:dyDescent="0.25">
      <c r="C961" t="s">
        <v>45</v>
      </c>
      <c r="D961" t="s">
        <v>22</v>
      </c>
      <c r="E961" t="s">
        <v>43</v>
      </c>
      <c r="F961" t="s">
        <v>41</v>
      </c>
      <c r="G961" s="89">
        <v>1218330</v>
      </c>
      <c r="H961" t="s">
        <v>42</v>
      </c>
      <c r="I961" t="s">
        <v>141</v>
      </c>
      <c r="J961" s="89">
        <v>9746640</v>
      </c>
      <c r="K961" t="s">
        <v>127</v>
      </c>
      <c r="L961" t="s">
        <v>128</v>
      </c>
      <c r="M961" t="s">
        <v>143</v>
      </c>
      <c r="N961">
        <v>1</v>
      </c>
      <c r="O961" s="89">
        <v>48733.2</v>
      </c>
      <c r="P961" s="89">
        <v>584798.4</v>
      </c>
      <c r="Q961" t="s">
        <v>142</v>
      </c>
      <c r="R961" t="s">
        <v>131</v>
      </c>
    </row>
    <row r="962" spans="3:18" hidden="1" x14ac:dyDescent="0.25">
      <c r="C962" t="s">
        <v>45</v>
      </c>
      <c r="D962" t="s">
        <v>19</v>
      </c>
      <c r="E962" t="s">
        <v>43</v>
      </c>
      <c r="F962" t="s">
        <v>41</v>
      </c>
      <c r="G962" s="89">
        <v>154670</v>
      </c>
      <c r="H962" t="s">
        <v>42</v>
      </c>
      <c r="I962" t="s">
        <v>133</v>
      </c>
      <c r="J962" s="89">
        <v>5104110</v>
      </c>
      <c r="K962" t="s">
        <v>127</v>
      </c>
      <c r="L962" t="s">
        <v>128</v>
      </c>
      <c r="M962" t="s">
        <v>139</v>
      </c>
      <c r="N962">
        <v>1</v>
      </c>
      <c r="O962" s="89">
        <v>4640.1000000000004</v>
      </c>
      <c r="P962" s="89">
        <v>106722.3</v>
      </c>
      <c r="Q962" t="s">
        <v>137</v>
      </c>
      <c r="R962" t="s">
        <v>131</v>
      </c>
    </row>
    <row r="963" spans="3:18" hidden="1" x14ac:dyDescent="0.25">
      <c r="C963" t="s">
        <v>45</v>
      </c>
      <c r="D963" t="s">
        <v>149</v>
      </c>
      <c r="E963" t="s">
        <v>43</v>
      </c>
      <c r="F963" t="s">
        <v>41</v>
      </c>
      <c r="G963" s="89">
        <v>686103</v>
      </c>
      <c r="H963" t="s">
        <v>132</v>
      </c>
      <c r="I963" t="s">
        <v>126</v>
      </c>
      <c r="J963" s="89">
        <v>9605442</v>
      </c>
      <c r="K963" t="s">
        <v>144</v>
      </c>
      <c r="N963">
        <v>1</v>
      </c>
      <c r="O963" s="89">
        <v>27444.12</v>
      </c>
      <c r="P963" s="89">
        <v>439105.92</v>
      </c>
      <c r="Q963" t="s">
        <v>137</v>
      </c>
      <c r="R963" t="s">
        <v>131</v>
      </c>
    </row>
    <row r="964" spans="3:18" hidden="1" x14ac:dyDescent="0.25">
      <c r="C964" t="s">
        <v>45</v>
      </c>
      <c r="D964" t="s">
        <v>21</v>
      </c>
      <c r="E964" t="s">
        <v>40</v>
      </c>
      <c r="F964" t="s">
        <v>41</v>
      </c>
      <c r="G964" s="89">
        <v>422575</v>
      </c>
      <c r="H964" t="s">
        <v>132</v>
      </c>
      <c r="I964" t="s">
        <v>133</v>
      </c>
      <c r="J964" s="89">
        <v>12677250</v>
      </c>
      <c r="K964" t="s">
        <v>144</v>
      </c>
      <c r="N964">
        <v>1</v>
      </c>
      <c r="O964" s="89">
        <v>12677.25</v>
      </c>
      <c r="P964" s="89">
        <v>350737.25</v>
      </c>
      <c r="Q964" t="s">
        <v>135</v>
      </c>
      <c r="R964" t="s">
        <v>131</v>
      </c>
    </row>
    <row r="965" spans="3:18" x14ac:dyDescent="0.25">
      <c r="C965" t="s">
        <v>47</v>
      </c>
      <c r="D965" t="s">
        <v>23</v>
      </c>
      <c r="E965" t="s">
        <v>40</v>
      </c>
      <c r="F965" t="s">
        <v>41</v>
      </c>
      <c r="G965" s="89">
        <v>169314</v>
      </c>
      <c r="H965" t="s">
        <v>145</v>
      </c>
      <c r="I965" t="s">
        <v>126</v>
      </c>
      <c r="J965" s="89">
        <v>2201082</v>
      </c>
      <c r="K965" t="s">
        <v>127</v>
      </c>
      <c r="L965" t="s">
        <v>128</v>
      </c>
      <c r="N965">
        <v>1</v>
      </c>
      <c r="O965" s="89">
        <v>5079.42</v>
      </c>
      <c r="P965" s="89">
        <v>125292.36</v>
      </c>
      <c r="Q965" t="s">
        <v>137</v>
      </c>
      <c r="R965" t="s">
        <v>131</v>
      </c>
    </row>
    <row r="966" spans="3:18" hidden="1" x14ac:dyDescent="0.25">
      <c r="C966" t="s">
        <v>45</v>
      </c>
      <c r="D966" t="s">
        <v>22</v>
      </c>
      <c r="E966" t="s">
        <v>43</v>
      </c>
      <c r="F966" t="s">
        <v>41</v>
      </c>
      <c r="G966" s="89">
        <v>3651931</v>
      </c>
      <c r="H966" t="s">
        <v>140</v>
      </c>
      <c r="I966" t="s">
        <v>133</v>
      </c>
      <c r="J966" s="89">
        <v>109557930</v>
      </c>
      <c r="K966" t="s">
        <v>144</v>
      </c>
      <c r="N966">
        <v>1</v>
      </c>
      <c r="O966" s="89">
        <v>109557.93</v>
      </c>
      <c r="P966" s="89">
        <v>730386.2</v>
      </c>
      <c r="Q966" t="s">
        <v>130</v>
      </c>
      <c r="R966" t="s">
        <v>131</v>
      </c>
    </row>
    <row r="967" spans="3:18" hidden="1" x14ac:dyDescent="0.25">
      <c r="C967" t="s">
        <v>45</v>
      </c>
      <c r="D967" t="s">
        <v>138</v>
      </c>
      <c r="E967" t="s">
        <v>43</v>
      </c>
      <c r="F967" t="s">
        <v>41</v>
      </c>
      <c r="G967" s="89">
        <v>3366257</v>
      </c>
      <c r="H967" t="s">
        <v>42</v>
      </c>
      <c r="I967" t="s">
        <v>126</v>
      </c>
      <c r="J967" s="89">
        <v>57226369</v>
      </c>
      <c r="K967" t="s">
        <v>144</v>
      </c>
      <c r="N967">
        <v>1</v>
      </c>
      <c r="O967" s="89">
        <v>100987.71</v>
      </c>
      <c r="P967" s="89">
        <v>2457367.61</v>
      </c>
      <c r="Q967" t="s">
        <v>137</v>
      </c>
      <c r="R967" t="s">
        <v>42</v>
      </c>
    </row>
    <row r="968" spans="3:18" x14ac:dyDescent="0.25">
      <c r="C968" t="s">
        <v>47</v>
      </c>
      <c r="D968" t="s">
        <v>21</v>
      </c>
      <c r="E968" t="s">
        <v>48</v>
      </c>
      <c r="F968" t="s">
        <v>41</v>
      </c>
      <c r="G968" s="89">
        <v>47235</v>
      </c>
      <c r="H968" t="s">
        <v>146</v>
      </c>
      <c r="I968" t="s">
        <v>126</v>
      </c>
      <c r="J968" s="89">
        <v>944700</v>
      </c>
      <c r="K968" t="s">
        <v>127</v>
      </c>
      <c r="L968" t="s">
        <v>128</v>
      </c>
      <c r="N968">
        <v>1</v>
      </c>
      <c r="O968" s="89">
        <v>1889.4</v>
      </c>
      <c r="P968" s="89">
        <v>19366.349999999999</v>
      </c>
      <c r="Q968" t="s">
        <v>142</v>
      </c>
      <c r="R968" t="s">
        <v>131</v>
      </c>
    </row>
    <row r="969" spans="3:18" hidden="1" x14ac:dyDescent="0.25">
      <c r="C969" t="s">
        <v>45</v>
      </c>
      <c r="D969" t="s">
        <v>21</v>
      </c>
      <c r="E969" t="s">
        <v>43</v>
      </c>
      <c r="F969" t="s">
        <v>53</v>
      </c>
      <c r="G969" s="89">
        <v>56797</v>
      </c>
      <c r="H969" t="s">
        <v>146</v>
      </c>
      <c r="I969" t="s">
        <v>126</v>
      </c>
      <c r="J969" s="89">
        <v>965549</v>
      </c>
      <c r="K969" t="s">
        <v>144</v>
      </c>
      <c r="N969">
        <v>1</v>
      </c>
      <c r="O969" s="89">
        <v>1703.91</v>
      </c>
      <c r="P969" s="89">
        <v>23286.77</v>
      </c>
      <c r="Q969" t="s">
        <v>142</v>
      </c>
      <c r="R969" t="s">
        <v>131</v>
      </c>
    </row>
    <row r="970" spans="3:18" x14ac:dyDescent="0.25">
      <c r="C970" t="s">
        <v>47</v>
      </c>
      <c r="D970" t="s">
        <v>21</v>
      </c>
      <c r="E970" t="s">
        <v>40</v>
      </c>
      <c r="F970" t="s">
        <v>41</v>
      </c>
      <c r="G970" s="89">
        <v>614740</v>
      </c>
      <c r="H970" t="s">
        <v>146</v>
      </c>
      <c r="I970" t="s">
        <v>147</v>
      </c>
      <c r="J970" s="89"/>
      <c r="K970" t="s">
        <v>127</v>
      </c>
      <c r="L970" t="s">
        <v>128</v>
      </c>
      <c r="N970">
        <v>0</v>
      </c>
      <c r="O970" s="89">
        <v>18442.2</v>
      </c>
      <c r="P970" s="89">
        <v>6147.4</v>
      </c>
      <c r="Q970" t="s">
        <v>130</v>
      </c>
      <c r="R970" t="s">
        <v>131</v>
      </c>
    </row>
    <row r="971" spans="3:18" hidden="1" x14ac:dyDescent="0.25">
      <c r="C971" t="s">
        <v>45</v>
      </c>
      <c r="D971" t="s">
        <v>24</v>
      </c>
      <c r="E971" t="s">
        <v>44</v>
      </c>
      <c r="F971" t="s">
        <v>41</v>
      </c>
      <c r="G971" s="89">
        <v>358094</v>
      </c>
      <c r="H971" t="s">
        <v>42</v>
      </c>
      <c r="I971" t="s">
        <v>133</v>
      </c>
      <c r="J971" s="89">
        <v>9668538</v>
      </c>
      <c r="K971" t="s">
        <v>134</v>
      </c>
      <c r="L971" t="s">
        <v>128</v>
      </c>
      <c r="M971" t="s">
        <v>148</v>
      </c>
      <c r="N971">
        <v>1</v>
      </c>
      <c r="O971" s="89">
        <v>10742.82</v>
      </c>
      <c r="P971" s="89">
        <v>247084.86</v>
      </c>
      <c r="Q971" t="s">
        <v>137</v>
      </c>
      <c r="R971" t="s">
        <v>42</v>
      </c>
    </row>
    <row r="972" spans="3:18" hidden="1" x14ac:dyDescent="0.25">
      <c r="C972" t="s">
        <v>45</v>
      </c>
      <c r="D972" t="s">
        <v>138</v>
      </c>
      <c r="E972" t="s">
        <v>40</v>
      </c>
      <c r="F972" t="s">
        <v>41</v>
      </c>
      <c r="G972" s="89">
        <v>739340</v>
      </c>
      <c r="H972" t="s">
        <v>42</v>
      </c>
      <c r="I972" t="s">
        <v>126</v>
      </c>
      <c r="J972" s="89">
        <v>11829440</v>
      </c>
      <c r="K972" t="s">
        <v>127</v>
      </c>
      <c r="L972" t="s">
        <v>128</v>
      </c>
      <c r="M972" t="s">
        <v>139</v>
      </c>
      <c r="N972">
        <v>1</v>
      </c>
      <c r="O972" s="89">
        <v>22180.2</v>
      </c>
      <c r="P972" s="89">
        <v>214408.6</v>
      </c>
      <c r="Q972" t="s">
        <v>130</v>
      </c>
      <c r="R972" t="s">
        <v>42</v>
      </c>
    </row>
    <row r="973" spans="3:18" x14ac:dyDescent="0.25">
      <c r="C973" t="s">
        <v>47</v>
      </c>
      <c r="D973" t="s">
        <v>19</v>
      </c>
      <c r="E973" t="s">
        <v>43</v>
      </c>
      <c r="F973" t="s">
        <v>41</v>
      </c>
      <c r="G973" s="89">
        <v>29</v>
      </c>
      <c r="H973" t="s">
        <v>140</v>
      </c>
      <c r="I973" t="s">
        <v>147</v>
      </c>
      <c r="J973" s="89"/>
      <c r="K973" t="s">
        <v>127</v>
      </c>
      <c r="L973" t="s">
        <v>128</v>
      </c>
      <c r="N973">
        <v>0</v>
      </c>
      <c r="O973" s="89">
        <v>2.3199999999999998</v>
      </c>
      <c r="P973" s="89">
        <v>0</v>
      </c>
      <c r="Q973" t="s">
        <v>130</v>
      </c>
      <c r="R973" t="s">
        <v>131</v>
      </c>
    </row>
    <row r="974" spans="3:18" hidden="1" x14ac:dyDescent="0.25">
      <c r="C974" t="s">
        <v>45</v>
      </c>
      <c r="D974" t="s">
        <v>138</v>
      </c>
      <c r="E974" t="s">
        <v>43</v>
      </c>
      <c r="F974" t="s">
        <v>53</v>
      </c>
      <c r="G974" s="89">
        <v>70046</v>
      </c>
      <c r="H974" t="s">
        <v>145</v>
      </c>
      <c r="I974" t="s">
        <v>133</v>
      </c>
      <c r="J974" s="89">
        <v>1400920</v>
      </c>
      <c r="K974" t="s">
        <v>144</v>
      </c>
      <c r="N974">
        <v>1</v>
      </c>
      <c r="O974" s="89">
        <v>2101.38</v>
      </c>
      <c r="P974" s="89">
        <v>14709.66</v>
      </c>
      <c r="Q974" t="s">
        <v>130</v>
      </c>
      <c r="R974" t="s">
        <v>131</v>
      </c>
    </row>
    <row r="975" spans="3:18" hidden="1" x14ac:dyDescent="0.25">
      <c r="C975" t="s">
        <v>45</v>
      </c>
      <c r="D975" t="s">
        <v>138</v>
      </c>
      <c r="E975" t="s">
        <v>43</v>
      </c>
      <c r="F975" t="s">
        <v>41</v>
      </c>
      <c r="G975" s="89">
        <v>169799</v>
      </c>
      <c r="H975" t="s">
        <v>42</v>
      </c>
      <c r="I975" t="s">
        <v>126</v>
      </c>
      <c r="J975" s="89">
        <v>2207387</v>
      </c>
      <c r="K975" t="s">
        <v>127</v>
      </c>
      <c r="L975" t="s">
        <v>128</v>
      </c>
      <c r="M975" t="s">
        <v>129</v>
      </c>
      <c r="N975">
        <v>1</v>
      </c>
      <c r="O975" s="89">
        <v>3395.98</v>
      </c>
      <c r="P975" s="89">
        <v>115463.32</v>
      </c>
      <c r="Q975" t="s">
        <v>137</v>
      </c>
      <c r="R975" t="s">
        <v>42</v>
      </c>
    </row>
    <row r="976" spans="3:18" hidden="1" x14ac:dyDescent="0.25">
      <c r="C976" t="s">
        <v>45</v>
      </c>
      <c r="D976" t="s">
        <v>22</v>
      </c>
      <c r="E976" t="s">
        <v>46</v>
      </c>
      <c r="F976" t="s">
        <v>41</v>
      </c>
      <c r="G976" s="89">
        <v>682711</v>
      </c>
      <c r="H976" t="s">
        <v>42</v>
      </c>
      <c r="I976" t="s">
        <v>126</v>
      </c>
      <c r="J976" s="89">
        <v>10923376</v>
      </c>
      <c r="K976" t="s">
        <v>127</v>
      </c>
      <c r="L976" t="s">
        <v>128</v>
      </c>
      <c r="M976" t="s">
        <v>143</v>
      </c>
      <c r="N976">
        <v>1</v>
      </c>
      <c r="O976" s="89">
        <v>27308.44</v>
      </c>
      <c r="P976" s="89">
        <v>334528.39</v>
      </c>
      <c r="Q976" t="s">
        <v>142</v>
      </c>
      <c r="R976" t="s">
        <v>42</v>
      </c>
    </row>
    <row r="977" spans="3:18" hidden="1" x14ac:dyDescent="0.25">
      <c r="C977" t="s">
        <v>45</v>
      </c>
      <c r="D977" t="s">
        <v>50</v>
      </c>
      <c r="E977" t="s">
        <v>50</v>
      </c>
      <c r="F977" t="s">
        <v>41</v>
      </c>
      <c r="G977" s="89">
        <v>28637</v>
      </c>
      <c r="H977" t="s">
        <v>79</v>
      </c>
      <c r="I977" t="s">
        <v>126</v>
      </c>
      <c r="J977" s="89">
        <v>486829</v>
      </c>
      <c r="K977" t="s">
        <v>127</v>
      </c>
      <c r="N977">
        <v>1</v>
      </c>
      <c r="O977" s="89">
        <v>1145.48</v>
      </c>
      <c r="P977" s="89">
        <v>26632.41</v>
      </c>
      <c r="Q977" t="s">
        <v>135</v>
      </c>
      <c r="R977" t="s">
        <v>79</v>
      </c>
    </row>
    <row r="978" spans="3:18" x14ac:dyDescent="0.25">
      <c r="C978" t="s">
        <v>47</v>
      </c>
      <c r="D978" t="s">
        <v>21</v>
      </c>
      <c r="E978" t="s">
        <v>43</v>
      </c>
      <c r="F978" t="s">
        <v>41</v>
      </c>
      <c r="G978" s="89">
        <v>48347991</v>
      </c>
      <c r="H978" t="s">
        <v>140</v>
      </c>
      <c r="I978" t="s">
        <v>147</v>
      </c>
      <c r="J978" s="89">
        <v>145043973</v>
      </c>
      <c r="K978" t="s">
        <v>127</v>
      </c>
      <c r="L978" t="s">
        <v>128</v>
      </c>
      <c r="N978">
        <v>1</v>
      </c>
      <c r="O978" s="89">
        <v>2417399.5499999998</v>
      </c>
      <c r="P978" s="89">
        <v>7735678.5599999996</v>
      </c>
      <c r="Q978" t="s">
        <v>130</v>
      </c>
      <c r="R978" t="s">
        <v>131</v>
      </c>
    </row>
    <row r="979" spans="3:18" hidden="1" x14ac:dyDescent="0.25">
      <c r="C979" t="s">
        <v>45</v>
      </c>
      <c r="D979" t="s">
        <v>20</v>
      </c>
      <c r="E979" t="s">
        <v>43</v>
      </c>
      <c r="F979" t="s">
        <v>41</v>
      </c>
      <c r="G979" s="89">
        <v>92338</v>
      </c>
      <c r="H979" t="s">
        <v>42</v>
      </c>
      <c r="I979" t="s">
        <v>126</v>
      </c>
      <c r="J979" s="89">
        <v>1662084</v>
      </c>
      <c r="K979" t="s">
        <v>127</v>
      </c>
      <c r="L979" t="s">
        <v>128</v>
      </c>
      <c r="M979" t="s">
        <v>143</v>
      </c>
      <c r="N979">
        <v>1</v>
      </c>
      <c r="O979" s="89">
        <v>2770.14</v>
      </c>
      <c r="P979" s="89">
        <v>39705.339999999997</v>
      </c>
      <c r="Q979" t="s">
        <v>142</v>
      </c>
      <c r="R979" t="s">
        <v>42</v>
      </c>
    </row>
    <row r="980" spans="3:18" x14ac:dyDescent="0.25">
      <c r="C980" t="s">
        <v>47</v>
      </c>
      <c r="D980" t="s">
        <v>21</v>
      </c>
      <c r="E980" t="s">
        <v>43</v>
      </c>
      <c r="F980" t="s">
        <v>41</v>
      </c>
      <c r="G980" s="89">
        <v>4904718</v>
      </c>
      <c r="H980" t="s">
        <v>145</v>
      </c>
      <c r="I980" t="s">
        <v>141</v>
      </c>
      <c r="J980" s="89">
        <v>39237744</v>
      </c>
      <c r="K980" t="s">
        <v>127</v>
      </c>
      <c r="L980" t="s">
        <v>128</v>
      </c>
      <c r="N980">
        <v>1</v>
      </c>
      <c r="O980" s="89">
        <v>196188.72</v>
      </c>
      <c r="P980" s="89">
        <v>2256170.2799999998</v>
      </c>
      <c r="Q980" t="s">
        <v>142</v>
      </c>
      <c r="R980" t="s">
        <v>131</v>
      </c>
    </row>
    <row r="981" spans="3:18" hidden="1" x14ac:dyDescent="0.25">
      <c r="C981" t="s">
        <v>45</v>
      </c>
      <c r="D981" t="s">
        <v>149</v>
      </c>
      <c r="E981" t="s">
        <v>43</v>
      </c>
      <c r="F981" t="s">
        <v>41</v>
      </c>
      <c r="G981" s="89">
        <v>137958</v>
      </c>
      <c r="H981" t="s">
        <v>42</v>
      </c>
      <c r="I981" t="s">
        <v>133</v>
      </c>
      <c r="J981" s="89">
        <v>4690572</v>
      </c>
      <c r="K981" t="s">
        <v>134</v>
      </c>
      <c r="L981" t="s">
        <v>128</v>
      </c>
      <c r="M981" t="s">
        <v>129</v>
      </c>
      <c r="N981">
        <v>1</v>
      </c>
      <c r="O981" s="89">
        <v>4138.74</v>
      </c>
      <c r="P981" s="89">
        <v>100709.34</v>
      </c>
      <c r="Q981" t="s">
        <v>137</v>
      </c>
      <c r="R981" t="s">
        <v>131</v>
      </c>
    </row>
    <row r="982" spans="3:18" hidden="1" x14ac:dyDescent="0.25">
      <c r="C982" t="s">
        <v>45</v>
      </c>
      <c r="D982" t="s">
        <v>22</v>
      </c>
      <c r="E982" t="s">
        <v>43</v>
      </c>
      <c r="F982" t="s">
        <v>41</v>
      </c>
      <c r="G982" s="89">
        <v>11237261</v>
      </c>
      <c r="H982" t="s">
        <v>145</v>
      </c>
      <c r="I982" t="s">
        <v>133</v>
      </c>
      <c r="J982" s="89">
        <v>314643308</v>
      </c>
      <c r="K982" t="s">
        <v>127</v>
      </c>
      <c r="L982" t="s">
        <v>128</v>
      </c>
      <c r="N982">
        <v>1</v>
      </c>
      <c r="O982" s="89">
        <v>337117.83</v>
      </c>
      <c r="P982" s="89">
        <v>7641337.4800000004</v>
      </c>
      <c r="Q982" t="s">
        <v>137</v>
      </c>
      <c r="R982" t="s">
        <v>131</v>
      </c>
    </row>
    <row r="983" spans="3:18" hidden="1" x14ac:dyDescent="0.25">
      <c r="C983" t="s">
        <v>45</v>
      </c>
      <c r="D983" t="s">
        <v>21</v>
      </c>
      <c r="E983" t="s">
        <v>43</v>
      </c>
      <c r="F983" t="s">
        <v>41</v>
      </c>
      <c r="G983" s="89">
        <v>49224</v>
      </c>
      <c r="H983" t="s">
        <v>42</v>
      </c>
      <c r="I983" t="s">
        <v>133</v>
      </c>
      <c r="J983" s="89">
        <v>984480</v>
      </c>
      <c r="K983" t="s">
        <v>134</v>
      </c>
      <c r="L983" t="s">
        <v>128</v>
      </c>
      <c r="M983" t="s">
        <v>136</v>
      </c>
      <c r="N983">
        <v>1</v>
      </c>
      <c r="O983" s="89">
        <v>1476.72</v>
      </c>
      <c r="P983" s="89">
        <v>32487.84</v>
      </c>
      <c r="Q983" t="s">
        <v>137</v>
      </c>
      <c r="R983" t="s">
        <v>42</v>
      </c>
    </row>
    <row r="984" spans="3:18" hidden="1" x14ac:dyDescent="0.25">
      <c r="C984" t="s">
        <v>45</v>
      </c>
      <c r="D984" t="s">
        <v>23</v>
      </c>
      <c r="E984" t="s">
        <v>48</v>
      </c>
      <c r="F984" t="s">
        <v>41</v>
      </c>
      <c r="G984" s="89">
        <v>173881</v>
      </c>
      <c r="H984" t="s">
        <v>42</v>
      </c>
      <c r="I984" t="s">
        <v>147</v>
      </c>
      <c r="J984" s="89">
        <v>695524</v>
      </c>
      <c r="K984" t="s">
        <v>127</v>
      </c>
      <c r="L984" t="s">
        <v>128</v>
      </c>
      <c r="M984" t="s">
        <v>152</v>
      </c>
      <c r="N984">
        <v>1</v>
      </c>
      <c r="O984" s="89">
        <v>6955.24</v>
      </c>
      <c r="P984" s="89">
        <v>31298.58</v>
      </c>
      <c r="Q984" t="s">
        <v>130</v>
      </c>
      <c r="R984" t="s">
        <v>42</v>
      </c>
    </row>
    <row r="985" spans="3:18" hidden="1" x14ac:dyDescent="0.25">
      <c r="C985" t="s">
        <v>45</v>
      </c>
      <c r="D985" t="s">
        <v>22</v>
      </c>
      <c r="E985" t="s">
        <v>40</v>
      </c>
      <c r="F985" t="s">
        <v>41</v>
      </c>
      <c r="G985" s="89">
        <v>3154355</v>
      </c>
      <c r="H985" t="s">
        <v>145</v>
      </c>
      <c r="I985" t="s">
        <v>141</v>
      </c>
      <c r="J985" s="89">
        <v>25234840</v>
      </c>
      <c r="K985" t="s">
        <v>127</v>
      </c>
      <c r="L985" t="s">
        <v>128</v>
      </c>
      <c r="N985">
        <v>1</v>
      </c>
      <c r="O985" s="89">
        <v>126174.2</v>
      </c>
      <c r="P985" s="89">
        <v>1514090.4</v>
      </c>
      <c r="Q985" t="s">
        <v>142</v>
      </c>
      <c r="R985" t="s">
        <v>131</v>
      </c>
    </row>
    <row r="986" spans="3:18" hidden="1" x14ac:dyDescent="0.25">
      <c r="C986" t="s">
        <v>45</v>
      </c>
      <c r="D986" t="s">
        <v>22</v>
      </c>
      <c r="E986" t="s">
        <v>48</v>
      </c>
      <c r="F986" t="s">
        <v>41</v>
      </c>
      <c r="G986" s="89">
        <v>306920</v>
      </c>
      <c r="H986" t="s">
        <v>140</v>
      </c>
      <c r="I986" t="s">
        <v>133</v>
      </c>
      <c r="J986" s="89">
        <v>10435280</v>
      </c>
      <c r="K986" t="s">
        <v>144</v>
      </c>
      <c r="N986">
        <v>1</v>
      </c>
      <c r="O986" s="89">
        <v>9207.6</v>
      </c>
      <c r="P986" s="89">
        <v>224051.6</v>
      </c>
      <c r="Q986" t="s">
        <v>137</v>
      </c>
      <c r="R986" t="s">
        <v>131</v>
      </c>
    </row>
    <row r="987" spans="3:18" hidden="1" x14ac:dyDescent="0.25">
      <c r="C987" t="s">
        <v>45</v>
      </c>
      <c r="D987" t="s">
        <v>22</v>
      </c>
      <c r="E987" t="s">
        <v>40</v>
      </c>
      <c r="F987" t="s">
        <v>41</v>
      </c>
      <c r="G987" s="89">
        <v>25771707</v>
      </c>
      <c r="H987" t="s">
        <v>145</v>
      </c>
      <c r="I987" t="s">
        <v>133</v>
      </c>
      <c r="J987" s="89">
        <v>670064382</v>
      </c>
      <c r="K987" t="s">
        <v>127</v>
      </c>
      <c r="L987" t="s">
        <v>128</v>
      </c>
      <c r="N987">
        <v>1</v>
      </c>
      <c r="O987" s="89">
        <v>773151.21</v>
      </c>
      <c r="P987" s="89">
        <v>7473795.0300000003</v>
      </c>
      <c r="Q987" t="s">
        <v>130</v>
      </c>
      <c r="R987" t="s">
        <v>131</v>
      </c>
    </row>
    <row r="988" spans="3:18" hidden="1" x14ac:dyDescent="0.25">
      <c r="C988" t="s">
        <v>45</v>
      </c>
      <c r="D988" t="s">
        <v>21</v>
      </c>
      <c r="E988" t="s">
        <v>43</v>
      </c>
      <c r="F988" t="s">
        <v>41</v>
      </c>
      <c r="G988" s="89">
        <v>66223</v>
      </c>
      <c r="H988" t="s">
        <v>145</v>
      </c>
      <c r="I988" t="s">
        <v>126</v>
      </c>
      <c r="J988" s="89">
        <v>993345</v>
      </c>
      <c r="K988" t="s">
        <v>127</v>
      </c>
      <c r="L988" t="s">
        <v>151</v>
      </c>
      <c r="N988">
        <v>1</v>
      </c>
      <c r="O988" s="89">
        <v>1324.46</v>
      </c>
      <c r="P988" s="89">
        <v>38409.339999999997</v>
      </c>
      <c r="Q988" t="s">
        <v>142</v>
      </c>
      <c r="R988" t="s">
        <v>131</v>
      </c>
    </row>
    <row r="989" spans="3:18" hidden="1" x14ac:dyDescent="0.25">
      <c r="C989" t="s">
        <v>45</v>
      </c>
      <c r="D989" t="s">
        <v>22</v>
      </c>
      <c r="E989" t="s">
        <v>43</v>
      </c>
      <c r="F989" t="s">
        <v>53</v>
      </c>
      <c r="G989" s="89">
        <v>302965</v>
      </c>
      <c r="H989" t="s">
        <v>140</v>
      </c>
      <c r="I989" t="s">
        <v>133</v>
      </c>
      <c r="J989" s="89">
        <v>7574125</v>
      </c>
      <c r="K989" t="s">
        <v>144</v>
      </c>
      <c r="N989">
        <v>1</v>
      </c>
      <c r="O989" s="89">
        <v>9088.9500000000007</v>
      </c>
      <c r="P989" s="89">
        <v>136334.25</v>
      </c>
      <c r="Q989" t="s">
        <v>142</v>
      </c>
      <c r="R989" t="s">
        <v>131</v>
      </c>
    </row>
    <row r="990" spans="3:18" hidden="1" x14ac:dyDescent="0.25">
      <c r="C990" t="s">
        <v>45</v>
      </c>
      <c r="D990" t="s">
        <v>21</v>
      </c>
      <c r="E990" t="s">
        <v>40</v>
      </c>
      <c r="F990" t="s">
        <v>41</v>
      </c>
      <c r="G990" s="89">
        <v>17475856</v>
      </c>
      <c r="H990" t="s">
        <v>140</v>
      </c>
      <c r="I990" t="s">
        <v>141</v>
      </c>
      <c r="J990" s="89">
        <v>122330992</v>
      </c>
      <c r="K990" t="s">
        <v>127</v>
      </c>
      <c r="L990" t="s">
        <v>128</v>
      </c>
      <c r="N990">
        <v>1</v>
      </c>
      <c r="O990" s="89">
        <v>524275.68</v>
      </c>
      <c r="P990" s="89">
        <v>4019446.88</v>
      </c>
      <c r="Q990" t="s">
        <v>130</v>
      </c>
      <c r="R990" t="s">
        <v>131</v>
      </c>
    </row>
    <row r="991" spans="3:18" hidden="1" x14ac:dyDescent="0.25">
      <c r="C991" t="s">
        <v>39</v>
      </c>
      <c r="D991" t="s">
        <v>21</v>
      </c>
      <c r="E991" t="s">
        <v>43</v>
      </c>
      <c r="F991" t="s">
        <v>41</v>
      </c>
      <c r="G991" s="89">
        <v>55000</v>
      </c>
      <c r="H991" t="s">
        <v>154</v>
      </c>
      <c r="I991" t="s">
        <v>133</v>
      </c>
      <c r="J991" s="89"/>
      <c r="N991">
        <v>0</v>
      </c>
      <c r="O991" s="89"/>
      <c r="P991" s="89"/>
      <c r="R991" t="s">
        <v>131</v>
      </c>
    </row>
    <row r="992" spans="3:18" hidden="1" x14ac:dyDescent="0.25">
      <c r="C992" t="s">
        <v>45</v>
      </c>
      <c r="D992" t="s">
        <v>23</v>
      </c>
      <c r="E992" t="s">
        <v>44</v>
      </c>
      <c r="F992" t="s">
        <v>41</v>
      </c>
      <c r="G992" s="89">
        <v>107259</v>
      </c>
      <c r="H992" t="s">
        <v>42</v>
      </c>
      <c r="I992" t="s">
        <v>147</v>
      </c>
      <c r="J992" s="89">
        <v>321777</v>
      </c>
      <c r="K992" t="s">
        <v>127</v>
      </c>
      <c r="L992" t="s">
        <v>128</v>
      </c>
      <c r="M992" t="s">
        <v>152</v>
      </c>
      <c r="N992">
        <v>1</v>
      </c>
      <c r="O992" s="89">
        <v>5362.95</v>
      </c>
      <c r="P992" s="89">
        <v>68645.759999999995</v>
      </c>
      <c r="Q992" t="s">
        <v>137</v>
      </c>
      <c r="R992" t="s">
        <v>42</v>
      </c>
    </row>
    <row r="993" spans="3:18" hidden="1" x14ac:dyDescent="0.25">
      <c r="C993" t="s">
        <v>45</v>
      </c>
      <c r="D993" t="s">
        <v>149</v>
      </c>
      <c r="E993" t="s">
        <v>43</v>
      </c>
      <c r="F993" t="s">
        <v>41</v>
      </c>
      <c r="G993" s="89">
        <v>346243</v>
      </c>
      <c r="H993" t="s">
        <v>42</v>
      </c>
      <c r="I993" t="s">
        <v>133</v>
      </c>
      <c r="J993" s="89">
        <v>11772262</v>
      </c>
      <c r="K993" t="s">
        <v>127</v>
      </c>
      <c r="L993" t="s">
        <v>128</v>
      </c>
      <c r="M993" t="s">
        <v>152</v>
      </c>
      <c r="N993">
        <v>1</v>
      </c>
      <c r="O993" s="89">
        <v>10387.290000000001</v>
      </c>
      <c r="P993" s="89">
        <v>283919.26</v>
      </c>
      <c r="Q993" t="s">
        <v>135</v>
      </c>
      <c r="R993" t="s">
        <v>131</v>
      </c>
    </row>
    <row r="994" spans="3:18" hidden="1" x14ac:dyDescent="0.25">
      <c r="C994" t="s">
        <v>45</v>
      </c>
      <c r="D994" t="s">
        <v>22</v>
      </c>
      <c r="E994" t="s">
        <v>40</v>
      </c>
      <c r="F994" t="s">
        <v>41</v>
      </c>
      <c r="G994" s="89">
        <v>3021</v>
      </c>
      <c r="H994" t="s">
        <v>145</v>
      </c>
      <c r="I994" t="s">
        <v>147</v>
      </c>
      <c r="J994" s="89">
        <v>3021</v>
      </c>
      <c r="K994" t="s">
        <v>127</v>
      </c>
      <c r="L994" t="s">
        <v>151</v>
      </c>
      <c r="N994">
        <v>1</v>
      </c>
      <c r="O994" s="89">
        <v>90.63</v>
      </c>
      <c r="P994" s="89">
        <v>60.42</v>
      </c>
      <c r="Q994" t="s">
        <v>130</v>
      </c>
      <c r="R994" t="s">
        <v>131</v>
      </c>
    </row>
    <row r="995" spans="3:18" hidden="1" x14ac:dyDescent="0.25">
      <c r="C995" t="s">
        <v>45</v>
      </c>
      <c r="D995" t="s">
        <v>22</v>
      </c>
      <c r="E995" t="s">
        <v>40</v>
      </c>
      <c r="F995" t="s">
        <v>41</v>
      </c>
      <c r="G995" s="89">
        <v>119053</v>
      </c>
      <c r="H995" t="s">
        <v>132</v>
      </c>
      <c r="I995" t="s">
        <v>141</v>
      </c>
      <c r="J995" s="89">
        <v>952424</v>
      </c>
      <c r="K995" t="s">
        <v>127</v>
      </c>
      <c r="L995" t="s">
        <v>151</v>
      </c>
      <c r="N995">
        <v>1</v>
      </c>
      <c r="O995" s="89">
        <v>3571.59</v>
      </c>
      <c r="P995" s="89">
        <v>23810.6</v>
      </c>
      <c r="Q995" t="s">
        <v>130</v>
      </c>
      <c r="R995" t="s">
        <v>131</v>
      </c>
    </row>
    <row r="996" spans="3:18" x14ac:dyDescent="0.25">
      <c r="C996" t="s">
        <v>47</v>
      </c>
      <c r="D996" t="s">
        <v>21</v>
      </c>
      <c r="E996" t="s">
        <v>43</v>
      </c>
      <c r="F996" t="s">
        <v>41</v>
      </c>
      <c r="G996" s="89">
        <v>435385</v>
      </c>
      <c r="H996" t="s">
        <v>132</v>
      </c>
      <c r="I996" t="s">
        <v>141</v>
      </c>
      <c r="J996" s="89">
        <v>3047695</v>
      </c>
      <c r="K996" t="s">
        <v>127</v>
      </c>
      <c r="L996" t="s">
        <v>128</v>
      </c>
      <c r="N996">
        <v>1</v>
      </c>
      <c r="O996" s="89">
        <v>17415.400000000001</v>
      </c>
      <c r="P996" s="89">
        <v>274292.55</v>
      </c>
      <c r="Q996" t="s">
        <v>137</v>
      </c>
      <c r="R996" t="s">
        <v>131</v>
      </c>
    </row>
    <row r="997" spans="3:18" hidden="1" x14ac:dyDescent="0.25">
      <c r="C997" t="s">
        <v>45</v>
      </c>
      <c r="D997" t="s">
        <v>21</v>
      </c>
      <c r="E997" t="s">
        <v>40</v>
      </c>
      <c r="F997" t="s">
        <v>41</v>
      </c>
      <c r="G997" s="89">
        <v>169647</v>
      </c>
      <c r="H997" t="s">
        <v>132</v>
      </c>
      <c r="I997" t="s">
        <v>141</v>
      </c>
      <c r="J997" s="89">
        <v>1696470</v>
      </c>
      <c r="K997" t="s">
        <v>144</v>
      </c>
      <c r="N997">
        <v>1</v>
      </c>
      <c r="O997" s="89">
        <v>5089.41</v>
      </c>
      <c r="P997" s="89">
        <v>108574.08</v>
      </c>
      <c r="Q997" t="s">
        <v>137</v>
      </c>
      <c r="R997" t="s">
        <v>131</v>
      </c>
    </row>
    <row r="998" spans="3:18" hidden="1" x14ac:dyDescent="0.25">
      <c r="C998" t="s">
        <v>45</v>
      </c>
      <c r="D998" t="s">
        <v>21</v>
      </c>
      <c r="E998" t="s">
        <v>43</v>
      </c>
      <c r="F998" t="s">
        <v>41</v>
      </c>
      <c r="G998" s="89">
        <v>2177551</v>
      </c>
      <c r="H998" t="s">
        <v>42</v>
      </c>
      <c r="I998" t="s">
        <v>141</v>
      </c>
      <c r="J998" s="89">
        <v>19597959</v>
      </c>
      <c r="K998" t="s">
        <v>127</v>
      </c>
      <c r="L998" t="s">
        <v>128</v>
      </c>
      <c r="M998" t="s">
        <v>129</v>
      </c>
      <c r="N998">
        <v>1</v>
      </c>
      <c r="O998" s="89">
        <v>65326.53</v>
      </c>
      <c r="P998" s="89">
        <v>1480734.68</v>
      </c>
      <c r="Q998" t="s">
        <v>137</v>
      </c>
      <c r="R998" t="s">
        <v>131</v>
      </c>
    </row>
    <row r="999" spans="3:18" hidden="1" x14ac:dyDescent="0.25">
      <c r="C999" t="s">
        <v>45</v>
      </c>
      <c r="D999" t="s">
        <v>23</v>
      </c>
      <c r="E999" t="s">
        <v>40</v>
      </c>
      <c r="F999" t="s">
        <v>41</v>
      </c>
      <c r="G999" s="89">
        <v>19944</v>
      </c>
      <c r="H999" t="s">
        <v>42</v>
      </c>
      <c r="I999" t="s">
        <v>141</v>
      </c>
      <c r="J999" s="89">
        <v>179496</v>
      </c>
      <c r="K999" t="s">
        <v>134</v>
      </c>
      <c r="L999" t="s">
        <v>128</v>
      </c>
      <c r="M999" t="s">
        <v>152</v>
      </c>
      <c r="N999">
        <v>1</v>
      </c>
      <c r="O999" s="89">
        <v>598.32000000000005</v>
      </c>
      <c r="P999" s="89">
        <v>8575.92</v>
      </c>
      <c r="Q999" t="s">
        <v>142</v>
      </c>
      <c r="R999" t="s">
        <v>131</v>
      </c>
    </row>
    <row r="1000" spans="3:18" hidden="1" x14ac:dyDescent="0.25">
      <c r="C1000" t="s">
        <v>45</v>
      </c>
      <c r="D1000" t="s">
        <v>138</v>
      </c>
      <c r="E1000" t="s">
        <v>40</v>
      </c>
      <c r="F1000" t="s">
        <v>41</v>
      </c>
      <c r="G1000" s="89">
        <v>171392</v>
      </c>
      <c r="H1000" t="s">
        <v>146</v>
      </c>
      <c r="I1000" t="s">
        <v>133</v>
      </c>
      <c r="J1000" s="89">
        <v>4627584</v>
      </c>
      <c r="K1000" t="s">
        <v>127</v>
      </c>
      <c r="L1000" t="s">
        <v>128</v>
      </c>
      <c r="N1000">
        <v>1</v>
      </c>
      <c r="O1000" s="89">
        <v>5141.76</v>
      </c>
      <c r="P1000" s="89">
        <v>89123.839999999997</v>
      </c>
      <c r="Q1000" t="s">
        <v>142</v>
      </c>
      <c r="R1000" t="s">
        <v>131</v>
      </c>
    </row>
    <row r="1001" spans="3:18" hidden="1" x14ac:dyDescent="0.25">
      <c r="C1001" t="s">
        <v>45</v>
      </c>
      <c r="D1001" t="s">
        <v>22</v>
      </c>
      <c r="E1001" t="s">
        <v>44</v>
      </c>
      <c r="F1001" t="s">
        <v>53</v>
      </c>
      <c r="G1001" s="89">
        <v>99285</v>
      </c>
      <c r="H1001" t="s">
        <v>42</v>
      </c>
      <c r="I1001" t="s">
        <v>133</v>
      </c>
      <c r="J1001" s="89">
        <v>2581410</v>
      </c>
      <c r="K1001" t="s">
        <v>144</v>
      </c>
      <c r="N1001">
        <v>1</v>
      </c>
      <c r="O1001" s="89">
        <v>2978.55</v>
      </c>
      <c r="P1001" s="89">
        <v>43685.4</v>
      </c>
      <c r="Q1001" t="s">
        <v>142</v>
      </c>
      <c r="R1001" t="s">
        <v>42</v>
      </c>
    </row>
    <row r="1002" spans="3:18" hidden="1" x14ac:dyDescent="0.25">
      <c r="C1002" t="s">
        <v>45</v>
      </c>
      <c r="D1002" t="s">
        <v>24</v>
      </c>
      <c r="E1002" t="s">
        <v>44</v>
      </c>
      <c r="F1002" t="s">
        <v>41</v>
      </c>
      <c r="G1002" s="89">
        <v>274981</v>
      </c>
      <c r="H1002" t="s">
        <v>145</v>
      </c>
      <c r="I1002" t="s">
        <v>133</v>
      </c>
      <c r="J1002" s="89">
        <v>7974449</v>
      </c>
      <c r="K1002" t="s">
        <v>127</v>
      </c>
      <c r="L1002" t="s">
        <v>128</v>
      </c>
      <c r="N1002">
        <v>1</v>
      </c>
      <c r="O1002" s="89">
        <v>8249.43</v>
      </c>
      <c r="P1002" s="89">
        <v>85244.11</v>
      </c>
      <c r="Q1002" t="s">
        <v>130</v>
      </c>
      <c r="R1002" t="s">
        <v>131</v>
      </c>
    </row>
    <row r="1003" spans="3:18" hidden="1" x14ac:dyDescent="0.25">
      <c r="C1003" t="s">
        <v>45</v>
      </c>
      <c r="D1003" t="s">
        <v>149</v>
      </c>
      <c r="E1003" t="s">
        <v>43</v>
      </c>
      <c r="F1003" t="s">
        <v>41</v>
      </c>
      <c r="G1003" s="89">
        <v>34404036</v>
      </c>
      <c r="H1003" t="s">
        <v>42</v>
      </c>
      <c r="I1003" t="s">
        <v>133</v>
      </c>
      <c r="J1003" s="89">
        <v>1100929152</v>
      </c>
      <c r="K1003" t="s">
        <v>144</v>
      </c>
      <c r="N1003">
        <v>1</v>
      </c>
      <c r="O1003" s="89">
        <v>1032121.08</v>
      </c>
      <c r="P1003" s="89">
        <v>17890098.719999999</v>
      </c>
      <c r="Q1003" t="s">
        <v>142</v>
      </c>
      <c r="R1003" t="s">
        <v>42</v>
      </c>
    </row>
    <row r="1004" spans="3:18" hidden="1" x14ac:dyDescent="0.25">
      <c r="C1004" t="s">
        <v>45</v>
      </c>
      <c r="D1004" t="s">
        <v>19</v>
      </c>
      <c r="E1004" t="s">
        <v>43</v>
      </c>
      <c r="F1004" t="s">
        <v>41</v>
      </c>
      <c r="G1004" s="89">
        <v>973598</v>
      </c>
      <c r="H1004" t="s">
        <v>132</v>
      </c>
      <c r="I1004" t="s">
        <v>147</v>
      </c>
      <c r="J1004" s="89">
        <v>3894392</v>
      </c>
      <c r="K1004" t="s">
        <v>127</v>
      </c>
      <c r="L1004" t="s">
        <v>128</v>
      </c>
      <c r="N1004">
        <v>1</v>
      </c>
      <c r="O1004" s="89">
        <v>29207.94</v>
      </c>
      <c r="P1004" s="89">
        <v>146039.70000000001</v>
      </c>
      <c r="Q1004" t="s">
        <v>130</v>
      </c>
      <c r="R1004" t="s">
        <v>131</v>
      </c>
    </row>
    <row r="1005" spans="3:18" hidden="1" x14ac:dyDescent="0.25">
      <c r="C1005" t="s">
        <v>45</v>
      </c>
      <c r="D1005" t="s">
        <v>23</v>
      </c>
      <c r="E1005" t="s">
        <v>40</v>
      </c>
      <c r="F1005" t="s">
        <v>41</v>
      </c>
      <c r="G1005" s="89">
        <v>1363390</v>
      </c>
      <c r="H1005" t="s">
        <v>145</v>
      </c>
      <c r="I1005" t="s">
        <v>133</v>
      </c>
      <c r="J1005" s="89">
        <v>43628480</v>
      </c>
      <c r="K1005" t="s">
        <v>144</v>
      </c>
      <c r="N1005">
        <v>1</v>
      </c>
      <c r="O1005" s="89">
        <v>40901.699999999997</v>
      </c>
      <c r="P1005" s="89">
        <v>1145247.6000000001</v>
      </c>
      <c r="Q1005" t="s">
        <v>135</v>
      </c>
      <c r="R1005" t="s">
        <v>131</v>
      </c>
    </row>
    <row r="1006" spans="3:18" hidden="1" x14ac:dyDescent="0.25">
      <c r="C1006" t="s">
        <v>45</v>
      </c>
      <c r="D1006" t="s">
        <v>21</v>
      </c>
      <c r="E1006" t="s">
        <v>43</v>
      </c>
      <c r="F1006" t="s">
        <v>41</v>
      </c>
      <c r="G1006" s="89">
        <v>3518836</v>
      </c>
      <c r="H1006" t="s">
        <v>146</v>
      </c>
      <c r="I1006" t="s">
        <v>133</v>
      </c>
      <c r="J1006" s="89">
        <v>105565080</v>
      </c>
      <c r="K1006" t="s">
        <v>127</v>
      </c>
      <c r="L1006" t="s">
        <v>128</v>
      </c>
      <c r="N1006">
        <v>1</v>
      </c>
      <c r="O1006" s="89">
        <v>105565.08</v>
      </c>
      <c r="P1006" s="89">
        <v>4257791.5599999996</v>
      </c>
      <c r="Q1006" t="s">
        <v>150</v>
      </c>
      <c r="R1006" t="s">
        <v>131</v>
      </c>
    </row>
    <row r="1007" spans="3:18" hidden="1" x14ac:dyDescent="0.25">
      <c r="C1007" t="s">
        <v>45</v>
      </c>
      <c r="D1007" t="s">
        <v>149</v>
      </c>
      <c r="E1007" t="s">
        <v>43</v>
      </c>
      <c r="F1007" t="s">
        <v>41</v>
      </c>
      <c r="G1007" s="89">
        <v>310893</v>
      </c>
      <c r="H1007" t="s">
        <v>42</v>
      </c>
      <c r="I1007" t="s">
        <v>133</v>
      </c>
      <c r="J1007" s="89">
        <v>10259469</v>
      </c>
      <c r="K1007" t="s">
        <v>127</v>
      </c>
      <c r="L1007" t="s">
        <v>128</v>
      </c>
      <c r="M1007" t="s">
        <v>143</v>
      </c>
      <c r="N1007">
        <v>1</v>
      </c>
      <c r="O1007" s="89">
        <v>12435.72</v>
      </c>
      <c r="P1007" s="89">
        <v>208298.31</v>
      </c>
      <c r="Q1007" t="s">
        <v>137</v>
      </c>
      <c r="R1007" t="s">
        <v>42</v>
      </c>
    </row>
    <row r="1008" spans="3:18" x14ac:dyDescent="0.25">
      <c r="C1008" t="s">
        <v>47</v>
      </c>
      <c r="D1008" t="s">
        <v>22</v>
      </c>
      <c r="E1008" t="s">
        <v>40</v>
      </c>
      <c r="F1008" t="s">
        <v>41</v>
      </c>
      <c r="G1008" s="89">
        <v>898452</v>
      </c>
      <c r="H1008" t="s">
        <v>145</v>
      </c>
      <c r="I1008" t="s">
        <v>126</v>
      </c>
      <c r="J1008" s="89">
        <v>10781424</v>
      </c>
      <c r="K1008" t="s">
        <v>127</v>
      </c>
      <c r="L1008" t="s">
        <v>128</v>
      </c>
      <c r="N1008">
        <v>1</v>
      </c>
      <c r="O1008" s="89">
        <v>35938.080000000002</v>
      </c>
      <c r="P1008" s="89">
        <v>476179.56</v>
      </c>
      <c r="Q1008" t="s">
        <v>142</v>
      </c>
      <c r="R1008" t="s">
        <v>131</v>
      </c>
    </row>
    <row r="1009" spans="3:18" hidden="1" x14ac:dyDescent="0.25">
      <c r="C1009" t="s">
        <v>45</v>
      </c>
      <c r="D1009" t="s">
        <v>24</v>
      </c>
      <c r="E1009" t="s">
        <v>43</v>
      </c>
      <c r="F1009" t="s">
        <v>41</v>
      </c>
      <c r="G1009" s="89">
        <v>996662</v>
      </c>
      <c r="H1009" t="s">
        <v>42</v>
      </c>
      <c r="I1009" t="s">
        <v>133</v>
      </c>
      <c r="J1009" s="89">
        <v>32889846</v>
      </c>
      <c r="K1009" t="s">
        <v>127</v>
      </c>
      <c r="L1009" t="s">
        <v>128</v>
      </c>
      <c r="M1009" t="s">
        <v>148</v>
      </c>
      <c r="N1009">
        <v>1</v>
      </c>
      <c r="O1009" s="89">
        <v>29899.86</v>
      </c>
      <c r="P1009" s="89">
        <v>837196.08</v>
      </c>
      <c r="Q1009" t="s">
        <v>135</v>
      </c>
      <c r="R1009" t="s">
        <v>42</v>
      </c>
    </row>
    <row r="1010" spans="3:18" hidden="1" x14ac:dyDescent="0.25">
      <c r="C1010" t="s">
        <v>45</v>
      </c>
      <c r="D1010" t="s">
        <v>149</v>
      </c>
      <c r="E1010" t="s">
        <v>43</v>
      </c>
      <c r="F1010" t="s">
        <v>41</v>
      </c>
      <c r="G1010" s="89">
        <v>3839676</v>
      </c>
      <c r="H1010" t="s">
        <v>145</v>
      </c>
      <c r="I1010" t="s">
        <v>133</v>
      </c>
      <c r="J1010" s="89">
        <v>103671252</v>
      </c>
      <c r="K1010" t="s">
        <v>127</v>
      </c>
      <c r="L1010" t="s">
        <v>128</v>
      </c>
      <c r="N1010">
        <v>1</v>
      </c>
      <c r="O1010" s="89">
        <v>115190.28</v>
      </c>
      <c r="P1010" s="89">
        <v>1075109.28</v>
      </c>
      <c r="Q1010" t="s">
        <v>130</v>
      </c>
      <c r="R1010" t="s">
        <v>131</v>
      </c>
    </row>
    <row r="1011" spans="3:18" hidden="1" x14ac:dyDescent="0.25">
      <c r="C1011" t="s">
        <v>45</v>
      </c>
      <c r="D1011" t="s">
        <v>19</v>
      </c>
      <c r="E1011" t="s">
        <v>40</v>
      </c>
      <c r="F1011" t="s">
        <v>41</v>
      </c>
      <c r="G1011" s="89">
        <v>19758</v>
      </c>
      <c r="H1011" t="s">
        <v>42</v>
      </c>
      <c r="I1011" t="s">
        <v>147</v>
      </c>
      <c r="J1011" s="89">
        <v>59274</v>
      </c>
      <c r="K1011" t="s">
        <v>134</v>
      </c>
      <c r="L1011" t="s">
        <v>128</v>
      </c>
      <c r="M1011" t="s">
        <v>136</v>
      </c>
      <c r="N1011">
        <v>1</v>
      </c>
      <c r="O1011" s="89">
        <v>592.74</v>
      </c>
      <c r="P1011" s="89">
        <v>1185.48</v>
      </c>
      <c r="Q1011" t="s">
        <v>130</v>
      </c>
      <c r="R1011" t="s">
        <v>131</v>
      </c>
    </row>
    <row r="1012" spans="3:18" hidden="1" x14ac:dyDescent="0.25">
      <c r="C1012" t="s">
        <v>45</v>
      </c>
      <c r="D1012" t="s">
        <v>21</v>
      </c>
      <c r="E1012" t="s">
        <v>44</v>
      </c>
      <c r="F1012" t="s">
        <v>41</v>
      </c>
      <c r="G1012" s="89">
        <v>69174</v>
      </c>
      <c r="H1012" t="s">
        <v>42</v>
      </c>
      <c r="I1012" t="s">
        <v>126</v>
      </c>
      <c r="J1012" s="89">
        <v>1037610</v>
      </c>
      <c r="K1012" t="s">
        <v>144</v>
      </c>
      <c r="N1012">
        <v>1</v>
      </c>
      <c r="O1012" s="89">
        <v>2075.2199999999998</v>
      </c>
      <c r="P1012" s="89">
        <v>21443.94</v>
      </c>
      <c r="Q1012" t="s">
        <v>130</v>
      </c>
      <c r="R1012" t="s">
        <v>42</v>
      </c>
    </row>
    <row r="1013" spans="3:18" hidden="1" x14ac:dyDescent="0.25">
      <c r="C1013" t="s">
        <v>45</v>
      </c>
      <c r="D1013" t="s">
        <v>23</v>
      </c>
      <c r="E1013" t="s">
        <v>40</v>
      </c>
      <c r="F1013" t="s">
        <v>53</v>
      </c>
      <c r="G1013" s="89">
        <v>203484</v>
      </c>
      <c r="H1013" t="s">
        <v>42</v>
      </c>
      <c r="I1013" t="s">
        <v>133</v>
      </c>
      <c r="J1013" s="89">
        <v>5290584</v>
      </c>
      <c r="K1013" t="s">
        <v>127</v>
      </c>
      <c r="L1013" t="s">
        <v>128</v>
      </c>
      <c r="M1013" t="s">
        <v>152</v>
      </c>
      <c r="N1013">
        <v>1</v>
      </c>
      <c r="O1013" s="89">
        <v>6104.52</v>
      </c>
      <c r="P1013" s="89">
        <v>162787.20000000001</v>
      </c>
      <c r="Q1013" t="s">
        <v>137</v>
      </c>
      <c r="R1013" t="s">
        <v>42</v>
      </c>
    </row>
    <row r="1014" spans="3:18" hidden="1" x14ac:dyDescent="0.25">
      <c r="C1014" t="s">
        <v>45</v>
      </c>
      <c r="D1014" t="s">
        <v>21</v>
      </c>
      <c r="E1014" t="s">
        <v>44</v>
      </c>
      <c r="F1014" t="s">
        <v>41</v>
      </c>
      <c r="G1014" s="89">
        <v>173000</v>
      </c>
      <c r="H1014" t="s">
        <v>42</v>
      </c>
      <c r="I1014" t="s">
        <v>133</v>
      </c>
      <c r="J1014" s="89">
        <v>6920000</v>
      </c>
      <c r="K1014" t="s">
        <v>144</v>
      </c>
      <c r="N1014">
        <v>1</v>
      </c>
      <c r="O1014" s="89">
        <v>5190</v>
      </c>
      <c r="P1014" s="89">
        <v>173000</v>
      </c>
      <c r="Q1014" t="s">
        <v>150</v>
      </c>
      <c r="R1014" t="s">
        <v>42</v>
      </c>
    </row>
    <row r="1015" spans="3:18" hidden="1" x14ac:dyDescent="0.25">
      <c r="C1015" t="s">
        <v>45</v>
      </c>
      <c r="D1015" t="s">
        <v>22</v>
      </c>
      <c r="E1015" t="s">
        <v>40</v>
      </c>
      <c r="F1015" t="s">
        <v>41</v>
      </c>
      <c r="G1015" s="89">
        <v>2787097</v>
      </c>
      <c r="H1015" t="s">
        <v>132</v>
      </c>
      <c r="I1015" t="s">
        <v>126</v>
      </c>
      <c r="J1015" s="89">
        <v>41806455</v>
      </c>
      <c r="K1015" t="s">
        <v>144</v>
      </c>
      <c r="N1015">
        <v>1</v>
      </c>
      <c r="O1015" s="89">
        <v>83612.91</v>
      </c>
      <c r="P1015" s="89">
        <v>752516.19</v>
      </c>
      <c r="Q1015" t="s">
        <v>130</v>
      </c>
      <c r="R1015" t="s">
        <v>131</v>
      </c>
    </row>
    <row r="1016" spans="3:18" hidden="1" x14ac:dyDescent="0.25">
      <c r="C1016" t="s">
        <v>45</v>
      </c>
      <c r="D1016" t="s">
        <v>20</v>
      </c>
      <c r="E1016" t="s">
        <v>43</v>
      </c>
      <c r="F1016" t="s">
        <v>41</v>
      </c>
      <c r="G1016" s="89">
        <v>408376</v>
      </c>
      <c r="H1016" t="s">
        <v>145</v>
      </c>
      <c r="I1016" t="s">
        <v>126</v>
      </c>
      <c r="J1016" s="89">
        <v>6942392</v>
      </c>
      <c r="K1016" t="s">
        <v>144</v>
      </c>
      <c r="N1016">
        <v>1</v>
      </c>
      <c r="O1016" s="89">
        <v>12251.28</v>
      </c>
      <c r="P1016" s="89">
        <v>191936.72</v>
      </c>
      <c r="Q1016" t="s">
        <v>142</v>
      </c>
      <c r="R1016" t="s">
        <v>131</v>
      </c>
    </row>
    <row r="1017" spans="3:18" x14ac:dyDescent="0.25">
      <c r="C1017" t="s">
        <v>47</v>
      </c>
      <c r="D1017" t="s">
        <v>22</v>
      </c>
      <c r="E1017" t="s">
        <v>40</v>
      </c>
      <c r="F1017" t="s">
        <v>41</v>
      </c>
      <c r="G1017" s="89">
        <v>1160227</v>
      </c>
      <c r="H1017" t="s">
        <v>132</v>
      </c>
      <c r="I1017" t="s">
        <v>141</v>
      </c>
      <c r="J1017" s="89">
        <v>9281816</v>
      </c>
      <c r="K1017" t="s">
        <v>127</v>
      </c>
      <c r="L1017" t="s">
        <v>128</v>
      </c>
      <c r="N1017">
        <v>1</v>
      </c>
      <c r="O1017" s="89">
        <v>46409.08</v>
      </c>
      <c r="P1017" s="89">
        <v>614920.31000000006</v>
      </c>
      <c r="Q1017" t="s">
        <v>142</v>
      </c>
      <c r="R1017" t="s">
        <v>131</v>
      </c>
    </row>
    <row r="1018" spans="3:18" hidden="1" x14ac:dyDescent="0.25">
      <c r="C1018" t="s">
        <v>45</v>
      </c>
      <c r="D1018" t="s">
        <v>24</v>
      </c>
      <c r="E1018" t="s">
        <v>48</v>
      </c>
      <c r="F1018" t="s">
        <v>41</v>
      </c>
      <c r="G1018" s="89">
        <v>3098759</v>
      </c>
      <c r="H1018" t="s">
        <v>146</v>
      </c>
      <c r="I1018" t="s">
        <v>141</v>
      </c>
      <c r="J1018" s="89">
        <v>21691313</v>
      </c>
      <c r="K1018" t="s">
        <v>127</v>
      </c>
      <c r="L1018" t="s">
        <v>128</v>
      </c>
      <c r="N1018">
        <v>1</v>
      </c>
      <c r="O1018" s="89">
        <v>92962.77</v>
      </c>
      <c r="P1018" s="89">
        <v>681726.98</v>
      </c>
      <c r="Q1018" t="s">
        <v>130</v>
      </c>
      <c r="R1018" t="s">
        <v>131</v>
      </c>
    </row>
    <row r="1019" spans="3:18" hidden="1" x14ac:dyDescent="0.25">
      <c r="C1019" t="s">
        <v>45</v>
      </c>
      <c r="D1019" t="s">
        <v>22</v>
      </c>
      <c r="E1019" t="s">
        <v>40</v>
      </c>
      <c r="F1019" t="s">
        <v>41</v>
      </c>
      <c r="G1019" s="89">
        <v>5139354</v>
      </c>
      <c r="H1019" t="s">
        <v>140</v>
      </c>
      <c r="I1019" t="s">
        <v>133</v>
      </c>
      <c r="J1019" s="89">
        <v>149041266</v>
      </c>
      <c r="K1019" t="s">
        <v>134</v>
      </c>
      <c r="L1019" t="s">
        <v>128</v>
      </c>
      <c r="N1019">
        <v>1</v>
      </c>
      <c r="O1019" s="89">
        <v>154180.62</v>
      </c>
      <c r="P1019" s="89">
        <v>3546154.26</v>
      </c>
      <c r="Q1019" t="s">
        <v>137</v>
      </c>
      <c r="R1019" t="s">
        <v>131</v>
      </c>
    </row>
    <row r="1020" spans="3:18" hidden="1" x14ac:dyDescent="0.25">
      <c r="C1020" t="s">
        <v>45</v>
      </c>
      <c r="D1020" t="s">
        <v>21</v>
      </c>
      <c r="E1020" t="s">
        <v>40</v>
      </c>
      <c r="F1020" t="s">
        <v>41</v>
      </c>
      <c r="G1020" s="89">
        <v>570584</v>
      </c>
      <c r="H1020" t="s">
        <v>42</v>
      </c>
      <c r="I1020" t="s">
        <v>133</v>
      </c>
      <c r="J1020" s="89">
        <v>18829272</v>
      </c>
      <c r="K1020" t="s">
        <v>127</v>
      </c>
      <c r="L1020" t="s">
        <v>128</v>
      </c>
      <c r="M1020" t="s">
        <v>139</v>
      </c>
      <c r="N1020">
        <v>1</v>
      </c>
      <c r="O1020" s="89">
        <v>17117.52</v>
      </c>
      <c r="P1020" s="89">
        <v>410820.48</v>
      </c>
      <c r="Q1020" t="s">
        <v>137</v>
      </c>
      <c r="R1020" t="s">
        <v>42</v>
      </c>
    </row>
    <row r="1021" spans="3:18" hidden="1" x14ac:dyDescent="0.25">
      <c r="C1021" t="s">
        <v>45</v>
      </c>
      <c r="D1021" t="s">
        <v>20</v>
      </c>
      <c r="E1021" t="s">
        <v>43</v>
      </c>
      <c r="F1021" t="s">
        <v>41</v>
      </c>
      <c r="G1021" s="89">
        <v>1032625</v>
      </c>
      <c r="H1021" t="s">
        <v>42</v>
      </c>
      <c r="I1021" t="s">
        <v>133</v>
      </c>
      <c r="J1021" s="89">
        <v>27880875</v>
      </c>
      <c r="K1021" t="s">
        <v>134</v>
      </c>
      <c r="L1021" t="s">
        <v>128</v>
      </c>
      <c r="M1021" t="s">
        <v>139</v>
      </c>
      <c r="N1021">
        <v>1</v>
      </c>
      <c r="O1021" s="89">
        <v>30978.75</v>
      </c>
      <c r="P1021" s="89">
        <v>846752.5</v>
      </c>
      <c r="Q1021" t="s">
        <v>135</v>
      </c>
      <c r="R1021" t="s">
        <v>131</v>
      </c>
    </row>
    <row r="1022" spans="3:18" x14ac:dyDescent="0.25">
      <c r="C1022" t="s">
        <v>47</v>
      </c>
      <c r="D1022" t="s">
        <v>24</v>
      </c>
      <c r="E1022" t="s">
        <v>48</v>
      </c>
      <c r="F1022" t="s">
        <v>41</v>
      </c>
      <c r="G1022" s="89">
        <v>127155</v>
      </c>
      <c r="H1022" t="s">
        <v>42</v>
      </c>
      <c r="I1022" t="s">
        <v>126</v>
      </c>
      <c r="J1022" s="89">
        <v>1653015</v>
      </c>
      <c r="K1022" t="s">
        <v>127</v>
      </c>
      <c r="L1022" t="s">
        <v>128</v>
      </c>
      <c r="M1022" t="s">
        <v>148</v>
      </c>
      <c r="N1022">
        <v>1</v>
      </c>
      <c r="O1022" s="89">
        <v>5086.2</v>
      </c>
      <c r="P1022" s="89">
        <v>30517.200000000001</v>
      </c>
      <c r="Q1022" t="s">
        <v>130</v>
      </c>
      <c r="R1022" t="s">
        <v>131</v>
      </c>
    </row>
    <row r="1023" spans="3:18" hidden="1" x14ac:dyDescent="0.25">
      <c r="C1023" t="s">
        <v>45</v>
      </c>
      <c r="D1023" t="s">
        <v>21</v>
      </c>
      <c r="E1023" t="s">
        <v>40</v>
      </c>
      <c r="F1023" t="s">
        <v>41</v>
      </c>
      <c r="G1023" s="89">
        <v>562269</v>
      </c>
      <c r="H1023" t="s">
        <v>132</v>
      </c>
      <c r="I1023" t="s">
        <v>133</v>
      </c>
      <c r="J1023" s="89">
        <v>14056725</v>
      </c>
      <c r="K1023" t="s">
        <v>127</v>
      </c>
      <c r="L1023" t="s">
        <v>128</v>
      </c>
      <c r="N1023">
        <v>1</v>
      </c>
      <c r="O1023" s="89">
        <v>22490.76</v>
      </c>
      <c r="P1023" s="89">
        <v>168680.7</v>
      </c>
      <c r="Q1023" t="s">
        <v>130</v>
      </c>
      <c r="R1023" t="s">
        <v>131</v>
      </c>
    </row>
    <row r="1024" spans="3:18" hidden="1" x14ac:dyDescent="0.25">
      <c r="C1024" t="s">
        <v>45</v>
      </c>
      <c r="D1024" t="s">
        <v>22</v>
      </c>
      <c r="E1024" t="s">
        <v>40</v>
      </c>
      <c r="F1024" t="s">
        <v>41</v>
      </c>
      <c r="G1024" s="89">
        <v>230627</v>
      </c>
      <c r="H1024" t="s">
        <v>145</v>
      </c>
      <c r="I1024" t="s">
        <v>126</v>
      </c>
      <c r="J1024" s="89">
        <v>2998151</v>
      </c>
      <c r="K1024" t="s">
        <v>134</v>
      </c>
      <c r="L1024" t="s">
        <v>128</v>
      </c>
      <c r="N1024">
        <v>1</v>
      </c>
      <c r="O1024" s="89">
        <v>6918.81</v>
      </c>
      <c r="P1024" s="89">
        <v>73800.639999999999</v>
      </c>
      <c r="Q1024" t="s">
        <v>130</v>
      </c>
      <c r="R1024" t="s">
        <v>131</v>
      </c>
    </row>
    <row r="1025" spans="3:18" hidden="1" x14ac:dyDescent="0.25">
      <c r="C1025" t="s">
        <v>45</v>
      </c>
      <c r="D1025" t="s">
        <v>21</v>
      </c>
      <c r="E1025" t="s">
        <v>43</v>
      </c>
      <c r="F1025" t="s">
        <v>41</v>
      </c>
      <c r="G1025" s="89">
        <v>51478</v>
      </c>
      <c r="H1025" t="s">
        <v>145</v>
      </c>
      <c r="I1025" t="s">
        <v>147</v>
      </c>
      <c r="J1025" s="89"/>
      <c r="K1025" t="s">
        <v>127</v>
      </c>
      <c r="L1025" t="s">
        <v>128</v>
      </c>
      <c r="N1025">
        <v>0</v>
      </c>
      <c r="O1025" s="89">
        <v>514.78</v>
      </c>
      <c r="P1025" s="89">
        <v>12869.5</v>
      </c>
      <c r="Q1025" t="s">
        <v>130</v>
      </c>
      <c r="R1025" t="s">
        <v>131</v>
      </c>
    </row>
    <row r="1026" spans="3:18" hidden="1" x14ac:dyDescent="0.25">
      <c r="C1026" t="s">
        <v>45</v>
      </c>
      <c r="D1026" t="s">
        <v>19</v>
      </c>
      <c r="E1026" t="s">
        <v>43</v>
      </c>
      <c r="F1026" t="s">
        <v>41</v>
      </c>
      <c r="G1026" s="89">
        <v>24380785</v>
      </c>
      <c r="H1026" t="s">
        <v>146</v>
      </c>
      <c r="I1026" t="s">
        <v>126</v>
      </c>
      <c r="J1026" s="89">
        <v>390092560</v>
      </c>
      <c r="K1026" t="s">
        <v>127</v>
      </c>
      <c r="L1026" t="s">
        <v>128</v>
      </c>
      <c r="N1026">
        <v>1</v>
      </c>
      <c r="O1026" s="89">
        <v>731423.55</v>
      </c>
      <c r="P1026" s="89">
        <v>11702776.800000001</v>
      </c>
      <c r="Q1026" t="s">
        <v>142</v>
      </c>
      <c r="R1026" t="s">
        <v>131</v>
      </c>
    </row>
    <row r="1027" spans="3:18" hidden="1" x14ac:dyDescent="0.25">
      <c r="C1027" t="s">
        <v>45</v>
      </c>
      <c r="D1027" t="s">
        <v>22</v>
      </c>
      <c r="E1027" t="s">
        <v>52</v>
      </c>
      <c r="F1027" t="s">
        <v>41</v>
      </c>
      <c r="G1027" s="89">
        <v>44522</v>
      </c>
      <c r="H1027" t="s">
        <v>42</v>
      </c>
      <c r="I1027" t="s">
        <v>126</v>
      </c>
      <c r="J1027" s="89">
        <v>578786</v>
      </c>
      <c r="K1027" t="s">
        <v>127</v>
      </c>
      <c r="L1027" t="s">
        <v>128</v>
      </c>
      <c r="M1027" t="s">
        <v>152</v>
      </c>
      <c r="N1027">
        <v>1</v>
      </c>
      <c r="O1027" s="89">
        <v>1780.88</v>
      </c>
      <c r="P1027" s="89">
        <v>22261</v>
      </c>
      <c r="Q1027" t="s">
        <v>142</v>
      </c>
      <c r="R1027" t="s">
        <v>42</v>
      </c>
    </row>
    <row r="1028" spans="3:18" x14ac:dyDescent="0.25">
      <c r="C1028" t="s">
        <v>47</v>
      </c>
      <c r="D1028" t="s">
        <v>20</v>
      </c>
      <c r="E1028" t="s">
        <v>40</v>
      </c>
      <c r="F1028" t="s">
        <v>41</v>
      </c>
      <c r="G1028" s="89">
        <v>1544863</v>
      </c>
      <c r="H1028" t="s">
        <v>145</v>
      </c>
      <c r="I1028" t="s">
        <v>141</v>
      </c>
      <c r="J1028" s="89">
        <v>10814041</v>
      </c>
      <c r="K1028" t="s">
        <v>127</v>
      </c>
      <c r="L1028" t="s">
        <v>128</v>
      </c>
      <c r="N1028">
        <v>1</v>
      </c>
      <c r="O1028" s="89">
        <v>77243.149999999994</v>
      </c>
      <c r="P1028" s="89">
        <v>386215.75</v>
      </c>
      <c r="Q1028" t="s">
        <v>130</v>
      </c>
      <c r="R1028" t="s">
        <v>131</v>
      </c>
    </row>
    <row r="1029" spans="3:18" hidden="1" x14ac:dyDescent="0.25">
      <c r="C1029" t="s">
        <v>45</v>
      </c>
      <c r="D1029" t="s">
        <v>24</v>
      </c>
      <c r="E1029" t="s">
        <v>40</v>
      </c>
      <c r="F1029" t="s">
        <v>41</v>
      </c>
      <c r="G1029" s="89">
        <v>210255</v>
      </c>
      <c r="H1029" t="s">
        <v>42</v>
      </c>
      <c r="I1029" t="s">
        <v>133</v>
      </c>
      <c r="J1029" s="89">
        <v>6728160</v>
      </c>
      <c r="K1029" t="s">
        <v>144</v>
      </c>
      <c r="N1029">
        <v>1</v>
      </c>
      <c r="O1029" s="89">
        <v>6307.65</v>
      </c>
      <c r="P1029" s="89">
        <v>98819.85</v>
      </c>
      <c r="Q1029" t="s">
        <v>142</v>
      </c>
      <c r="R1029" t="s">
        <v>42</v>
      </c>
    </row>
    <row r="1030" spans="3:18" hidden="1" x14ac:dyDescent="0.25">
      <c r="C1030" t="s">
        <v>45</v>
      </c>
      <c r="D1030" t="s">
        <v>138</v>
      </c>
      <c r="E1030" t="s">
        <v>43</v>
      </c>
      <c r="F1030" t="s">
        <v>41</v>
      </c>
      <c r="G1030" s="89">
        <v>36711</v>
      </c>
      <c r="H1030" t="s">
        <v>42</v>
      </c>
      <c r="I1030" t="s">
        <v>141</v>
      </c>
      <c r="J1030" s="89">
        <v>330399</v>
      </c>
      <c r="K1030" t="s">
        <v>127</v>
      </c>
      <c r="L1030" t="s">
        <v>128</v>
      </c>
      <c r="M1030" t="s">
        <v>152</v>
      </c>
      <c r="N1030">
        <v>1</v>
      </c>
      <c r="O1030" s="89">
        <v>1468.44</v>
      </c>
      <c r="P1030" s="89">
        <v>5873.76</v>
      </c>
      <c r="Q1030" t="s">
        <v>130</v>
      </c>
      <c r="R1030" t="s">
        <v>42</v>
      </c>
    </row>
    <row r="1031" spans="3:18" x14ac:dyDescent="0.25">
      <c r="C1031" t="s">
        <v>47</v>
      </c>
      <c r="D1031" t="s">
        <v>23</v>
      </c>
      <c r="E1031" t="s">
        <v>48</v>
      </c>
      <c r="F1031" t="s">
        <v>41</v>
      </c>
      <c r="G1031" s="89">
        <v>1039953</v>
      </c>
      <c r="H1031" t="s">
        <v>140</v>
      </c>
      <c r="I1031" t="s">
        <v>126</v>
      </c>
      <c r="J1031" s="89">
        <v>12479436</v>
      </c>
      <c r="K1031" t="s">
        <v>127</v>
      </c>
      <c r="L1031" t="s">
        <v>128</v>
      </c>
      <c r="N1031">
        <v>1</v>
      </c>
      <c r="O1031" s="89">
        <v>51997.65</v>
      </c>
      <c r="P1031" s="89">
        <v>270387.78000000003</v>
      </c>
      <c r="Q1031" t="s">
        <v>130</v>
      </c>
      <c r="R1031" t="s">
        <v>131</v>
      </c>
    </row>
    <row r="1032" spans="3:18" hidden="1" x14ac:dyDescent="0.25">
      <c r="C1032" t="s">
        <v>45</v>
      </c>
      <c r="D1032" t="s">
        <v>21</v>
      </c>
      <c r="E1032" t="s">
        <v>43</v>
      </c>
      <c r="F1032" t="s">
        <v>41</v>
      </c>
      <c r="G1032" s="89">
        <v>1384034</v>
      </c>
      <c r="H1032" t="s">
        <v>146</v>
      </c>
      <c r="I1032" t="s">
        <v>126</v>
      </c>
      <c r="J1032" s="89">
        <v>23528578</v>
      </c>
      <c r="K1032" t="s">
        <v>127</v>
      </c>
      <c r="L1032" t="s">
        <v>128</v>
      </c>
      <c r="N1032">
        <v>1</v>
      </c>
      <c r="O1032" s="89">
        <v>41521.019999999997</v>
      </c>
      <c r="P1032" s="89">
        <v>1176428.8999999999</v>
      </c>
      <c r="Q1032" t="s">
        <v>135</v>
      </c>
      <c r="R1032" t="s">
        <v>131</v>
      </c>
    </row>
    <row r="1033" spans="3:18" hidden="1" x14ac:dyDescent="0.25">
      <c r="C1033" t="s">
        <v>45</v>
      </c>
      <c r="D1033" t="s">
        <v>21</v>
      </c>
      <c r="E1033" t="s">
        <v>43</v>
      </c>
      <c r="F1033" t="s">
        <v>41</v>
      </c>
      <c r="G1033" s="89">
        <v>48501</v>
      </c>
      <c r="H1033" t="s">
        <v>140</v>
      </c>
      <c r="I1033" t="s">
        <v>141</v>
      </c>
      <c r="J1033" s="89">
        <v>291006</v>
      </c>
      <c r="K1033" t="s">
        <v>127</v>
      </c>
      <c r="L1033" t="s">
        <v>128</v>
      </c>
      <c r="N1033">
        <v>1</v>
      </c>
      <c r="O1033" s="89">
        <v>1455.03</v>
      </c>
      <c r="P1033" s="89">
        <v>72751.5</v>
      </c>
      <c r="Q1033" t="s">
        <v>150</v>
      </c>
      <c r="R1033" t="s">
        <v>131</v>
      </c>
    </row>
    <row r="1034" spans="3:18" hidden="1" x14ac:dyDescent="0.25">
      <c r="C1034" t="s">
        <v>45</v>
      </c>
      <c r="D1034" t="s">
        <v>24</v>
      </c>
      <c r="E1034" t="s">
        <v>44</v>
      </c>
      <c r="F1034" t="s">
        <v>53</v>
      </c>
      <c r="G1034" s="89">
        <v>80116</v>
      </c>
      <c r="H1034" t="s">
        <v>145</v>
      </c>
      <c r="I1034" t="s">
        <v>133</v>
      </c>
      <c r="J1034" s="89">
        <v>3044408</v>
      </c>
      <c r="K1034" t="s">
        <v>144</v>
      </c>
      <c r="N1034">
        <v>1</v>
      </c>
      <c r="O1034" s="89">
        <v>2403.48</v>
      </c>
      <c r="P1034" s="89">
        <v>17625.52</v>
      </c>
      <c r="Q1034" t="s">
        <v>130</v>
      </c>
      <c r="R1034" t="s">
        <v>131</v>
      </c>
    </row>
    <row r="1035" spans="3:18" x14ac:dyDescent="0.25">
      <c r="C1035" t="s">
        <v>47</v>
      </c>
      <c r="D1035" t="s">
        <v>138</v>
      </c>
      <c r="E1035" t="s">
        <v>48</v>
      </c>
      <c r="F1035" t="s">
        <v>41</v>
      </c>
      <c r="G1035" s="89">
        <v>459286</v>
      </c>
      <c r="H1035" t="s">
        <v>42</v>
      </c>
      <c r="I1035" t="s">
        <v>147</v>
      </c>
      <c r="J1035" s="89">
        <v>1837144</v>
      </c>
      <c r="K1035" t="s">
        <v>127</v>
      </c>
      <c r="L1035" t="s">
        <v>128</v>
      </c>
      <c r="M1035" t="s">
        <v>139</v>
      </c>
      <c r="N1035">
        <v>1</v>
      </c>
      <c r="O1035" s="89">
        <v>18371.439999999999</v>
      </c>
      <c r="P1035" s="89">
        <v>243421.58</v>
      </c>
      <c r="Q1035" t="s">
        <v>142</v>
      </c>
      <c r="R1035" t="s">
        <v>131</v>
      </c>
    </row>
    <row r="1036" spans="3:18" hidden="1" x14ac:dyDescent="0.25">
      <c r="C1036" t="s">
        <v>45</v>
      </c>
      <c r="D1036" t="s">
        <v>23</v>
      </c>
      <c r="E1036" t="s">
        <v>43</v>
      </c>
      <c r="F1036" t="s">
        <v>41</v>
      </c>
      <c r="G1036" s="89">
        <v>1289181</v>
      </c>
      <c r="H1036" t="s">
        <v>145</v>
      </c>
      <c r="I1036" t="s">
        <v>133</v>
      </c>
      <c r="J1036" s="89">
        <v>30940344</v>
      </c>
      <c r="K1036" t="s">
        <v>127</v>
      </c>
      <c r="L1036" t="s">
        <v>128</v>
      </c>
      <c r="N1036">
        <v>1</v>
      </c>
      <c r="O1036" s="89">
        <v>51567.24</v>
      </c>
      <c r="P1036" s="89">
        <v>657482.31000000006</v>
      </c>
      <c r="Q1036" t="s">
        <v>142</v>
      </c>
      <c r="R1036" t="s">
        <v>131</v>
      </c>
    </row>
    <row r="1037" spans="3:18" x14ac:dyDescent="0.25">
      <c r="C1037" t="s">
        <v>47</v>
      </c>
      <c r="D1037" t="s">
        <v>21</v>
      </c>
      <c r="E1037" t="s">
        <v>43</v>
      </c>
      <c r="F1037" t="s">
        <v>41</v>
      </c>
      <c r="G1037" s="89">
        <v>181013</v>
      </c>
      <c r="H1037" t="s">
        <v>140</v>
      </c>
      <c r="I1037" t="s">
        <v>133</v>
      </c>
      <c r="J1037" s="89">
        <v>4887351</v>
      </c>
      <c r="K1037" t="s">
        <v>127</v>
      </c>
      <c r="L1037" t="s">
        <v>128</v>
      </c>
      <c r="N1037">
        <v>1</v>
      </c>
      <c r="O1037" s="89">
        <v>7240.52</v>
      </c>
      <c r="P1037" s="89">
        <v>25341.82</v>
      </c>
      <c r="Q1037" t="s">
        <v>130</v>
      </c>
      <c r="R1037" t="s">
        <v>131</v>
      </c>
    </row>
    <row r="1038" spans="3:18" hidden="1" x14ac:dyDescent="0.25">
      <c r="C1038" t="s">
        <v>45</v>
      </c>
      <c r="D1038" t="s">
        <v>19</v>
      </c>
      <c r="E1038" t="s">
        <v>43</v>
      </c>
      <c r="F1038" t="s">
        <v>41</v>
      </c>
      <c r="G1038" s="89">
        <v>894029</v>
      </c>
      <c r="H1038" t="s">
        <v>154</v>
      </c>
      <c r="I1038" t="s">
        <v>141</v>
      </c>
      <c r="J1038" s="89">
        <v>7152232</v>
      </c>
      <c r="K1038" t="s">
        <v>127</v>
      </c>
      <c r="L1038" t="s">
        <v>128</v>
      </c>
      <c r="N1038">
        <v>1</v>
      </c>
      <c r="O1038" s="89">
        <v>26820.87</v>
      </c>
      <c r="P1038" s="89">
        <v>143044.64000000001</v>
      </c>
      <c r="Q1038" t="s">
        <v>130</v>
      </c>
      <c r="R1038" t="s">
        <v>131</v>
      </c>
    </row>
    <row r="1039" spans="3:18" hidden="1" x14ac:dyDescent="0.25">
      <c r="C1039" t="s">
        <v>45</v>
      </c>
      <c r="D1039" t="s">
        <v>138</v>
      </c>
      <c r="E1039" t="s">
        <v>43</v>
      </c>
      <c r="F1039" t="s">
        <v>41</v>
      </c>
      <c r="G1039" s="89">
        <v>810697</v>
      </c>
      <c r="H1039" t="s">
        <v>42</v>
      </c>
      <c r="I1039" t="s">
        <v>133</v>
      </c>
      <c r="J1039" s="89">
        <v>20267425</v>
      </c>
      <c r="K1039" t="s">
        <v>127</v>
      </c>
      <c r="L1039" t="s">
        <v>128</v>
      </c>
      <c r="M1039" t="s">
        <v>143</v>
      </c>
      <c r="N1039">
        <v>1</v>
      </c>
      <c r="O1039" s="89">
        <v>32427.88</v>
      </c>
      <c r="P1039" s="89">
        <v>413455.47</v>
      </c>
      <c r="Q1039" t="s">
        <v>142</v>
      </c>
      <c r="R1039" t="s">
        <v>42</v>
      </c>
    </row>
    <row r="1040" spans="3:18" hidden="1" x14ac:dyDescent="0.25">
      <c r="C1040" t="s">
        <v>45</v>
      </c>
      <c r="D1040" t="s">
        <v>21</v>
      </c>
      <c r="E1040" t="s">
        <v>43</v>
      </c>
      <c r="F1040" t="s">
        <v>41</v>
      </c>
      <c r="G1040" s="89">
        <v>1032654</v>
      </c>
      <c r="H1040" t="s">
        <v>132</v>
      </c>
      <c r="I1040" t="s">
        <v>133</v>
      </c>
      <c r="J1040" s="89">
        <v>27881658</v>
      </c>
      <c r="K1040" t="s">
        <v>134</v>
      </c>
      <c r="L1040" t="s">
        <v>128</v>
      </c>
      <c r="N1040">
        <v>1</v>
      </c>
      <c r="O1040" s="89">
        <v>30979.62</v>
      </c>
      <c r="P1040" s="89">
        <v>526653.54</v>
      </c>
      <c r="Q1040" t="s">
        <v>142</v>
      </c>
      <c r="R1040" t="s">
        <v>131</v>
      </c>
    </row>
    <row r="1041" spans="3:18" x14ac:dyDescent="0.25">
      <c r="C1041" t="s">
        <v>47</v>
      </c>
      <c r="D1041" t="s">
        <v>20</v>
      </c>
      <c r="E1041" t="s">
        <v>40</v>
      </c>
      <c r="F1041" t="s">
        <v>41</v>
      </c>
      <c r="G1041" s="89">
        <v>445585</v>
      </c>
      <c r="H1041" t="s">
        <v>140</v>
      </c>
      <c r="I1041" t="s">
        <v>126</v>
      </c>
      <c r="J1041" s="89">
        <v>6683775</v>
      </c>
      <c r="K1041" t="s">
        <v>144</v>
      </c>
      <c r="N1041">
        <v>1</v>
      </c>
      <c r="O1041" s="89">
        <v>17823.400000000001</v>
      </c>
      <c r="P1041" s="89">
        <v>294086.09999999998</v>
      </c>
      <c r="Q1041" t="s">
        <v>137</v>
      </c>
      <c r="R1041" t="s">
        <v>131</v>
      </c>
    </row>
    <row r="1042" spans="3:18" hidden="1" x14ac:dyDescent="0.25">
      <c r="C1042" t="s">
        <v>45</v>
      </c>
      <c r="D1042" t="s">
        <v>24</v>
      </c>
      <c r="E1042" t="s">
        <v>44</v>
      </c>
      <c r="F1042" t="s">
        <v>41</v>
      </c>
      <c r="G1042" s="89">
        <v>119253</v>
      </c>
      <c r="H1042" t="s">
        <v>146</v>
      </c>
      <c r="I1042" t="s">
        <v>133</v>
      </c>
      <c r="J1042" s="89">
        <v>3458337</v>
      </c>
      <c r="K1042" t="s">
        <v>144</v>
      </c>
      <c r="N1042">
        <v>1</v>
      </c>
      <c r="O1042" s="89">
        <v>3577.59</v>
      </c>
      <c r="P1042" s="89">
        <v>100172.52</v>
      </c>
      <c r="Q1042" t="s">
        <v>135</v>
      </c>
      <c r="R1042" t="s">
        <v>131</v>
      </c>
    </row>
    <row r="1043" spans="3:18" x14ac:dyDescent="0.25">
      <c r="C1043" t="s">
        <v>47</v>
      </c>
      <c r="D1043" t="s">
        <v>21</v>
      </c>
      <c r="E1043" t="s">
        <v>40</v>
      </c>
      <c r="F1043" t="s">
        <v>41</v>
      </c>
      <c r="G1043" s="89">
        <v>851965</v>
      </c>
      <c r="H1043" t="s">
        <v>146</v>
      </c>
      <c r="I1043" t="s">
        <v>147</v>
      </c>
      <c r="J1043" s="89">
        <v>3407860</v>
      </c>
      <c r="K1043" t="s">
        <v>144</v>
      </c>
      <c r="N1043">
        <v>1</v>
      </c>
      <c r="O1043" s="89">
        <v>25558.95</v>
      </c>
      <c r="P1043" s="89">
        <v>587855.85</v>
      </c>
      <c r="Q1043" t="s">
        <v>137</v>
      </c>
      <c r="R1043" t="s">
        <v>131</v>
      </c>
    </row>
    <row r="1044" spans="3:18" hidden="1" x14ac:dyDescent="0.25">
      <c r="C1044" t="s">
        <v>45</v>
      </c>
      <c r="D1044" t="s">
        <v>21</v>
      </c>
      <c r="E1044" t="s">
        <v>43</v>
      </c>
      <c r="F1044" t="s">
        <v>53</v>
      </c>
      <c r="G1044" s="89">
        <v>488499</v>
      </c>
      <c r="H1044" t="s">
        <v>42</v>
      </c>
      <c r="I1044" t="s">
        <v>133</v>
      </c>
      <c r="J1044" s="89">
        <v>10746978</v>
      </c>
      <c r="K1044" t="s">
        <v>127</v>
      </c>
      <c r="L1044" t="s">
        <v>128</v>
      </c>
      <c r="M1044" t="s">
        <v>129</v>
      </c>
      <c r="N1044">
        <v>1</v>
      </c>
      <c r="O1044" s="89">
        <v>19539.96</v>
      </c>
      <c r="P1044" s="89">
        <v>317524.34999999998</v>
      </c>
      <c r="Q1044" t="s">
        <v>137</v>
      </c>
      <c r="R1044" t="s">
        <v>42</v>
      </c>
    </row>
    <row r="1045" spans="3:18" x14ac:dyDescent="0.25">
      <c r="C1045" t="s">
        <v>47</v>
      </c>
      <c r="D1045" t="s">
        <v>21</v>
      </c>
      <c r="E1045" t="s">
        <v>40</v>
      </c>
      <c r="F1045" t="s">
        <v>41</v>
      </c>
      <c r="G1045" s="89">
        <v>658272</v>
      </c>
      <c r="H1045" t="s">
        <v>140</v>
      </c>
      <c r="I1045" t="s">
        <v>126</v>
      </c>
      <c r="J1045" s="89">
        <v>8557536</v>
      </c>
      <c r="K1045" t="s">
        <v>127</v>
      </c>
      <c r="L1045" t="s">
        <v>128</v>
      </c>
      <c r="N1045">
        <v>1</v>
      </c>
      <c r="O1045" s="89">
        <v>26330.880000000001</v>
      </c>
      <c r="P1045" s="89">
        <v>572696.64</v>
      </c>
      <c r="Q1045" t="s">
        <v>135</v>
      </c>
      <c r="R1045" t="s">
        <v>131</v>
      </c>
    </row>
    <row r="1046" spans="3:18" x14ac:dyDescent="0.25">
      <c r="C1046" t="s">
        <v>47</v>
      </c>
      <c r="D1046" t="s">
        <v>22</v>
      </c>
      <c r="E1046" t="s">
        <v>43</v>
      </c>
      <c r="F1046" t="s">
        <v>41</v>
      </c>
      <c r="G1046" s="89">
        <v>324224</v>
      </c>
      <c r="H1046" t="s">
        <v>145</v>
      </c>
      <c r="I1046" t="s">
        <v>147</v>
      </c>
      <c r="J1046" s="89">
        <v>648448</v>
      </c>
      <c r="K1046" t="s">
        <v>127</v>
      </c>
      <c r="L1046" t="s">
        <v>128</v>
      </c>
      <c r="N1046">
        <v>1</v>
      </c>
      <c r="O1046" s="89">
        <v>9726.7199999999993</v>
      </c>
      <c r="P1046" s="89">
        <v>55118.080000000002</v>
      </c>
      <c r="Q1046" t="s">
        <v>130</v>
      </c>
      <c r="R1046" t="s">
        <v>131</v>
      </c>
    </row>
    <row r="1047" spans="3:18" hidden="1" x14ac:dyDescent="0.25">
      <c r="C1047" t="s">
        <v>45</v>
      </c>
      <c r="D1047" t="s">
        <v>138</v>
      </c>
      <c r="E1047" t="s">
        <v>43</v>
      </c>
      <c r="F1047" t="s">
        <v>41</v>
      </c>
      <c r="G1047" s="89">
        <v>2268</v>
      </c>
      <c r="H1047" t="s">
        <v>42</v>
      </c>
      <c r="I1047" t="s">
        <v>147</v>
      </c>
      <c r="J1047" s="89"/>
      <c r="K1047" t="s">
        <v>127</v>
      </c>
      <c r="L1047" t="s">
        <v>128</v>
      </c>
      <c r="M1047" t="s">
        <v>139</v>
      </c>
      <c r="N1047">
        <v>0</v>
      </c>
      <c r="O1047" s="89">
        <v>0</v>
      </c>
      <c r="P1047" s="89">
        <v>0</v>
      </c>
      <c r="Q1047" t="s">
        <v>130</v>
      </c>
      <c r="R1047" t="s">
        <v>131</v>
      </c>
    </row>
    <row r="1048" spans="3:18" x14ac:dyDescent="0.25">
      <c r="C1048" t="s">
        <v>47</v>
      </c>
      <c r="D1048" t="s">
        <v>22</v>
      </c>
      <c r="E1048" t="s">
        <v>40</v>
      </c>
      <c r="F1048" t="s">
        <v>41</v>
      </c>
      <c r="G1048" s="89">
        <v>1767207</v>
      </c>
      <c r="H1048" t="s">
        <v>146</v>
      </c>
      <c r="I1048" t="s">
        <v>126</v>
      </c>
      <c r="J1048" s="89">
        <v>22973691</v>
      </c>
      <c r="K1048" t="s">
        <v>144</v>
      </c>
      <c r="N1048">
        <v>1</v>
      </c>
      <c r="O1048" s="89">
        <v>88360.35</v>
      </c>
      <c r="P1048" s="89">
        <v>1272389.04</v>
      </c>
      <c r="Q1048" t="s">
        <v>137</v>
      </c>
      <c r="R1048" t="s">
        <v>131</v>
      </c>
    </row>
    <row r="1049" spans="3:18" hidden="1" x14ac:dyDescent="0.25">
      <c r="C1049" t="s">
        <v>45</v>
      </c>
      <c r="D1049" t="s">
        <v>20</v>
      </c>
      <c r="E1049" t="s">
        <v>43</v>
      </c>
      <c r="F1049" t="s">
        <v>53</v>
      </c>
      <c r="G1049" s="89">
        <v>199156</v>
      </c>
      <c r="H1049" t="s">
        <v>42</v>
      </c>
      <c r="I1049" t="s">
        <v>133</v>
      </c>
      <c r="J1049" s="89">
        <v>7368772</v>
      </c>
      <c r="K1049" t="s">
        <v>134</v>
      </c>
      <c r="N1049">
        <v>1</v>
      </c>
      <c r="O1049" s="89">
        <v>5974.68</v>
      </c>
      <c r="P1049" s="89">
        <v>119493.6</v>
      </c>
      <c r="Q1049" t="s">
        <v>137</v>
      </c>
      <c r="R1049" t="s">
        <v>42</v>
      </c>
    </row>
    <row r="1050" spans="3:18" hidden="1" x14ac:dyDescent="0.25">
      <c r="C1050" t="s">
        <v>45</v>
      </c>
      <c r="D1050" t="s">
        <v>23</v>
      </c>
      <c r="E1050" t="s">
        <v>40</v>
      </c>
      <c r="F1050" t="s">
        <v>41</v>
      </c>
      <c r="G1050" s="89">
        <v>10814</v>
      </c>
      <c r="H1050" t="s">
        <v>146</v>
      </c>
      <c r="I1050" t="s">
        <v>126</v>
      </c>
      <c r="J1050" s="89">
        <v>194652</v>
      </c>
      <c r="K1050" t="s">
        <v>127</v>
      </c>
      <c r="L1050" t="s">
        <v>128</v>
      </c>
      <c r="N1050">
        <v>1</v>
      </c>
      <c r="O1050" s="89">
        <v>324.42</v>
      </c>
      <c r="P1050" s="89">
        <v>10273.299999999999</v>
      </c>
      <c r="Q1050" t="s">
        <v>135</v>
      </c>
      <c r="R1050" t="s">
        <v>131</v>
      </c>
    </row>
    <row r="1051" spans="3:18" hidden="1" x14ac:dyDescent="0.25">
      <c r="C1051" t="s">
        <v>45</v>
      </c>
      <c r="D1051" t="s">
        <v>22</v>
      </c>
      <c r="E1051" t="s">
        <v>44</v>
      </c>
      <c r="F1051" t="s">
        <v>41</v>
      </c>
      <c r="G1051" s="89">
        <v>66896068</v>
      </c>
      <c r="H1051" t="s">
        <v>42</v>
      </c>
      <c r="I1051" t="s">
        <v>133</v>
      </c>
      <c r="J1051" s="89">
        <v>2408258448</v>
      </c>
      <c r="K1051" t="s">
        <v>144</v>
      </c>
      <c r="N1051">
        <v>1</v>
      </c>
      <c r="O1051" s="89">
        <v>2006882.04</v>
      </c>
      <c r="P1051" s="89">
        <v>60206461.200000003</v>
      </c>
      <c r="Q1051" t="s">
        <v>135</v>
      </c>
      <c r="R1051" t="s">
        <v>42</v>
      </c>
    </row>
    <row r="1052" spans="3:18" hidden="1" x14ac:dyDescent="0.25">
      <c r="C1052" t="s">
        <v>45</v>
      </c>
      <c r="D1052" t="s">
        <v>22</v>
      </c>
      <c r="E1052" t="s">
        <v>46</v>
      </c>
      <c r="F1052" t="s">
        <v>41</v>
      </c>
      <c r="G1052" s="89">
        <v>261924</v>
      </c>
      <c r="H1052" t="s">
        <v>42</v>
      </c>
      <c r="I1052" t="s">
        <v>126</v>
      </c>
      <c r="J1052" s="89">
        <v>4452708</v>
      </c>
      <c r="K1052" t="s">
        <v>127</v>
      </c>
      <c r="L1052" t="s">
        <v>128</v>
      </c>
      <c r="M1052" t="s">
        <v>143</v>
      </c>
      <c r="N1052">
        <v>1</v>
      </c>
      <c r="O1052" s="89">
        <v>7857.72</v>
      </c>
      <c r="P1052" s="89">
        <v>70719.48</v>
      </c>
      <c r="Q1052" t="s">
        <v>130</v>
      </c>
      <c r="R1052" t="s">
        <v>42</v>
      </c>
    </row>
    <row r="1053" spans="3:18" hidden="1" x14ac:dyDescent="0.25">
      <c r="C1053" t="s">
        <v>45</v>
      </c>
      <c r="D1053" t="s">
        <v>21</v>
      </c>
      <c r="E1053" t="s">
        <v>43</v>
      </c>
      <c r="F1053" t="s">
        <v>41</v>
      </c>
      <c r="G1053" s="89">
        <v>107757947</v>
      </c>
      <c r="H1053" t="s">
        <v>132</v>
      </c>
      <c r="I1053" t="s">
        <v>126</v>
      </c>
      <c r="J1053" s="89">
        <v>1724127152</v>
      </c>
      <c r="K1053" t="s">
        <v>127</v>
      </c>
      <c r="L1053" t="s">
        <v>128</v>
      </c>
      <c r="N1053">
        <v>1</v>
      </c>
      <c r="O1053" s="89">
        <v>3232738.41</v>
      </c>
      <c r="P1053" s="89">
        <v>52801394.030000001</v>
      </c>
      <c r="Q1053" t="s">
        <v>142</v>
      </c>
      <c r="R1053" t="s">
        <v>131</v>
      </c>
    </row>
    <row r="1054" spans="3:18" hidden="1" x14ac:dyDescent="0.25">
      <c r="C1054" t="s">
        <v>45</v>
      </c>
      <c r="D1054" t="s">
        <v>22</v>
      </c>
      <c r="E1054" t="s">
        <v>43</v>
      </c>
      <c r="F1054" t="s">
        <v>41</v>
      </c>
      <c r="G1054" s="89">
        <v>367230</v>
      </c>
      <c r="H1054" t="s">
        <v>42</v>
      </c>
      <c r="I1054" t="s">
        <v>133</v>
      </c>
      <c r="J1054" s="89">
        <v>9915210</v>
      </c>
      <c r="K1054" t="s">
        <v>134</v>
      </c>
      <c r="L1054" t="s">
        <v>128</v>
      </c>
      <c r="M1054" t="s">
        <v>143</v>
      </c>
      <c r="N1054">
        <v>1</v>
      </c>
      <c r="O1054" s="89">
        <v>11016.9</v>
      </c>
      <c r="P1054" s="89">
        <v>102824.4</v>
      </c>
      <c r="Q1054" t="s">
        <v>130</v>
      </c>
      <c r="R1054" t="s">
        <v>131</v>
      </c>
    </row>
    <row r="1055" spans="3:18" hidden="1" x14ac:dyDescent="0.25">
      <c r="C1055" t="s">
        <v>45</v>
      </c>
      <c r="D1055" t="s">
        <v>24</v>
      </c>
      <c r="E1055" t="s">
        <v>44</v>
      </c>
      <c r="F1055" t="s">
        <v>41</v>
      </c>
      <c r="G1055" s="89">
        <v>123862</v>
      </c>
      <c r="H1055" t="s">
        <v>42</v>
      </c>
      <c r="I1055" t="s">
        <v>126</v>
      </c>
      <c r="J1055" s="89">
        <v>2229516</v>
      </c>
      <c r="K1055" t="s">
        <v>127</v>
      </c>
      <c r="L1055" t="s">
        <v>128</v>
      </c>
      <c r="M1055" t="s">
        <v>148</v>
      </c>
      <c r="N1055">
        <v>1</v>
      </c>
      <c r="O1055" s="89">
        <v>3715.86</v>
      </c>
      <c r="P1055" s="89">
        <v>151111.64000000001</v>
      </c>
      <c r="Q1055" t="s">
        <v>150</v>
      </c>
      <c r="R1055" t="s">
        <v>42</v>
      </c>
    </row>
    <row r="1056" spans="3:18" hidden="1" x14ac:dyDescent="0.25">
      <c r="C1056" t="s">
        <v>45</v>
      </c>
      <c r="D1056" t="s">
        <v>24</v>
      </c>
      <c r="E1056" t="s">
        <v>48</v>
      </c>
      <c r="F1056" t="s">
        <v>41</v>
      </c>
      <c r="G1056" s="89">
        <v>12701</v>
      </c>
      <c r="H1056" t="s">
        <v>42</v>
      </c>
      <c r="I1056" t="s">
        <v>141</v>
      </c>
      <c r="J1056" s="89">
        <v>114309</v>
      </c>
      <c r="K1056" t="s">
        <v>127</v>
      </c>
      <c r="L1056" t="s">
        <v>128</v>
      </c>
      <c r="M1056" t="s">
        <v>148</v>
      </c>
      <c r="N1056">
        <v>1</v>
      </c>
      <c r="O1056" s="89">
        <v>381.03</v>
      </c>
      <c r="P1056" s="89">
        <v>10414.82</v>
      </c>
      <c r="Q1056" t="s">
        <v>135</v>
      </c>
      <c r="R1056" t="s">
        <v>131</v>
      </c>
    </row>
    <row r="1057" spans="3:18" hidden="1" x14ac:dyDescent="0.25">
      <c r="C1057" t="s">
        <v>45</v>
      </c>
      <c r="D1057" t="s">
        <v>24</v>
      </c>
      <c r="E1057" t="s">
        <v>46</v>
      </c>
      <c r="F1057" t="s">
        <v>41</v>
      </c>
      <c r="G1057" s="89">
        <v>22371620</v>
      </c>
      <c r="H1057" t="s">
        <v>42</v>
      </c>
      <c r="I1057" t="s">
        <v>133</v>
      </c>
      <c r="J1057" s="89">
        <v>805378320</v>
      </c>
      <c r="K1057" t="s">
        <v>144</v>
      </c>
      <c r="N1057">
        <v>1</v>
      </c>
      <c r="O1057" s="89">
        <v>671148.6</v>
      </c>
      <c r="P1057" s="89">
        <v>19910741.800000001</v>
      </c>
      <c r="Q1057" t="s">
        <v>135</v>
      </c>
      <c r="R1057" t="s">
        <v>42</v>
      </c>
    </row>
    <row r="1058" spans="3:18" x14ac:dyDescent="0.25">
      <c r="C1058" t="s">
        <v>47</v>
      </c>
      <c r="D1058" t="s">
        <v>149</v>
      </c>
      <c r="E1058" t="s">
        <v>40</v>
      </c>
      <c r="F1058" t="s">
        <v>41</v>
      </c>
      <c r="G1058" s="89">
        <v>817214</v>
      </c>
      <c r="H1058" t="s">
        <v>42</v>
      </c>
      <c r="I1058" t="s">
        <v>141</v>
      </c>
      <c r="J1058" s="89">
        <v>4903284</v>
      </c>
      <c r="K1058" t="s">
        <v>127</v>
      </c>
      <c r="L1058" t="s">
        <v>128</v>
      </c>
      <c r="M1058" t="s">
        <v>136</v>
      </c>
      <c r="N1058">
        <v>1</v>
      </c>
      <c r="O1058" s="89">
        <v>32688.560000000001</v>
      </c>
      <c r="P1058" s="89">
        <v>286024.90000000002</v>
      </c>
      <c r="Q1058" t="s">
        <v>130</v>
      </c>
      <c r="R1058" t="s">
        <v>131</v>
      </c>
    </row>
    <row r="1059" spans="3:18" hidden="1" x14ac:dyDescent="0.25">
      <c r="C1059" t="s">
        <v>45</v>
      </c>
      <c r="D1059" t="s">
        <v>22</v>
      </c>
      <c r="E1059" t="s">
        <v>40</v>
      </c>
      <c r="F1059" t="s">
        <v>41</v>
      </c>
      <c r="G1059" s="89">
        <v>155828</v>
      </c>
      <c r="H1059" t="s">
        <v>42</v>
      </c>
      <c r="I1059" t="s">
        <v>153</v>
      </c>
      <c r="J1059" s="89"/>
      <c r="K1059" t="s">
        <v>127</v>
      </c>
      <c r="L1059" t="s">
        <v>128</v>
      </c>
      <c r="M1059" t="s">
        <v>143</v>
      </c>
      <c r="N1059">
        <v>0</v>
      </c>
      <c r="O1059" s="89">
        <v>6233.12</v>
      </c>
      <c r="P1059" s="89">
        <v>48306.68</v>
      </c>
      <c r="Q1059" t="s">
        <v>130</v>
      </c>
      <c r="R1059" t="s">
        <v>131</v>
      </c>
    </row>
    <row r="1060" spans="3:18" hidden="1" x14ac:dyDescent="0.25">
      <c r="C1060" t="s">
        <v>45</v>
      </c>
      <c r="D1060" t="s">
        <v>138</v>
      </c>
      <c r="E1060" t="s">
        <v>43</v>
      </c>
      <c r="F1060" t="s">
        <v>41</v>
      </c>
      <c r="G1060" s="89">
        <v>80810</v>
      </c>
      <c r="H1060" t="s">
        <v>145</v>
      </c>
      <c r="I1060" t="s">
        <v>126</v>
      </c>
      <c r="J1060" s="89">
        <v>1212150</v>
      </c>
      <c r="K1060" t="s">
        <v>134</v>
      </c>
      <c r="L1060" t="s">
        <v>128</v>
      </c>
      <c r="N1060">
        <v>1</v>
      </c>
      <c r="O1060" s="89">
        <v>1616.2</v>
      </c>
      <c r="P1060" s="89">
        <v>52526.5</v>
      </c>
      <c r="Q1060" t="s">
        <v>137</v>
      </c>
      <c r="R1060" t="s">
        <v>131</v>
      </c>
    </row>
    <row r="1061" spans="3:18" hidden="1" x14ac:dyDescent="0.25">
      <c r="C1061" t="s">
        <v>45</v>
      </c>
      <c r="D1061" t="s">
        <v>21</v>
      </c>
      <c r="E1061" t="s">
        <v>43</v>
      </c>
      <c r="F1061" t="s">
        <v>41</v>
      </c>
      <c r="G1061" s="89">
        <v>973811</v>
      </c>
      <c r="H1061" t="s">
        <v>146</v>
      </c>
      <c r="I1061" t="s">
        <v>133</v>
      </c>
      <c r="J1061" s="89">
        <v>31161952</v>
      </c>
      <c r="K1061" t="s">
        <v>134</v>
      </c>
      <c r="L1061" t="s">
        <v>128</v>
      </c>
      <c r="N1061">
        <v>1</v>
      </c>
      <c r="O1061" s="89">
        <v>29214.33</v>
      </c>
      <c r="P1061" s="89">
        <v>837477.46</v>
      </c>
      <c r="Q1061" t="s">
        <v>135</v>
      </c>
      <c r="R1061" t="s">
        <v>131</v>
      </c>
    </row>
    <row r="1062" spans="3:18" hidden="1" x14ac:dyDescent="0.25">
      <c r="C1062" t="s">
        <v>45</v>
      </c>
      <c r="D1062" t="s">
        <v>24</v>
      </c>
      <c r="E1062" t="s">
        <v>40</v>
      </c>
      <c r="F1062" t="s">
        <v>41</v>
      </c>
      <c r="G1062" s="89">
        <v>4773</v>
      </c>
      <c r="H1062" t="s">
        <v>132</v>
      </c>
      <c r="I1062" t="s">
        <v>133</v>
      </c>
      <c r="J1062" s="89">
        <v>105006</v>
      </c>
      <c r="K1062" t="s">
        <v>134</v>
      </c>
      <c r="L1062" t="s">
        <v>128</v>
      </c>
      <c r="N1062">
        <v>1</v>
      </c>
      <c r="O1062" s="89">
        <v>190.92</v>
      </c>
      <c r="P1062" s="89">
        <v>190.92</v>
      </c>
      <c r="Q1062" t="s">
        <v>130</v>
      </c>
      <c r="R1062" t="s">
        <v>131</v>
      </c>
    </row>
    <row r="1063" spans="3:18" x14ac:dyDescent="0.25">
      <c r="C1063" t="s">
        <v>47</v>
      </c>
      <c r="D1063" t="s">
        <v>22</v>
      </c>
      <c r="E1063" t="s">
        <v>40</v>
      </c>
      <c r="F1063" t="s">
        <v>41</v>
      </c>
      <c r="G1063" s="89">
        <v>1496</v>
      </c>
      <c r="H1063" t="s">
        <v>140</v>
      </c>
      <c r="I1063" t="s">
        <v>133</v>
      </c>
      <c r="J1063" s="89">
        <v>35904</v>
      </c>
      <c r="K1063" t="s">
        <v>127</v>
      </c>
      <c r="L1063" t="s">
        <v>128</v>
      </c>
      <c r="N1063">
        <v>1</v>
      </c>
      <c r="O1063" s="89">
        <v>29.92</v>
      </c>
      <c r="P1063" s="89">
        <v>2244</v>
      </c>
      <c r="Q1063" t="s">
        <v>150</v>
      </c>
      <c r="R1063" t="s">
        <v>131</v>
      </c>
    </row>
    <row r="1064" spans="3:18" hidden="1" x14ac:dyDescent="0.25">
      <c r="C1064" t="s">
        <v>39</v>
      </c>
      <c r="D1064" t="s">
        <v>21</v>
      </c>
      <c r="E1064" t="s">
        <v>48</v>
      </c>
      <c r="F1064" t="s">
        <v>41</v>
      </c>
      <c r="G1064" s="89">
        <v>79622</v>
      </c>
      <c r="H1064" t="s">
        <v>42</v>
      </c>
      <c r="I1064" t="s">
        <v>133</v>
      </c>
      <c r="J1064" s="89"/>
      <c r="N1064">
        <v>0</v>
      </c>
      <c r="O1064" s="89"/>
      <c r="P1064" s="89"/>
      <c r="R1064" t="s">
        <v>131</v>
      </c>
    </row>
    <row r="1065" spans="3:18" x14ac:dyDescent="0.25">
      <c r="C1065" t="s">
        <v>47</v>
      </c>
      <c r="D1065" t="s">
        <v>21</v>
      </c>
      <c r="E1065" t="s">
        <v>40</v>
      </c>
      <c r="F1065" t="s">
        <v>41</v>
      </c>
      <c r="G1065" s="89">
        <v>310224</v>
      </c>
      <c r="H1065" t="s">
        <v>146</v>
      </c>
      <c r="I1065" t="s">
        <v>141</v>
      </c>
      <c r="J1065" s="89">
        <v>2792016</v>
      </c>
      <c r="K1065" t="s">
        <v>144</v>
      </c>
      <c r="N1065">
        <v>1</v>
      </c>
      <c r="O1065" s="89">
        <v>12408.96</v>
      </c>
      <c r="P1065" s="89">
        <v>139600.79999999999</v>
      </c>
      <c r="Q1065" t="s">
        <v>142</v>
      </c>
      <c r="R1065" t="s">
        <v>131</v>
      </c>
    </row>
    <row r="1066" spans="3:18" hidden="1" x14ac:dyDescent="0.25">
      <c r="C1066" t="s">
        <v>39</v>
      </c>
      <c r="D1066" t="s">
        <v>24</v>
      </c>
      <c r="E1066" t="s">
        <v>48</v>
      </c>
      <c r="F1066" t="s">
        <v>41</v>
      </c>
      <c r="G1066" s="89">
        <v>309551</v>
      </c>
      <c r="H1066" t="s">
        <v>42</v>
      </c>
      <c r="I1066" t="s">
        <v>133</v>
      </c>
      <c r="J1066" s="89"/>
      <c r="N1066">
        <v>0</v>
      </c>
      <c r="O1066" s="89"/>
      <c r="P1066" s="89"/>
      <c r="R1066" t="s">
        <v>131</v>
      </c>
    </row>
    <row r="1067" spans="3:18" hidden="1" x14ac:dyDescent="0.25">
      <c r="C1067" t="s">
        <v>39</v>
      </c>
      <c r="D1067" t="s">
        <v>138</v>
      </c>
      <c r="E1067" t="s">
        <v>43</v>
      </c>
      <c r="F1067" t="s">
        <v>41</v>
      </c>
      <c r="G1067" s="89">
        <v>49334</v>
      </c>
      <c r="H1067" t="s">
        <v>42</v>
      </c>
      <c r="I1067" t="s">
        <v>133</v>
      </c>
      <c r="J1067" s="89"/>
      <c r="N1067">
        <v>0</v>
      </c>
      <c r="O1067" s="89"/>
      <c r="P1067" s="89"/>
      <c r="R1067" t="s">
        <v>131</v>
      </c>
    </row>
    <row r="1068" spans="3:18" hidden="1" x14ac:dyDescent="0.25">
      <c r="C1068" t="s">
        <v>45</v>
      </c>
      <c r="D1068" t="s">
        <v>138</v>
      </c>
      <c r="E1068" t="s">
        <v>40</v>
      </c>
      <c r="F1068" t="s">
        <v>41</v>
      </c>
      <c r="G1068" s="89">
        <v>26999</v>
      </c>
      <c r="H1068" t="s">
        <v>145</v>
      </c>
      <c r="I1068" t="s">
        <v>133</v>
      </c>
      <c r="J1068" s="89">
        <v>701974</v>
      </c>
      <c r="K1068" t="s">
        <v>144</v>
      </c>
      <c r="N1068">
        <v>1</v>
      </c>
      <c r="O1068" s="89">
        <v>809.97</v>
      </c>
      <c r="P1068" s="89">
        <v>8369.69</v>
      </c>
      <c r="Q1068" t="s">
        <v>130</v>
      </c>
      <c r="R1068" t="s">
        <v>131</v>
      </c>
    </row>
    <row r="1069" spans="3:18" hidden="1" x14ac:dyDescent="0.25">
      <c r="C1069" t="s">
        <v>45</v>
      </c>
      <c r="D1069" t="s">
        <v>25</v>
      </c>
      <c r="E1069" t="s">
        <v>44</v>
      </c>
      <c r="F1069" t="s">
        <v>41</v>
      </c>
      <c r="G1069" s="89">
        <v>1073802</v>
      </c>
      <c r="H1069" t="s">
        <v>146</v>
      </c>
      <c r="I1069" t="s">
        <v>133</v>
      </c>
      <c r="J1069" s="89">
        <v>25771248</v>
      </c>
      <c r="K1069" t="s">
        <v>127</v>
      </c>
      <c r="L1069" t="s">
        <v>128</v>
      </c>
      <c r="N1069">
        <v>1</v>
      </c>
      <c r="O1069" s="89">
        <v>32214.06</v>
      </c>
      <c r="P1069" s="89">
        <v>719447.34</v>
      </c>
      <c r="Q1069" t="s">
        <v>137</v>
      </c>
      <c r="R1069" t="s">
        <v>131</v>
      </c>
    </row>
    <row r="1070" spans="3:18" x14ac:dyDescent="0.25">
      <c r="C1070" t="s">
        <v>47</v>
      </c>
      <c r="D1070" t="s">
        <v>50</v>
      </c>
      <c r="E1070" t="s">
        <v>50</v>
      </c>
      <c r="F1070" t="s">
        <v>41</v>
      </c>
      <c r="G1070" s="89">
        <v>25254</v>
      </c>
      <c r="H1070" t="s">
        <v>79</v>
      </c>
      <c r="I1070" t="s">
        <v>153</v>
      </c>
      <c r="J1070" s="89"/>
      <c r="K1070" t="s">
        <v>127</v>
      </c>
      <c r="N1070">
        <v>0</v>
      </c>
      <c r="O1070" s="89">
        <v>1262.7</v>
      </c>
      <c r="P1070" s="89">
        <v>29799.72</v>
      </c>
      <c r="Q1070" t="s">
        <v>150</v>
      </c>
      <c r="R1070" t="s">
        <v>79</v>
      </c>
    </row>
    <row r="1071" spans="3:18" x14ac:dyDescent="0.25">
      <c r="C1071" t="s">
        <v>47</v>
      </c>
      <c r="D1071" t="s">
        <v>23</v>
      </c>
      <c r="E1071" t="s">
        <v>40</v>
      </c>
      <c r="F1071" t="s">
        <v>41</v>
      </c>
      <c r="G1071" s="89">
        <v>601779</v>
      </c>
      <c r="H1071" t="s">
        <v>132</v>
      </c>
      <c r="I1071" t="s">
        <v>141</v>
      </c>
      <c r="J1071" s="89">
        <v>4814232</v>
      </c>
      <c r="K1071" t="s">
        <v>127</v>
      </c>
      <c r="L1071" t="s">
        <v>128</v>
      </c>
      <c r="N1071">
        <v>1</v>
      </c>
      <c r="O1071" s="89">
        <v>24071.16</v>
      </c>
      <c r="P1071" s="89">
        <v>324960.65999999997</v>
      </c>
      <c r="Q1071" t="s">
        <v>142</v>
      </c>
      <c r="R1071" t="s">
        <v>131</v>
      </c>
    </row>
    <row r="1072" spans="3:18" hidden="1" x14ac:dyDescent="0.25">
      <c r="C1072" t="s">
        <v>45</v>
      </c>
      <c r="D1072" t="s">
        <v>23</v>
      </c>
      <c r="E1072" t="s">
        <v>44</v>
      </c>
      <c r="F1072" t="s">
        <v>53</v>
      </c>
      <c r="G1072" s="89">
        <v>573622</v>
      </c>
      <c r="H1072" t="s">
        <v>42</v>
      </c>
      <c r="I1072" t="s">
        <v>133</v>
      </c>
      <c r="J1072" s="89">
        <v>15487794</v>
      </c>
      <c r="K1072" t="s">
        <v>144</v>
      </c>
      <c r="N1072">
        <v>1</v>
      </c>
      <c r="O1072" s="89">
        <v>17208.66</v>
      </c>
      <c r="P1072" s="89">
        <v>292547.21999999997</v>
      </c>
      <c r="Q1072" t="s">
        <v>142</v>
      </c>
      <c r="R1072" t="s">
        <v>42</v>
      </c>
    </row>
    <row r="1073" spans="3:18" hidden="1" x14ac:dyDescent="0.25">
      <c r="C1073" t="s">
        <v>45</v>
      </c>
      <c r="D1073" t="s">
        <v>149</v>
      </c>
      <c r="E1073" t="s">
        <v>43</v>
      </c>
      <c r="F1073" t="s">
        <v>41</v>
      </c>
      <c r="G1073" s="89">
        <v>130151</v>
      </c>
      <c r="H1073" t="s">
        <v>132</v>
      </c>
      <c r="I1073" t="s">
        <v>133</v>
      </c>
      <c r="J1073" s="89">
        <v>4034681</v>
      </c>
      <c r="K1073" t="s">
        <v>144</v>
      </c>
      <c r="N1073">
        <v>1</v>
      </c>
      <c r="O1073" s="89">
        <v>3904.53</v>
      </c>
      <c r="P1073" s="89">
        <v>70281.539999999994</v>
      </c>
      <c r="Q1073" t="s">
        <v>142</v>
      </c>
      <c r="R1073" t="s">
        <v>131</v>
      </c>
    </row>
    <row r="1074" spans="3:18" hidden="1" x14ac:dyDescent="0.25">
      <c r="C1074" t="s">
        <v>45</v>
      </c>
      <c r="D1074" t="s">
        <v>20</v>
      </c>
      <c r="E1074" t="s">
        <v>43</v>
      </c>
      <c r="F1074" t="s">
        <v>41</v>
      </c>
      <c r="G1074" s="89">
        <v>892109</v>
      </c>
      <c r="H1074" t="s">
        <v>42</v>
      </c>
      <c r="I1074" t="s">
        <v>133</v>
      </c>
      <c r="J1074" s="89">
        <v>25871161</v>
      </c>
      <c r="K1074" t="s">
        <v>127</v>
      </c>
      <c r="L1074" t="s">
        <v>128</v>
      </c>
      <c r="M1074" t="s">
        <v>129</v>
      </c>
      <c r="N1074">
        <v>1</v>
      </c>
      <c r="O1074" s="89">
        <v>26763.27</v>
      </c>
      <c r="P1074" s="89">
        <v>231948.34</v>
      </c>
      <c r="Q1074" t="s">
        <v>130</v>
      </c>
      <c r="R1074" t="s">
        <v>42</v>
      </c>
    </row>
    <row r="1075" spans="3:18" x14ac:dyDescent="0.25">
      <c r="C1075" t="s">
        <v>47</v>
      </c>
      <c r="D1075" t="s">
        <v>20</v>
      </c>
      <c r="E1075" t="s">
        <v>40</v>
      </c>
      <c r="F1075" t="s">
        <v>41</v>
      </c>
      <c r="G1075" s="89">
        <v>416548</v>
      </c>
      <c r="H1075" t="s">
        <v>146</v>
      </c>
      <c r="I1075" t="s">
        <v>126</v>
      </c>
      <c r="J1075" s="89">
        <v>5831672</v>
      </c>
      <c r="K1075" t="s">
        <v>144</v>
      </c>
      <c r="N1075">
        <v>1</v>
      </c>
      <c r="O1075" s="89">
        <v>16661.919999999998</v>
      </c>
      <c r="P1075" s="89">
        <v>354065.8</v>
      </c>
      <c r="Q1075" t="s">
        <v>135</v>
      </c>
      <c r="R1075" t="s">
        <v>131</v>
      </c>
    </row>
    <row r="1076" spans="3:18" hidden="1" x14ac:dyDescent="0.25">
      <c r="C1076" t="s">
        <v>45</v>
      </c>
      <c r="D1076" t="s">
        <v>23</v>
      </c>
      <c r="E1076" t="s">
        <v>40</v>
      </c>
      <c r="F1076" t="s">
        <v>41</v>
      </c>
      <c r="G1076" s="89">
        <v>3103183</v>
      </c>
      <c r="H1076" t="s">
        <v>42</v>
      </c>
      <c r="I1076" t="s">
        <v>133</v>
      </c>
      <c r="J1076" s="89">
        <v>99301856</v>
      </c>
      <c r="K1076" t="s">
        <v>134</v>
      </c>
      <c r="L1076" t="s">
        <v>128</v>
      </c>
      <c r="M1076" t="s">
        <v>152</v>
      </c>
      <c r="N1076">
        <v>1</v>
      </c>
      <c r="O1076" s="89">
        <v>93095.49</v>
      </c>
      <c r="P1076" s="89">
        <v>2141196.27</v>
      </c>
      <c r="Q1076" t="s">
        <v>137</v>
      </c>
      <c r="R1076" t="s">
        <v>131</v>
      </c>
    </row>
    <row r="1077" spans="3:18" hidden="1" x14ac:dyDescent="0.25">
      <c r="C1077" t="s">
        <v>45</v>
      </c>
      <c r="D1077" t="s">
        <v>22</v>
      </c>
      <c r="E1077" t="s">
        <v>43</v>
      </c>
      <c r="F1077" t="s">
        <v>41</v>
      </c>
      <c r="G1077" s="89">
        <v>306041</v>
      </c>
      <c r="H1077" t="s">
        <v>140</v>
      </c>
      <c r="I1077" t="s">
        <v>133</v>
      </c>
      <c r="J1077" s="89">
        <v>8263107</v>
      </c>
      <c r="K1077" t="s">
        <v>144</v>
      </c>
      <c r="N1077">
        <v>1</v>
      </c>
      <c r="O1077" s="89">
        <v>9181.23</v>
      </c>
      <c r="P1077" s="89">
        <v>260134.85</v>
      </c>
      <c r="Q1077" t="s">
        <v>135</v>
      </c>
      <c r="R1077" t="s">
        <v>131</v>
      </c>
    </row>
    <row r="1078" spans="3:18" x14ac:dyDescent="0.25">
      <c r="C1078" t="s">
        <v>47</v>
      </c>
      <c r="D1078" t="s">
        <v>138</v>
      </c>
      <c r="E1078" t="s">
        <v>40</v>
      </c>
      <c r="F1078" t="s">
        <v>41</v>
      </c>
      <c r="G1078" s="89">
        <v>885135</v>
      </c>
      <c r="H1078" t="s">
        <v>145</v>
      </c>
      <c r="I1078" t="s">
        <v>126</v>
      </c>
      <c r="J1078" s="89">
        <v>12391890</v>
      </c>
      <c r="K1078" t="s">
        <v>127</v>
      </c>
      <c r="L1078" t="s">
        <v>128</v>
      </c>
      <c r="N1078">
        <v>1</v>
      </c>
      <c r="O1078" s="89">
        <v>35405.4</v>
      </c>
      <c r="P1078" s="89">
        <v>628445.85</v>
      </c>
      <c r="Q1078" t="s">
        <v>137</v>
      </c>
      <c r="R1078" t="s">
        <v>131</v>
      </c>
    </row>
    <row r="1079" spans="3:18" hidden="1" x14ac:dyDescent="0.25">
      <c r="C1079" t="s">
        <v>45</v>
      </c>
      <c r="D1079" t="s">
        <v>25</v>
      </c>
      <c r="E1079" t="s">
        <v>48</v>
      </c>
      <c r="F1079" t="s">
        <v>41</v>
      </c>
      <c r="G1079" s="89">
        <v>681034</v>
      </c>
      <c r="H1079" t="s">
        <v>140</v>
      </c>
      <c r="I1079" t="s">
        <v>141</v>
      </c>
      <c r="J1079" s="89">
        <v>4767238</v>
      </c>
      <c r="K1079" t="s">
        <v>127</v>
      </c>
      <c r="L1079" t="s">
        <v>128</v>
      </c>
      <c r="N1079">
        <v>1</v>
      </c>
      <c r="O1079" s="89">
        <v>20431.02</v>
      </c>
      <c r="P1079" s="89">
        <v>136206.79999999999</v>
      </c>
      <c r="Q1079" t="s">
        <v>130</v>
      </c>
      <c r="R1079" t="s">
        <v>131</v>
      </c>
    </row>
    <row r="1080" spans="3:18" x14ac:dyDescent="0.25">
      <c r="C1080" t="s">
        <v>47</v>
      </c>
      <c r="D1080" t="s">
        <v>24</v>
      </c>
      <c r="E1080" t="s">
        <v>44</v>
      </c>
      <c r="F1080" t="s">
        <v>41</v>
      </c>
      <c r="G1080" s="89">
        <v>81587</v>
      </c>
      <c r="H1080" t="s">
        <v>42</v>
      </c>
      <c r="I1080" t="s">
        <v>141</v>
      </c>
      <c r="J1080" s="89">
        <v>652696</v>
      </c>
      <c r="K1080" t="s">
        <v>127</v>
      </c>
      <c r="L1080" t="s">
        <v>128</v>
      </c>
      <c r="M1080" t="s">
        <v>148</v>
      </c>
      <c r="N1080">
        <v>1</v>
      </c>
      <c r="O1080" s="89">
        <v>3263.48</v>
      </c>
      <c r="P1080" s="89">
        <v>34266.54</v>
      </c>
      <c r="Q1080" t="s">
        <v>142</v>
      </c>
      <c r="R1080" t="s">
        <v>42</v>
      </c>
    </row>
    <row r="1081" spans="3:18" hidden="1" x14ac:dyDescent="0.25">
      <c r="C1081" t="s">
        <v>45</v>
      </c>
      <c r="D1081" t="s">
        <v>21</v>
      </c>
      <c r="E1081" t="s">
        <v>44</v>
      </c>
      <c r="F1081" t="s">
        <v>41</v>
      </c>
      <c r="G1081" s="89">
        <v>1071380</v>
      </c>
      <c r="H1081" t="s">
        <v>42</v>
      </c>
      <c r="I1081" t="s">
        <v>133</v>
      </c>
      <c r="J1081" s="89">
        <v>37498300</v>
      </c>
      <c r="K1081" t="s">
        <v>127</v>
      </c>
      <c r="L1081" t="s">
        <v>128</v>
      </c>
      <c r="M1081" t="s">
        <v>129</v>
      </c>
      <c r="N1081">
        <v>1</v>
      </c>
      <c r="O1081" s="89">
        <v>32141.4</v>
      </c>
      <c r="P1081" s="89">
        <v>878531.6</v>
      </c>
      <c r="Q1081" t="s">
        <v>135</v>
      </c>
      <c r="R1081" t="s">
        <v>42</v>
      </c>
    </row>
    <row r="1082" spans="3:18" hidden="1" x14ac:dyDescent="0.25">
      <c r="C1082" t="s">
        <v>45</v>
      </c>
      <c r="D1082" t="s">
        <v>21</v>
      </c>
      <c r="E1082" t="s">
        <v>43</v>
      </c>
      <c r="F1082" t="s">
        <v>41</v>
      </c>
      <c r="G1082" s="89">
        <v>140611</v>
      </c>
      <c r="H1082" t="s">
        <v>154</v>
      </c>
      <c r="I1082" t="s">
        <v>133</v>
      </c>
      <c r="J1082" s="89">
        <v>4499552</v>
      </c>
      <c r="K1082" t="s">
        <v>127</v>
      </c>
      <c r="L1082" t="s">
        <v>128</v>
      </c>
      <c r="N1082">
        <v>1</v>
      </c>
      <c r="O1082" s="89">
        <v>4218.33</v>
      </c>
      <c r="P1082" s="89">
        <v>94209.37</v>
      </c>
      <c r="Q1082" t="s">
        <v>137</v>
      </c>
      <c r="R1082" t="s">
        <v>131</v>
      </c>
    </row>
    <row r="1083" spans="3:18" hidden="1" x14ac:dyDescent="0.25">
      <c r="C1083" t="s">
        <v>45</v>
      </c>
      <c r="D1083" t="s">
        <v>23</v>
      </c>
      <c r="E1083" t="s">
        <v>44</v>
      </c>
      <c r="F1083" t="s">
        <v>41</v>
      </c>
      <c r="G1083" s="89">
        <v>32485390</v>
      </c>
      <c r="H1083" t="s">
        <v>42</v>
      </c>
      <c r="I1083" t="s">
        <v>133</v>
      </c>
      <c r="J1083" s="89">
        <v>1039532480</v>
      </c>
      <c r="K1083" t="s">
        <v>127</v>
      </c>
      <c r="L1083" t="s">
        <v>128</v>
      </c>
      <c r="M1083" t="s">
        <v>152</v>
      </c>
      <c r="N1083">
        <v>1</v>
      </c>
      <c r="O1083" s="89">
        <v>974561.7</v>
      </c>
      <c r="P1083" s="89">
        <v>23064626.899999999</v>
      </c>
      <c r="Q1083" t="s">
        <v>137</v>
      </c>
      <c r="R1083" t="s">
        <v>42</v>
      </c>
    </row>
    <row r="1084" spans="3:18" hidden="1" x14ac:dyDescent="0.25">
      <c r="C1084" t="s">
        <v>45</v>
      </c>
      <c r="D1084" t="s">
        <v>22</v>
      </c>
      <c r="E1084" t="s">
        <v>46</v>
      </c>
      <c r="F1084" t="s">
        <v>41</v>
      </c>
      <c r="G1084" s="89">
        <v>103286</v>
      </c>
      <c r="H1084" t="s">
        <v>42</v>
      </c>
      <c r="I1084" t="s">
        <v>133</v>
      </c>
      <c r="J1084" s="89">
        <v>3511724</v>
      </c>
      <c r="K1084" t="s">
        <v>127</v>
      </c>
      <c r="L1084" t="s">
        <v>128</v>
      </c>
      <c r="M1084" t="s">
        <v>143</v>
      </c>
      <c r="N1084">
        <v>1</v>
      </c>
      <c r="O1084" s="89">
        <v>3098.58</v>
      </c>
      <c r="P1084" s="89">
        <v>106384.58</v>
      </c>
      <c r="Q1084" t="s">
        <v>150</v>
      </c>
      <c r="R1084" t="s">
        <v>42</v>
      </c>
    </row>
    <row r="1085" spans="3:18" x14ac:dyDescent="0.25">
      <c r="C1085" t="s">
        <v>47</v>
      </c>
      <c r="D1085" t="s">
        <v>23</v>
      </c>
      <c r="E1085" t="s">
        <v>43</v>
      </c>
      <c r="F1085" t="s">
        <v>41</v>
      </c>
      <c r="G1085" s="89">
        <v>42048</v>
      </c>
      <c r="H1085" t="s">
        <v>140</v>
      </c>
      <c r="I1085" t="s">
        <v>147</v>
      </c>
      <c r="J1085" s="89">
        <v>126144</v>
      </c>
      <c r="K1085" t="s">
        <v>127</v>
      </c>
      <c r="L1085" t="s">
        <v>128</v>
      </c>
      <c r="N1085">
        <v>1</v>
      </c>
      <c r="O1085" s="89">
        <v>3363.84</v>
      </c>
      <c r="P1085" s="89">
        <v>6307.2</v>
      </c>
      <c r="Q1085" t="s">
        <v>130</v>
      </c>
      <c r="R1085" t="s">
        <v>131</v>
      </c>
    </row>
    <row r="1086" spans="3:18" x14ac:dyDescent="0.25">
      <c r="C1086" t="s">
        <v>47</v>
      </c>
      <c r="D1086" t="s">
        <v>23</v>
      </c>
      <c r="E1086" t="s">
        <v>48</v>
      </c>
      <c r="F1086" t="s">
        <v>41</v>
      </c>
      <c r="G1086" s="89">
        <v>794244</v>
      </c>
      <c r="H1086" t="s">
        <v>132</v>
      </c>
      <c r="I1086" t="s">
        <v>126</v>
      </c>
      <c r="J1086" s="89">
        <v>7942440</v>
      </c>
      <c r="K1086" t="s">
        <v>127</v>
      </c>
      <c r="L1086" t="s">
        <v>128</v>
      </c>
      <c r="N1086">
        <v>1</v>
      </c>
      <c r="O1086" s="89">
        <v>15884.88</v>
      </c>
      <c r="P1086" s="89">
        <v>254158.07999999999</v>
      </c>
      <c r="Q1086" t="s">
        <v>130</v>
      </c>
      <c r="R1086" t="s">
        <v>131</v>
      </c>
    </row>
    <row r="1087" spans="3:18" hidden="1" x14ac:dyDescent="0.25">
      <c r="C1087" t="s">
        <v>45</v>
      </c>
      <c r="D1087" t="s">
        <v>23</v>
      </c>
      <c r="E1087" t="s">
        <v>40</v>
      </c>
      <c r="F1087" t="s">
        <v>41</v>
      </c>
      <c r="G1087" s="89">
        <v>11786585</v>
      </c>
      <c r="H1087" t="s">
        <v>140</v>
      </c>
      <c r="I1087" t="s">
        <v>126</v>
      </c>
      <c r="J1087" s="89">
        <v>200371945</v>
      </c>
      <c r="K1087" t="s">
        <v>127</v>
      </c>
      <c r="L1087" t="s">
        <v>128</v>
      </c>
      <c r="N1087">
        <v>1</v>
      </c>
      <c r="O1087" s="89">
        <v>353597.55</v>
      </c>
      <c r="P1087" s="89">
        <v>8014877.7999999998</v>
      </c>
      <c r="Q1087" t="s">
        <v>137</v>
      </c>
      <c r="R1087" t="s">
        <v>131</v>
      </c>
    </row>
    <row r="1088" spans="3:18" hidden="1" x14ac:dyDescent="0.25">
      <c r="C1088" t="s">
        <v>45</v>
      </c>
      <c r="D1088" t="s">
        <v>22</v>
      </c>
      <c r="E1088" t="s">
        <v>40</v>
      </c>
      <c r="F1088" t="s">
        <v>41</v>
      </c>
      <c r="G1088" s="89">
        <v>75740355</v>
      </c>
      <c r="H1088" t="s">
        <v>42</v>
      </c>
      <c r="I1088" t="s">
        <v>126</v>
      </c>
      <c r="J1088" s="89">
        <v>1136105325</v>
      </c>
      <c r="K1088" t="s">
        <v>127</v>
      </c>
      <c r="L1088" t="s">
        <v>128</v>
      </c>
      <c r="M1088" t="s">
        <v>143</v>
      </c>
      <c r="N1088">
        <v>1</v>
      </c>
      <c r="O1088" s="89">
        <v>2272210.65</v>
      </c>
      <c r="P1088" s="89">
        <v>21207299.399999999</v>
      </c>
      <c r="Q1088" t="s">
        <v>130</v>
      </c>
      <c r="R1088" t="s">
        <v>131</v>
      </c>
    </row>
    <row r="1089" spans="3:18" x14ac:dyDescent="0.25">
      <c r="C1089" t="s">
        <v>47</v>
      </c>
      <c r="D1089" t="s">
        <v>19</v>
      </c>
      <c r="E1089" t="s">
        <v>43</v>
      </c>
      <c r="F1089" t="s">
        <v>41</v>
      </c>
      <c r="G1089" s="89">
        <v>62990</v>
      </c>
      <c r="H1089" t="s">
        <v>146</v>
      </c>
      <c r="I1089" t="s">
        <v>133</v>
      </c>
      <c r="J1089" s="89">
        <v>1448770</v>
      </c>
      <c r="K1089" t="s">
        <v>127</v>
      </c>
      <c r="L1089" t="s">
        <v>128</v>
      </c>
      <c r="N1089">
        <v>1</v>
      </c>
      <c r="O1089" s="89">
        <v>5039.2</v>
      </c>
      <c r="P1089" s="89">
        <v>39683.699999999997</v>
      </c>
      <c r="Q1089" t="s">
        <v>137</v>
      </c>
      <c r="R1089" t="s">
        <v>131</v>
      </c>
    </row>
    <row r="1090" spans="3:18" hidden="1" x14ac:dyDescent="0.25">
      <c r="C1090" t="s">
        <v>45</v>
      </c>
      <c r="D1090" t="s">
        <v>23</v>
      </c>
      <c r="E1090" t="s">
        <v>40</v>
      </c>
      <c r="F1090" t="s">
        <v>41</v>
      </c>
      <c r="G1090" s="89">
        <v>372272</v>
      </c>
      <c r="H1090" t="s">
        <v>42</v>
      </c>
      <c r="I1090" t="s">
        <v>126</v>
      </c>
      <c r="J1090" s="89">
        <v>6328624</v>
      </c>
      <c r="K1090" t="s">
        <v>144</v>
      </c>
      <c r="N1090">
        <v>1</v>
      </c>
      <c r="O1090" s="89">
        <v>11168.16</v>
      </c>
      <c r="P1090" s="89">
        <v>78177.119999999995</v>
      </c>
      <c r="Q1090" t="s">
        <v>130</v>
      </c>
      <c r="R1090" t="s">
        <v>42</v>
      </c>
    </row>
    <row r="1091" spans="3:18" x14ac:dyDescent="0.25">
      <c r="C1091" t="s">
        <v>47</v>
      </c>
      <c r="D1091" t="s">
        <v>22</v>
      </c>
      <c r="E1091" t="s">
        <v>40</v>
      </c>
      <c r="F1091" t="s">
        <v>41</v>
      </c>
      <c r="G1091" s="89">
        <v>82437</v>
      </c>
      <c r="H1091" t="s">
        <v>132</v>
      </c>
      <c r="I1091" t="s">
        <v>126</v>
      </c>
      <c r="J1091" s="89">
        <v>1154118</v>
      </c>
      <c r="K1091" t="s">
        <v>144</v>
      </c>
      <c r="N1091">
        <v>1</v>
      </c>
      <c r="O1091" s="89">
        <v>3297.48</v>
      </c>
      <c r="P1091" s="89">
        <v>32974.800000000003</v>
      </c>
      <c r="Q1091" t="s">
        <v>130</v>
      </c>
      <c r="R1091" t="s">
        <v>131</v>
      </c>
    </row>
    <row r="1092" spans="3:18" hidden="1" x14ac:dyDescent="0.25">
      <c r="C1092" t="s">
        <v>45</v>
      </c>
      <c r="D1092" t="s">
        <v>21</v>
      </c>
      <c r="E1092" t="s">
        <v>40</v>
      </c>
      <c r="F1092" t="s">
        <v>41</v>
      </c>
      <c r="G1092" s="89">
        <v>345832</v>
      </c>
      <c r="H1092" t="s">
        <v>145</v>
      </c>
      <c r="I1092" t="s">
        <v>133</v>
      </c>
      <c r="J1092" s="89">
        <v>9683296</v>
      </c>
      <c r="K1092" t="s">
        <v>144</v>
      </c>
      <c r="N1092">
        <v>1</v>
      </c>
      <c r="O1092" s="89">
        <v>10374.959999999999</v>
      </c>
      <c r="P1092" s="89">
        <v>82999.679999999993</v>
      </c>
      <c r="Q1092" t="s">
        <v>130</v>
      </c>
      <c r="R1092" t="s">
        <v>131</v>
      </c>
    </row>
    <row r="1093" spans="3:18" hidden="1" x14ac:dyDescent="0.25">
      <c r="C1093" t="s">
        <v>45</v>
      </c>
      <c r="D1093" t="s">
        <v>24</v>
      </c>
      <c r="E1093" t="s">
        <v>46</v>
      </c>
      <c r="F1093" t="s">
        <v>41</v>
      </c>
      <c r="G1093" s="89">
        <v>363423</v>
      </c>
      <c r="H1093" t="s">
        <v>42</v>
      </c>
      <c r="I1093" t="s">
        <v>126</v>
      </c>
      <c r="J1093" s="89">
        <v>6541614</v>
      </c>
      <c r="K1093" t="s">
        <v>144</v>
      </c>
      <c r="N1093">
        <v>1</v>
      </c>
      <c r="O1093" s="89">
        <v>10902.69</v>
      </c>
      <c r="P1093" s="89">
        <v>109026.9</v>
      </c>
      <c r="Q1093" t="s">
        <v>130</v>
      </c>
      <c r="R1093" t="s">
        <v>42</v>
      </c>
    </row>
    <row r="1094" spans="3:18" hidden="1" x14ac:dyDescent="0.25">
      <c r="C1094" t="s">
        <v>45</v>
      </c>
      <c r="D1094" t="s">
        <v>24</v>
      </c>
      <c r="E1094" t="s">
        <v>46</v>
      </c>
      <c r="F1094" t="s">
        <v>41</v>
      </c>
      <c r="G1094" s="89">
        <v>472499</v>
      </c>
      <c r="H1094" t="s">
        <v>42</v>
      </c>
      <c r="I1094" t="s">
        <v>133</v>
      </c>
      <c r="J1094" s="89">
        <v>16537465</v>
      </c>
      <c r="K1094" t="s">
        <v>144</v>
      </c>
      <c r="N1094">
        <v>1</v>
      </c>
      <c r="O1094" s="89">
        <v>14174.97</v>
      </c>
      <c r="P1094" s="89">
        <v>496123.95</v>
      </c>
      <c r="Q1094" t="s">
        <v>150</v>
      </c>
      <c r="R1094" t="s">
        <v>42</v>
      </c>
    </row>
    <row r="1095" spans="3:18" x14ac:dyDescent="0.25">
      <c r="C1095" t="s">
        <v>47</v>
      </c>
      <c r="D1095" t="s">
        <v>138</v>
      </c>
      <c r="E1095" t="s">
        <v>40</v>
      </c>
      <c r="F1095" t="s">
        <v>41</v>
      </c>
      <c r="G1095" s="89">
        <v>1949559</v>
      </c>
      <c r="H1095" t="s">
        <v>146</v>
      </c>
      <c r="I1095" t="s">
        <v>147</v>
      </c>
      <c r="J1095" s="89">
        <v>9747795</v>
      </c>
      <c r="K1095" t="s">
        <v>127</v>
      </c>
      <c r="L1095" t="s">
        <v>128</v>
      </c>
      <c r="N1095">
        <v>1</v>
      </c>
      <c r="O1095" s="89">
        <v>97477.95</v>
      </c>
      <c r="P1095" s="89">
        <v>955283.91</v>
      </c>
      <c r="Q1095" t="s">
        <v>142</v>
      </c>
      <c r="R1095" t="s">
        <v>131</v>
      </c>
    </row>
    <row r="1096" spans="3:18" x14ac:dyDescent="0.25">
      <c r="C1096" t="s">
        <v>47</v>
      </c>
      <c r="D1096" t="s">
        <v>19</v>
      </c>
      <c r="E1096" t="s">
        <v>40</v>
      </c>
      <c r="F1096" t="s">
        <v>41</v>
      </c>
      <c r="G1096" s="89">
        <v>464443</v>
      </c>
      <c r="H1096" t="s">
        <v>145</v>
      </c>
      <c r="I1096" t="s">
        <v>126</v>
      </c>
      <c r="J1096" s="89">
        <v>6037759</v>
      </c>
      <c r="K1096" t="s">
        <v>127</v>
      </c>
      <c r="L1096" t="s">
        <v>128</v>
      </c>
      <c r="N1096">
        <v>1</v>
      </c>
      <c r="O1096" s="89">
        <v>23222.15</v>
      </c>
      <c r="P1096" s="89">
        <v>334398.96000000002</v>
      </c>
      <c r="Q1096" t="s">
        <v>137</v>
      </c>
      <c r="R1096" t="s">
        <v>131</v>
      </c>
    </row>
    <row r="1097" spans="3:18" hidden="1" x14ac:dyDescent="0.25">
      <c r="C1097" t="s">
        <v>45</v>
      </c>
      <c r="D1097" t="s">
        <v>24</v>
      </c>
      <c r="E1097" t="s">
        <v>48</v>
      </c>
      <c r="F1097" t="s">
        <v>41</v>
      </c>
      <c r="G1097" s="89">
        <v>535711</v>
      </c>
      <c r="H1097" t="s">
        <v>42</v>
      </c>
      <c r="I1097" t="s">
        <v>126</v>
      </c>
      <c r="J1097" s="89">
        <v>9642798</v>
      </c>
      <c r="K1097" t="s">
        <v>127</v>
      </c>
      <c r="L1097" t="s">
        <v>128</v>
      </c>
      <c r="M1097" t="s">
        <v>148</v>
      </c>
      <c r="N1097">
        <v>1</v>
      </c>
      <c r="O1097" s="89">
        <v>16071.33</v>
      </c>
      <c r="P1097" s="89">
        <v>460711.46</v>
      </c>
      <c r="Q1097" t="s">
        <v>135</v>
      </c>
      <c r="R1097" t="s">
        <v>131</v>
      </c>
    </row>
    <row r="1098" spans="3:18" hidden="1" x14ac:dyDescent="0.25">
      <c r="C1098" t="s">
        <v>45</v>
      </c>
      <c r="D1098" t="s">
        <v>138</v>
      </c>
      <c r="E1098" t="s">
        <v>40</v>
      </c>
      <c r="F1098" t="s">
        <v>41</v>
      </c>
      <c r="G1098" s="89">
        <v>372683</v>
      </c>
      <c r="H1098" t="s">
        <v>42</v>
      </c>
      <c r="I1098" t="s">
        <v>141</v>
      </c>
      <c r="J1098" s="89">
        <v>2236098</v>
      </c>
      <c r="K1098" t="s">
        <v>127</v>
      </c>
      <c r="L1098" t="s">
        <v>128</v>
      </c>
      <c r="M1098" t="s">
        <v>139</v>
      </c>
      <c r="N1098">
        <v>1</v>
      </c>
      <c r="O1098" s="89">
        <v>11180.49</v>
      </c>
      <c r="P1098" s="89">
        <v>81990.259999999995</v>
      </c>
      <c r="Q1098" t="s">
        <v>130</v>
      </c>
      <c r="R1098" t="s">
        <v>131</v>
      </c>
    </row>
    <row r="1099" spans="3:18" hidden="1" x14ac:dyDescent="0.25">
      <c r="C1099" t="s">
        <v>45</v>
      </c>
      <c r="D1099" t="s">
        <v>24</v>
      </c>
      <c r="E1099" t="s">
        <v>46</v>
      </c>
      <c r="F1099" t="s">
        <v>41</v>
      </c>
      <c r="G1099" s="89">
        <v>209050</v>
      </c>
      <c r="H1099" t="s">
        <v>42</v>
      </c>
      <c r="I1099" t="s">
        <v>126</v>
      </c>
      <c r="J1099" s="89">
        <v>4181000</v>
      </c>
      <c r="K1099" t="s">
        <v>144</v>
      </c>
      <c r="N1099">
        <v>1</v>
      </c>
      <c r="O1099" s="89">
        <v>6271.5</v>
      </c>
      <c r="P1099" s="89">
        <v>96163</v>
      </c>
      <c r="Q1099" t="s">
        <v>142</v>
      </c>
      <c r="R1099" t="s">
        <v>42</v>
      </c>
    </row>
    <row r="1100" spans="3:18" x14ac:dyDescent="0.25">
      <c r="C1100" t="s">
        <v>47</v>
      </c>
      <c r="D1100" t="s">
        <v>22</v>
      </c>
      <c r="E1100" t="s">
        <v>40</v>
      </c>
      <c r="F1100" t="s">
        <v>41</v>
      </c>
      <c r="G1100" s="89">
        <v>10550547</v>
      </c>
      <c r="H1100" t="s">
        <v>146</v>
      </c>
      <c r="I1100" t="s">
        <v>141</v>
      </c>
      <c r="J1100" s="89">
        <v>73853829</v>
      </c>
      <c r="K1100" t="s">
        <v>127</v>
      </c>
      <c r="L1100" t="s">
        <v>128</v>
      </c>
      <c r="N1100">
        <v>1</v>
      </c>
      <c r="O1100" s="89">
        <v>527527.35</v>
      </c>
      <c r="P1100" s="89">
        <v>2426625.81</v>
      </c>
      <c r="Q1100" t="s">
        <v>130</v>
      </c>
      <c r="R1100" t="s">
        <v>131</v>
      </c>
    </row>
    <row r="1101" spans="3:18" hidden="1" x14ac:dyDescent="0.25">
      <c r="C1101" t="s">
        <v>45</v>
      </c>
      <c r="D1101" t="s">
        <v>50</v>
      </c>
      <c r="E1101" t="s">
        <v>50</v>
      </c>
      <c r="F1101" t="s">
        <v>41</v>
      </c>
      <c r="G1101" s="89">
        <v>966786</v>
      </c>
      <c r="H1101" t="s">
        <v>79</v>
      </c>
      <c r="I1101" t="s">
        <v>133</v>
      </c>
      <c r="J1101" s="89">
        <v>29003580</v>
      </c>
      <c r="K1101" t="s">
        <v>134</v>
      </c>
      <c r="N1101">
        <v>1</v>
      </c>
      <c r="O1101" s="89">
        <v>29003.58</v>
      </c>
      <c r="P1101" s="89">
        <v>1140807.48</v>
      </c>
      <c r="Q1101" t="s">
        <v>150</v>
      </c>
      <c r="R1101" t="s">
        <v>79</v>
      </c>
    </row>
    <row r="1102" spans="3:18" x14ac:dyDescent="0.25">
      <c r="C1102" t="s">
        <v>47</v>
      </c>
      <c r="D1102" t="s">
        <v>20</v>
      </c>
      <c r="E1102" t="s">
        <v>40</v>
      </c>
      <c r="F1102" t="s">
        <v>41</v>
      </c>
      <c r="G1102" s="89">
        <v>100080</v>
      </c>
      <c r="H1102" t="s">
        <v>146</v>
      </c>
      <c r="I1102" t="s">
        <v>153</v>
      </c>
      <c r="J1102" s="89"/>
      <c r="K1102" t="s">
        <v>127</v>
      </c>
      <c r="L1102" t="s">
        <v>128</v>
      </c>
      <c r="N1102">
        <v>0</v>
      </c>
      <c r="O1102" s="89">
        <v>5004</v>
      </c>
      <c r="P1102" s="89">
        <v>17013.599999999999</v>
      </c>
      <c r="Q1102" t="s">
        <v>130</v>
      </c>
      <c r="R1102" t="s">
        <v>131</v>
      </c>
    </row>
    <row r="1103" spans="3:18" hidden="1" x14ac:dyDescent="0.25">
      <c r="C1103" t="s">
        <v>45</v>
      </c>
      <c r="D1103" t="s">
        <v>22</v>
      </c>
      <c r="E1103" t="s">
        <v>48</v>
      </c>
      <c r="F1103" t="s">
        <v>41</v>
      </c>
      <c r="G1103" s="89">
        <v>102460</v>
      </c>
      <c r="H1103" t="s">
        <v>146</v>
      </c>
      <c r="I1103" t="s">
        <v>133</v>
      </c>
      <c r="J1103" s="89">
        <v>2561500</v>
      </c>
      <c r="K1103" t="s">
        <v>127</v>
      </c>
      <c r="L1103" t="s">
        <v>128</v>
      </c>
      <c r="N1103">
        <v>1</v>
      </c>
      <c r="O1103" s="89">
        <v>3073.8</v>
      </c>
      <c r="P1103" s="89">
        <v>21516.6</v>
      </c>
      <c r="Q1103" t="s">
        <v>130</v>
      </c>
      <c r="R1103" t="s">
        <v>131</v>
      </c>
    </row>
    <row r="1104" spans="3:18" hidden="1" x14ac:dyDescent="0.25">
      <c r="C1104" t="s">
        <v>45</v>
      </c>
      <c r="D1104" t="s">
        <v>23</v>
      </c>
      <c r="E1104" t="s">
        <v>40</v>
      </c>
      <c r="F1104" t="s">
        <v>41</v>
      </c>
      <c r="G1104" s="89">
        <v>5410</v>
      </c>
      <c r="H1104" t="s">
        <v>42</v>
      </c>
      <c r="I1104" t="s">
        <v>126</v>
      </c>
      <c r="J1104" s="89">
        <v>86560</v>
      </c>
      <c r="K1104" t="s">
        <v>127</v>
      </c>
      <c r="L1104" t="s">
        <v>128</v>
      </c>
      <c r="M1104" t="s">
        <v>152</v>
      </c>
      <c r="N1104">
        <v>1</v>
      </c>
      <c r="O1104" s="89">
        <v>270.5</v>
      </c>
      <c r="P1104" s="89">
        <v>5896.9</v>
      </c>
      <c r="Q1104" t="s">
        <v>150</v>
      </c>
      <c r="R1104" t="s">
        <v>131</v>
      </c>
    </row>
    <row r="1105" spans="3:18" hidden="1" x14ac:dyDescent="0.25">
      <c r="C1105" t="s">
        <v>45</v>
      </c>
      <c r="D1105" t="s">
        <v>21</v>
      </c>
      <c r="E1105" t="s">
        <v>43</v>
      </c>
      <c r="F1105" t="s">
        <v>41</v>
      </c>
      <c r="G1105" s="89">
        <v>86311532</v>
      </c>
      <c r="H1105" t="s">
        <v>146</v>
      </c>
      <c r="I1105" t="s">
        <v>126</v>
      </c>
      <c r="J1105" s="89">
        <v>1294672980</v>
      </c>
      <c r="K1105" t="s">
        <v>127</v>
      </c>
      <c r="L1105" t="s">
        <v>128</v>
      </c>
      <c r="N1105">
        <v>1</v>
      </c>
      <c r="O1105" s="89">
        <v>2589345.96</v>
      </c>
      <c r="P1105" s="89">
        <v>22440998.32</v>
      </c>
      <c r="Q1105" t="s">
        <v>130</v>
      </c>
      <c r="R1105" t="s">
        <v>131</v>
      </c>
    </row>
    <row r="1106" spans="3:18" hidden="1" x14ac:dyDescent="0.25">
      <c r="C1106" t="s">
        <v>45</v>
      </c>
      <c r="D1106" t="s">
        <v>24</v>
      </c>
      <c r="E1106" t="s">
        <v>52</v>
      </c>
      <c r="F1106" t="s">
        <v>41</v>
      </c>
      <c r="G1106" s="89">
        <v>1277293</v>
      </c>
      <c r="H1106" t="s">
        <v>42</v>
      </c>
      <c r="I1106" t="s">
        <v>133</v>
      </c>
      <c r="J1106" s="89">
        <v>44705255</v>
      </c>
      <c r="K1106" t="s">
        <v>127</v>
      </c>
      <c r="L1106" t="s">
        <v>128</v>
      </c>
      <c r="M1106" t="s">
        <v>148</v>
      </c>
      <c r="N1106">
        <v>1</v>
      </c>
      <c r="O1106" s="89">
        <v>38318.79</v>
      </c>
      <c r="P1106" s="89">
        <v>1711572.62</v>
      </c>
      <c r="Q1106" t="s">
        <v>150</v>
      </c>
      <c r="R1106" t="s">
        <v>42</v>
      </c>
    </row>
    <row r="1107" spans="3:18" hidden="1" x14ac:dyDescent="0.25">
      <c r="C1107" t="s">
        <v>45</v>
      </c>
      <c r="D1107" t="s">
        <v>25</v>
      </c>
      <c r="E1107" t="s">
        <v>40</v>
      </c>
      <c r="F1107" t="s">
        <v>41</v>
      </c>
      <c r="G1107" s="89">
        <v>99757</v>
      </c>
      <c r="H1107" t="s">
        <v>140</v>
      </c>
      <c r="I1107" t="s">
        <v>141</v>
      </c>
      <c r="J1107" s="89">
        <v>598542</v>
      </c>
      <c r="K1107" t="s">
        <v>127</v>
      </c>
      <c r="L1107" t="s">
        <v>128</v>
      </c>
      <c r="N1107">
        <v>1</v>
      </c>
      <c r="O1107" s="89">
        <v>1995.14</v>
      </c>
      <c r="P1107" s="89">
        <v>16958.689999999999</v>
      </c>
      <c r="Q1107" t="s">
        <v>130</v>
      </c>
      <c r="R1107" t="s">
        <v>131</v>
      </c>
    </row>
    <row r="1108" spans="3:18" hidden="1" x14ac:dyDescent="0.25">
      <c r="C1108" t="s">
        <v>45</v>
      </c>
      <c r="D1108" t="s">
        <v>19</v>
      </c>
      <c r="E1108" t="s">
        <v>43</v>
      </c>
      <c r="F1108" t="s">
        <v>41</v>
      </c>
      <c r="G1108" s="89">
        <v>337531</v>
      </c>
      <c r="H1108" t="s">
        <v>42</v>
      </c>
      <c r="I1108" t="s">
        <v>133</v>
      </c>
      <c r="J1108" s="89">
        <v>9788399</v>
      </c>
      <c r="K1108" t="s">
        <v>134</v>
      </c>
      <c r="L1108" t="s">
        <v>128</v>
      </c>
      <c r="M1108" t="s">
        <v>152</v>
      </c>
      <c r="N1108">
        <v>1</v>
      </c>
      <c r="O1108" s="89">
        <v>10125.93</v>
      </c>
      <c r="P1108" s="89">
        <v>158639.57</v>
      </c>
      <c r="Q1108" t="s">
        <v>142</v>
      </c>
      <c r="R1108" t="s">
        <v>131</v>
      </c>
    </row>
    <row r="1109" spans="3:18" hidden="1" x14ac:dyDescent="0.25">
      <c r="C1109" t="s">
        <v>45</v>
      </c>
      <c r="D1109" t="s">
        <v>138</v>
      </c>
      <c r="E1109" t="s">
        <v>40</v>
      </c>
      <c r="F1109" t="s">
        <v>41</v>
      </c>
      <c r="G1109" s="89">
        <v>211494</v>
      </c>
      <c r="H1109" t="s">
        <v>140</v>
      </c>
      <c r="I1109" t="s">
        <v>126</v>
      </c>
      <c r="J1109" s="89">
        <v>3172410</v>
      </c>
      <c r="K1109" t="s">
        <v>127</v>
      </c>
      <c r="L1109" t="s">
        <v>128</v>
      </c>
      <c r="N1109">
        <v>1</v>
      </c>
      <c r="O1109" s="89">
        <v>6344.82</v>
      </c>
      <c r="P1109" s="89">
        <v>67678.080000000002</v>
      </c>
      <c r="Q1109" t="s">
        <v>130</v>
      </c>
      <c r="R1109" t="s">
        <v>131</v>
      </c>
    </row>
    <row r="1110" spans="3:18" hidden="1" x14ac:dyDescent="0.25">
      <c r="C1110" t="s">
        <v>45</v>
      </c>
      <c r="D1110" t="s">
        <v>20</v>
      </c>
      <c r="E1110" t="s">
        <v>43</v>
      </c>
      <c r="F1110" t="s">
        <v>41</v>
      </c>
      <c r="G1110" s="89">
        <v>1816850</v>
      </c>
      <c r="H1110" t="s">
        <v>42</v>
      </c>
      <c r="I1110" t="s">
        <v>141</v>
      </c>
      <c r="J1110" s="89">
        <v>12717950</v>
      </c>
      <c r="K1110" t="s">
        <v>127</v>
      </c>
      <c r="L1110" t="s">
        <v>128</v>
      </c>
      <c r="M1110" t="s">
        <v>139</v>
      </c>
      <c r="N1110">
        <v>1</v>
      </c>
      <c r="O1110" s="89">
        <v>54505.5</v>
      </c>
      <c r="P1110" s="89">
        <v>835751</v>
      </c>
      <c r="Q1110" t="s">
        <v>142</v>
      </c>
      <c r="R1110" t="s">
        <v>131</v>
      </c>
    </row>
    <row r="1111" spans="3:18" hidden="1" x14ac:dyDescent="0.25">
      <c r="C1111" t="s">
        <v>45</v>
      </c>
      <c r="D1111" t="s">
        <v>21</v>
      </c>
      <c r="E1111" t="s">
        <v>40</v>
      </c>
      <c r="F1111" t="s">
        <v>41</v>
      </c>
      <c r="G1111" s="89">
        <v>690712</v>
      </c>
      <c r="H1111" t="s">
        <v>132</v>
      </c>
      <c r="I1111" t="s">
        <v>133</v>
      </c>
      <c r="J1111" s="89">
        <v>24174920</v>
      </c>
      <c r="K1111" t="s">
        <v>127</v>
      </c>
      <c r="L1111" t="s">
        <v>128</v>
      </c>
      <c r="N1111">
        <v>1</v>
      </c>
      <c r="O1111" s="89">
        <v>20721.36</v>
      </c>
      <c r="P1111" s="89">
        <v>587105.19999999995</v>
      </c>
      <c r="Q1111" t="s">
        <v>135</v>
      </c>
      <c r="R1111" t="s">
        <v>131</v>
      </c>
    </row>
    <row r="1112" spans="3:18" hidden="1" x14ac:dyDescent="0.25">
      <c r="C1112" t="s">
        <v>45</v>
      </c>
      <c r="D1112" t="s">
        <v>149</v>
      </c>
      <c r="E1112" t="s">
        <v>43</v>
      </c>
      <c r="F1112" t="s">
        <v>41</v>
      </c>
      <c r="G1112" s="89">
        <v>1207659</v>
      </c>
      <c r="H1112" t="s">
        <v>42</v>
      </c>
      <c r="I1112" t="s">
        <v>126</v>
      </c>
      <c r="J1112" s="89">
        <v>19322544</v>
      </c>
      <c r="K1112" t="s">
        <v>127</v>
      </c>
      <c r="L1112" t="s">
        <v>128</v>
      </c>
      <c r="M1112" t="s">
        <v>136</v>
      </c>
      <c r="N1112">
        <v>1</v>
      </c>
      <c r="O1112" s="89">
        <v>36229.769999999997</v>
      </c>
      <c r="P1112" s="89">
        <v>277761.57</v>
      </c>
      <c r="Q1112" t="s">
        <v>130</v>
      </c>
      <c r="R1112" t="s">
        <v>42</v>
      </c>
    </row>
    <row r="1113" spans="3:18" hidden="1" x14ac:dyDescent="0.25">
      <c r="C1113" t="s">
        <v>45</v>
      </c>
      <c r="D1113" t="s">
        <v>20</v>
      </c>
      <c r="E1113" t="s">
        <v>44</v>
      </c>
      <c r="F1113" t="s">
        <v>41</v>
      </c>
      <c r="G1113" s="89">
        <v>47119</v>
      </c>
      <c r="H1113" t="s">
        <v>42</v>
      </c>
      <c r="I1113" t="s">
        <v>126</v>
      </c>
      <c r="J1113" s="89">
        <v>895261</v>
      </c>
      <c r="K1113" t="s">
        <v>127</v>
      </c>
      <c r="L1113" t="s">
        <v>128</v>
      </c>
      <c r="M1113" t="s">
        <v>139</v>
      </c>
      <c r="N1113">
        <v>1</v>
      </c>
      <c r="O1113" s="89">
        <v>1884.76</v>
      </c>
      <c r="P1113" s="89">
        <v>30156.16</v>
      </c>
      <c r="Q1113" t="s">
        <v>137</v>
      </c>
      <c r="R1113" t="s">
        <v>131</v>
      </c>
    </row>
    <row r="1114" spans="3:18" hidden="1" x14ac:dyDescent="0.25">
      <c r="C1114" t="s">
        <v>45</v>
      </c>
      <c r="D1114" t="s">
        <v>24</v>
      </c>
      <c r="E1114" t="s">
        <v>48</v>
      </c>
      <c r="F1114" t="s">
        <v>41</v>
      </c>
      <c r="G1114" s="89">
        <v>3707553</v>
      </c>
      <c r="H1114" t="s">
        <v>42</v>
      </c>
      <c r="I1114" t="s">
        <v>133</v>
      </c>
      <c r="J1114" s="89">
        <v>126056802</v>
      </c>
      <c r="K1114" t="s">
        <v>127</v>
      </c>
      <c r="L1114" t="s">
        <v>128</v>
      </c>
      <c r="M1114" t="s">
        <v>148</v>
      </c>
      <c r="N1114">
        <v>1</v>
      </c>
      <c r="O1114" s="89">
        <v>111226.59</v>
      </c>
      <c r="P1114" s="89">
        <v>4782743.37</v>
      </c>
      <c r="Q1114" t="s">
        <v>150</v>
      </c>
      <c r="R1114" t="s">
        <v>131</v>
      </c>
    </row>
    <row r="1115" spans="3:18" hidden="1" x14ac:dyDescent="0.25">
      <c r="C1115" t="s">
        <v>45</v>
      </c>
      <c r="D1115" t="s">
        <v>21</v>
      </c>
      <c r="E1115" t="s">
        <v>40</v>
      </c>
      <c r="F1115" t="s">
        <v>41</v>
      </c>
      <c r="G1115" s="89">
        <v>6550</v>
      </c>
      <c r="H1115" t="s">
        <v>42</v>
      </c>
      <c r="I1115" t="s">
        <v>147</v>
      </c>
      <c r="J1115" s="89">
        <v>19650</v>
      </c>
      <c r="K1115" t="s">
        <v>127</v>
      </c>
      <c r="L1115" t="s">
        <v>128</v>
      </c>
      <c r="M1115" t="s">
        <v>129</v>
      </c>
      <c r="N1115">
        <v>1</v>
      </c>
      <c r="O1115" s="89">
        <v>196.5</v>
      </c>
      <c r="P1115" s="89">
        <v>4519.5</v>
      </c>
      <c r="Q1115" t="s">
        <v>137</v>
      </c>
      <c r="R1115" t="s">
        <v>131</v>
      </c>
    </row>
    <row r="1116" spans="3:18" hidden="1" x14ac:dyDescent="0.25">
      <c r="C1116" t="s">
        <v>45</v>
      </c>
      <c r="D1116" t="s">
        <v>23</v>
      </c>
      <c r="E1116" t="s">
        <v>48</v>
      </c>
      <c r="F1116" t="s">
        <v>41</v>
      </c>
      <c r="G1116" s="89">
        <v>48520</v>
      </c>
      <c r="H1116" t="s">
        <v>154</v>
      </c>
      <c r="I1116" t="s">
        <v>126</v>
      </c>
      <c r="J1116" s="89">
        <v>679280</v>
      </c>
      <c r="K1116" t="s">
        <v>127</v>
      </c>
      <c r="L1116" t="s">
        <v>128</v>
      </c>
      <c r="N1116">
        <v>1</v>
      </c>
      <c r="O1116" s="89">
        <v>1455.6</v>
      </c>
      <c r="P1116" s="89">
        <v>21348.799999999999</v>
      </c>
      <c r="Q1116" t="s">
        <v>142</v>
      </c>
      <c r="R1116" t="s">
        <v>131</v>
      </c>
    </row>
    <row r="1117" spans="3:18" hidden="1" x14ac:dyDescent="0.25">
      <c r="C1117" t="s">
        <v>45</v>
      </c>
      <c r="D1117" t="s">
        <v>149</v>
      </c>
      <c r="E1117" t="s">
        <v>43</v>
      </c>
      <c r="F1117" t="s">
        <v>41</v>
      </c>
      <c r="G1117" s="89">
        <v>2255104</v>
      </c>
      <c r="H1117" t="s">
        <v>42</v>
      </c>
      <c r="I1117" t="s">
        <v>126</v>
      </c>
      <c r="J1117" s="89">
        <v>36081664</v>
      </c>
      <c r="K1117" t="s">
        <v>127</v>
      </c>
      <c r="L1117" t="s">
        <v>128</v>
      </c>
      <c r="M1117" t="s">
        <v>136</v>
      </c>
      <c r="N1117">
        <v>1</v>
      </c>
      <c r="O1117" s="89">
        <v>67653.119999999995</v>
      </c>
      <c r="P1117" s="89">
        <v>1127552</v>
      </c>
      <c r="Q1117" t="s">
        <v>142</v>
      </c>
      <c r="R1117" t="s">
        <v>42</v>
      </c>
    </row>
    <row r="1118" spans="3:18" x14ac:dyDescent="0.25">
      <c r="C1118" t="s">
        <v>47</v>
      </c>
      <c r="D1118" t="s">
        <v>138</v>
      </c>
      <c r="E1118" t="s">
        <v>43</v>
      </c>
      <c r="F1118" t="s">
        <v>41</v>
      </c>
      <c r="G1118" s="89">
        <v>660041</v>
      </c>
      <c r="H1118" t="s">
        <v>42</v>
      </c>
      <c r="I1118" t="s">
        <v>126</v>
      </c>
      <c r="J1118" s="89">
        <v>9240574</v>
      </c>
      <c r="K1118" t="s">
        <v>127</v>
      </c>
      <c r="L1118" t="s">
        <v>128</v>
      </c>
      <c r="M1118" t="s">
        <v>139</v>
      </c>
      <c r="N1118">
        <v>1</v>
      </c>
      <c r="O1118" s="89">
        <v>19801.23</v>
      </c>
      <c r="P1118" s="89">
        <v>316819.68</v>
      </c>
      <c r="Q1118" t="s">
        <v>142</v>
      </c>
      <c r="R1118" t="s">
        <v>131</v>
      </c>
    </row>
    <row r="1119" spans="3:18" hidden="1" x14ac:dyDescent="0.25">
      <c r="C1119" t="s">
        <v>39</v>
      </c>
      <c r="D1119" t="s">
        <v>149</v>
      </c>
      <c r="E1119" t="s">
        <v>43</v>
      </c>
      <c r="F1119" t="s">
        <v>41</v>
      </c>
      <c r="G1119" s="89">
        <v>21900</v>
      </c>
      <c r="H1119" t="s">
        <v>140</v>
      </c>
      <c r="I1119" t="s">
        <v>133</v>
      </c>
      <c r="J1119" s="89"/>
      <c r="N1119">
        <v>0</v>
      </c>
      <c r="O1119" s="89"/>
      <c r="P1119" s="89"/>
      <c r="R1119" t="s">
        <v>131</v>
      </c>
    </row>
    <row r="1120" spans="3:18" x14ac:dyDescent="0.25">
      <c r="C1120" t="s">
        <v>47</v>
      </c>
      <c r="D1120" t="s">
        <v>21</v>
      </c>
      <c r="E1120" t="s">
        <v>40</v>
      </c>
      <c r="F1120" t="s">
        <v>41</v>
      </c>
      <c r="G1120" s="89">
        <v>3253083</v>
      </c>
      <c r="H1120" t="s">
        <v>146</v>
      </c>
      <c r="I1120" t="s">
        <v>141</v>
      </c>
      <c r="J1120" s="89">
        <v>22771581</v>
      </c>
      <c r="K1120" t="s">
        <v>127</v>
      </c>
      <c r="L1120" t="s">
        <v>128</v>
      </c>
      <c r="N1120">
        <v>1</v>
      </c>
      <c r="O1120" s="89">
        <v>130123.32</v>
      </c>
      <c r="P1120" s="89">
        <v>2147034.7799999998</v>
      </c>
      <c r="Q1120" t="s">
        <v>137</v>
      </c>
      <c r="R1120" t="s">
        <v>131</v>
      </c>
    </row>
    <row r="1121" spans="3:18" hidden="1" x14ac:dyDescent="0.25">
      <c r="C1121" t="s">
        <v>45</v>
      </c>
      <c r="D1121" t="s">
        <v>22</v>
      </c>
      <c r="E1121" t="s">
        <v>40</v>
      </c>
      <c r="F1121" t="s">
        <v>53</v>
      </c>
      <c r="G1121" s="89">
        <v>192742</v>
      </c>
      <c r="H1121" t="s">
        <v>42</v>
      </c>
      <c r="I1121" t="s">
        <v>133</v>
      </c>
      <c r="J1121" s="89">
        <v>6167744</v>
      </c>
      <c r="K1121" t="s">
        <v>144</v>
      </c>
      <c r="N1121">
        <v>1</v>
      </c>
      <c r="O1121" s="89">
        <v>5782.26</v>
      </c>
      <c r="P1121" s="89">
        <v>134919.4</v>
      </c>
      <c r="Q1121" t="s">
        <v>137</v>
      </c>
      <c r="R1121" t="s">
        <v>131</v>
      </c>
    </row>
    <row r="1122" spans="3:18" hidden="1" x14ac:dyDescent="0.25">
      <c r="C1122" t="s">
        <v>45</v>
      </c>
      <c r="D1122" t="s">
        <v>20</v>
      </c>
      <c r="E1122" t="s">
        <v>43</v>
      </c>
      <c r="F1122" t="s">
        <v>41</v>
      </c>
      <c r="G1122" s="89">
        <v>24849</v>
      </c>
      <c r="H1122" t="s">
        <v>42</v>
      </c>
      <c r="I1122" t="s">
        <v>133</v>
      </c>
      <c r="J1122" s="89">
        <v>869715</v>
      </c>
      <c r="K1122" t="s">
        <v>127</v>
      </c>
      <c r="L1122" t="s">
        <v>151</v>
      </c>
      <c r="M1122" t="s">
        <v>156</v>
      </c>
      <c r="N1122">
        <v>1</v>
      </c>
      <c r="O1122" s="89">
        <v>745.47</v>
      </c>
      <c r="P1122" s="89">
        <v>5218.29</v>
      </c>
      <c r="Q1122" t="s">
        <v>130</v>
      </c>
      <c r="R1122" t="s">
        <v>131</v>
      </c>
    </row>
    <row r="1123" spans="3:18" hidden="1" x14ac:dyDescent="0.25">
      <c r="C1123" t="s">
        <v>45</v>
      </c>
      <c r="D1123" t="s">
        <v>24</v>
      </c>
      <c r="E1123" t="s">
        <v>44</v>
      </c>
      <c r="F1123" t="s">
        <v>41</v>
      </c>
      <c r="G1123" s="89">
        <v>286906</v>
      </c>
      <c r="H1123" t="s">
        <v>145</v>
      </c>
      <c r="I1123" t="s">
        <v>133</v>
      </c>
      <c r="J1123" s="89">
        <v>8033368</v>
      </c>
      <c r="K1123" t="s">
        <v>127</v>
      </c>
      <c r="L1123" t="s">
        <v>128</v>
      </c>
      <c r="N1123">
        <v>1</v>
      </c>
      <c r="O1123" s="89">
        <v>11476.24</v>
      </c>
      <c r="P1123" s="89">
        <v>246739.16</v>
      </c>
      <c r="Q1123" t="s">
        <v>135</v>
      </c>
      <c r="R1123" t="s">
        <v>131</v>
      </c>
    </row>
    <row r="1124" spans="3:18" x14ac:dyDescent="0.25">
      <c r="C1124" t="s">
        <v>47</v>
      </c>
      <c r="D1124" t="s">
        <v>21</v>
      </c>
      <c r="E1124" t="s">
        <v>40</v>
      </c>
      <c r="F1124" t="s">
        <v>41</v>
      </c>
      <c r="G1124" s="89">
        <v>195959</v>
      </c>
      <c r="H1124" t="s">
        <v>42</v>
      </c>
      <c r="I1124" t="s">
        <v>126</v>
      </c>
      <c r="J1124" s="89">
        <v>2351508</v>
      </c>
      <c r="K1124" t="s">
        <v>144</v>
      </c>
      <c r="N1124">
        <v>1</v>
      </c>
      <c r="O1124" s="89">
        <v>7838.36</v>
      </c>
      <c r="P1124" s="89">
        <v>139130.89000000001</v>
      </c>
      <c r="Q1124" t="s">
        <v>137</v>
      </c>
      <c r="R1124" t="s">
        <v>131</v>
      </c>
    </row>
    <row r="1125" spans="3:18" x14ac:dyDescent="0.25">
      <c r="C1125" t="s">
        <v>47</v>
      </c>
      <c r="D1125" t="s">
        <v>23</v>
      </c>
      <c r="E1125" t="s">
        <v>40</v>
      </c>
      <c r="F1125" t="s">
        <v>41</v>
      </c>
      <c r="G1125" s="89">
        <v>415701</v>
      </c>
      <c r="H1125" t="s">
        <v>132</v>
      </c>
      <c r="I1125" t="s">
        <v>126</v>
      </c>
      <c r="J1125" s="89">
        <v>5404113</v>
      </c>
      <c r="K1125" t="s">
        <v>144</v>
      </c>
      <c r="N1125">
        <v>1</v>
      </c>
      <c r="O1125" s="89">
        <v>16628.04</v>
      </c>
      <c r="P1125" s="89">
        <v>299304.71999999997</v>
      </c>
      <c r="Q1125" t="s">
        <v>137</v>
      </c>
      <c r="R1125" t="s">
        <v>131</v>
      </c>
    </row>
    <row r="1126" spans="3:18" hidden="1" x14ac:dyDescent="0.25">
      <c r="C1126" t="s">
        <v>45</v>
      </c>
      <c r="D1126" t="s">
        <v>23</v>
      </c>
      <c r="E1126" t="s">
        <v>44</v>
      </c>
      <c r="F1126" t="s">
        <v>41</v>
      </c>
      <c r="G1126" s="89">
        <v>41292788</v>
      </c>
      <c r="H1126" t="s">
        <v>42</v>
      </c>
      <c r="I1126" t="s">
        <v>133</v>
      </c>
      <c r="J1126" s="89">
        <v>1362662004</v>
      </c>
      <c r="K1126" t="s">
        <v>144</v>
      </c>
      <c r="N1126">
        <v>1</v>
      </c>
      <c r="O1126" s="89">
        <v>1238783.6399999999</v>
      </c>
      <c r="P1126" s="89">
        <v>29730807.359999999</v>
      </c>
      <c r="Q1126" t="s">
        <v>137</v>
      </c>
      <c r="R1126" t="s">
        <v>42</v>
      </c>
    </row>
    <row r="1127" spans="3:18" x14ac:dyDescent="0.25">
      <c r="C1127" t="s">
        <v>47</v>
      </c>
      <c r="D1127" t="s">
        <v>23</v>
      </c>
      <c r="E1127" t="s">
        <v>43</v>
      </c>
      <c r="F1127" t="s">
        <v>41</v>
      </c>
      <c r="G1127" s="89">
        <v>174</v>
      </c>
      <c r="H1127" t="s">
        <v>140</v>
      </c>
      <c r="I1127" t="s">
        <v>147</v>
      </c>
      <c r="J1127" s="89"/>
      <c r="K1127" t="s">
        <v>127</v>
      </c>
      <c r="L1127" t="s">
        <v>128</v>
      </c>
      <c r="N1127">
        <v>0</v>
      </c>
      <c r="O1127" s="89">
        <v>0</v>
      </c>
      <c r="P1127" s="89">
        <v>0</v>
      </c>
      <c r="Q1127" t="s">
        <v>130</v>
      </c>
      <c r="R1127" t="s">
        <v>131</v>
      </c>
    </row>
    <row r="1128" spans="3:18" x14ac:dyDescent="0.25">
      <c r="C1128" t="s">
        <v>47</v>
      </c>
      <c r="D1128" t="s">
        <v>20</v>
      </c>
      <c r="E1128" t="s">
        <v>43</v>
      </c>
      <c r="F1128" t="s">
        <v>41</v>
      </c>
      <c r="G1128" s="89">
        <v>11366579</v>
      </c>
      <c r="H1128" t="s">
        <v>140</v>
      </c>
      <c r="I1128" t="s">
        <v>147</v>
      </c>
      <c r="J1128" s="89">
        <v>22733158</v>
      </c>
      <c r="K1128" t="s">
        <v>127</v>
      </c>
      <c r="L1128" t="s">
        <v>128</v>
      </c>
      <c r="N1128">
        <v>1</v>
      </c>
      <c r="O1128" s="89">
        <v>681994.74</v>
      </c>
      <c r="P1128" s="89">
        <v>1818652.64</v>
      </c>
      <c r="Q1128" t="s">
        <v>130</v>
      </c>
      <c r="R1128" t="s">
        <v>131</v>
      </c>
    </row>
    <row r="1129" spans="3:18" hidden="1" x14ac:dyDescent="0.25">
      <c r="C1129" t="s">
        <v>45</v>
      </c>
      <c r="D1129" t="s">
        <v>21</v>
      </c>
      <c r="E1129" t="s">
        <v>44</v>
      </c>
      <c r="F1129" t="s">
        <v>41</v>
      </c>
      <c r="G1129" s="89">
        <v>6252195</v>
      </c>
      <c r="H1129" t="s">
        <v>42</v>
      </c>
      <c r="I1129" t="s">
        <v>133</v>
      </c>
      <c r="J1129" s="89">
        <v>225079020</v>
      </c>
      <c r="K1129" t="s">
        <v>144</v>
      </c>
      <c r="N1129">
        <v>1</v>
      </c>
      <c r="O1129" s="89">
        <v>187565.85</v>
      </c>
      <c r="P1129" s="89">
        <v>5626975.5</v>
      </c>
      <c r="Q1129" t="s">
        <v>135</v>
      </c>
      <c r="R1129" t="s">
        <v>42</v>
      </c>
    </row>
    <row r="1130" spans="3:18" hidden="1" x14ac:dyDescent="0.25">
      <c r="C1130" t="s">
        <v>45</v>
      </c>
      <c r="D1130" t="s">
        <v>149</v>
      </c>
      <c r="E1130" t="s">
        <v>40</v>
      </c>
      <c r="F1130" t="s">
        <v>41</v>
      </c>
      <c r="G1130" s="89">
        <v>145272</v>
      </c>
      <c r="H1130" t="s">
        <v>42</v>
      </c>
      <c r="I1130" t="s">
        <v>133</v>
      </c>
      <c r="J1130" s="89">
        <v>5084520</v>
      </c>
      <c r="K1130" t="s">
        <v>134</v>
      </c>
      <c r="L1130" t="s">
        <v>128</v>
      </c>
      <c r="M1130" t="s">
        <v>136</v>
      </c>
      <c r="N1130">
        <v>1</v>
      </c>
      <c r="O1130" s="89">
        <v>4358.16</v>
      </c>
      <c r="P1130" s="89">
        <v>82805.039999999994</v>
      </c>
      <c r="Q1130" t="s">
        <v>142</v>
      </c>
      <c r="R1130" t="s">
        <v>131</v>
      </c>
    </row>
    <row r="1131" spans="3:18" hidden="1" x14ac:dyDescent="0.25">
      <c r="C1131" t="s">
        <v>45</v>
      </c>
      <c r="D1131" t="s">
        <v>25</v>
      </c>
      <c r="E1131" t="s">
        <v>48</v>
      </c>
      <c r="F1131" t="s">
        <v>41</v>
      </c>
      <c r="G1131" s="89">
        <v>49761</v>
      </c>
      <c r="H1131" t="s">
        <v>42</v>
      </c>
      <c r="I1131" t="s">
        <v>133</v>
      </c>
      <c r="J1131" s="89">
        <v>1791396</v>
      </c>
      <c r="K1131" t="s">
        <v>127</v>
      </c>
      <c r="L1131" t="s">
        <v>128</v>
      </c>
      <c r="M1131" t="s">
        <v>155</v>
      </c>
      <c r="N1131">
        <v>1</v>
      </c>
      <c r="O1131" s="89">
        <v>1492.83</v>
      </c>
      <c r="P1131" s="89">
        <v>13933.08</v>
      </c>
      <c r="Q1131" t="s">
        <v>130</v>
      </c>
      <c r="R1131" t="s">
        <v>131</v>
      </c>
    </row>
    <row r="1132" spans="3:18" x14ac:dyDescent="0.25">
      <c r="C1132" t="s">
        <v>47</v>
      </c>
      <c r="D1132" t="s">
        <v>21</v>
      </c>
      <c r="E1132" t="s">
        <v>43</v>
      </c>
      <c r="F1132" t="s">
        <v>41</v>
      </c>
      <c r="G1132" s="89">
        <v>18260924</v>
      </c>
      <c r="H1132" t="s">
        <v>146</v>
      </c>
      <c r="I1132" t="s">
        <v>126</v>
      </c>
      <c r="J1132" s="89">
        <v>200870164</v>
      </c>
      <c r="K1132" t="s">
        <v>144</v>
      </c>
      <c r="N1132">
        <v>1</v>
      </c>
      <c r="O1132" s="89">
        <v>730436.96</v>
      </c>
      <c r="P1132" s="89">
        <v>11686991.359999999</v>
      </c>
      <c r="Q1132" t="s">
        <v>137</v>
      </c>
      <c r="R1132" t="s">
        <v>131</v>
      </c>
    </row>
    <row r="1133" spans="3:18" x14ac:dyDescent="0.25">
      <c r="C1133" t="s">
        <v>47</v>
      </c>
      <c r="D1133" t="s">
        <v>25</v>
      </c>
      <c r="E1133" t="s">
        <v>43</v>
      </c>
      <c r="F1133" t="s">
        <v>41</v>
      </c>
      <c r="G1133" s="89">
        <v>25419</v>
      </c>
      <c r="H1133" t="s">
        <v>145</v>
      </c>
      <c r="I1133" t="s">
        <v>147</v>
      </c>
      <c r="J1133" s="89">
        <v>101676</v>
      </c>
      <c r="K1133" t="s">
        <v>127</v>
      </c>
      <c r="L1133" t="s">
        <v>128</v>
      </c>
      <c r="N1133">
        <v>1</v>
      </c>
      <c r="O1133" s="89">
        <v>1270.95</v>
      </c>
      <c r="P1133" s="89">
        <v>6100.56</v>
      </c>
      <c r="Q1133" t="s">
        <v>130</v>
      </c>
      <c r="R1133" t="s">
        <v>131</v>
      </c>
    </row>
    <row r="1134" spans="3:18" x14ac:dyDescent="0.25">
      <c r="C1134" t="s">
        <v>47</v>
      </c>
      <c r="D1134" t="s">
        <v>22</v>
      </c>
      <c r="E1134" t="s">
        <v>40</v>
      </c>
      <c r="F1134" t="s">
        <v>41</v>
      </c>
      <c r="G1134" s="89">
        <v>19281901</v>
      </c>
      <c r="H1134" t="s">
        <v>140</v>
      </c>
      <c r="I1134" t="s">
        <v>126</v>
      </c>
      <c r="J1134" s="89">
        <v>250664713</v>
      </c>
      <c r="K1134" t="s">
        <v>127</v>
      </c>
      <c r="L1134" t="s">
        <v>128</v>
      </c>
      <c r="N1134">
        <v>1</v>
      </c>
      <c r="O1134" s="89">
        <v>771276.04</v>
      </c>
      <c r="P1134" s="89">
        <v>4434837.2300000004</v>
      </c>
      <c r="Q1134" t="s">
        <v>130</v>
      </c>
      <c r="R1134" t="s">
        <v>131</v>
      </c>
    </row>
    <row r="1135" spans="3:18" hidden="1" x14ac:dyDescent="0.25">
      <c r="C1135" t="s">
        <v>45</v>
      </c>
      <c r="D1135" t="s">
        <v>19</v>
      </c>
      <c r="E1135" t="s">
        <v>43</v>
      </c>
      <c r="F1135" t="s">
        <v>41</v>
      </c>
      <c r="G1135" s="89">
        <v>1278614</v>
      </c>
      <c r="H1135" t="s">
        <v>145</v>
      </c>
      <c r="I1135" t="s">
        <v>126</v>
      </c>
      <c r="J1135" s="89">
        <v>21736438</v>
      </c>
      <c r="K1135" t="s">
        <v>127</v>
      </c>
      <c r="L1135" t="s">
        <v>128</v>
      </c>
      <c r="N1135">
        <v>1</v>
      </c>
      <c r="O1135" s="89">
        <v>38358.42</v>
      </c>
      <c r="P1135" s="89">
        <v>856671.38</v>
      </c>
      <c r="Q1135" t="s">
        <v>137</v>
      </c>
      <c r="R1135" t="s">
        <v>131</v>
      </c>
    </row>
    <row r="1136" spans="3:18" hidden="1" x14ac:dyDescent="0.25">
      <c r="C1136" t="s">
        <v>45</v>
      </c>
      <c r="D1136" t="s">
        <v>149</v>
      </c>
      <c r="E1136" t="s">
        <v>43</v>
      </c>
      <c r="F1136" t="s">
        <v>41</v>
      </c>
      <c r="G1136" s="89">
        <v>82065560</v>
      </c>
      <c r="H1136" t="s">
        <v>42</v>
      </c>
      <c r="I1136" t="s">
        <v>133</v>
      </c>
      <c r="J1136" s="89">
        <v>2790229040</v>
      </c>
      <c r="K1136" t="s">
        <v>144</v>
      </c>
      <c r="N1136">
        <v>1</v>
      </c>
      <c r="O1136" s="89">
        <v>2461966.7999999998</v>
      </c>
      <c r="P1136" s="89">
        <v>57445892</v>
      </c>
      <c r="Q1136" t="s">
        <v>137</v>
      </c>
      <c r="R1136" t="s">
        <v>42</v>
      </c>
    </row>
    <row r="1137" spans="3:18" x14ac:dyDescent="0.25">
      <c r="C1137" t="s">
        <v>47</v>
      </c>
      <c r="D1137" t="s">
        <v>138</v>
      </c>
      <c r="E1137" t="s">
        <v>40</v>
      </c>
      <c r="F1137" t="s">
        <v>41</v>
      </c>
      <c r="G1137" s="89">
        <v>178987</v>
      </c>
      <c r="H1137" t="s">
        <v>140</v>
      </c>
      <c r="I1137" t="s">
        <v>141</v>
      </c>
      <c r="J1137" s="89">
        <v>1610883</v>
      </c>
      <c r="K1137" t="s">
        <v>144</v>
      </c>
      <c r="N1137">
        <v>1</v>
      </c>
      <c r="O1137" s="89">
        <v>7159.48</v>
      </c>
      <c r="P1137" s="89">
        <v>121711.16</v>
      </c>
      <c r="Q1137" t="s">
        <v>137</v>
      </c>
      <c r="R1137" t="s">
        <v>131</v>
      </c>
    </row>
    <row r="1138" spans="3:18" hidden="1" x14ac:dyDescent="0.25">
      <c r="C1138" t="s">
        <v>45</v>
      </c>
      <c r="D1138" t="s">
        <v>22</v>
      </c>
      <c r="E1138" t="s">
        <v>46</v>
      </c>
      <c r="F1138" t="s">
        <v>41</v>
      </c>
      <c r="G1138" s="89">
        <v>121735</v>
      </c>
      <c r="H1138" t="s">
        <v>42</v>
      </c>
      <c r="I1138" t="s">
        <v>126</v>
      </c>
      <c r="J1138" s="89">
        <v>2191230</v>
      </c>
      <c r="K1138" t="s">
        <v>144</v>
      </c>
      <c r="N1138">
        <v>1</v>
      </c>
      <c r="O1138" s="89">
        <v>4869.3999999999996</v>
      </c>
      <c r="P1138" s="89">
        <v>65736.899999999994</v>
      </c>
      <c r="Q1138" t="s">
        <v>142</v>
      </c>
      <c r="R1138" t="s">
        <v>42</v>
      </c>
    </row>
    <row r="1139" spans="3:18" hidden="1" x14ac:dyDescent="0.25">
      <c r="C1139" t="s">
        <v>45</v>
      </c>
      <c r="D1139" t="s">
        <v>21</v>
      </c>
      <c r="E1139" t="s">
        <v>43</v>
      </c>
      <c r="F1139" t="s">
        <v>53</v>
      </c>
      <c r="G1139" s="89">
        <v>319772</v>
      </c>
      <c r="H1139" t="s">
        <v>132</v>
      </c>
      <c r="I1139" t="s">
        <v>133</v>
      </c>
      <c r="J1139" s="89">
        <v>11511792</v>
      </c>
      <c r="K1139" t="s">
        <v>144</v>
      </c>
      <c r="N1139">
        <v>1</v>
      </c>
      <c r="O1139" s="89">
        <v>9593.16</v>
      </c>
      <c r="P1139" s="89">
        <v>227038.12</v>
      </c>
      <c r="Q1139" t="s">
        <v>137</v>
      </c>
      <c r="R1139" t="s">
        <v>131</v>
      </c>
    </row>
    <row r="1140" spans="3:18" hidden="1" x14ac:dyDescent="0.25">
      <c r="C1140" t="s">
        <v>45</v>
      </c>
      <c r="D1140" t="s">
        <v>24</v>
      </c>
      <c r="E1140" t="s">
        <v>40</v>
      </c>
      <c r="F1140" t="s">
        <v>41</v>
      </c>
      <c r="G1140" s="89">
        <v>51590</v>
      </c>
      <c r="H1140" t="s">
        <v>146</v>
      </c>
      <c r="I1140" t="s">
        <v>141</v>
      </c>
      <c r="J1140" s="89">
        <v>309540</v>
      </c>
      <c r="K1140" t="s">
        <v>127</v>
      </c>
      <c r="L1140" t="s">
        <v>128</v>
      </c>
      <c r="N1140">
        <v>1</v>
      </c>
      <c r="O1140" s="89">
        <v>1547.7</v>
      </c>
      <c r="P1140" s="89">
        <v>27858.6</v>
      </c>
      <c r="Q1140" t="s">
        <v>142</v>
      </c>
      <c r="R1140" t="s">
        <v>131</v>
      </c>
    </row>
    <row r="1141" spans="3:18" hidden="1" x14ac:dyDescent="0.25">
      <c r="C1141" t="s">
        <v>45</v>
      </c>
      <c r="D1141" t="s">
        <v>21</v>
      </c>
      <c r="E1141" t="s">
        <v>43</v>
      </c>
      <c r="F1141" t="s">
        <v>41</v>
      </c>
      <c r="G1141" s="89">
        <v>267054</v>
      </c>
      <c r="H1141" t="s">
        <v>42</v>
      </c>
      <c r="I1141" t="s">
        <v>133</v>
      </c>
      <c r="J1141" s="89">
        <v>8812782</v>
      </c>
      <c r="K1141" t="s">
        <v>127</v>
      </c>
      <c r="L1141" t="s">
        <v>128</v>
      </c>
      <c r="M1141" t="s">
        <v>152</v>
      </c>
      <c r="N1141">
        <v>1</v>
      </c>
      <c r="O1141" s="89">
        <v>8011.62</v>
      </c>
      <c r="P1141" s="89">
        <v>152220.78</v>
      </c>
      <c r="Q1141" t="s">
        <v>142</v>
      </c>
      <c r="R1141" t="s">
        <v>131</v>
      </c>
    </row>
    <row r="1142" spans="3:18" hidden="1" x14ac:dyDescent="0.25">
      <c r="C1142" t="s">
        <v>45</v>
      </c>
      <c r="D1142" t="s">
        <v>22</v>
      </c>
      <c r="E1142" t="s">
        <v>48</v>
      </c>
      <c r="F1142" t="s">
        <v>53</v>
      </c>
      <c r="G1142" s="89">
        <v>3471462</v>
      </c>
      <c r="H1142" t="s">
        <v>42</v>
      </c>
      <c r="I1142" t="s">
        <v>133</v>
      </c>
      <c r="J1142" s="89">
        <v>118029708</v>
      </c>
      <c r="K1142" t="s">
        <v>144</v>
      </c>
      <c r="N1142">
        <v>1</v>
      </c>
      <c r="O1142" s="89">
        <v>104143.86</v>
      </c>
      <c r="P1142" s="89">
        <v>2568881.88</v>
      </c>
      <c r="Q1142" t="s">
        <v>137</v>
      </c>
      <c r="R1142" t="s">
        <v>42</v>
      </c>
    </row>
    <row r="1143" spans="3:18" hidden="1" x14ac:dyDescent="0.25">
      <c r="C1143" t="s">
        <v>45</v>
      </c>
      <c r="D1143" t="s">
        <v>149</v>
      </c>
      <c r="E1143" t="s">
        <v>43</v>
      </c>
      <c r="F1143" t="s">
        <v>41</v>
      </c>
      <c r="G1143" s="89">
        <v>1657160</v>
      </c>
      <c r="H1143" t="s">
        <v>132</v>
      </c>
      <c r="I1143" t="s">
        <v>133</v>
      </c>
      <c r="J1143" s="89">
        <v>46400480</v>
      </c>
      <c r="K1143" t="s">
        <v>127</v>
      </c>
      <c r="L1143" t="s">
        <v>128</v>
      </c>
      <c r="N1143">
        <v>1</v>
      </c>
      <c r="O1143" s="89">
        <v>49714.8</v>
      </c>
      <c r="P1143" s="89">
        <v>497148</v>
      </c>
      <c r="Q1143" t="s">
        <v>130</v>
      </c>
      <c r="R1143" t="s">
        <v>131</v>
      </c>
    </row>
    <row r="1144" spans="3:18" hidden="1" x14ac:dyDescent="0.25">
      <c r="C1144" t="s">
        <v>45</v>
      </c>
      <c r="D1144" t="s">
        <v>138</v>
      </c>
      <c r="E1144" t="s">
        <v>43</v>
      </c>
      <c r="F1144" t="s">
        <v>41</v>
      </c>
      <c r="G1144" s="89">
        <v>1413891</v>
      </c>
      <c r="H1144" t="s">
        <v>42</v>
      </c>
      <c r="I1144" t="s">
        <v>141</v>
      </c>
      <c r="J1144" s="89">
        <v>11311128</v>
      </c>
      <c r="K1144" t="s">
        <v>127</v>
      </c>
      <c r="L1144" t="s">
        <v>128</v>
      </c>
      <c r="M1144" t="s">
        <v>139</v>
      </c>
      <c r="N1144">
        <v>1</v>
      </c>
      <c r="O1144" s="89">
        <v>56555.64</v>
      </c>
      <c r="P1144" s="89">
        <v>664528.77</v>
      </c>
      <c r="Q1144" t="s">
        <v>142</v>
      </c>
      <c r="R1144" t="s">
        <v>131</v>
      </c>
    </row>
    <row r="1145" spans="3:18" hidden="1" x14ac:dyDescent="0.25">
      <c r="C1145" t="s">
        <v>45</v>
      </c>
      <c r="D1145" t="s">
        <v>50</v>
      </c>
      <c r="E1145" t="s">
        <v>50</v>
      </c>
      <c r="F1145" t="s">
        <v>41</v>
      </c>
      <c r="G1145" s="89">
        <v>326808</v>
      </c>
      <c r="H1145" t="s">
        <v>79</v>
      </c>
      <c r="I1145" t="s">
        <v>147</v>
      </c>
      <c r="J1145" s="89">
        <v>326808</v>
      </c>
      <c r="K1145" t="s">
        <v>127</v>
      </c>
      <c r="N1145">
        <v>1</v>
      </c>
      <c r="O1145" s="89">
        <v>9804.24</v>
      </c>
      <c r="P1145" s="89">
        <v>22876.560000000001</v>
      </c>
      <c r="Q1145" t="s">
        <v>130</v>
      </c>
      <c r="R1145" t="s">
        <v>79</v>
      </c>
    </row>
    <row r="1146" spans="3:18" hidden="1" x14ac:dyDescent="0.25">
      <c r="C1146" t="s">
        <v>45</v>
      </c>
      <c r="D1146" t="s">
        <v>21</v>
      </c>
      <c r="E1146" t="s">
        <v>43</v>
      </c>
      <c r="F1146" t="s">
        <v>53</v>
      </c>
      <c r="G1146" s="89">
        <v>24851</v>
      </c>
      <c r="H1146" t="s">
        <v>140</v>
      </c>
      <c r="I1146" t="s">
        <v>147</v>
      </c>
      <c r="J1146" s="89">
        <v>99404</v>
      </c>
      <c r="K1146" t="s">
        <v>127</v>
      </c>
      <c r="L1146" t="s">
        <v>128</v>
      </c>
      <c r="N1146">
        <v>1</v>
      </c>
      <c r="O1146" s="89">
        <v>994.04</v>
      </c>
      <c r="P1146" s="89">
        <v>4970.2</v>
      </c>
      <c r="Q1146" t="s">
        <v>130</v>
      </c>
      <c r="R1146" t="s">
        <v>131</v>
      </c>
    </row>
    <row r="1147" spans="3:18" x14ac:dyDescent="0.25">
      <c r="C1147" t="s">
        <v>47</v>
      </c>
      <c r="D1147" t="s">
        <v>22</v>
      </c>
      <c r="E1147" t="s">
        <v>40</v>
      </c>
      <c r="F1147" t="s">
        <v>41</v>
      </c>
      <c r="G1147" s="89">
        <v>7188014</v>
      </c>
      <c r="H1147" t="s">
        <v>140</v>
      </c>
      <c r="I1147" t="s">
        <v>141</v>
      </c>
      <c r="J1147" s="89">
        <v>64692126</v>
      </c>
      <c r="K1147" t="s">
        <v>127</v>
      </c>
      <c r="L1147" t="s">
        <v>128</v>
      </c>
      <c r="N1147">
        <v>1</v>
      </c>
      <c r="O1147" s="89">
        <v>215640.42</v>
      </c>
      <c r="P1147" s="89">
        <v>4959729.66</v>
      </c>
      <c r="Q1147" t="s">
        <v>137</v>
      </c>
      <c r="R1147" t="s">
        <v>131</v>
      </c>
    </row>
    <row r="1148" spans="3:18" hidden="1" x14ac:dyDescent="0.25">
      <c r="C1148" t="s">
        <v>45</v>
      </c>
      <c r="D1148" t="s">
        <v>20</v>
      </c>
      <c r="E1148" t="s">
        <v>43</v>
      </c>
      <c r="F1148" t="s">
        <v>41</v>
      </c>
      <c r="G1148" s="89">
        <v>301756</v>
      </c>
      <c r="H1148" t="s">
        <v>42</v>
      </c>
      <c r="I1148" t="s">
        <v>133</v>
      </c>
      <c r="J1148" s="89">
        <v>10259704</v>
      </c>
      <c r="K1148" t="s">
        <v>127</v>
      </c>
      <c r="L1148" t="s">
        <v>128</v>
      </c>
      <c r="M1148" t="s">
        <v>136</v>
      </c>
      <c r="N1148">
        <v>1</v>
      </c>
      <c r="O1148" s="89">
        <v>9052.68</v>
      </c>
      <c r="P1148" s="89">
        <v>217264.32</v>
      </c>
      <c r="Q1148" t="s">
        <v>137</v>
      </c>
      <c r="R1148" t="s">
        <v>42</v>
      </c>
    </row>
    <row r="1149" spans="3:18" hidden="1" x14ac:dyDescent="0.25">
      <c r="C1149" t="s">
        <v>45</v>
      </c>
      <c r="D1149" t="s">
        <v>21</v>
      </c>
      <c r="E1149" t="s">
        <v>40</v>
      </c>
      <c r="F1149" t="s">
        <v>41</v>
      </c>
      <c r="G1149" s="89">
        <v>13720742</v>
      </c>
      <c r="H1149" t="s">
        <v>42</v>
      </c>
      <c r="I1149" t="s">
        <v>133</v>
      </c>
      <c r="J1149" s="89">
        <v>384180776</v>
      </c>
      <c r="K1149" t="s">
        <v>127</v>
      </c>
      <c r="L1149" t="s">
        <v>128</v>
      </c>
      <c r="M1149" t="s">
        <v>129</v>
      </c>
      <c r="N1149">
        <v>1</v>
      </c>
      <c r="O1149" s="89">
        <v>411622.26</v>
      </c>
      <c r="P1149" s="89">
        <v>3841807.76</v>
      </c>
      <c r="Q1149" t="s">
        <v>130</v>
      </c>
      <c r="R1149" t="s">
        <v>131</v>
      </c>
    </row>
    <row r="1150" spans="3:18" hidden="1" x14ac:dyDescent="0.25">
      <c r="C1150" t="s">
        <v>45</v>
      </c>
      <c r="D1150" t="s">
        <v>20</v>
      </c>
      <c r="E1150" t="s">
        <v>43</v>
      </c>
      <c r="F1150" t="s">
        <v>41</v>
      </c>
      <c r="G1150" s="89">
        <v>537597</v>
      </c>
      <c r="H1150" t="s">
        <v>42</v>
      </c>
      <c r="I1150" t="s">
        <v>141</v>
      </c>
      <c r="J1150" s="89">
        <v>4300776</v>
      </c>
      <c r="K1150" t="s">
        <v>127</v>
      </c>
      <c r="L1150" t="s">
        <v>128</v>
      </c>
      <c r="M1150" t="s">
        <v>139</v>
      </c>
      <c r="N1150">
        <v>1</v>
      </c>
      <c r="O1150" s="89">
        <v>21503.88</v>
      </c>
      <c r="P1150" s="89">
        <v>107519.4</v>
      </c>
      <c r="Q1150" t="s">
        <v>130</v>
      </c>
      <c r="R1150" t="s">
        <v>42</v>
      </c>
    </row>
    <row r="1151" spans="3:18" x14ac:dyDescent="0.25">
      <c r="C1151" t="s">
        <v>47</v>
      </c>
      <c r="D1151" t="s">
        <v>22</v>
      </c>
      <c r="E1151" t="s">
        <v>40</v>
      </c>
      <c r="F1151" t="s">
        <v>41</v>
      </c>
      <c r="G1151" s="89">
        <v>59160</v>
      </c>
      <c r="H1151" t="s">
        <v>146</v>
      </c>
      <c r="I1151" t="s">
        <v>141</v>
      </c>
      <c r="J1151" s="89">
        <v>532440</v>
      </c>
      <c r="K1151" t="s">
        <v>127</v>
      </c>
      <c r="L1151" t="s">
        <v>151</v>
      </c>
      <c r="N1151">
        <v>1</v>
      </c>
      <c r="O1151" s="89">
        <v>3549.6</v>
      </c>
      <c r="P1151" s="89">
        <v>0</v>
      </c>
      <c r="Q1151" t="s">
        <v>130</v>
      </c>
      <c r="R1151" t="s">
        <v>131</v>
      </c>
    </row>
    <row r="1152" spans="3:18" hidden="1" x14ac:dyDescent="0.25">
      <c r="C1152" t="s">
        <v>45</v>
      </c>
      <c r="D1152" t="s">
        <v>22</v>
      </c>
      <c r="E1152" t="s">
        <v>43</v>
      </c>
      <c r="F1152" t="s">
        <v>41</v>
      </c>
      <c r="G1152" s="89">
        <v>1351285</v>
      </c>
      <c r="H1152" t="s">
        <v>42</v>
      </c>
      <c r="I1152" t="s">
        <v>147</v>
      </c>
      <c r="J1152" s="89">
        <v>4053855</v>
      </c>
      <c r="K1152" t="s">
        <v>127</v>
      </c>
      <c r="L1152" t="s">
        <v>128</v>
      </c>
      <c r="M1152" t="s">
        <v>143</v>
      </c>
      <c r="N1152">
        <v>1</v>
      </c>
      <c r="O1152" s="89">
        <v>40538.550000000003</v>
      </c>
      <c r="P1152" s="89">
        <v>162154.20000000001</v>
      </c>
      <c r="Q1152" t="s">
        <v>130</v>
      </c>
      <c r="R1152" t="s">
        <v>131</v>
      </c>
    </row>
    <row r="1153" spans="3:18" hidden="1" x14ac:dyDescent="0.25">
      <c r="C1153" t="s">
        <v>45</v>
      </c>
      <c r="D1153" t="s">
        <v>25</v>
      </c>
      <c r="E1153" t="s">
        <v>48</v>
      </c>
      <c r="F1153" t="s">
        <v>41</v>
      </c>
      <c r="G1153" s="89">
        <v>3030310</v>
      </c>
      <c r="H1153" t="s">
        <v>140</v>
      </c>
      <c r="I1153" t="s">
        <v>133</v>
      </c>
      <c r="J1153" s="89">
        <v>72727440</v>
      </c>
      <c r="K1153" t="s">
        <v>127</v>
      </c>
      <c r="L1153" t="s">
        <v>128</v>
      </c>
      <c r="N1153">
        <v>1</v>
      </c>
      <c r="O1153" s="89">
        <v>90909.3</v>
      </c>
      <c r="P1153" s="89">
        <v>1515155</v>
      </c>
      <c r="Q1153" t="s">
        <v>142</v>
      </c>
      <c r="R1153" t="s">
        <v>131</v>
      </c>
    </row>
    <row r="1154" spans="3:18" hidden="1" x14ac:dyDescent="0.25">
      <c r="C1154" t="s">
        <v>45</v>
      </c>
      <c r="D1154" t="s">
        <v>138</v>
      </c>
      <c r="E1154" t="s">
        <v>40</v>
      </c>
      <c r="F1154" t="s">
        <v>41</v>
      </c>
      <c r="G1154" s="89">
        <v>75260</v>
      </c>
      <c r="H1154" t="s">
        <v>42</v>
      </c>
      <c r="I1154" t="s">
        <v>126</v>
      </c>
      <c r="J1154" s="89">
        <v>1505200</v>
      </c>
      <c r="K1154" t="s">
        <v>134</v>
      </c>
      <c r="L1154" t="s">
        <v>128</v>
      </c>
      <c r="M1154" t="s">
        <v>139</v>
      </c>
      <c r="N1154">
        <v>1</v>
      </c>
      <c r="O1154" s="89">
        <v>752.6</v>
      </c>
      <c r="P1154" s="89">
        <v>45156</v>
      </c>
      <c r="Q1154" t="s">
        <v>137</v>
      </c>
      <c r="R1154" t="s">
        <v>42</v>
      </c>
    </row>
    <row r="1155" spans="3:18" hidden="1" x14ac:dyDescent="0.25">
      <c r="C1155" t="s">
        <v>45</v>
      </c>
      <c r="D1155" t="s">
        <v>23</v>
      </c>
      <c r="E1155" t="s">
        <v>52</v>
      </c>
      <c r="F1155" t="s">
        <v>41</v>
      </c>
      <c r="G1155" s="89">
        <v>62842</v>
      </c>
      <c r="H1155" t="s">
        <v>42</v>
      </c>
      <c r="I1155" t="s">
        <v>133</v>
      </c>
      <c r="J1155" s="89">
        <v>2262312</v>
      </c>
      <c r="K1155" t="s">
        <v>134</v>
      </c>
      <c r="L1155" t="s">
        <v>128</v>
      </c>
      <c r="M1155" t="s">
        <v>152</v>
      </c>
      <c r="N1155">
        <v>1</v>
      </c>
      <c r="O1155" s="89">
        <v>1885.26</v>
      </c>
      <c r="P1155" s="89">
        <v>53415.7</v>
      </c>
      <c r="Q1155" t="s">
        <v>135</v>
      </c>
      <c r="R1155" t="s">
        <v>42</v>
      </c>
    </row>
    <row r="1156" spans="3:18" hidden="1" x14ac:dyDescent="0.25">
      <c r="C1156" t="s">
        <v>45</v>
      </c>
      <c r="D1156" t="s">
        <v>23</v>
      </c>
      <c r="E1156" t="s">
        <v>40</v>
      </c>
      <c r="F1156" t="s">
        <v>41</v>
      </c>
      <c r="G1156" s="89">
        <v>6917309</v>
      </c>
      <c r="H1156" t="s">
        <v>145</v>
      </c>
      <c r="I1156" t="s">
        <v>147</v>
      </c>
      <c r="J1156" s="89">
        <v>6917309</v>
      </c>
      <c r="K1156" t="s">
        <v>127</v>
      </c>
      <c r="L1156" t="s">
        <v>128</v>
      </c>
      <c r="N1156">
        <v>1</v>
      </c>
      <c r="O1156" s="89">
        <v>345865.45</v>
      </c>
      <c r="P1156" s="89">
        <v>7263174.4500000002</v>
      </c>
      <c r="Q1156" t="s">
        <v>150</v>
      </c>
      <c r="R1156" t="s">
        <v>131</v>
      </c>
    </row>
    <row r="1157" spans="3:18" hidden="1" x14ac:dyDescent="0.25">
      <c r="C1157" t="s">
        <v>45</v>
      </c>
      <c r="D1157" t="s">
        <v>149</v>
      </c>
      <c r="E1157" t="s">
        <v>43</v>
      </c>
      <c r="F1157" t="s">
        <v>41</v>
      </c>
      <c r="G1157" s="89">
        <v>108979</v>
      </c>
      <c r="H1157" t="s">
        <v>140</v>
      </c>
      <c r="I1157" t="s">
        <v>126</v>
      </c>
      <c r="J1157" s="89">
        <v>2070601</v>
      </c>
      <c r="K1157" t="s">
        <v>134</v>
      </c>
      <c r="L1157" t="s">
        <v>128</v>
      </c>
      <c r="N1157">
        <v>1</v>
      </c>
      <c r="O1157" s="89">
        <v>3269.37</v>
      </c>
      <c r="P1157" s="89">
        <v>65387.4</v>
      </c>
      <c r="Q1157" t="s">
        <v>137</v>
      </c>
      <c r="R1157" t="s">
        <v>131</v>
      </c>
    </row>
    <row r="1158" spans="3:18" hidden="1" x14ac:dyDescent="0.25">
      <c r="C1158" t="s">
        <v>45</v>
      </c>
      <c r="D1158" t="s">
        <v>24</v>
      </c>
      <c r="E1158" t="s">
        <v>44</v>
      </c>
      <c r="F1158" t="s">
        <v>41</v>
      </c>
      <c r="G1158" s="89">
        <v>1519338</v>
      </c>
      <c r="H1158" t="s">
        <v>42</v>
      </c>
      <c r="I1158" t="s">
        <v>133</v>
      </c>
      <c r="J1158" s="89">
        <v>47099478</v>
      </c>
      <c r="K1158" t="s">
        <v>127</v>
      </c>
      <c r="L1158" t="s">
        <v>128</v>
      </c>
      <c r="M1158" t="s">
        <v>148</v>
      </c>
      <c r="N1158">
        <v>1</v>
      </c>
      <c r="O1158" s="89">
        <v>45580.14</v>
      </c>
      <c r="P1158" s="89">
        <v>470994.78</v>
      </c>
      <c r="Q1158" t="s">
        <v>130</v>
      </c>
      <c r="R1158" t="s">
        <v>42</v>
      </c>
    </row>
    <row r="1159" spans="3:18" hidden="1" x14ac:dyDescent="0.25">
      <c r="C1159" t="s">
        <v>45</v>
      </c>
      <c r="D1159" t="s">
        <v>22</v>
      </c>
      <c r="E1159" t="s">
        <v>40</v>
      </c>
      <c r="F1159" t="s">
        <v>41</v>
      </c>
      <c r="G1159" s="89">
        <v>33614906</v>
      </c>
      <c r="H1159" t="s">
        <v>42</v>
      </c>
      <c r="I1159" t="s">
        <v>133</v>
      </c>
      <c r="J1159" s="89">
        <v>1176521710</v>
      </c>
      <c r="K1159" t="s">
        <v>127</v>
      </c>
      <c r="L1159" t="s">
        <v>128</v>
      </c>
      <c r="M1159" t="s">
        <v>143</v>
      </c>
      <c r="N1159">
        <v>1</v>
      </c>
      <c r="O1159" s="89">
        <v>1008447.18</v>
      </c>
      <c r="P1159" s="89">
        <v>27900371.98</v>
      </c>
      <c r="Q1159" t="s">
        <v>135</v>
      </c>
      <c r="R1159" t="s">
        <v>42</v>
      </c>
    </row>
    <row r="1160" spans="3:18" hidden="1" x14ac:dyDescent="0.25">
      <c r="C1160" t="s">
        <v>45</v>
      </c>
      <c r="D1160" t="s">
        <v>22</v>
      </c>
      <c r="E1160" t="s">
        <v>43</v>
      </c>
      <c r="F1160" t="s">
        <v>41</v>
      </c>
      <c r="G1160" s="89">
        <v>37425</v>
      </c>
      <c r="H1160" t="s">
        <v>146</v>
      </c>
      <c r="I1160" t="s">
        <v>147</v>
      </c>
      <c r="J1160" s="89">
        <v>112275</v>
      </c>
      <c r="K1160" t="s">
        <v>127</v>
      </c>
      <c r="L1160" t="s">
        <v>128</v>
      </c>
      <c r="N1160">
        <v>1</v>
      </c>
      <c r="O1160" s="89">
        <v>1122.75</v>
      </c>
      <c r="P1160" s="89">
        <v>15344.25</v>
      </c>
      <c r="Q1160" t="s">
        <v>142</v>
      </c>
      <c r="R1160" t="s">
        <v>131</v>
      </c>
    </row>
    <row r="1161" spans="3:18" hidden="1" x14ac:dyDescent="0.25">
      <c r="C1161" t="s">
        <v>45</v>
      </c>
      <c r="D1161" t="s">
        <v>23</v>
      </c>
      <c r="E1161" t="s">
        <v>40</v>
      </c>
      <c r="F1161" t="s">
        <v>41</v>
      </c>
      <c r="G1161" s="89">
        <v>41009505</v>
      </c>
      <c r="H1161" t="s">
        <v>132</v>
      </c>
      <c r="I1161" t="s">
        <v>133</v>
      </c>
      <c r="J1161" s="89">
        <v>1066247130</v>
      </c>
      <c r="K1161" t="s">
        <v>127</v>
      </c>
      <c r="L1161" t="s">
        <v>128</v>
      </c>
      <c r="N1161">
        <v>1</v>
      </c>
      <c r="O1161" s="89">
        <v>1230285.1499999999</v>
      </c>
      <c r="P1161" s="89">
        <v>21324942.600000001</v>
      </c>
      <c r="Q1161" t="s">
        <v>142</v>
      </c>
      <c r="R1161" t="s">
        <v>131</v>
      </c>
    </row>
    <row r="1162" spans="3:18" hidden="1" x14ac:dyDescent="0.25">
      <c r="C1162" t="s">
        <v>45</v>
      </c>
      <c r="D1162" t="s">
        <v>23</v>
      </c>
      <c r="E1162" t="s">
        <v>40</v>
      </c>
      <c r="F1162" t="s">
        <v>41</v>
      </c>
      <c r="G1162" s="89">
        <v>149078</v>
      </c>
      <c r="H1162" t="s">
        <v>42</v>
      </c>
      <c r="I1162" t="s">
        <v>141</v>
      </c>
      <c r="J1162" s="89">
        <v>1341702</v>
      </c>
      <c r="K1162" t="s">
        <v>144</v>
      </c>
      <c r="N1162">
        <v>1</v>
      </c>
      <c r="O1162" s="89">
        <v>4472.34</v>
      </c>
      <c r="P1162" s="89">
        <v>84974.46</v>
      </c>
      <c r="Q1162" t="s">
        <v>142</v>
      </c>
      <c r="R1162" t="s">
        <v>131</v>
      </c>
    </row>
    <row r="1163" spans="3:18" x14ac:dyDescent="0.25">
      <c r="C1163" t="s">
        <v>47</v>
      </c>
      <c r="D1163" t="s">
        <v>20</v>
      </c>
      <c r="E1163" t="s">
        <v>40</v>
      </c>
      <c r="F1163" t="s">
        <v>41</v>
      </c>
      <c r="G1163" s="89">
        <v>4991353</v>
      </c>
      <c r="H1163" t="s">
        <v>42</v>
      </c>
      <c r="I1163" t="s">
        <v>141</v>
      </c>
      <c r="J1163" s="89">
        <v>34939471</v>
      </c>
      <c r="K1163" t="s">
        <v>127</v>
      </c>
      <c r="L1163" t="s">
        <v>128</v>
      </c>
      <c r="M1163" t="s">
        <v>139</v>
      </c>
      <c r="N1163">
        <v>1</v>
      </c>
      <c r="O1163" s="89">
        <v>149740.59</v>
      </c>
      <c r="P1163" s="89">
        <v>1197924.72</v>
      </c>
      <c r="Q1163" t="s">
        <v>130</v>
      </c>
      <c r="R1163" t="s">
        <v>131</v>
      </c>
    </row>
    <row r="1164" spans="3:18" hidden="1" x14ac:dyDescent="0.25">
      <c r="C1164" t="s">
        <v>45</v>
      </c>
      <c r="D1164" t="s">
        <v>21</v>
      </c>
      <c r="E1164" t="s">
        <v>43</v>
      </c>
      <c r="F1164" t="s">
        <v>41</v>
      </c>
      <c r="G1164" s="89">
        <v>839267</v>
      </c>
      <c r="H1164" t="s">
        <v>42</v>
      </c>
      <c r="I1164" t="s">
        <v>141</v>
      </c>
      <c r="J1164" s="89">
        <v>6714136</v>
      </c>
      <c r="K1164" t="s">
        <v>144</v>
      </c>
      <c r="N1164">
        <v>1</v>
      </c>
      <c r="O1164" s="89">
        <v>25178.01</v>
      </c>
      <c r="P1164" s="89">
        <v>176246.07</v>
      </c>
      <c r="Q1164" t="s">
        <v>130</v>
      </c>
      <c r="R1164" t="s">
        <v>131</v>
      </c>
    </row>
    <row r="1165" spans="3:18" hidden="1" x14ac:dyDescent="0.25">
      <c r="C1165" t="s">
        <v>45</v>
      </c>
      <c r="D1165" t="s">
        <v>19</v>
      </c>
      <c r="E1165" t="s">
        <v>40</v>
      </c>
      <c r="F1165" t="s">
        <v>41</v>
      </c>
      <c r="G1165" s="89">
        <v>390000</v>
      </c>
      <c r="H1165" t="s">
        <v>42</v>
      </c>
      <c r="I1165" t="s">
        <v>133</v>
      </c>
      <c r="J1165" s="89">
        <v>12870000</v>
      </c>
      <c r="K1165" t="s">
        <v>127</v>
      </c>
      <c r="L1165" t="s">
        <v>128</v>
      </c>
      <c r="M1165" t="s">
        <v>136</v>
      </c>
      <c r="N1165">
        <v>1</v>
      </c>
      <c r="O1165" s="89">
        <v>15600</v>
      </c>
      <c r="P1165" s="89">
        <v>183300</v>
      </c>
      <c r="Q1165" t="s">
        <v>142</v>
      </c>
      <c r="R1165" t="s">
        <v>42</v>
      </c>
    </row>
    <row r="1166" spans="3:18" hidden="1" x14ac:dyDescent="0.25">
      <c r="C1166" t="s">
        <v>45</v>
      </c>
      <c r="D1166" t="s">
        <v>23</v>
      </c>
      <c r="E1166" t="s">
        <v>43</v>
      </c>
      <c r="F1166" t="s">
        <v>41</v>
      </c>
      <c r="G1166" s="89">
        <v>147340</v>
      </c>
      <c r="H1166" t="s">
        <v>146</v>
      </c>
      <c r="I1166" t="s">
        <v>133</v>
      </c>
      <c r="J1166" s="89">
        <v>3388820</v>
      </c>
      <c r="K1166" t="s">
        <v>134</v>
      </c>
      <c r="L1166" t="s">
        <v>128</v>
      </c>
      <c r="N1166">
        <v>1</v>
      </c>
      <c r="O1166" s="89">
        <v>4420.2</v>
      </c>
      <c r="P1166" s="89">
        <v>123765.6</v>
      </c>
      <c r="Q1166" t="s">
        <v>135</v>
      </c>
      <c r="R1166" t="s">
        <v>131</v>
      </c>
    </row>
    <row r="1167" spans="3:18" hidden="1" x14ac:dyDescent="0.25">
      <c r="C1167" t="s">
        <v>45</v>
      </c>
      <c r="D1167" t="s">
        <v>138</v>
      </c>
      <c r="E1167" t="s">
        <v>43</v>
      </c>
      <c r="F1167" t="s">
        <v>41</v>
      </c>
      <c r="G1167" s="89">
        <v>3371221</v>
      </c>
      <c r="H1167" t="s">
        <v>132</v>
      </c>
      <c r="I1167" t="s">
        <v>141</v>
      </c>
      <c r="J1167" s="89">
        <v>23598547</v>
      </c>
      <c r="K1167" t="s">
        <v>127</v>
      </c>
      <c r="L1167" t="s">
        <v>128</v>
      </c>
      <c r="N1167">
        <v>1</v>
      </c>
      <c r="O1167" s="89">
        <v>101136.63</v>
      </c>
      <c r="P1167" s="89">
        <v>741668.62</v>
      </c>
      <c r="Q1167" t="s">
        <v>130</v>
      </c>
      <c r="R1167" t="s">
        <v>131</v>
      </c>
    </row>
    <row r="1168" spans="3:18" hidden="1" x14ac:dyDescent="0.25">
      <c r="C1168" t="s">
        <v>45</v>
      </c>
      <c r="D1168" t="s">
        <v>23</v>
      </c>
      <c r="E1168" t="s">
        <v>46</v>
      </c>
      <c r="F1168" t="s">
        <v>41</v>
      </c>
      <c r="G1168" s="89">
        <v>220054</v>
      </c>
      <c r="H1168" t="s">
        <v>42</v>
      </c>
      <c r="I1168" t="s">
        <v>126</v>
      </c>
      <c r="J1168" s="89">
        <v>3740918</v>
      </c>
      <c r="K1168" t="s">
        <v>144</v>
      </c>
      <c r="N1168">
        <v>1</v>
      </c>
      <c r="O1168" s="89">
        <v>6601.62</v>
      </c>
      <c r="P1168" s="89">
        <v>180444.28</v>
      </c>
      <c r="Q1168" t="s">
        <v>135</v>
      </c>
      <c r="R1168" t="s">
        <v>42</v>
      </c>
    </row>
    <row r="1169" spans="3:18" hidden="1" x14ac:dyDescent="0.25">
      <c r="C1169" t="s">
        <v>45</v>
      </c>
      <c r="D1169" t="s">
        <v>19</v>
      </c>
      <c r="E1169" t="s">
        <v>43</v>
      </c>
      <c r="F1169" t="s">
        <v>41</v>
      </c>
      <c r="G1169" s="89">
        <v>12758750</v>
      </c>
      <c r="H1169" t="s">
        <v>42</v>
      </c>
      <c r="I1169" t="s">
        <v>126</v>
      </c>
      <c r="J1169" s="89">
        <v>216898750</v>
      </c>
      <c r="K1169" t="s">
        <v>127</v>
      </c>
      <c r="L1169" t="s">
        <v>128</v>
      </c>
      <c r="M1169" t="s">
        <v>136</v>
      </c>
      <c r="N1169">
        <v>1</v>
      </c>
      <c r="O1169" s="89">
        <v>382762.5</v>
      </c>
      <c r="P1169" s="89">
        <v>8420775</v>
      </c>
      <c r="Q1169" t="s">
        <v>137</v>
      </c>
      <c r="R1169" t="s">
        <v>131</v>
      </c>
    </row>
    <row r="1170" spans="3:18" x14ac:dyDescent="0.25">
      <c r="C1170" t="s">
        <v>47</v>
      </c>
      <c r="D1170" t="s">
        <v>21</v>
      </c>
      <c r="E1170" t="s">
        <v>40</v>
      </c>
      <c r="F1170" t="s">
        <v>41</v>
      </c>
      <c r="G1170" s="89">
        <v>5266763</v>
      </c>
      <c r="H1170" t="s">
        <v>140</v>
      </c>
      <c r="I1170" t="s">
        <v>126</v>
      </c>
      <c r="J1170" s="89">
        <v>68467919</v>
      </c>
      <c r="K1170" t="s">
        <v>127</v>
      </c>
      <c r="L1170" t="s">
        <v>151</v>
      </c>
      <c r="N1170">
        <v>1</v>
      </c>
      <c r="O1170" s="89">
        <v>263338.15000000002</v>
      </c>
      <c r="P1170" s="89">
        <v>1896034.68</v>
      </c>
      <c r="Q1170" t="s">
        <v>130</v>
      </c>
      <c r="R1170" t="s">
        <v>131</v>
      </c>
    </row>
    <row r="1171" spans="3:18" hidden="1" x14ac:dyDescent="0.25">
      <c r="C1171" t="s">
        <v>45</v>
      </c>
      <c r="D1171" t="s">
        <v>138</v>
      </c>
      <c r="E1171" t="s">
        <v>43</v>
      </c>
      <c r="F1171" t="s">
        <v>41</v>
      </c>
      <c r="G1171" s="89">
        <v>156756</v>
      </c>
      <c r="H1171" t="s">
        <v>132</v>
      </c>
      <c r="I1171" t="s">
        <v>133</v>
      </c>
      <c r="J1171" s="89">
        <v>4389168</v>
      </c>
      <c r="K1171" t="s">
        <v>127</v>
      </c>
      <c r="L1171" t="s">
        <v>151</v>
      </c>
      <c r="N1171">
        <v>1</v>
      </c>
      <c r="O1171" s="89">
        <v>4702.68</v>
      </c>
      <c r="P1171" s="89">
        <v>79945.56</v>
      </c>
      <c r="Q1171" t="s">
        <v>142</v>
      </c>
      <c r="R1171" t="s">
        <v>131</v>
      </c>
    </row>
    <row r="1172" spans="3:18" hidden="1" x14ac:dyDescent="0.25">
      <c r="C1172" t="s">
        <v>45</v>
      </c>
      <c r="D1172" t="s">
        <v>149</v>
      </c>
      <c r="E1172" t="s">
        <v>43</v>
      </c>
      <c r="F1172" t="s">
        <v>41</v>
      </c>
      <c r="G1172" s="89">
        <v>31761701</v>
      </c>
      <c r="H1172" t="s">
        <v>140</v>
      </c>
      <c r="I1172" t="s">
        <v>133</v>
      </c>
      <c r="J1172" s="89">
        <v>921089329</v>
      </c>
      <c r="K1172" t="s">
        <v>127</v>
      </c>
      <c r="L1172" t="s">
        <v>128</v>
      </c>
      <c r="N1172">
        <v>1</v>
      </c>
      <c r="O1172" s="89">
        <v>952851.03</v>
      </c>
      <c r="P1172" s="89">
        <v>21915573.690000001</v>
      </c>
      <c r="Q1172" t="s">
        <v>137</v>
      </c>
      <c r="R1172" t="s">
        <v>131</v>
      </c>
    </row>
    <row r="1173" spans="3:18" hidden="1" x14ac:dyDescent="0.25">
      <c r="C1173" t="s">
        <v>45</v>
      </c>
      <c r="D1173" t="s">
        <v>22</v>
      </c>
      <c r="E1173" t="s">
        <v>43</v>
      </c>
      <c r="F1173" t="s">
        <v>41</v>
      </c>
      <c r="G1173" s="89">
        <v>52074</v>
      </c>
      <c r="H1173" t="s">
        <v>145</v>
      </c>
      <c r="I1173" t="s">
        <v>133</v>
      </c>
      <c r="J1173" s="89">
        <v>1249776</v>
      </c>
      <c r="K1173" t="s">
        <v>144</v>
      </c>
      <c r="N1173">
        <v>1</v>
      </c>
      <c r="O1173" s="89">
        <v>1562.22</v>
      </c>
      <c r="P1173" s="89">
        <v>32806.620000000003</v>
      </c>
      <c r="Q1173" t="s">
        <v>137</v>
      </c>
      <c r="R1173" t="s">
        <v>131</v>
      </c>
    </row>
    <row r="1174" spans="3:18" hidden="1" x14ac:dyDescent="0.25">
      <c r="C1174" t="s">
        <v>45</v>
      </c>
      <c r="D1174" t="s">
        <v>22</v>
      </c>
      <c r="E1174" t="s">
        <v>48</v>
      </c>
      <c r="F1174" t="s">
        <v>41</v>
      </c>
      <c r="G1174" s="89">
        <v>81468</v>
      </c>
      <c r="H1174" t="s">
        <v>42</v>
      </c>
      <c r="I1174" t="s">
        <v>133</v>
      </c>
      <c r="J1174" s="89">
        <v>2769912</v>
      </c>
      <c r="K1174" t="s">
        <v>127</v>
      </c>
      <c r="L1174" t="s">
        <v>128</v>
      </c>
      <c r="M1174" t="s">
        <v>148</v>
      </c>
      <c r="N1174">
        <v>1</v>
      </c>
      <c r="O1174" s="89">
        <v>2444.04</v>
      </c>
      <c r="P1174" s="89">
        <v>47251.44</v>
      </c>
      <c r="Q1174" t="s">
        <v>142</v>
      </c>
      <c r="R1174" t="s">
        <v>131</v>
      </c>
    </row>
    <row r="1175" spans="3:18" hidden="1" x14ac:dyDescent="0.25">
      <c r="C1175" t="s">
        <v>45</v>
      </c>
      <c r="D1175" t="s">
        <v>23</v>
      </c>
      <c r="E1175" t="s">
        <v>48</v>
      </c>
      <c r="F1175" t="s">
        <v>41</v>
      </c>
      <c r="G1175" s="89">
        <v>137299</v>
      </c>
      <c r="H1175" t="s">
        <v>140</v>
      </c>
      <c r="I1175" t="s">
        <v>141</v>
      </c>
      <c r="J1175" s="89">
        <v>1372990</v>
      </c>
      <c r="K1175" t="s">
        <v>144</v>
      </c>
      <c r="N1175">
        <v>1</v>
      </c>
      <c r="O1175" s="89">
        <v>4118.97</v>
      </c>
      <c r="P1175" s="89">
        <v>87871.360000000001</v>
      </c>
      <c r="Q1175" t="s">
        <v>137</v>
      </c>
      <c r="R1175" t="s">
        <v>131</v>
      </c>
    </row>
    <row r="1176" spans="3:18" x14ac:dyDescent="0.25">
      <c r="C1176" t="s">
        <v>47</v>
      </c>
      <c r="D1176" t="s">
        <v>20</v>
      </c>
      <c r="E1176" t="s">
        <v>43</v>
      </c>
      <c r="F1176" t="s">
        <v>41</v>
      </c>
      <c r="G1176" s="89">
        <v>27464</v>
      </c>
      <c r="H1176" t="s">
        <v>140</v>
      </c>
      <c r="I1176" t="s">
        <v>147</v>
      </c>
      <c r="J1176" s="89"/>
      <c r="K1176" t="s">
        <v>127</v>
      </c>
      <c r="L1176" t="s">
        <v>128</v>
      </c>
      <c r="N1176">
        <v>0</v>
      </c>
      <c r="O1176" s="89">
        <v>1373.2</v>
      </c>
      <c r="P1176" s="89">
        <v>0</v>
      </c>
      <c r="Q1176" t="s">
        <v>130</v>
      </c>
      <c r="R1176" t="s">
        <v>131</v>
      </c>
    </row>
    <row r="1177" spans="3:18" hidden="1" x14ac:dyDescent="0.25">
      <c r="C1177" t="s">
        <v>45</v>
      </c>
      <c r="D1177" t="s">
        <v>21</v>
      </c>
      <c r="E1177" t="s">
        <v>48</v>
      </c>
      <c r="F1177" t="s">
        <v>41</v>
      </c>
      <c r="G1177" s="89">
        <v>650849</v>
      </c>
      <c r="H1177" t="s">
        <v>42</v>
      </c>
      <c r="I1177" t="s">
        <v>126</v>
      </c>
      <c r="J1177" s="89">
        <v>10413584</v>
      </c>
      <c r="K1177" t="s">
        <v>127</v>
      </c>
      <c r="L1177" t="s">
        <v>128</v>
      </c>
      <c r="M1177" t="s">
        <v>129</v>
      </c>
      <c r="N1177">
        <v>1</v>
      </c>
      <c r="O1177" s="89">
        <v>26033.96</v>
      </c>
      <c r="P1177" s="89">
        <v>455594.3</v>
      </c>
      <c r="Q1177" t="s">
        <v>137</v>
      </c>
      <c r="R1177" t="s">
        <v>42</v>
      </c>
    </row>
    <row r="1178" spans="3:18" hidden="1" x14ac:dyDescent="0.25">
      <c r="C1178" t="s">
        <v>45</v>
      </c>
      <c r="D1178" t="s">
        <v>22</v>
      </c>
      <c r="E1178" t="s">
        <v>43</v>
      </c>
      <c r="F1178" t="s">
        <v>41</v>
      </c>
      <c r="G1178" s="89">
        <v>444209</v>
      </c>
      <c r="H1178" t="s">
        <v>146</v>
      </c>
      <c r="I1178" t="s">
        <v>133</v>
      </c>
      <c r="J1178" s="89">
        <v>11993643</v>
      </c>
      <c r="K1178" t="s">
        <v>144</v>
      </c>
      <c r="N1178">
        <v>1</v>
      </c>
      <c r="O1178" s="89">
        <v>13326.27</v>
      </c>
      <c r="P1178" s="89">
        <v>119936.43</v>
      </c>
      <c r="Q1178" t="s">
        <v>130</v>
      </c>
      <c r="R1178" t="s">
        <v>131</v>
      </c>
    </row>
    <row r="1179" spans="3:18" x14ac:dyDescent="0.25">
      <c r="C1179" t="s">
        <v>47</v>
      </c>
      <c r="D1179" t="s">
        <v>22</v>
      </c>
      <c r="E1179" t="s">
        <v>43</v>
      </c>
      <c r="F1179" t="s">
        <v>41</v>
      </c>
      <c r="G1179" s="89">
        <v>192524</v>
      </c>
      <c r="H1179" t="s">
        <v>42</v>
      </c>
      <c r="I1179" t="s">
        <v>126</v>
      </c>
      <c r="J1179" s="89">
        <v>2310288</v>
      </c>
      <c r="K1179" t="s">
        <v>127</v>
      </c>
      <c r="L1179" t="s">
        <v>128</v>
      </c>
      <c r="M1179" t="s">
        <v>143</v>
      </c>
      <c r="N1179">
        <v>1</v>
      </c>
      <c r="O1179" s="89">
        <v>5775.72</v>
      </c>
      <c r="P1179" s="89">
        <v>132841.56</v>
      </c>
      <c r="Q1179" t="s">
        <v>137</v>
      </c>
      <c r="R1179" t="s">
        <v>42</v>
      </c>
    </row>
    <row r="1180" spans="3:18" x14ac:dyDescent="0.25">
      <c r="C1180" t="s">
        <v>47</v>
      </c>
      <c r="D1180" t="s">
        <v>21</v>
      </c>
      <c r="E1180" t="s">
        <v>43</v>
      </c>
      <c r="F1180" t="s">
        <v>41</v>
      </c>
      <c r="G1180" s="89">
        <v>192690</v>
      </c>
      <c r="H1180" t="s">
        <v>146</v>
      </c>
      <c r="I1180" t="s">
        <v>147</v>
      </c>
      <c r="J1180" s="89">
        <v>385380</v>
      </c>
      <c r="K1180" t="s">
        <v>144</v>
      </c>
      <c r="N1180">
        <v>1</v>
      </c>
      <c r="O1180" s="89">
        <v>7707.6</v>
      </c>
      <c r="P1180" s="89">
        <v>9634.5</v>
      </c>
      <c r="Q1180" t="s">
        <v>130</v>
      </c>
      <c r="R1180" t="s">
        <v>131</v>
      </c>
    </row>
    <row r="1181" spans="3:18" hidden="1" x14ac:dyDescent="0.25">
      <c r="C1181" t="s">
        <v>45</v>
      </c>
      <c r="D1181" t="s">
        <v>23</v>
      </c>
      <c r="E1181" t="s">
        <v>48</v>
      </c>
      <c r="F1181" t="s">
        <v>53</v>
      </c>
      <c r="G1181" s="89">
        <v>133625</v>
      </c>
      <c r="H1181" t="s">
        <v>42</v>
      </c>
      <c r="I1181" t="s">
        <v>133</v>
      </c>
      <c r="J1181" s="89">
        <v>5211375</v>
      </c>
      <c r="K1181" t="s">
        <v>127</v>
      </c>
      <c r="L1181" t="s">
        <v>128</v>
      </c>
      <c r="M1181" t="s">
        <v>152</v>
      </c>
      <c r="N1181">
        <v>1</v>
      </c>
      <c r="O1181" s="89">
        <v>4008.75</v>
      </c>
      <c r="P1181" s="89">
        <v>106900</v>
      </c>
      <c r="Q1181" t="s">
        <v>137</v>
      </c>
      <c r="R1181" t="s">
        <v>42</v>
      </c>
    </row>
    <row r="1182" spans="3:18" hidden="1" x14ac:dyDescent="0.25">
      <c r="C1182" t="s">
        <v>45</v>
      </c>
      <c r="D1182" t="s">
        <v>22</v>
      </c>
      <c r="E1182" t="s">
        <v>44</v>
      </c>
      <c r="F1182" t="s">
        <v>41</v>
      </c>
      <c r="G1182" s="89">
        <v>2908800</v>
      </c>
      <c r="H1182" t="s">
        <v>42</v>
      </c>
      <c r="I1182" t="s">
        <v>133</v>
      </c>
      <c r="J1182" s="89">
        <v>110534400</v>
      </c>
      <c r="K1182" t="s">
        <v>144</v>
      </c>
      <c r="N1182">
        <v>1</v>
      </c>
      <c r="O1182" s="89">
        <v>87264</v>
      </c>
      <c r="P1182" s="89">
        <v>2908800</v>
      </c>
      <c r="Q1182" t="s">
        <v>150</v>
      </c>
      <c r="R1182" t="s">
        <v>42</v>
      </c>
    </row>
    <row r="1183" spans="3:18" x14ac:dyDescent="0.25">
      <c r="C1183" t="s">
        <v>47</v>
      </c>
      <c r="D1183" t="s">
        <v>50</v>
      </c>
      <c r="E1183" t="s">
        <v>50</v>
      </c>
      <c r="F1183" t="s">
        <v>41</v>
      </c>
      <c r="G1183" s="89">
        <v>0</v>
      </c>
      <c r="H1183" t="s">
        <v>51</v>
      </c>
      <c r="I1183" t="s">
        <v>126</v>
      </c>
      <c r="J1183" s="89">
        <v>0</v>
      </c>
      <c r="K1183" t="s">
        <v>127</v>
      </c>
      <c r="N1183">
        <v>1</v>
      </c>
      <c r="O1183" s="89">
        <v>0</v>
      </c>
      <c r="P1183" s="89">
        <v>0</v>
      </c>
      <c r="Q1183" t="s">
        <v>142</v>
      </c>
    </row>
    <row r="1184" spans="3:18" x14ac:dyDescent="0.25">
      <c r="C1184" t="s">
        <v>47</v>
      </c>
      <c r="D1184" t="s">
        <v>21</v>
      </c>
      <c r="E1184" t="s">
        <v>40</v>
      </c>
      <c r="F1184" t="s">
        <v>41</v>
      </c>
      <c r="G1184" s="89">
        <v>1941632</v>
      </c>
      <c r="H1184" t="s">
        <v>132</v>
      </c>
      <c r="I1184" t="s">
        <v>147</v>
      </c>
      <c r="J1184" s="89">
        <v>5824896</v>
      </c>
      <c r="K1184" t="s">
        <v>144</v>
      </c>
      <c r="N1184">
        <v>1</v>
      </c>
      <c r="O1184" s="89">
        <v>77665.279999999999</v>
      </c>
      <c r="P1184" s="89">
        <v>990232.32</v>
      </c>
      <c r="Q1184" t="s">
        <v>142</v>
      </c>
      <c r="R1184" t="s">
        <v>131</v>
      </c>
    </row>
    <row r="1185" spans="3:18" hidden="1" x14ac:dyDescent="0.25">
      <c r="C1185" t="s">
        <v>45</v>
      </c>
      <c r="D1185" t="s">
        <v>22</v>
      </c>
      <c r="E1185" t="s">
        <v>43</v>
      </c>
      <c r="F1185" t="s">
        <v>41</v>
      </c>
      <c r="G1185" s="89">
        <v>14436397</v>
      </c>
      <c r="H1185" t="s">
        <v>140</v>
      </c>
      <c r="I1185" t="s">
        <v>126</v>
      </c>
      <c r="J1185" s="89">
        <v>230982352</v>
      </c>
      <c r="K1185" t="s">
        <v>127</v>
      </c>
      <c r="L1185" t="s">
        <v>128</v>
      </c>
      <c r="N1185">
        <v>1</v>
      </c>
      <c r="O1185" s="89">
        <v>433091.91</v>
      </c>
      <c r="P1185" s="89">
        <v>7073834.5300000003</v>
      </c>
      <c r="Q1185" t="s">
        <v>142</v>
      </c>
      <c r="R1185" t="s">
        <v>131</v>
      </c>
    </row>
    <row r="1186" spans="3:18" hidden="1" x14ac:dyDescent="0.25">
      <c r="C1186" t="s">
        <v>45</v>
      </c>
      <c r="D1186" t="s">
        <v>21</v>
      </c>
      <c r="E1186" t="s">
        <v>43</v>
      </c>
      <c r="F1186" t="s">
        <v>41</v>
      </c>
      <c r="G1186" s="89">
        <v>4366800</v>
      </c>
      <c r="H1186" t="s">
        <v>132</v>
      </c>
      <c r="I1186" t="s">
        <v>126</v>
      </c>
      <c r="J1186" s="89">
        <v>69868800</v>
      </c>
      <c r="K1186" t="s">
        <v>144</v>
      </c>
      <c r="N1186">
        <v>1</v>
      </c>
      <c r="O1186" s="89">
        <v>131004</v>
      </c>
      <c r="P1186" s="89">
        <v>1135368</v>
      </c>
      <c r="Q1186" t="s">
        <v>130</v>
      </c>
      <c r="R1186" t="s">
        <v>131</v>
      </c>
    </row>
    <row r="1187" spans="3:18" hidden="1" x14ac:dyDescent="0.25">
      <c r="C1187" t="s">
        <v>45</v>
      </c>
      <c r="D1187" t="s">
        <v>22</v>
      </c>
      <c r="E1187" t="s">
        <v>40</v>
      </c>
      <c r="F1187" t="s">
        <v>41</v>
      </c>
      <c r="G1187" s="89">
        <v>5822156</v>
      </c>
      <c r="H1187" t="s">
        <v>42</v>
      </c>
      <c r="I1187" t="s">
        <v>126</v>
      </c>
      <c r="J1187" s="89">
        <v>87332340</v>
      </c>
      <c r="K1187" t="s">
        <v>127</v>
      </c>
      <c r="L1187" t="s">
        <v>128</v>
      </c>
      <c r="M1187" t="s">
        <v>143</v>
      </c>
      <c r="N1187">
        <v>1</v>
      </c>
      <c r="O1187" s="89">
        <v>174664.68</v>
      </c>
      <c r="P1187" s="89">
        <v>2911078</v>
      </c>
      <c r="Q1187" t="s">
        <v>142</v>
      </c>
      <c r="R1187" t="s">
        <v>42</v>
      </c>
    </row>
    <row r="1188" spans="3:18" hidden="1" x14ac:dyDescent="0.25">
      <c r="C1188" t="s">
        <v>45</v>
      </c>
      <c r="D1188" t="s">
        <v>24</v>
      </c>
      <c r="E1188" t="s">
        <v>44</v>
      </c>
      <c r="F1188" t="s">
        <v>41</v>
      </c>
      <c r="G1188" s="89">
        <v>19386</v>
      </c>
      <c r="H1188" t="s">
        <v>132</v>
      </c>
      <c r="I1188" t="s">
        <v>147</v>
      </c>
      <c r="J1188" s="89">
        <v>58158</v>
      </c>
      <c r="K1188" t="s">
        <v>127</v>
      </c>
      <c r="L1188" t="s">
        <v>128</v>
      </c>
      <c r="N1188">
        <v>1</v>
      </c>
      <c r="O1188" s="89">
        <v>775.44</v>
      </c>
      <c r="P1188" s="89">
        <v>1938.6</v>
      </c>
      <c r="Q1188" t="s">
        <v>130</v>
      </c>
      <c r="R1188" t="s">
        <v>131</v>
      </c>
    </row>
    <row r="1189" spans="3:18" x14ac:dyDescent="0.25">
      <c r="C1189" t="s">
        <v>47</v>
      </c>
      <c r="D1189" t="s">
        <v>22</v>
      </c>
      <c r="E1189" t="s">
        <v>40</v>
      </c>
      <c r="F1189" t="s">
        <v>41</v>
      </c>
      <c r="G1189" s="89">
        <v>81830</v>
      </c>
      <c r="H1189" t="s">
        <v>146</v>
      </c>
      <c r="I1189" t="s">
        <v>133</v>
      </c>
      <c r="J1189" s="89">
        <v>2618560</v>
      </c>
      <c r="K1189" t="s">
        <v>127</v>
      </c>
      <c r="L1189" t="s">
        <v>128</v>
      </c>
      <c r="N1189">
        <v>1</v>
      </c>
      <c r="O1189" s="89">
        <v>2454.9</v>
      </c>
      <c r="P1189" s="89">
        <v>46643.1</v>
      </c>
      <c r="Q1189" t="s">
        <v>142</v>
      </c>
      <c r="R1189" t="s">
        <v>131</v>
      </c>
    </row>
    <row r="1190" spans="3:18" hidden="1" x14ac:dyDescent="0.25">
      <c r="C1190" t="s">
        <v>45</v>
      </c>
      <c r="D1190" t="s">
        <v>22</v>
      </c>
      <c r="E1190" t="s">
        <v>43</v>
      </c>
      <c r="F1190" t="s">
        <v>41</v>
      </c>
      <c r="G1190" s="89">
        <v>30996</v>
      </c>
      <c r="H1190" t="s">
        <v>140</v>
      </c>
      <c r="I1190" t="s">
        <v>153</v>
      </c>
      <c r="J1190" s="89"/>
      <c r="K1190" t="s">
        <v>127</v>
      </c>
      <c r="L1190" t="s">
        <v>128</v>
      </c>
      <c r="N1190">
        <v>0</v>
      </c>
      <c r="O1190" s="89">
        <v>3409.56</v>
      </c>
      <c r="P1190" s="89">
        <v>619.91999999999996</v>
      </c>
      <c r="Q1190" t="s">
        <v>130</v>
      </c>
      <c r="R1190" t="s">
        <v>131</v>
      </c>
    </row>
    <row r="1191" spans="3:18" hidden="1" x14ac:dyDescent="0.25">
      <c r="C1191" t="s">
        <v>45</v>
      </c>
      <c r="D1191" t="s">
        <v>22</v>
      </c>
      <c r="E1191" t="s">
        <v>44</v>
      </c>
      <c r="F1191" t="s">
        <v>41</v>
      </c>
      <c r="G1191" s="89">
        <v>1069682</v>
      </c>
      <c r="H1191" t="s">
        <v>42</v>
      </c>
      <c r="I1191" t="s">
        <v>126</v>
      </c>
      <c r="J1191" s="89">
        <v>19254276</v>
      </c>
      <c r="K1191" t="s">
        <v>144</v>
      </c>
      <c r="N1191">
        <v>1</v>
      </c>
      <c r="O1191" s="89">
        <v>32090.46</v>
      </c>
      <c r="P1191" s="89">
        <v>534841</v>
      </c>
      <c r="Q1191" t="s">
        <v>142</v>
      </c>
      <c r="R1191" t="s">
        <v>42</v>
      </c>
    </row>
    <row r="1192" spans="3:18" hidden="1" x14ac:dyDescent="0.25">
      <c r="C1192" t="s">
        <v>45</v>
      </c>
      <c r="D1192" t="s">
        <v>21</v>
      </c>
      <c r="E1192" t="s">
        <v>43</v>
      </c>
      <c r="F1192" t="s">
        <v>41</v>
      </c>
      <c r="G1192" s="89">
        <v>315080</v>
      </c>
      <c r="H1192" t="s">
        <v>42</v>
      </c>
      <c r="I1192" t="s">
        <v>141</v>
      </c>
      <c r="J1192" s="89">
        <v>2205560</v>
      </c>
      <c r="K1192" t="s">
        <v>134</v>
      </c>
      <c r="L1192" t="s">
        <v>128</v>
      </c>
      <c r="M1192" t="s">
        <v>129</v>
      </c>
      <c r="N1192">
        <v>1</v>
      </c>
      <c r="O1192" s="89">
        <v>9452.4</v>
      </c>
      <c r="P1192" s="89">
        <v>66166.8</v>
      </c>
      <c r="Q1192" t="s">
        <v>130</v>
      </c>
      <c r="R1192" t="s">
        <v>131</v>
      </c>
    </row>
    <row r="1193" spans="3:18" x14ac:dyDescent="0.25">
      <c r="C1193" t="s">
        <v>47</v>
      </c>
      <c r="D1193" t="s">
        <v>23</v>
      </c>
      <c r="E1193" t="s">
        <v>48</v>
      </c>
      <c r="F1193" t="s">
        <v>41</v>
      </c>
      <c r="G1193" s="89">
        <v>1039327</v>
      </c>
      <c r="H1193" t="s">
        <v>140</v>
      </c>
      <c r="I1193" t="s">
        <v>126</v>
      </c>
      <c r="J1193" s="89">
        <v>14550578</v>
      </c>
      <c r="K1193" t="s">
        <v>127</v>
      </c>
      <c r="L1193" t="s">
        <v>128</v>
      </c>
      <c r="N1193">
        <v>1</v>
      </c>
      <c r="O1193" s="89">
        <v>31179.81</v>
      </c>
      <c r="P1193" s="89">
        <v>841854.87</v>
      </c>
      <c r="Q1193" t="s">
        <v>135</v>
      </c>
      <c r="R1193" t="s">
        <v>131</v>
      </c>
    </row>
    <row r="1194" spans="3:18" hidden="1" x14ac:dyDescent="0.25">
      <c r="C1194" t="s">
        <v>45</v>
      </c>
      <c r="D1194" t="s">
        <v>19</v>
      </c>
      <c r="E1194" t="s">
        <v>43</v>
      </c>
      <c r="F1194" t="s">
        <v>53</v>
      </c>
      <c r="G1194" s="89">
        <v>93043</v>
      </c>
      <c r="H1194" t="s">
        <v>132</v>
      </c>
      <c r="I1194" t="s">
        <v>141</v>
      </c>
      <c r="J1194" s="89">
        <v>837387</v>
      </c>
      <c r="K1194" t="s">
        <v>127</v>
      </c>
      <c r="L1194" t="s">
        <v>128</v>
      </c>
      <c r="N1194">
        <v>1</v>
      </c>
      <c r="O1194" s="89">
        <v>5582.58</v>
      </c>
      <c r="P1194" s="89">
        <v>16747.740000000002</v>
      </c>
      <c r="Q1194" t="s">
        <v>130</v>
      </c>
      <c r="R1194" t="s">
        <v>131</v>
      </c>
    </row>
    <row r="1195" spans="3:18" hidden="1" x14ac:dyDescent="0.25">
      <c r="C1195" t="s">
        <v>45</v>
      </c>
      <c r="D1195" t="s">
        <v>23</v>
      </c>
      <c r="E1195" t="s">
        <v>40</v>
      </c>
      <c r="F1195" t="s">
        <v>41</v>
      </c>
      <c r="G1195" s="89">
        <v>103527</v>
      </c>
      <c r="H1195" t="s">
        <v>145</v>
      </c>
      <c r="I1195" t="s">
        <v>141</v>
      </c>
      <c r="J1195" s="89">
        <v>724689</v>
      </c>
      <c r="K1195" t="s">
        <v>134</v>
      </c>
      <c r="L1195" t="s">
        <v>128</v>
      </c>
      <c r="N1195">
        <v>1</v>
      </c>
      <c r="O1195" s="89">
        <v>3105.81</v>
      </c>
      <c r="P1195" s="89">
        <v>33128.639999999999</v>
      </c>
      <c r="Q1195" t="s">
        <v>130</v>
      </c>
      <c r="R1195" t="s">
        <v>131</v>
      </c>
    </row>
    <row r="1196" spans="3:18" hidden="1" x14ac:dyDescent="0.25">
      <c r="C1196" t="s">
        <v>45</v>
      </c>
      <c r="D1196" t="s">
        <v>22</v>
      </c>
      <c r="E1196" t="s">
        <v>43</v>
      </c>
      <c r="F1196" t="s">
        <v>41</v>
      </c>
      <c r="G1196" s="89">
        <v>13772797</v>
      </c>
      <c r="H1196" t="s">
        <v>132</v>
      </c>
      <c r="I1196" t="s">
        <v>133</v>
      </c>
      <c r="J1196" s="89">
        <v>371865519</v>
      </c>
      <c r="K1196" t="s">
        <v>127</v>
      </c>
      <c r="L1196" t="s">
        <v>128</v>
      </c>
      <c r="N1196">
        <v>1</v>
      </c>
      <c r="O1196" s="89">
        <v>413183.91</v>
      </c>
      <c r="P1196" s="89">
        <v>9365501.9600000009</v>
      </c>
      <c r="Q1196" t="s">
        <v>137</v>
      </c>
      <c r="R1196" t="s">
        <v>131</v>
      </c>
    </row>
    <row r="1197" spans="3:18" hidden="1" x14ac:dyDescent="0.25">
      <c r="C1197" t="s">
        <v>45</v>
      </c>
      <c r="D1197" t="s">
        <v>24</v>
      </c>
      <c r="E1197" t="s">
        <v>43</v>
      </c>
      <c r="F1197" t="s">
        <v>41</v>
      </c>
      <c r="G1197" s="89">
        <v>61120</v>
      </c>
      <c r="H1197" t="s">
        <v>42</v>
      </c>
      <c r="I1197" t="s">
        <v>126</v>
      </c>
      <c r="J1197" s="89">
        <v>794560</v>
      </c>
      <c r="K1197" t="s">
        <v>127</v>
      </c>
      <c r="L1197" t="s">
        <v>128</v>
      </c>
      <c r="M1197" t="s">
        <v>148</v>
      </c>
      <c r="N1197">
        <v>1</v>
      </c>
      <c r="O1197" s="89">
        <v>1833.6</v>
      </c>
      <c r="P1197" s="89">
        <v>56230.400000000001</v>
      </c>
      <c r="Q1197" t="s">
        <v>135</v>
      </c>
      <c r="R1197" t="s">
        <v>131</v>
      </c>
    </row>
    <row r="1198" spans="3:18" hidden="1" x14ac:dyDescent="0.25">
      <c r="C1198" t="s">
        <v>45</v>
      </c>
      <c r="D1198" t="s">
        <v>24</v>
      </c>
      <c r="E1198" t="s">
        <v>48</v>
      </c>
      <c r="F1198" t="s">
        <v>41</v>
      </c>
      <c r="G1198" s="89">
        <v>43275816</v>
      </c>
      <c r="H1198" t="s">
        <v>140</v>
      </c>
      <c r="I1198" t="s">
        <v>133</v>
      </c>
      <c r="J1198" s="89">
        <v>1081895400</v>
      </c>
      <c r="K1198" t="s">
        <v>127</v>
      </c>
      <c r="L1198" t="s">
        <v>128</v>
      </c>
      <c r="N1198">
        <v>1</v>
      </c>
      <c r="O1198" s="89">
        <v>1298274.48</v>
      </c>
      <c r="P1198" s="89">
        <v>12549986.640000001</v>
      </c>
      <c r="Q1198" t="s">
        <v>130</v>
      </c>
      <c r="R1198" t="s">
        <v>131</v>
      </c>
    </row>
    <row r="1199" spans="3:18" x14ac:dyDescent="0.25">
      <c r="C1199" t="s">
        <v>47</v>
      </c>
      <c r="D1199" t="s">
        <v>19</v>
      </c>
      <c r="E1199" t="s">
        <v>43</v>
      </c>
      <c r="F1199" t="s">
        <v>41</v>
      </c>
      <c r="G1199" s="89">
        <v>3858333</v>
      </c>
      <c r="H1199" t="s">
        <v>140</v>
      </c>
      <c r="I1199" t="s">
        <v>141</v>
      </c>
      <c r="J1199" s="89">
        <v>27008331</v>
      </c>
      <c r="K1199" t="s">
        <v>127</v>
      </c>
      <c r="L1199" t="s">
        <v>128</v>
      </c>
      <c r="N1199">
        <v>1</v>
      </c>
      <c r="O1199" s="89">
        <v>192916.65</v>
      </c>
      <c r="P1199" s="89">
        <v>501583.29</v>
      </c>
      <c r="Q1199" t="s">
        <v>130</v>
      </c>
      <c r="R1199" t="s">
        <v>131</v>
      </c>
    </row>
    <row r="1200" spans="3:18" hidden="1" x14ac:dyDescent="0.25">
      <c r="C1200" t="s">
        <v>45</v>
      </c>
      <c r="D1200" t="s">
        <v>138</v>
      </c>
      <c r="E1200" t="s">
        <v>43</v>
      </c>
      <c r="F1200" t="s">
        <v>41</v>
      </c>
      <c r="G1200" s="89">
        <v>58387</v>
      </c>
      <c r="H1200" t="s">
        <v>145</v>
      </c>
      <c r="I1200" t="s">
        <v>133</v>
      </c>
      <c r="J1200" s="89">
        <v>1868384</v>
      </c>
      <c r="K1200" t="s">
        <v>134</v>
      </c>
      <c r="L1200" t="s">
        <v>128</v>
      </c>
      <c r="N1200">
        <v>1</v>
      </c>
      <c r="O1200" s="89">
        <v>1751.61</v>
      </c>
      <c r="P1200" s="89">
        <v>19267.71</v>
      </c>
      <c r="Q1200" t="s">
        <v>130</v>
      </c>
      <c r="R1200" t="s">
        <v>131</v>
      </c>
    </row>
    <row r="1201" spans="3:18" hidden="1" x14ac:dyDescent="0.25">
      <c r="C1201" t="s">
        <v>45</v>
      </c>
      <c r="D1201" t="s">
        <v>24</v>
      </c>
      <c r="E1201" t="s">
        <v>52</v>
      </c>
      <c r="F1201" t="s">
        <v>41</v>
      </c>
      <c r="G1201" s="89">
        <v>136783</v>
      </c>
      <c r="H1201" t="s">
        <v>42</v>
      </c>
      <c r="I1201" t="s">
        <v>133</v>
      </c>
      <c r="J1201" s="89">
        <v>5744886</v>
      </c>
      <c r="K1201" t="s">
        <v>127</v>
      </c>
      <c r="L1201" t="s">
        <v>128</v>
      </c>
      <c r="M1201" t="s">
        <v>143</v>
      </c>
      <c r="N1201">
        <v>1</v>
      </c>
      <c r="O1201" s="89">
        <v>5471.32</v>
      </c>
      <c r="P1201" s="89">
        <v>69759.33</v>
      </c>
      <c r="Q1201" t="s">
        <v>142</v>
      </c>
      <c r="R1201" t="s">
        <v>42</v>
      </c>
    </row>
    <row r="1202" spans="3:18" hidden="1" x14ac:dyDescent="0.25">
      <c r="C1202" t="s">
        <v>45</v>
      </c>
      <c r="D1202" t="s">
        <v>24</v>
      </c>
      <c r="E1202" t="s">
        <v>40</v>
      </c>
      <c r="F1202" t="s">
        <v>41</v>
      </c>
      <c r="G1202" s="89">
        <v>369194</v>
      </c>
      <c r="H1202" t="s">
        <v>42</v>
      </c>
      <c r="I1202" t="s">
        <v>141</v>
      </c>
      <c r="J1202" s="89">
        <v>2953552</v>
      </c>
      <c r="K1202" t="s">
        <v>127</v>
      </c>
      <c r="L1202" t="s">
        <v>128</v>
      </c>
      <c r="M1202" t="s">
        <v>148</v>
      </c>
      <c r="N1202">
        <v>1</v>
      </c>
      <c r="O1202" s="89">
        <v>14767.76</v>
      </c>
      <c r="P1202" s="89">
        <v>177213.12</v>
      </c>
      <c r="Q1202" t="s">
        <v>142</v>
      </c>
      <c r="R1202" t="s">
        <v>131</v>
      </c>
    </row>
    <row r="1203" spans="3:18" hidden="1" x14ac:dyDescent="0.25">
      <c r="C1203" t="s">
        <v>45</v>
      </c>
      <c r="D1203" t="s">
        <v>21</v>
      </c>
      <c r="E1203" t="s">
        <v>43</v>
      </c>
      <c r="F1203" t="s">
        <v>53</v>
      </c>
      <c r="G1203" s="89">
        <v>170804</v>
      </c>
      <c r="H1203" t="s">
        <v>42</v>
      </c>
      <c r="I1203" t="s">
        <v>133</v>
      </c>
      <c r="J1203" s="89">
        <v>5465728</v>
      </c>
      <c r="K1203" t="s">
        <v>127</v>
      </c>
      <c r="L1203" t="s">
        <v>128</v>
      </c>
      <c r="M1203" t="s">
        <v>129</v>
      </c>
      <c r="N1203">
        <v>1</v>
      </c>
      <c r="O1203" s="89">
        <v>5124.12</v>
      </c>
      <c r="P1203" s="89">
        <v>138351.24</v>
      </c>
      <c r="Q1203" t="s">
        <v>135</v>
      </c>
      <c r="R1203" t="s">
        <v>42</v>
      </c>
    </row>
    <row r="1204" spans="3:18" hidden="1" x14ac:dyDescent="0.25">
      <c r="C1204" t="s">
        <v>45</v>
      </c>
      <c r="D1204" t="s">
        <v>20</v>
      </c>
      <c r="E1204" t="s">
        <v>43</v>
      </c>
      <c r="F1204" t="s">
        <v>41</v>
      </c>
      <c r="G1204" s="89">
        <v>3359876</v>
      </c>
      <c r="H1204" t="s">
        <v>42</v>
      </c>
      <c r="I1204" t="s">
        <v>133</v>
      </c>
      <c r="J1204" s="89">
        <v>94076528</v>
      </c>
      <c r="K1204" t="s">
        <v>144</v>
      </c>
      <c r="N1204">
        <v>1</v>
      </c>
      <c r="O1204" s="89">
        <v>100796.28</v>
      </c>
      <c r="P1204" s="89">
        <v>1007962.8</v>
      </c>
      <c r="Q1204" t="s">
        <v>130</v>
      </c>
      <c r="R1204" t="s">
        <v>131</v>
      </c>
    </row>
    <row r="1205" spans="3:18" hidden="1" x14ac:dyDescent="0.25">
      <c r="C1205" t="s">
        <v>45</v>
      </c>
      <c r="D1205" t="s">
        <v>22</v>
      </c>
      <c r="E1205" t="s">
        <v>40</v>
      </c>
      <c r="F1205" t="s">
        <v>41</v>
      </c>
      <c r="G1205" s="89">
        <v>260538</v>
      </c>
      <c r="H1205" t="s">
        <v>42</v>
      </c>
      <c r="I1205" t="s">
        <v>133</v>
      </c>
      <c r="J1205" s="89">
        <v>8597754</v>
      </c>
      <c r="K1205" t="s">
        <v>134</v>
      </c>
      <c r="L1205" t="s">
        <v>128</v>
      </c>
      <c r="M1205" t="s">
        <v>143</v>
      </c>
      <c r="N1205">
        <v>1</v>
      </c>
      <c r="O1205" s="89">
        <v>7816.14</v>
      </c>
      <c r="P1205" s="89">
        <v>138085.14000000001</v>
      </c>
      <c r="Q1205" t="s">
        <v>142</v>
      </c>
      <c r="R1205" t="s">
        <v>42</v>
      </c>
    </row>
    <row r="1206" spans="3:18" x14ac:dyDescent="0.25">
      <c r="C1206" t="s">
        <v>47</v>
      </c>
      <c r="D1206" t="s">
        <v>21</v>
      </c>
      <c r="E1206" t="s">
        <v>40</v>
      </c>
      <c r="F1206" t="s">
        <v>41</v>
      </c>
      <c r="G1206" s="89">
        <v>58758438</v>
      </c>
      <c r="H1206" t="s">
        <v>132</v>
      </c>
      <c r="I1206" t="s">
        <v>147</v>
      </c>
      <c r="J1206" s="89">
        <v>176275314</v>
      </c>
      <c r="K1206" t="s">
        <v>127</v>
      </c>
      <c r="L1206" t="s">
        <v>128</v>
      </c>
      <c r="N1206">
        <v>1</v>
      </c>
      <c r="O1206" s="89">
        <v>2937921.9</v>
      </c>
      <c r="P1206" s="89">
        <v>11164103.220000001</v>
      </c>
      <c r="Q1206" t="s">
        <v>130</v>
      </c>
      <c r="R1206" t="s">
        <v>131</v>
      </c>
    </row>
    <row r="1207" spans="3:18" hidden="1" x14ac:dyDescent="0.25">
      <c r="C1207" t="s">
        <v>45</v>
      </c>
      <c r="D1207" t="s">
        <v>22</v>
      </c>
      <c r="E1207" t="s">
        <v>48</v>
      </c>
      <c r="F1207" t="s">
        <v>41</v>
      </c>
      <c r="G1207" s="89">
        <v>95382</v>
      </c>
      <c r="H1207" t="s">
        <v>42</v>
      </c>
      <c r="I1207" t="s">
        <v>126</v>
      </c>
      <c r="J1207" s="89">
        <v>1716876</v>
      </c>
      <c r="K1207" t="s">
        <v>144</v>
      </c>
      <c r="N1207">
        <v>1</v>
      </c>
      <c r="O1207" s="89">
        <v>2861.46</v>
      </c>
      <c r="P1207" s="89">
        <v>73444.14</v>
      </c>
      <c r="Q1207" t="s">
        <v>137</v>
      </c>
      <c r="R1207" t="s">
        <v>131</v>
      </c>
    </row>
    <row r="1208" spans="3:18" hidden="1" x14ac:dyDescent="0.25">
      <c r="C1208" t="s">
        <v>45</v>
      </c>
      <c r="D1208" t="s">
        <v>22</v>
      </c>
      <c r="E1208" t="s">
        <v>40</v>
      </c>
      <c r="F1208" t="s">
        <v>41</v>
      </c>
      <c r="G1208" s="89">
        <v>25446759</v>
      </c>
      <c r="H1208" t="s">
        <v>140</v>
      </c>
      <c r="I1208" t="s">
        <v>133</v>
      </c>
      <c r="J1208" s="89">
        <v>763402770</v>
      </c>
      <c r="K1208" t="s">
        <v>144</v>
      </c>
      <c r="N1208">
        <v>1</v>
      </c>
      <c r="O1208" s="89">
        <v>763402.77</v>
      </c>
      <c r="P1208" s="89">
        <v>5598286.9800000004</v>
      </c>
      <c r="Q1208" t="s">
        <v>130</v>
      </c>
      <c r="R1208" t="s">
        <v>131</v>
      </c>
    </row>
    <row r="1209" spans="3:18" hidden="1" x14ac:dyDescent="0.25">
      <c r="C1209" t="s">
        <v>45</v>
      </c>
      <c r="D1209" t="s">
        <v>20</v>
      </c>
      <c r="E1209" t="s">
        <v>43</v>
      </c>
      <c r="F1209" t="s">
        <v>53</v>
      </c>
      <c r="G1209" s="89">
        <v>167743</v>
      </c>
      <c r="H1209" t="s">
        <v>132</v>
      </c>
      <c r="I1209" t="s">
        <v>133</v>
      </c>
      <c r="J1209" s="89">
        <v>3354860</v>
      </c>
      <c r="K1209" t="s">
        <v>144</v>
      </c>
      <c r="N1209">
        <v>1</v>
      </c>
      <c r="O1209" s="89">
        <v>5032.29</v>
      </c>
      <c r="P1209" s="89">
        <v>75484.350000000006</v>
      </c>
      <c r="Q1209" t="s">
        <v>142</v>
      </c>
      <c r="R1209" t="s">
        <v>131</v>
      </c>
    </row>
    <row r="1210" spans="3:18" x14ac:dyDescent="0.25">
      <c r="C1210" t="s">
        <v>47</v>
      </c>
      <c r="D1210" t="s">
        <v>22</v>
      </c>
      <c r="E1210" t="s">
        <v>43</v>
      </c>
      <c r="F1210" t="s">
        <v>41</v>
      </c>
      <c r="G1210" s="89">
        <v>5189</v>
      </c>
      <c r="H1210" t="s">
        <v>140</v>
      </c>
      <c r="I1210" t="s">
        <v>147</v>
      </c>
      <c r="J1210" s="89">
        <v>15567</v>
      </c>
      <c r="K1210" t="s">
        <v>127</v>
      </c>
      <c r="L1210" t="s">
        <v>128</v>
      </c>
      <c r="N1210">
        <v>1</v>
      </c>
      <c r="O1210" s="89">
        <v>0</v>
      </c>
      <c r="P1210" s="89">
        <v>2698.28</v>
      </c>
      <c r="Q1210" t="s">
        <v>142</v>
      </c>
      <c r="R1210" t="s">
        <v>131</v>
      </c>
    </row>
    <row r="1211" spans="3:18" hidden="1" x14ac:dyDescent="0.25">
      <c r="C1211" t="s">
        <v>45</v>
      </c>
      <c r="D1211" t="s">
        <v>22</v>
      </c>
      <c r="E1211" t="s">
        <v>43</v>
      </c>
      <c r="F1211" t="s">
        <v>41</v>
      </c>
      <c r="G1211" s="89">
        <v>44740</v>
      </c>
      <c r="H1211" t="s">
        <v>42</v>
      </c>
      <c r="I1211" t="s">
        <v>126</v>
      </c>
      <c r="J1211" s="89">
        <v>894800</v>
      </c>
      <c r="K1211" t="s">
        <v>134</v>
      </c>
      <c r="L1211" t="s">
        <v>128</v>
      </c>
      <c r="M1211" t="s">
        <v>143</v>
      </c>
      <c r="N1211">
        <v>1</v>
      </c>
      <c r="O1211" s="89">
        <v>2237</v>
      </c>
      <c r="P1211" s="89">
        <v>30423.200000000001</v>
      </c>
      <c r="Q1211" t="s">
        <v>137</v>
      </c>
      <c r="R1211" t="s">
        <v>131</v>
      </c>
    </row>
    <row r="1212" spans="3:18" hidden="1" x14ac:dyDescent="0.25">
      <c r="C1212" t="s">
        <v>45</v>
      </c>
      <c r="D1212" t="s">
        <v>19</v>
      </c>
      <c r="E1212" t="s">
        <v>43</v>
      </c>
      <c r="F1212" t="s">
        <v>53</v>
      </c>
      <c r="G1212" s="89">
        <v>243182</v>
      </c>
      <c r="H1212" t="s">
        <v>42</v>
      </c>
      <c r="I1212" t="s">
        <v>126</v>
      </c>
      <c r="J1212" s="89">
        <v>4134094</v>
      </c>
      <c r="K1212" t="s">
        <v>144</v>
      </c>
      <c r="N1212">
        <v>1</v>
      </c>
      <c r="O1212" s="89">
        <v>7295.46</v>
      </c>
      <c r="P1212" s="89">
        <v>82681.88</v>
      </c>
      <c r="Q1212" t="s">
        <v>130</v>
      </c>
      <c r="R1212" t="s">
        <v>131</v>
      </c>
    </row>
    <row r="1213" spans="3:18" hidden="1" x14ac:dyDescent="0.25">
      <c r="C1213" t="s">
        <v>45</v>
      </c>
      <c r="D1213" t="s">
        <v>138</v>
      </c>
      <c r="E1213" t="s">
        <v>40</v>
      </c>
      <c r="F1213" t="s">
        <v>41</v>
      </c>
      <c r="G1213" s="89">
        <v>58181</v>
      </c>
      <c r="H1213" t="s">
        <v>146</v>
      </c>
      <c r="I1213" t="s">
        <v>147</v>
      </c>
      <c r="J1213" s="89">
        <v>232724</v>
      </c>
      <c r="K1213" t="s">
        <v>127</v>
      </c>
      <c r="L1213" t="s">
        <v>128</v>
      </c>
      <c r="N1213">
        <v>1</v>
      </c>
      <c r="O1213" s="89">
        <v>2909.05</v>
      </c>
      <c r="P1213" s="89">
        <v>5236.29</v>
      </c>
      <c r="Q1213" t="s">
        <v>130</v>
      </c>
      <c r="R1213" t="s">
        <v>131</v>
      </c>
    </row>
    <row r="1214" spans="3:18" hidden="1" x14ac:dyDescent="0.25">
      <c r="C1214" t="s">
        <v>45</v>
      </c>
      <c r="D1214" t="s">
        <v>22</v>
      </c>
      <c r="E1214" t="s">
        <v>40</v>
      </c>
      <c r="F1214" t="s">
        <v>41</v>
      </c>
      <c r="G1214" s="89">
        <v>9732665</v>
      </c>
      <c r="H1214" t="s">
        <v>42</v>
      </c>
      <c r="I1214" t="s">
        <v>133</v>
      </c>
      <c r="J1214" s="89">
        <v>272514620</v>
      </c>
      <c r="K1214" t="s">
        <v>127</v>
      </c>
      <c r="L1214" t="s">
        <v>128</v>
      </c>
      <c r="M1214" t="s">
        <v>143</v>
      </c>
      <c r="N1214">
        <v>1</v>
      </c>
      <c r="O1214" s="89">
        <v>291979.95</v>
      </c>
      <c r="P1214" s="89">
        <v>2725146.2</v>
      </c>
      <c r="Q1214" t="s">
        <v>130</v>
      </c>
      <c r="R1214" t="s">
        <v>42</v>
      </c>
    </row>
    <row r="1215" spans="3:18" x14ac:dyDescent="0.25">
      <c r="C1215" t="s">
        <v>47</v>
      </c>
      <c r="D1215" t="s">
        <v>21</v>
      </c>
      <c r="E1215" t="s">
        <v>46</v>
      </c>
      <c r="F1215" t="s">
        <v>41</v>
      </c>
      <c r="G1215" s="89">
        <v>2046050</v>
      </c>
      <c r="H1215" t="s">
        <v>132</v>
      </c>
      <c r="I1215" t="s">
        <v>126</v>
      </c>
      <c r="J1215" s="89">
        <v>24552600</v>
      </c>
      <c r="K1215" t="s">
        <v>144</v>
      </c>
      <c r="N1215">
        <v>1</v>
      </c>
      <c r="O1215" s="89">
        <v>81842</v>
      </c>
      <c r="P1215" s="89">
        <v>1739142.5</v>
      </c>
      <c r="Q1215" t="s">
        <v>135</v>
      </c>
      <c r="R1215" t="s">
        <v>131</v>
      </c>
    </row>
    <row r="1216" spans="3:18" hidden="1" x14ac:dyDescent="0.25">
      <c r="C1216" t="s">
        <v>45</v>
      </c>
      <c r="D1216" t="s">
        <v>22</v>
      </c>
      <c r="E1216" t="s">
        <v>40</v>
      </c>
      <c r="F1216" t="s">
        <v>41</v>
      </c>
      <c r="G1216" s="89">
        <v>1291318</v>
      </c>
      <c r="H1216" t="s">
        <v>132</v>
      </c>
      <c r="I1216" t="s">
        <v>126</v>
      </c>
      <c r="J1216" s="89">
        <v>21952406</v>
      </c>
      <c r="K1216" t="s">
        <v>144</v>
      </c>
      <c r="N1216">
        <v>1</v>
      </c>
      <c r="O1216" s="89">
        <v>38739.54</v>
      </c>
      <c r="P1216" s="89">
        <v>619832.64</v>
      </c>
      <c r="Q1216" t="s">
        <v>142</v>
      </c>
      <c r="R1216" t="s">
        <v>131</v>
      </c>
    </row>
    <row r="1217" spans="3:18" hidden="1" x14ac:dyDescent="0.25">
      <c r="C1217" t="s">
        <v>45</v>
      </c>
      <c r="D1217" t="s">
        <v>23</v>
      </c>
      <c r="E1217" t="s">
        <v>48</v>
      </c>
      <c r="F1217" t="s">
        <v>53</v>
      </c>
      <c r="G1217" s="89">
        <v>530117</v>
      </c>
      <c r="H1217" t="s">
        <v>42</v>
      </c>
      <c r="I1217" t="s">
        <v>126</v>
      </c>
      <c r="J1217" s="89">
        <v>9011989</v>
      </c>
      <c r="K1217" t="s">
        <v>144</v>
      </c>
      <c r="N1217">
        <v>1</v>
      </c>
      <c r="O1217" s="89">
        <v>15903.51</v>
      </c>
      <c r="P1217" s="89">
        <v>360479.56</v>
      </c>
      <c r="Q1217" t="s">
        <v>137</v>
      </c>
      <c r="R1217" t="s">
        <v>42</v>
      </c>
    </row>
    <row r="1218" spans="3:18" hidden="1" x14ac:dyDescent="0.25">
      <c r="C1218" t="s">
        <v>45</v>
      </c>
      <c r="D1218" t="s">
        <v>23</v>
      </c>
      <c r="E1218" t="s">
        <v>48</v>
      </c>
      <c r="F1218" t="s">
        <v>41</v>
      </c>
      <c r="G1218" s="89">
        <v>16332336</v>
      </c>
      <c r="H1218" t="s">
        <v>140</v>
      </c>
      <c r="I1218" t="s">
        <v>133</v>
      </c>
      <c r="J1218" s="89">
        <v>473637744</v>
      </c>
      <c r="K1218" t="s">
        <v>127</v>
      </c>
      <c r="L1218" t="s">
        <v>128</v>
      </c>
      <c r="N1218">
        <v>1</v>
      </c>
      <c r="O1218" s="89">
        <v>489970.08</v>
      </c>
      <c r="P1218" s="89">
        <v>13882485.6</v>
      </c>
      <c r="Q1218" t="s">
        <v>135</v>
      </c>
      <c r="R1218" t="s">
        <v>131</v>
      </c>
    </row>
    <row r="1219" spans="3:18" hidden="1" x14ac:dyDescent="0.25">
      <c r="C1219" t="s">
        <v>45</v>
      </c>
      <c r="D1219" t="s">
        <v>138</v>
      </c>
      <c r="E1219" t="s">
        <v>43</v>
      </c>
      <c r="F1219" t="s">
        <v>41</v>
      </c>
      <c r="G1219" s="89">
        <v>89027</v>
      </c>
      <c r="H1219" t="s">
        <v>140</v>
      </c>
      <c r="I1219" t="s">
        <v>133</v>
      </c>
      <c r="J1219" s="89">
        <v>1869567</v>
      </c>
      <c r="K1219" t="s">
        <v>127</v>
      </c>
      <c r="L1219" t="s">
        <v>151</v>
      </c>
      <c r="N1219">
        <v>1</v>
      </c>
      <c r="O1219" s="89">
        <v>1780.54</v>
      </c>
      <c r="P1219" s="89">
        <v>40952.42</v>
      </c>
      <c r="Q1219" t="s">
        <v>142</v>
      </c>
      <c r="R1219" t="s">
        <v>131</v>
      </c>
    </row>
    <row r="1220" spans="3:18" x14ac:dyDescent="0.25">
      <c r="C1220" t="s">
        <v>47</v>
      </c>
      <c r="D1220" t="s">
        <v>50</v>
      </c>
      <c r="E1220" t="s">
        <v>50</v>
      </c>
      <c r="F1220" t="s">
        <v>41</v>
      </c>
      <c r="G1220" s="89">
        <v>56600</v>
      </c>
      <c r="H1220" t="s">
        <v>51</v>
      </c>
      <c r="I1220" t="s">
        <v>141</v>
      </c>
      <c r="J1220" s="89">
        <v>452800</v>
      </c>
      <c r="K1220" t="s">
        <v>127</v>
      </c>
      <c r="N1220">
        <v>1</v>
      </c>
      <c r="O1220" s="89">
        <v>2264</v>
      </c>
      <c r="P1220" s="89">
        <v>9056</v>
      </c>
      <c r="Q1220" t="s">
        <v>130</v>
      </c>
    </row>
    <row r="1221" spans="3:18" hidden="1" x14ac:dyDescent="0.25">
      <c r="C1221" t="s">
        <v>45</v>
      </c>
      <c r="D1221" t="s">
        <v>23</v>
      </c>
      <c r="E1221" t="s">
        <v>52</v>
      </c>
      <c r="F1221" t="s">
        <v>41</v>
      </c>
      <c r="G1221" s="89">
        <v>67146</v>
      </c>
      <c r="H1221" t="s">
        <v>42</v>
      </c>
      <c r="I1221" t="s">
        <v>126</v>
      </c>
      <c r="J1221" s="89">
        <v>940044</v>
      </c>
      <c r="K1221" t="s">
        <v>127</v>
      </c>
      <c r="L1221" t="s">
        <v>128</v>
      </c>
      <c r="M1221" t="s">
        <v>152</v>
      </c>
      <c r="N1221">
        <v>1</v>
      </c>
      <c r="O1221" s="89">
        <v>2685.84</v>
      </c>
      <c r="P1221" s="89">
        <v>65131.62</v>
      </c>
      <c r="Q1221" t="s">
        <v>135</v>
      </c>
      <c r="R1221" t="s">
        <v>42</v>
      </c>
    </row>
    <row r="1222" spans="3:18" hidden="1" x14ac:dyDescent="0.25">
      <c r="C1222" t="s">
        <v>45</v>
      </c>
      <c r="D1222" t="s">
        <v>22</v>
      </c>
      <c r="E1222" t="s">
        <v>40</v>
      </c>
      <c r="F1222" t="s">
        <v>53</v>
      </c>
      <c r="G1222" s="89">
        <v>74941</v>
      </c>
      <c r="H1222" t="s">
        <v>42</v>
      </c>
      <c r="I1222" t="s">
        <v>126</v>
      </c>
      <c r="J1222" s="89">
        <v>1498820</v>
      </c>
      <c r="K1222" t="s">
        <v>144</v>
      </c>
      <c r="N1222">
        <v>1</v>
      </c>
      <c r="O1222" s="89">
        <v>2248.23</v>
      </c>
      <c r="P1222" s="89">
        <v>23231.71</v>
      </c>
      <c r="Q1222" t="s">
        <v>130</v>
      </c>
      <c r="R1222" t="s">
        <v>131</v>
      </c>
    </row>
    <row r="1223" spans="3:18" hidden="1" x14ac:dyDescent="0.25">
      <c r="C1223" t="s">
        <v>45</v>
      </c>
      <c r="D1223" t="s">
        <v>24</v>
      </c>
      <c r="E1223" t="s">
        <v>40</v>
      </c>
      <c r="F1223" t="s">
        <v>41</v>
      </c>
      <c r="G1223" s="89">
        <v>108080</v>
      </c>
      <c r="H1223" t="s">
        <v>140</v>
      </c>
      <c r="I1223" t="s">
        <v>141</v>
      </c>
      <c r="J1223" s="89">
        <v>756560</v>
      </c>
      <c r="K1223" t="s">
        <v>127</v>
      </c>
      <c r="L1223" t="s">
        <v>128</v>
      </c>
      <c r="N1223">
        <v>1</v>
      </c>
      <c r="O1223" s="89">
        <v>2161.6</v>
      </c>
      <c r="P1223" s="89">
        <v>44312.800000000003</v>
      </c>
      <c r="Q1223" t="s">
        <v>142</v>
      </c>
      <c r="R1223" t="s">
        <v>131</v>
      </c>
    </row>
    <row r="1224" spans="3:18" hidden="1" x14ac:dyDescent="0.25">
      <c r="C1224" t="s">
        <v>45</v>
      </c>
      <c r="D1224" t="s">
        <v>21</v>
      </c>
      <c r="E1224" t="s">
        <v>48</v>
      </c>
      <c r="F1224" t="s">
        <v>41</v>
      </c>
      <c r="G1224" s="89">
        <v>481524</v>
      </c>
      <c r="H1224" t="s">
        <v>140</v>
      </c>
      <c r="I1224" t="s">
        <v>133</v>
      </c>
      <c r="J1224" s="89">
        <v>13964196</v>
      </c>
      <c r="K1224" t="s">
        <v>127</v>
      </c>
      <c r="L1224" t="s">
        <v>128</v>
      </c>
      <c r="N1224">
        <v>1</v>
      </c>
      <c r="O1224" s="89">
        <v>19260.96</v>
      </c>
      <c r="P1224" s="89">
        <v>130011.48</v>
      </c>
      <c r="Q1224" t="s">
        <v>130</v>
      </c>
      <c r="R1224" t="s">
        <v>131</v>
      </c>
    </row>
    <row r="1225" spans="3:18" hidden="1" x14ac:dyDescent="0.25">
      <c r="C1225" t="s">
        <v>45</v>
      </c>
      <c r="D1225" t="s">
        <v>23</v>
      </c>
      <c r="E1225" t="s">
        <v>48</v>
      </c>
      <c r="F1225" t="s">
        <v>41</v>
      </c>
      <c r="G1225" s="89">
        <v>728320</v>
      </c>
      <c r="H1225" t="s">
        <v>145</v>
      </c>
      <c r="I1225" t="s">
        <v>133</v>
      </c>
      <c r="J1225" s="89">
        <v>21121280</v>
      </c>
      <c r="K1225" t="s">
        <v>144</v>
      </c>
      <c r="N1225">
        <v>1</v>
      </c>
      <c r="O1225" s="89">
        <v>21849.599999999999</v>
      </c>
      <c r="P1225" s="89">
        <v>342310.40000000002</v>
      </c>
      <c r="Q1225" t="s">
        <v>142</v>
      </c>
      <c r="R1225" t="s">
        <v>131</v>
      </c>
    </row>
    <row r="1226" spans="3:18" hidden="1" x14ac:dyDescent="0.25">
      <c r="C1226" t="s">
        <v>45</v>
      </c>
      <c r="D1226" t="s">
        <v>23</v>
      </c>
      <c r="E1226" t="s">
        <v>48</v>
      </c>
      <c r="F1226" t="s">
        <v>41</v>
      </c>
      <c r="G1226" s="89">
        <v>9175366</v>
      </c>
      <c r="H1226" t="s">
        <v>140</v>
      </c>
      <c r="I1226" t="s">
        <v>133</v>
      </c>
      <c r="J1226" s="89">
        <v>284436346</v>
      </c>
      <c r="K1226" t="s">
        <v>144</v>
      </c>
      <c r="N1226">
        <v>1</v>
      </c>
      <c r="O1226" s="89">
        <v>275260.98</v>
      </c>
      <c r="P1226" s="89">
        <v>4587683</v>
      </c>
      <c r="Q1226" t="s">
        <v>142</v>
      </c>
      <c r="R1226" t="s">
        <v>131</v>
      </c>
    </row>
    <row r="1227" spans="3:18" hidden="1" x14ac:dyDescent="0.25">
      <c r="C1227" t="s">
        <v>45</v>
      </c>
      <c r="D1227" t="s">
        <v>24</v>
      </c>
      <c r="E1227" t="s">
        <v>48</v>
      </c>
      <c r="F1227" t="s">
        <v>41</v>
      </c>
      <c r="G1227" s="89">
        <v>114833</v>
      </c>
      <c r="H1227" t="s">
        <v>140</v>
      </c>
      <c r="I1227" t="s">
        <v>133</v>
      </c>
      <c r="J1227" s="89">
        <v>2870825</v>
      </c>
      <c r="K1227" t="s">
        <v>127</v>
      </c>
      <c r="L1227" t="s">
        <v>151</v>
      </c>
      <c r="N1227">
        <v>1</v>
      </c>
      <c r="O1227" s="89">
        <v>3444.99</v>
      </c>
      <c r="P1227" s="89">
        <v>32153.24</v>
      </c>
      <c r="Q1227" t="s">
        <v>130</v>
      </c>
      <c r="R1227" t="s">
        <v>131</v>
      </c>
    </row>
    <row r="1228" spans="3:18" hidden="1" x14ac:dyDescent="0.25">
      <c r="C1228" t="s">
        <v>45</v>
      </c>
      <c r="D1228" t="s">
        <v>149</v>
      </c>
      <c r="E1228" t="s">
        <v>43</v>
      </c>
      <c r="F1228" t="s">
        <v>41</v>
      </c>
      <c r="G1228" s="89">
        <v>11023881</v>
      </c>
      <c r="H1228" t="s">
        <v>145</v>
      </c>
      <c r="I1228" t="s">
        <v>133</v>
      </c>
      <c r="J1228" s="89">
        <v>319692549</v>
      </c>
      <c r="K1228" t="s">
        <v>127</v>
      </c>
      <c r="L1228" t="s">
        <v>128</v>
      </c>
      <c r="N1228">
        <v>1</v>
      </c>
      <c r="O1228" s="89">
        <v>330716.43</v>
      </c>
      <c r="P1228" s="89">
        <v>5622179.3099999996</v>
      </c>
      <c r="Q1228" t="s">
        <v>142</v>
      </c>
      <c r="R1228" t="s">
        <v>131</v>
      </c>
    </row>
    <row r="1229" spans="3:18" hidden="1" x14ac:dyDescent="0.25">
      <c r="C1229" t="s">
        <v>45</v>
      </c>
      <c r="D1229" t="s">
        <v>21</v>
      </c>
      <c r="E1229" t="s">
        <v>44</v>
      </c>
      <c r="F1229" t="s">
        <v>41</v>
      </c>
      <c r="G1229" s="89">
        <v>342843</v>
      </c>
      <c r="H1229" t="s">
        <v>42</v>
      </c>
      <c r="I1229" t="s">
        <v>133</v>
      </c>
      <c r="J1229" s="89">
        <v>9256761</v>
      </c>
      <c r="K1229" t="s">
        <v>127</v>
      </c>
      <c r="L1229" t="s">
        <v>128</v>
      </c>
      <c r="M1229" t="s">
        <v>129</v>
      </c>
      <c r="N1229">
        <v>1</v>
      </c>
      <c r="O1229" s="89">
        <v>10285.290000000001</v>
      </c>
      <c r="P1229" s="89">
        <v>109709.75999999999</v>
      </c>
      <c r="Q1229" t="s">
        <v>130</v>
      </c>
      <c r="R1229" t="s">
        <v>42</v>
      </c>
    </row>
    <row r="1230" spans="3:18" hidden="1" x14ac:dyDescent="0.25">
      <c r="C1230" t="s">
        <v>45</v>
      </c>
      <c r="D1230" t="s">
        <v>138</v>
      </c>
      <c r="E1230" t="s">
        <v>43</v>
      </c>
      <c r="F1230" t="s">
        <v>41</v>
      </c>
      <c r="G1230" s="89">
        <v>850572</v>
      </c>
      <c r="H1230" t="s">
        <v>42</v>
      </c>
      <c r="I1230" t="s">
        <v>141</v>
      </c>
      <c r="J1230" s="89">
        <v>5954004</v>
      </c>
      <c r="K1230" t="s">
        <v>127</v>
      </c>
      <c r="L1230" t="s">
        <v>128</v>
      </c>
      <c r="M1230" t="s">
        <v>139</v>
      </c>
      <c r="N1230">
        <v>1</v>
      </c>
      <c r="O1230" s="89">
        <v>25517.16</v>
      </c>
      <c r="P1230" s="89">
        <v>416780.28</v>
      </c>
      <c r="Q1230" t="s">
        <v>142</v>
      </c>
      <c r="R1230" t="s">
        <v>42</v>
      </c>
    </row>
    <row r="1231" spans="3:18" hidden="1" x14ac:dyDescent="0.25">
      <c r="C1231" t="s">
        <v>45</v>
      </c>
      <c r="D1231" t="s">
        <v>21</v>
      </c>
      <c r="E1231" t="s">
        <v>43</v>
      </c>
      <c r="F1231" t="s">
        <v>41</v>
      </c>
      <c r="G1231" s="89">
        <v>51167610</v>
      </c>
      <c r="H1231" t="s">
        <v>145</v>
      </c>
      <c r="I1231" t="s">
        <v>126</v>
      </c>
      <c r="J1231" s="89">
        <v>767514150</v>
      </c>
      <c r="K1231" t="s">
        <v>127</v>
      </c>
      <c r="L1231" t="s">
        <v>128</v>
      </c>
      <c r="N1231">
        <v>1</v>
      </c>
      <c r="O1231" s="89">
        <v>1535028.3</v>
      </c>
      <c r="P1231" s="89">
        <v>14326930.800000001</v>
      </c>
      <c r="Q1231" t="s">
        <v>130</v>
      </c>
      <c r="R1231" t="s">
        <v>131</v>
      </c>
    </row>
    <row r="1232" spans="3:18" x14ac:dyDescent="0.25">
      <c r="C1232" t="s">
        <v>47</v>
      </c>
      <c r="D1232" t="s">
        <v>21</v>
      </c>
      <c r="E1232" t="s">
        <v>40</v>
      </c>
      <c r="F1232" t="s">
        <v>41</v>
      </c>
      <c r="G1232" s="89">
        <v>110892</v>
      </c>
      <c r="H1232" t="s">
        <v>146</v>
      </c>
      <c r="I1232" t="s">
        <v>141</v>
      </c>
      <c r="J1232" s="89">
        <v>665352</v>
      </c>
      <c r="K1232" t="s">
        <v>127</v>
      </c>
      <c r="L1232" t="s">
        <v>128</v>
      </c>
      <c r="N1232">
        <v>1</v>
      </c>
      <c r="O1232" s="89">
        <v>4435.68</v>
      </c>
      <c r="P1232" s="89">
        <v>114218.76</v>
      </c>
      <c r="Q1232" t="s">
        <v>150</v>
      </c>
      <c r="R1232" t="s">
        <v>131</v>
      </c>
    </row>
    <row r="1233" spans="3:18" x14ac:dyDescent="0.25">
      <c r="C1233" t="s">
        <v>47</v>
      </c>
      <c r="D1233" t="s">
        <v>23</v>
      </c>
      <c r="E1233" t="s">
        <v>40</v>
      </c>
      <c r="F1233" t="s">
        <v>41</v>
      </c>
      <c r="G1233" s="89">
        <v>2104103</v>
      </c>
      <c r="H1233" t="s">
        <v>42</v>
      </c>
      <c r="I1233" t="s">
        <v>126</v>
      </c>
      <c r="J1233" s="89">
        <v>21041030</v>
      </c>
      <c r="K1233" t="s">
        <v>127</v>
      </c>
      <c r="L1233" t="s">
        <v>128</v>
      </c>
      <c r="M1233" t="s">
        <v>152</v>
      </c>
      <c r="N1233">
        <v>1</v>
      </c>
      <c r="O1233" s="89">
        <v>84164.12</v>
      </c>
      <c r="P1233" s="89">
        <v>1472872.1</v>
      </c>
      <c r="Q1233" t="s">
        <v>137</v>
      </c>
      <c r="R1233" t="s">
        <v>131</v>
      </c>
    </row>
    <row r="1234" spans="3:18" hidden="1" x14ac:dyDescent="0.25">
      <c r="C1234" t="s">
        <v>45</v>
      </c>
      <c r="D1234" t="s">
        <v>22</v>
      </c>
      <c r="E1234" t="s">
        <v>43</v>
      </c>
      <c r="F1234" t="s">
        <v>41</v>
      </c>
      <c r="G1234" s="89">
        <v>1639523</v>
      </c>
      <c r="H1234" t="s">
        <v>42</v>
      </c>
      <c r="I1234" t="s">
        <v>126</v>
      </c>
      <c r="J1234" s="89">
        <v>26232368</v>
      </c>
      <c r="K1234" t="s">
        <v>127</v>
      </c>
      <c r="L1234" t="s">
        <v>128</v>
      </c>
      <c r="M1234" t="s">
        <v>143</v>
      </c>
      <c r="N1234">
        <v>1</v>
      </c>
      <c r="O1234" s="89">
        <v>49185.69</v>
      </c>
      <c r="P1234" s="89">
        <v>426275.98</v>
      </c>
      <c r="Q1234" t="s">
        <v>130</v>
      </c>
      <c r="R1234" t="s">
        <v>42</v>
      </c>
    </row>
    <row r="1235" spans="3:18" x14ac:dyDescent="0.25">
      <c r="C1235" t="s">
        <v>47</v>
      </c>
      <c r="D1235" t="s">
        <v>23</v>
      </c>
      <c r="E1235" t="s">
        <v>43</v>
      </c>
      <c r="F1235" t="s">
        <v>41</v>
      </c>
      <c r="G1235" s="89">
        <v>111517</v>
      </c>
      <c r="H1235" t="s">
        <v>42</v>
      </c>
      <c r="I1235" t="s">
        <v>126</v>
      </c>
      <c r="J1235" s="89">
        <v>1338204</v>
      </c>
      <c r="K1235" t="s">
        <v>144</v>
      </c>
      <c r="N1235">
        <v>1</v>
      </c>
      <c r="O1235" s="89">
        <v>4460.68</v>
      </c>
      <c r="P1235" s="89">
        <v>82522.58</v>
      </c>
      <c r="Q1235" t="s">
        <v>137</v>
      </c>
      <c r="R1235" t="s">
        <v>42</v>
      </c>
    </row>
    <row r="1236" spans="3:18" x14ac:dyDescent="0.25">
      <c r="C1236" t="s">
        <v>47</v>
      </c>
      <c r="D1236" t="s">
        <v>22</v>
      </c>
      <c r="E1236" t="s">
        <v>40</v>
      </c>
      <c r="F1236" t="s">
        <v>41</v>
      </c>
      <c r="G1236" s="89">
        <v>65026</v>
      </c>
      <c r="H1236" t="s">
        <v>146</v>
      </c>
      <c r="I1236" t="s">
        <v>141</v>
      </c>
      <c r="J1236" s="89">
        <v>585234</v>
      </c>
      <c r="K1236" t="s">
        <v>144</v>
      </c>
      <c r="N1236">
        <v>1</v>
      </c>
      <c r="O1236" s="89">
        <v>1950.78</v>
      </c>
      <c r="P1236" s="89">
        <v>35764.300000000003</v>
      </c>
      <c r="Q1236" t="s">
        <v>142</v>
      </c>
      <c r="R1236" t="s">
        <v>131</v>
      </c>
    </row>
    <row r="1237" spans="3:18" hidden="1" x14ac:dyDescent="0.25">
      <c r="C1237" t="s">
        <v>45</v>
      </c>
      <c r="D1237" t="s">
        <v>22</v>
      </c>
      <c r="E1237" t="s">
        <v>43</v>
      </c>
      <c r="F1237" t="s">
        <v>41</v>
      </c>
      <c r="G1237" s="89">
        <v>294362</v>
      </c>
      <c r="H1237" t="s">
        <v>145</v>
      </c>
      <c r="I1237" t="s">
        <v>141</v>
      </c>
      <c r="J1237" s="89">
        <v>2354896</v>
      </c>
      <c r="K1237" t="s">
        <v>127</v>
      </c>
      <c r="L1237" t="s">
        <v>128</v>
      </c>
      <c r="N1237">
        <v>1</v>
      </c>
      <c r="O1237" s="89">
        <v>8830.86</v>
      </c>
      <c r="P1237" s="89">
        <v>126575.66</v>
      </c>
      <c r="Q1237" t="s">
        <v>142</v>
      </c>
      <c r="R1237" t="s">
        <v>131</v>
      </c>
    </row>
    <row r="1238" spans="3:18" hidden="1" x14ac:dyDescent="0.25">
      <c r="C1238" t="s">
        <v>45</v>
      </c>
      <c r="D1238" t="s">
        <v>23</v>
      </c>
      <c r="E1238" t="s">
        <v>40</v>
      </c>
      <c r="F1238" t="s">
        <v>41</v>
      </c>
      <c r="G1238" s="89">
        <v>1961211</v>
      </c>
      <c r="H1238" t="s">
        <v>140</v>
      </c>
      <c r="I1238" t="s">
        <v>133</v>
      </c>
      <c r="J1238" s="89">
        <v>54913908</v>
      </c>
      <c r="K1238" t="s">
        <v>127</v>
      </c>
      <c r="L1238" t="s">
        <v>128</v>
      </c>
      <c r="N1238">
        <v>1</v>
      </c>
      <c r="O1238" s="89">
        <v>78448.44</v>
      </c>
      <c r="P1238" s="89">
        <v>2412289.5299999998</v>
      </c>
      <c r="Q1238" t="s">
        <v>150</v>
      </c>
      <c r="R1238" t="s">
        <v>131</v>
      </c>
    </row>
    <row r="1239" spans="3:18" hidden="1" x14ac:dyDescent="0.25">
      <c r="C1239" t="s">
        <v>45</v>
      </c>
      <c r="D1239" t="s">
        <v>24</v>
      </c>
      <c r="E1239" t="s">
        <v>48</v>
      </c>
      <c r="F1239" t="s">
        <v>41</v>
      </c>
      <c r="G1239" s="89">
        <v>1137409</v>
      </c>
      <c r="H1239" t="s">
        <v>132</v>
      </c>
      <c r="I1239" t="s">
        <v>133</v>
      </c>
      <c r="J1239" s="89">
        <v>32984861</v>
      </c>
      <c r="K1239" t="s">
        <v>144</v>
      </c>
      <c r="N1239">
        <v>1</v>
      </c>
      <c r="O1239" s="89">
        <v>34122.269999999997</v>
      </c>
      <c r="P1239" s="89">
        <v>807560.39</v>
      </c>
      <c r="Q1239" t="s">
        <v>137</v>
      </c>
      <c r="R1239" t="s">
        <v>131</v>
      </c>
    </row>
    <row r="1240" spans="3:18" hidden="1" x14ac:dyDescent="0.25">
      <c r="C1240" t="s">
        <v>45</v>
      </c>
      <c r="D1240" t="s">
        <v>24</v>
      </c>
      <c r="E1240" t="s">
        <v>40</v>
      </c>
      <c r="F1240" t="s">
        <v>41</v>
      </c>
      <c r="G1240" s="89">
        <v>133168</v>
      </c>
      <c r="H1240" t="s">
        <v>145</v>
      </c>
      <c r="I1240" t="s">
        <v>133</v>
      </c>
      <c r="J1240" s="89">
        <v>4794048</v>
      </c>
      <c r="K1240" t="s">
        <v>144</v>
      </c>
      <c r="N1240">
        <v>1</v>
      </c>
      <c r="O1240" s="89">
        <v>3995.04</v>
      </c>
      <c r="P1240" s="89">
        <v>62588.959999999999</v>
      </c>
      <c r="Q1240" t="s">
        <v>142</v>
      </c>
      <c r="R1240" t="s">
        <v>131</v>
      </c>
    </row>
    <row r="1241" spans="3:18" hidden="1" x14ac:dyDescent="0.25">
      <c r="C1241" t="s">
        <v>45</v>
      </c>
      <c r="D1241" t="s">
        <v>138</v>
      </c>
      <c r="E1241" t="s">
        <v>44</v>
      </c>
      <c r="F1241" t="s">
        <v>41</v>
      </c>
      <c r="G1241" s="89">
        <v>150365</v>
      </c>
      <c r="H1241" t="s">
        <v>42</v>
      </c>
      <c r="I1241" t="s">
        <v>133</v>
      </c>
      <c r="J1241" s="89">
        <v>3909490</v>
      </c>
      <c r="K1241" t="s">
        <v>144</v>
      </c>
      <c r="N1241">
        <v>1</v>
      </c>
      <c r="O1241" s="89">
        <v>4510.95</v>
      </c>
      <c r="P1241" s="89">
        <v>121795.65</v>
      </c>
      <c r="Q1241" t="s">
        <v>135</v>
      </c>
      <c r="R1241" t="s">
        <v>42</v>
      </c>
    </row>
    <row r="1242" spans="3:18" x14ac:dyDescent="0.25">
      <c r="C1242" t="s">
        <v>47</v>
      </c>
      <c r="D1242" t="s">
        <v>22</v>
      </c>
      <c r="E1242" t="s">
        <v>40</v>
      </c>
      <c r="F1242" t="s">
        <v>41</v>
      </c>
      <c r="G1242" s="89">
        <v>520034</v>
      </c>
      <c r="H1242" t="s">
        <v>145</v>
      </c>
      <c r="I1242" t="s">
        <v>141</v>
      </c>
      <c r="J1242" s="89">
        <v>4680306</v>
      </c>
      <c r="K1242" t="s">
        <v>144</v>
      </c>
      <c r="N1242">
        <v>1</v>
      </c>
      <c r="O1242" s="89">
        <v>20801.36</v>
      </c>
      <c r="P1242" s="89">
        <v>296419.38</v>
      </c>
      <c r="Q1242" t="s">
        <v>142</v>
      </c>
      <c r="R1242" t="s">
        <v>131</v>
      </c>
    </row>
    <row r="1243" spans="3:18" hidden="1" x14ac:dyDescent="0.25">
      <c r="C1243" t="s">
        <v>45</v>
      </c>
      <c r="D1243" t="s">
        <v>23</v>
      </c>
      <c r="E1243" t="s">
        <v>48</v>
      </c>
      <c r="F1243" t="s">
        <v>41</v>
      </c>
      <c r="G1243" s="89">
        <v>855576</v>
      </c>
      <c r="H1243" t="s">
        <v>42</v>
      </c>
      <c r="I1243" t="s">
        <v>126</v>
      </c>
      <c r="J1243" s="89">
        <v>13689216</v>
      </c>
      <c r="K1243" t="s">
        <v>144</v>
      </c>
      <c r="N1243">
        <v>1</v>
      </c>
      <c r="O1243" s="89">
        <v>25667.279999999999</v>
      </c>
      <c r="P1243" s="89">
        <v>598903.19999999995</v>
      </c>
      <c r="Q1243" t="s">
        <v>137</v>
      </c>
      <c r="R1243" t="s">
        <v>131</v>
      </c>
    </row>
    <row r="1244" spans="3:18" hidden="1" x14ac:dyDescent="0.25">
      <c r="C1244" t="s">
        <v>45</v>
      </c>
      <c r="D1244" t="s">
        <v>138</v>
      </c>
      <c r="E1244" t="s">
        <v>40</v>
      </c>
      <c r="F1244" t="s">
        <v>41</v>
      </c>
      <c r="G1244" s="89">
        <v>7753596</v>
      </c>
      <c r="H1244" t="s">
        <v>42</v>
      </c>
      <c r="I1244" t="s">
        <v>133</v>
      </c>
      <c r="J1244" s="89">
        <v>217100688</v>
      </c>
      <c r="K1244" t="s">
        <v>127</v>
      </c>
      <c r="L1244" t="s">
        <v>128</v>
      </c>
      <c r="M1244" t="s">
        <v>139</v>
      </c>
      <c r="N1244">
        <v>1</v>
      </c>
      <c r="O1244" s="89">
        <v>232607.88</v>
      </c>
      <c r="P1244" s="89">
        <v>3954333.96</v>
      </c>
      <c r="Q1244" t="s">
        <v>142</v>
      </c>
      <c r="R1244" t="s">
        <v>131</v>
      </c>
    </row>
    <row r="1245" spans="3:18" hidden="1" x14ac:dyDescent="0.25">
      <c r="C1245" t="s">
        <v>45</v>
      </c>
      <c r="D1245" t="s">
        <v>22</v>
      </c>
      <c r="E1245" t="s">
        <v>40</v>
      </c>
      <c r="F1245" t="s">
        <v>41</v>
      </c>
      <c r="G1245" s="89">
        <v>24751267</v>
      </c>
      <c r="H1245" t="s">
        <v>146</v>
      </c>
      <c r="I1245" t="s">
        <v>126</v>
      </c>
      <c r="J1245" s="89">
        <v>371269005</v>
      </c>
      <c r="K1245" t="s">
        <v>127</v>
      </c>
      <c r="L1245" t="s">
        <v>128</v>
      </c>
      <c r="N1245">
        <v>1</v>
      </c>
      <c r="O1245" s="89">
        <v>742538.01</v>
      </c>
      <c r="P1245" s="89">
        <v>6682842.0899999999</v>
      </c>
      <c r="Q1245" t="s">
        <v>130</v>
      </c>
      <c r="R1245" t="s">
        <v>131</v>
      </c>
    </row>
    <row r="1246" spans="3:18" hidden="1" x14ac:dyDescent="0.25">
      <c r="C1246" t="s">
        <v>45</v>
      </c>
      <c r="D1246" t="s">
        <v>23</v>
      </c>
      <c r="E1246" t="s">
        <v>48</v>
      </c>
      <c r="F1246" t="s">
        <v>41</v>
      </c>
      <c r="G1246" s="89">
        <v>1874823</v>
      </c>
      <c r="H1246" t="s">
        <v>146</v>
      </c>
      <c r="I1246" t="s">
        <v>147</v>
      </c>
      <c r="J1246" s="89">
        <v>5624469</v>
      </c>
      <c r="K1246" t="s">
        <v>127</v>
      </c>
      <c r="L1246" t="s">
        <v>128</v>
      </c>
      <c r="N1246">
        <v>1</v>
      </c>
      <c r="O1246" s="89">
        <v>56244.69</v>
      </c>
      <c r="P1246" s="89">
        <v>243726.99</v>
      </c>
      <c r="Q1246" t="s">
        <v>130</v>
      </c>
      <c r="R1246" t="s">
        <v>131</v>
      </c>
    </row>
    <row r="1247" spans="3:18" hidden="1" x14ac:dyDescent="0.25">
      <c r="C1247" t="s">
        <v>45</v>
      </c>
      <c r="D1247" t="s">
        <v>21</v>
      </c>
      <c r="E1247" t="s">
        <v>44</v>
      </c>
      <c r="F1247" t="s">
        <v>41</v>
      </c>
      <c r="G1247" s="89">
        <v>52717</v>
      </c>
      <c r="H1247" t="s">
        <v>42</v>
      </c>
      <c r="I1247" t="s">
        <v>133</v>
      </c>
      <c r="J1247" s="89">
        <v>1950529</v>
      </c>
      <c r="K1247" t="s">
        <v>144</v>
      </c>
      <c r="N1247">
        <v>1</v>
      </c>
      <c r="O1247" s="89">
        <v>1581.51</v>
      </c>
      <c r="P1247" s="89">
        <v>42173.599999999999</v>
      </c>
      <c r="Q1247" t="s">
        <v>135</v>
      </c>
      <c r="R1247" t="s">
        <v>131</v>
      </c>
    </row>
    <row r="1248" spans="3:18" hidden="1" x14ac:dyDescent="0.25">
      <c r="C1248" t="s">
        <v>45</v>
      </c>
      <c r="D1248" t="s">
        <v>22</v>
      </c>
      <c r="E1248" t="s">
        <v>40</v>
      </c>
      <c r="F1248" t="s">
        <v>41</v>
      </c>
      <c r="G1248" s="89">
        <v>391893</v>
      </c>
      <c r="H1248" t="s">
        <v>140</v>
      </c>
      <c r="I1248" t="s">
        <v>153</v>
      </c>
      <c r="J1248" s="89"/>
      <c r="K1248" t="s">
        <v>127</v>
      </c>
      <c r="L1248" t="s">
        <v>128</v>
      </c>
      <c r="N1248">
        <v>0</v>
      </c>
      <c r="O1248" s="89">
        <v>11756.79</v>
      </c>
      <c r="P1248" s="89">
        <v>211622.22</v>
      </c>
      <c r="Q1248" t="s">
        <v>142</v>
      </c>
      <c r="R1248" t="s">
        <v>131</v>
      </c>
    </row>
    <row r="1249" spans="3:18" hidden="1" x14ac:dyDescent="0.25">
      <c r="C1249" t="s">
        <v>45</v>
      </c>
      <c r="D1249" t="s">
        <v>21</v>
      </c>
      <c r="E1249" t="s">
        <v>40</v>
      </c>
      <c r="F1249" t="s">
        <v>53</v>
      </c>
      <c r="G1249" s="89">
        <v>269405</v>
      </c>
      <c r="H1249" t="s">
        <v>42</v>
      </c>
      <c r="I1249" t="s">
        <v>133</v>
      </c>
      <c r="J1249" s="89">
        <v>7543340</v>
      </c>
      <c r="K1249" t="s">
        <v>127</v>
      </c>
      <c r="L1249" t="s">
        <v>128</v>
      </c>
      <c r="M1249" t="s">
        <v>129</v>
      </c>
      <c r="N1249">
        <v>1</v>
      </c>
      <c r="O1249" s="89">
        <v>8082.15</v>
      </c>
      <c r="P1249" s="89">
        <v>185889.45</v>
      </c>
      <c r="Q1249" t="s">
        <v>137</v>
      </c>
      <c r="R1249" t="s">
        <v>42</v>
      </c>
    </row>
    <row r="1250" spans="3:18" hidden="1" x14ac:dyDescent="0.25">
      <c r="C1250" t="s">
        <v>45</v>
      </c>
      <c r="D1250" t="s">
        <v>22</v>
      </c>
      <c r="E1250" t="s">
        <v>43</v>
      </c>
      <c r="F1250" t="s">
        <v>41</v>
      </c>
      <c r="G1250" s="89">
        <v>72062</v>
      </c>
      <c r="H1250" t="s">
        <v>146</v>
      </c>
      <c r="I1250" t="s">
        <v>141</v>
      </c>
      <c r="J1250" s="89">
        <v>648558</v>
      </c>
      <c r="K1250" t="s">
        <v>144</v>
      </c>
      <c r="N1250">
        <v>1</v>
      </c>
      <c r="O1250" s="89">
        <v>2161.86</v>
      </c>
      <c r="P1250" s="89">
        <v>20897.98</v>
      </c>
      <c r="Q1250" t="s">
        <v>130</v>
      </c>
      <c r="R1250" t="s">
        <v>131</v>
      </c>
    </row>
    <row r="1251" spans="3:18" hidden="1" x14ac:dyDescent="0.25">
      <c r="C1251" t="s">
        <v>45</v>
      </c>
      <c r="D1251" t="s">
        <v>138</v>
      </c>
      <c r="E1251" t="s">
        <v>43</v>
      </c>
      <c r="F1251" t="s">
        <v>41</v>
      </c>
      <c r="G1251" s="89">
        <v>45018575</v>
      </c>
      <c r="H1251" t="s">
        <v>42</v>
      </c>
      <c r="I1251" t="s">
        <v>133</v>
      </c>
      <c r="J1251" s="89">
        <v>1260520100</v>
      </c>
      <c r="K1251" t="s">
        <v>127</v>
      </c>
      <c r="L1251" t="s">
        <v>128</v>
      </c>
      <c r="M1251" t="s">
        <v>139</v>
      </c>
      <c r="N1251">
        <v>1</v>
      </c>
      <c r="O1251" s="89">
        <v>1350557.25</v>
      </c>
      <c r="P1251" s="89">
        <v>12605201</v>
      </c>
      <c r="Q1251" t="s">
        <v>130</v>
      </c>
      <c r="R1251" t="s">
        <v>131</v>
      </c>
    </row>
    <row r="1252" spans="3:18" hidden="1" x14ac:dyDescent="0.25">
      <c r="C1252" t="s">
        <v>45</v>
      </c>
      <c r="D1252" t="s">
        <v>50</v>
      </c>
      <c r="E1252" t="s">
        <v>50</v>
      </c>
      <c r="F1252" t="s">
        <v>41</v>
      </c>
      <c r="G1252" s="89">
        <v>26817</v>
      </c>
      <c r="H1252" t="s">
        <v>79</v>
      </c>
      <c r="I1252" t="s">
        <v>126</v>
      </c>
      <c r="J1252" s="89">
        <v>402255</v>
      </c>
      <c r="K1252" t="s">
        <v>127</v>
      </c>
      <c r="N1252">
        <v>1</v>
      </c>
      <c r="O1252" s="89">
        <v>804.51</v>
      </c>
      <c r="P1252" s="89">
        <v>0</v>
      </c>
      <c r="Q1252" t="s">
        <v>130</v>
      </c>
      <c r="R1252" t="s">
        <v>79</v>
      </c>
    </row>
    <row r="1253" spans="3:18" hidden="1" x14ac:dyDescent="0.25">
      <c r="C1253" t="s">
        <v>45</v>
      </c>
      <c r="D1253" t="s">
        <v>19</v>
      </c>
      <c r="E1253" t="s">
        <v>43</v>
      </c>
      <c r="F1253" t="s">
        <v>41</v>
      </c>
      <c r="G1253" s="89">
        <v>114019</v>
      </c>
      <c r="H1253" t="s">
        <v>132</v>
      </c>
      <c r="I1253" t="s">
        <v>147</v>
      </c>
      <c r="J1253" s="89">
        <v>342057</v>
      </c>
      <c r="K1253" t="s">
        <v>127</v>
      </c>
      <c r="L1253" t="s">
        <v>128</v>
      </c>
      <c r="N1253">
        <v>1</v>
      </c>
      <c r="O1253" s="89">
        <v>4560.76</v>
      </c>
      <c r="P1253" s="89">
        <v>79813.3</v>
      </c>
      <c r="Q1253" t="s">
        <v>137</v>
      </c>
      <c r="R1253" t="s">
        <v>131</v>
      </c>
    </row>
    <row r="1254" spans="3:18" hidden="1" x14ac:dyDescent="0.25">
      <c r="C1254" t="s">
        <v>45</v>
      </c>
      <c r="D1254" t="s">
        <v>22</v>
      </c>
      <c r="E1254" t="s">
        <v>48</v>
      </c>
      <c r="F1254" t="s">
        <v>41</v>
      </c>
      <c r="G1254" s="89">
        <v>157302</v>
      </c>
      <c r="H1254" t="s">
        <v>42</v>
      </c>
      <c r="I1254" t="s">
        <v>133</v>
      </c>
      <c r="J1254" s="89">
        <v>4089852</v>
      </c>
      <c r="K1254" t="s">
        <v>134</v>
      </c>
      <c r="N1254">
        <v>1</v>
      </c>
      <c r="O1254" s="89">
        <v>4719.0600000000004</v>
      </c>
      <c r="P1254" s="89">
        <v>119549.52</v>
      </c>
      <c r="Q1254" t="s">
        <v>137</v>
      </c>
      <c r="R1254" t="s">
        <v>42</v>
      </c>
    </row>
    <row r="1255" spans="3:18" hidden="1" x14ac:dyDescent="0.25">
      <c r="C1255" t="s">
        <v>45</v>
      </c>
      <c r="D1255" t="s">
        <v>22</v>
      </c>
      <c r="E1255" t="s">
        <v>43</v>
      </c>
      <c r="F1255" t="s">
        <v>41</v>
      </c>
      <c r="G1255" s="89">
        <v>72655</v>
      </c>
      <c r="H1255" t="s">
        <v>146</v>
      </c>
      <c r="I1255" t="s">
        <v>126</v>
      </c>
      <c r="J1255" s="89">
        <v>1017170</v>
      </c>
      <c r="K1255" t="s">
        <v>127</v>
      </c>
      <c r="L1255" t="s">
        <v>128</v>
      </c>
      <c r="N1255">
        <v>1</v>
      </c>
      <c r="O1255" s="89">
        <v>2179.65</v>
      </c>
      <c r="P1255" s="89">
        <v>64662.95</v>
      </c>
      <c r="Q1255" t="s">
        <v>135</v>
      </c>
      <c r="R1255" t="s">
        <v>131</v>
      </c>
    </row>
    <row r="1256" spans="3:18" x14ac:dyDescent="0.25">
      <c r="C1256" t="s">
        <v>47</v>
      </c>
      <c r="D1256" t="s">
        <v>138</v>
      </c>
      <c r="E1256" t="s">
        <v>40</v>
      </c>
      <c r="F1256" t="s">
        <v>41</v>
      </c>
      <c r="G1256" s="89">
        <v>1004669</v>
      </c>
      <c r="H1256" t="s">
        <v>42</v>
      </c>
      <c r="I1256" t="s">
        <v>141</v>
      </c>
      <c r="J1256" s="89">
        <v>9042021</v>
      </c>
      <c r="K1256" t="s">
        <v>127</v>
      </c>
      <c r="L1256" t="s">
        <v>128</v>
      </c>
      <c r="M1256" t="s">
        <v>139</v>
      </c>
      <c r="N1256">
        <v>1</v>
      </c>
      <c r="O1256" s="89">
        <v>40186.76</v>
      </c>
      <c r="P1256" s="89">
        <v>642988.16</v>
      </c>
      <c r="Q1256" t="s">
        <v>137</v>
      </c>
      <c r="R1256" t="s">
        <v>131</v>
      </c>
    </row>
    <row r="1257" spans="3:18" hidden="1" x14ac:dyDescent="0.25">
      <c r="C1257" t="s">
        <v>45</v>
      </c>
      <c r="D1257" t="s">
        <v>23</v>
      </c>
      <c r="E1257" t="s">
        <v>44</v>
      </c>
      <c r="F1257" t="s">
        <v>41</v>
      </c>
      <c r="G1257" s="89">
        <v>373282</v>
      </c>
      <c r="H1257" t="s">
        <v>42</v>
      </c>
      <c r="I1257" t="s">
        <v>133</v>
      </c>
      <c r="J1257" s="89">
        <v>13438152</v>
      </c>
      <c r="K1257" t="s">
        <v>127</v>
      </c>
      <c r="L1257" t="s">
        <v>128</v>
      </c>
      <c r="M1257" t="s">
        <v>152</v>
      </c>
      <c r="N1257">
        <v>1</v>
      </c>
      <c r="O1257" s="89">
        <v>11198.46</v>
      </c>
      <c r="P1257" s="89">
        <v>309824.06</v>
      </c>
      <c r="Q1257" t="s">
        <v>135</v>
      </c>
      <c r="R1257" t="s">
        <v>131</v>
      </c>
    </row>
    <row r="1258" spans="3:18" hidden="1" x14ac:dyDescent="0.25">
      <c r="C1258" t="s">
        <v>45</v>
      </c>
      <c r="D1258" t="s">
        <v>23</v>
      </c>
      <c r="E1258" t="s">
        <v>40</v>
      </c>
      <c r="F1258" t="s">
        <v>41</v>
      </c>
      <c r="G1258" s="89">
        <v>7844735</v>
      </c>
      <c r="H1258" t="s">
        <v>140</v>
      </c>
      <c r="I1258" t="s">
        <v>133</v>
      </c>
      <c r="J1258" s="89">
        <v>227497315</v>
      </c>
      <c r="K1258" t="s">
        <v>144</v>
      </c>
      <c r="N1258">
        <v>1</v>
      </c>
      <c r="O1258" s="89">
        <v>235342.05</v>
      </c>
      <c r="P1258" s="89">
        <v>3922367.5</v>
      </c>
      <c r="Q1258" t="s">
        <v>142</v>
      </c>
      <c r="R1258" t="s">
        <v>131</v>
      </c>
    </row>
    <row r="1259" spans="3:18" hidden="1" x14ac:dyDescent="0.25">
      <c r="C1259" t="s">
        <v>45</v>
      </c>
      <c r="D1259" t="s">
        <v>20</v>
      </c>
      <c r="E1259" t="s">
        <v>43</v>
      </c>
      <c r="F1259" t="s">
        <v>41</v>
      </c>
      <c r="G1259" s="89">
        <v>359246</v>
      </c>
      <c r="H1259" t="s">
        <v>145</v>
      </c>
      <c r="I1259" t="s">
        <v>133</v>
      </c>
      <c r="J1259" s="89">
        <v>12214364</v>
      </c>
      <c r="K1259" t="s">
        <v>144</v>
      </c>
      <c r="N1259">
        <v>1</v>
      </c>
      <c r="O1259" s="89">
        <v>10777.38</v>
      </c>
      <c r="P1259" s="89">
        <v>301766.64</v>
      </c>
      <c r="Q1259" t="s">
        <v>135</v>
      </c>
      <c r="R1259" t="s">
        <v>131</v>
      </c>
    </row>
    <row r="1260" spans="3:18" hidden="1" x14ac:dyDescent="0.25">
      <c r="C1260" t="s">
        <v>45</v>
      </c>
      <c r="D1260" t="s">
        <v>24</v>
      </c>
      <c r="E1260" t="s">
        <v>40</v>
      </c>
      <c r="F1260" t="s">
        <v>41</v>
      </c>
      <c r="G1260" s="89">
        <v>401428</v>
      </c>
      <c r="H1260" t="s">
        <v>132</v>
      </c>
      <c r="I1260" t="s">
        <v>141</v>
      </c>
      <c r="J1260" s="89">
        <v>3211424</v>
      </c>
      <c r="K1260" t="s">
        <v>127</v>
      </c>
      <c r="L1260" t="s">
        <v>128</v>
      </c>
      <c r="N1260">
        <v>1</v>
      </c>
      <c r="O1260" s="89">
        <v>12042.84</v>
      </c>
      <c r="P1260" s="89">
        <v>104371.28</v>
      </c>
      <c r="Q1260" t="s">
        <v>130</v>
      </c>
      <c r="R1260" t="s">
        <v>131</v>
      </c>
    </row>
    <row r="1261" spans="3:18" hidden="1" x14ac:dyDescent="0.25">
      <c r="C1261" t="s">
        <v>45</v>
      </c>
      <c r="D1261" t="s">
        <v>22</v>
      </c>
      <c r="E1261" t="s">
        <v>43</v>
      </c>
      <c r="F1261" t="s">
        <v>41</v>
      </c>
      <c r="G1261" s="89">
        <v>116861</v>
      </c>
      <c r="H1261" t="s">
        <v>42</v>
      </c>
      <c r="I1261" t="s">
        <v>147</v>
      </c>
      <c r="J1261" s="89">
        <v>350583</v>
      </c>
      <c r="K1261" t="s">
        <v>134</v>
      </c>
      <c r="L1261" t="s">
        <v>128</v>
      </c>
      <c r="M1261" t="s">
        <v>143</v>
      </c>
      <c r="N1261">
        <v>1</v>
      </c>
      <c r="O1261" s="89">
        <v>3505.83</v>
      </c>
      <c r="P1261" s="89">
        <v>16360.54</v>
      </c>
      <c r="Q1261" t="s">
        <v>130</v>
      </c>
      <c r="R1261" t="s">
        <v>131</v>
      </c>
    </row>
    <row r="1262" spans="3:18" x14ac:dyDescent="0.25">
      <c r="C1262" t="s">
        <v>47</v>
      </c>
      <c r="D1262" t="s">
        <v>22</v>
      </c>
      <c r="E1262" t="s">
        <v>43</v>
      </c>
      <c r="F1262" t="s">
        <v>41</v>
      </c>
      <c r="G1262" s="89">
        <v>1084120</v>
      </c>
      <c r="H1262" t="s">
        <v>132</v>
      </c>
      <c r="I1262" t="s">
        <v>147</v>
      </c>
      <c r="J1262" s="89">
        <v>3252360</v>
      </c>
      <c r="K1262" t="s">
        <v>127</v>
      </c>
      <c r="L1262" t="s">
        <v>128</v>
      </c>
      <c r="N1262">
        <v>1</v>
      </c>
      <c r="O1262" s="89">
        <v>54206</v>
      </c>
      <c r="P1262" s="89">
        <v>86729.600000000006</v>
      </c>
      <c r="Q1262" t="s">
        <v>130</v>
      </c>
      <c r="R1262" t="s">
        <v>131</v>
      </c>
    </row>
    <row r="1263" spans="3:18" hidden="1" x14ac:dyDescent="0.25">
      <c r="C1263" t="s">
        <v>45</v>
      </c>
      <c r="D1263" t="s">
        <v>21</v>
      </c>
      <c r="E1263" t="s">
        <v>43</v>
      </c>
      <c r="F1263" t="s">
        <v>41</v>
      </c>
      <c r="G1263" s="89">
        <v>5125281</v>
      </c>
      <c r="H1263" t="s">
        <v>140</v>
      </c>
      <c r="I1263" t="s">
        <v>126</v>
      </c>
      <c r="J1263" s="89">
        <v>82004496</v>
      </c>
      <c r="K1263" t="s">
        <v>144</v>
      </c>
      <c r="N1263">
        <v>1</v>
      </c>
      <c r="O1263" s="89">
        <v>153758.43</v>
      </c>
      <c r="P1263" s="89">
        <v>2613893.31</v>
      </c>
      <c r="Q1263" t="s">
        <v>142</v>
      </c>
      <c r="R1263" t="s">
        <v>131</v>
      </c>
    </row>
    <row r="1264" spans="3:18" hidden="1" x14ac:dyDescent="0.25">
      <c r="C1264" t="s">
        <v>45</v>
      </c>
      <c r="D1264" t="s">
        <v>149</v>
      </c>
      <c r="E1264" t="s">
        <v>43</v>
      </c>
      <c r="F1264" t="s">
        <v>41</v>
      </c>
      <c r="G1264" s="89">
        <v>12382</v>
      </c>
      <c r="H1264" t="s">
        <v>42</v>
      </c>
      <c r="I1264" t="s">
        <v>147</v>
      </c>
      <c r="J1264" s="89">
        <v>61910</v>
      </c>
      <c r="K1264" t="s">
        <v>127</v>
      </c>
      <c r="L1264" t="s">
        <v>128</v>
      </c>
      <c r="M1264" t="s">
        <v>136</v>
      </c>
      <c r="N1264">
        <v>1</v>
      </c>
      <c r="O1264" s="89">
        <v>371.46</v>
      </c>
      <c r="P1264" s="89">
        <v>8791.2199999999993</v>
      </c>
      <c r="Q1264" t="s">
        <v>137</v>
      </c>
      <c r="R1264" t="s">
        <v>131</v>
      </c>
    </row>
    <row r="1265" spans="3:18" hidden="1" x14ac:dyDescent="0.25">
      <c r="C1265" t="s">
        <v>45</v>
      </c>
      <c r="D1265" t="s">
        <v>138</v>
      </c>
      <c r="E1265" t="s">
        <v>43</v>
      </c>
      <c r="F1265" t="s">
        <v>41</v>
      </c>
      <c r="G1265" s="89">
        <v>4184166</v>
      </c>
      <c r="H1265" t="s">
        <v>42</v>
      </c>
      <c r="I1265" t="s">
        <v>133</v>
      </c>
      <c r="J1265" s="89">
        <v>146445810</v>
      </c>
      <c r="K1265" t="s">
        <v>144</v>
      </c>
      <c r="N1265">
        <v>1</v>
      </c>
      <c r="O1265" s="89">
        <v>125524.98</v>
      </c>
      <c r="P1265" s="89">
        <v>3640224.42</v>
      </c>
      <c r="Q1265" t="s">
        <v>135</v>
      </c>
      <c r="R1265" t="s">
        <v>131</v>
      </c>
    </row>
    <row r="1266" spans="3:18" hidden="1" x14ac:dyDescent="0.25">
      <c r="C1266" t="s">
        <v>45</v>
      </c>
      <c r="D1266" t="s">
        <v>19</v>
      </c>
      <c r="E1266" t="s">
        <v>43</v>
      </c>
      <c r="F1266" t="s">
        <v>41</v>
      </c>
      <c r="G1266" s="89">
        <v>6079765</v>
      </c>
      <c r="H1266" t="s">
        <v>42</v>
      </c>
      <c r="I1266" t="s">
        <v>133</v>
      </c>
      <c r="J1266" s="89">
        <v>206712010</v>
      </c>
      <c r="K1266" t="s">
        <v>144</v>
      </c>
      <c r="N1266">
        <v>1</v>
      </c>
      <c r="O1266" s="89">
        <v>182392.95</v>
      </c>
      <c r="P1266" s="89">
        <v>5228597.9000000004</v>
      </c>
      <c r="Q1266" t="s">
        <v>135</v>
      </c>
      <c r="R1266" t="s">
        <v>131</v>
      </c>
    </row>
    <row r="1267" spans="3:18" x14ac:dyDescent="0.25">
      <c r="C1267" t="s">
        <v>47</v>
      </c>
      <c r="D1267" t="s">
        <v>22</v>
      </c>
      <c r="E1267" t="s">
        <v>40</v>
      </c>
      <c r="F1267" t="s">
        <v>41</v>
      </c>
      <c r="G1267" s="89">
        <v>52611</v>
      </c>
      <c r="H1267" t="s">
        <v>42</v>
      </c>
      <c r="I1267" t="s">
        <v>141</v>
      </c>
      <c r="J1267" s="89">
        <v>473499</v>
      </c>
      <c r="K1267" t="s">
        <v>127</v>
      </c>
      <c r="L1267" t="s">
        <v>128</v>
      </c>
      <c r="M1267" t="s">
        <v>143</v>
      </c>
      <c r="N1267">
        <v>1</v>
      </c>
      <c r="O1267" s="89">
        <v>2104.44</v>
      </c>
      <c r="P1267" s="89">
        <v>35775.480000000003</v>
      </c>
      <c r="Q1267" t="s">
        <v>137</v>
      </c>
      <c r="R1267" t="s">
        <v>131</v>
      </c>
    </row>
    <row r="1268" spans="3:18" hidden="1" x14ac:dyDescent="0.25">
      <c r="C1268" t="s">
        <v>45</v>
      </c>
      <c r="D1268" t="s">
        <v>24</v>
      </c>
      <c r="E1268" t="s">
        <v>48</v>
      </c>
      <c r="F1268" t="s">
        <v>41</v>
      </c>
      <c r="G1268" s="89">
        <v>20512</v>
      </c>
      <c r="H1268" t="s">
        <v>146</v>
      </c>
      <c r="I1268" t="s">
        <v>141</v>
      </c>
      <c r="J1268" s="89">
        <v>143584</v>
      </c>
      <c r="K1268" t="s">
        <v>127</v>
      </c>
      <c r="L1268" t="s">
        <v>128</v>
      </c>
      <c r="N1268">
        <v>1</v>
      </c>
      <c r="O1268" s="89">
        <v>820.48</v>
      </c>
      <c r="P1268" s="89">
        <v>12717.44</v>
      </c>
      <c r="Q1268" t="s">
        <v>137</v>
      </c>
      <c r="R1268" t="s">
        <v>131</v>
      </c>
    </row>
    <row r="1269" spans="3:18" hidden="1" x14ac:dyDescent="0.25">
      <c r="C1269" t="s">
        <v>45</v>
      </c>
      <c r="D1269" t="s">
        <v>22</v>
      </c>
      <c r="E1269" t="s">
        <v>43</v>
      </c>
      <c r="F1269" t="s">
        <v>41</v>
      </c>
      <c r="G1269" s="89">
        <v>158942</v>
      </c>
      <c r="H1269" t="s">
        <v>42</v>
      </c>
      <c r="I1269" t="s">
        <v>133</v>
      </c>
      <c r="J1269" s="89">
        <v>5086144</v>
      </c>
      <c r="K1269" t="s">
        <v>127</v>
      </c>
      <c r="L1269" t="s">
        <v>128</v>
      </c>
      <c r="M1269" t="s">
        <v>129</v>
      </c>
      <c r="N1269">
        <v>1</v>
      </c>
      <c r="O1269" s="89">
        <v>6357.68</v>
      </c>
      <c r="P1269" s="89">
        <v>116027.66</v>
      </c>
      <c r="Q1269" t="s">
        <v>137</v>
      </c>
      <c r="R1269" t="s">
        <v>42</v>
      </c>
    </row>
    <row r="1270" spans="3:18" x14ac:dyDescent="0.25">
      <c r="C1270" t="s">
        <v>47</v>
      </c>
      <c r="D1270" t="s">
        <v>21</v>
      </c>
      <c r="E1270" t="s">
        <v>48</v>
      </c>
      <c r="F1270" t="s">
        <v>41</v>
      </c>
      <c r="G1270" s="89">
        <v>16041</v>
      </c>
      <c r="H1270" t="s">
        <v>146</v>
      </c>
      <c r="I1270" t="s">
        <v>147</v>
      </c>
      <c r="J1270" s="89">
        <v>16041</v>
      </c>
      <c r="K1270" t="s">
        <v>127</v>
      </c>
      <c r="L1270" t="s">
        <v>128</v>
      </c>
      <c r="N1270">
        <v>1</v>
      </c>
      <c r="O1270" s="89">
        <v>962.46</v>
      </c>
      <c r="P1270" s="89">
        <v>481.23</v>
      </c>
      <c r="Q1270" t="s">
        <v>130</v>
      </c>
      <c r="R1270" t="s">
        <v>131</v>
      </c>
    </row>
    <row r="1271" spans="3:18" hidden="1" x14ac:dyDescent="0.25">
      <c r="C1271" t="s">
        <v>45</v>
      </c>
      <c r="D1271" t="s">
        <v>21</v>
      </c>
      <c r="E1271" t="s">
        <v>40</v>
      </c>
      <c r="F1271" t="s">
        <v>41</v>
      </c>
      <c r="G1271" s="89">
        <v>5246868</v>
      </c>
      <c r="H1271" t="s">
        <v>132</v>
      </c>
      <c r="I1271" t="s">
        <v>133</v>
      </c>
      <c r="J1271" s="89">
        <v>152159172</v>
      </c>
      <c r="K1271" t="s">
        <v>127</v>
      </c>
      <c r="L1271" t="s">
        <v>128</v>
      </c>
      <c r="N1271">
        <v>1</v>
      </c>
      <c r="O1271" s="89">
        <v>157406.04</v>
      </c>
      <c r="P1271" s="89">
        <v>3672807.6</v>
      </c>
      <c r="Q1271" t="s">
        <v>137</v>
      </c>
      <c r="R1271" t="s">
        <v>131</v>
      </c>
    </row>
    <row r="1272" spans="3:18" x14ac:dyDescent="0.25">
      <c r="C1272" t="s">
        <v>47</v>
      </c>
      <c r="D1272" t="s">
        <v>19</v>
      </c>
      <c r="E1272" t="s">
        <v>43</v>
      </c>
      <c r="F1272" t="s">
        <v>41</v>
      </c>
      <c r="G1272" s="89">
        <v>864705</v>
      </c>
      <c r="H1272" t="s">
        <v>140</v>
      </c>
      <c r="I1272" t="s">
        <v>147</v>
      </c>
      <c r="J1272" s="89">
        <v>3458820</v>
      </c>
      <c r="K1272" t="s">
        <v>127</v>
      </c>
      <c r="L1272" t="s">
        <v>128</v>
      </c>
      <c r="N1272">
        <v>1</v>
      </c>
      <c r="O1272" s="89">
        <v>34588.199999999997</v>
      </c>
      <c r="P1272" s="89">
        <v>596646.44999999995</v>
      </c>
      <c r="Q1272" t="s">
        <v>137</v>
      </c>
      <c r="R1272" t="s">
        <v>131</v>
      </c>
    </row>
    <row r="1273" spans="3:18" hidden="1" x14ac:dyDescent="0.25">
      <c r="C1273" t="s">
        <v>45</v>
      </c>
      <c r="D1273" t="s">
        <v>21</v>
      </c>
      <c r="E1273" t="s">
        <v>43</v>
      </c>
      <c r="F1273" t="s">
        <v>41</v>
      </c>
      <c r="G1273" s="89">
        <v>2621926</v>
      </c>
      <c r="H1273" t="s">
        <v>145</v>
      </c>
      <c r="I1273" t="s">
        <v>126</v>
      </c>
      <c r="J1273" s="89">
        <v>44572742</v>
      </c>
      <c r="K1273" t="s">
        <v>144</v>
      </c>
      <c r="N1273">
        <v>1</v>
      </c>
      <c r="O1273" s="89">
        <v>78657.78</v>
      </c>
      <c r="P1273" s="89">
        <v>681700.76</v>
      </c>
      <c r="Q1273" t="s">
        <v>130</v>
      </c>
      <c r="R1273" t="s">
        <v>131</v>
      </c>
    </row>
    <row r="1274" spans="3:18" hidden="1" x14ac:dyDescent="0.25">
      <c r="C1274" t="s">
        <v>45</v>
      </c>
      <c r="D1274" t="s">
        <v>21</v>
      </c>
      <c r="E1274" t="s">
        <v>43</v>
      </c>
      <c r="F1274" t="s">
        <v>53</v>
      </c>
      <c r="G1274" s="89">
        <v>80164</v>
      </c>
      <c r="H1274" t="s">
        <v>145</v>
      </c>
      <c r="I1274" t="s">
        <v>133</v>
      </c>
      <c r="J1274" s="89">
        <v>1763608</v>
      </c>
      <c r="K1274" t="s">
        <v>144</v>
      </c>
      <c r="N1274">
        <v>1</v>
      </c>
      <c r="O1274" s="89">
        <v>2404.92</v>
      </c>
      <c r="P1274" s="89">
        <v>17636.080000000002</v>
      </c>
      <c r="Q1274" t="s">
        <v>130</v>
      </c>
      <c r="R1274" t="s">
        <v>131</v>
      </c>
    </row>
    <row r="1275" spans="3:18" x14ac:dyDescent="0.25">
      <c r="C1275" t="s">
        <v>47</v>
      </c>
      <c r="D1275" t="s">
        <v>22</v>
      </c>
      <c r="E1275" t="s">
        <v>43</v>
      </c>
      <c r="F1275" t="s">
        <v>41</v>
      </c>
      <c r="G1275" s="89">
        <v>16327</v>
      </c>
      <c r="H1275" t="s">
        <v>140</v>
      </c>
      <c r="I1275" t="s">
        <v>147</v>
      </c>
      <c r="J1275" s="89"/>
      <c r="K1275" t="s">
        <v>127</v>
      </c>
      <c r="L1275" t="s">
        <v>128</v>
      </c>
      <c r="N1275">
        <v>0</v>
      </c>
      <c r="O1275" s="89">
        <v>816.35</v>
      </c>
      <c r="P1275" s="89">
        <v>2285.7800000000002</v>
      </c>
      <c r="Q1275" t="s">
        <v>130</v>
      </c>
      <c r="R1275" t="s">
        <v>131</v>
      </c>
    </row>
    <row r="1276" spans="3:18" hidden="1" x14ac:dyDescent="0.25">
      <c r="C1276" t="s">
        <v>45</v>
      </c>
      <c r="D1276" t="s">
        <v>19</v>
      </c>
      <c r="E1276" t="s">
        <v>48</v>
      </c>
      <c r="F1276" t="s">
        <v>41</v>
      </c>
      <c r="G1276" s="89">
        <v>530943</v>
      </c>
      <c r="H1276" t="s">
        <v>42</v>
      </c>
      <c r="I1276" t="s">
        <v>133</v>
      </c>
      <c r="J1276" s="89">
        <v>15397347</v>
      </c>
      <c r="K1276" t="s">
        <v>127</v>
      </c>
      <c r="L1276" t="s">
        <v>128</v>
      </c>
      <c r="M1276" t="s">
        <v>136</v>
      </c>
      <c r="N1276">
        <v>1</v>
      </c>
      <c r="O1276" s="89">
        <v>15928.29</v>
      </c>
      <c r="P1276" s="89">
        <v>116807.46</v>
      </c>
      <c r="Q1276" t="s">
        <v>130</v>
      </c>
      <c r="R1276" t="s">
        <v>131</v>
      </c>
    </row>
    <row r="1277" spans="3:18" hidden="1" x14ac:dyDescent="0.25">
      <c r="C1277" t="s">
        <v>45</v>
      </c>
      <c r="D1277" t="s">
        <v>24</v>
      </c>
      <c r="E1277" t="s">
        <v>40</v>
      </c>
      <c r="F1277" t="s">
        <v>41</v>
      </c>
      <c r="G1277" s="89">
        <v>363731</v>
      </c>
      <c r="H1277" t="s">
        <v>132</v>
      </c>
      <c r="I1277" t="s">
        <v>126</v>
      </c>
      <c r="J1277" s="89">
        <v>5819696</v>
      </c>
      <c r="K1277" t="s">
        <v>127</v>
      </c>
      <c r="L1277" t="s">
        <v>128</v>
      </c>
      <c r="N1277">
        <v>1</v>
      </c>
      <c r="O1277" s="89">
        <v>10911.93</v>
      </c>
      <c r="P1277" s="89">
        <v>87295.44</v>
      </c>
      <c r="Q1277" t="s">
        <v>130</v>
      </c>
      <c r="R1277" t="s">
        <v>131</v>
      </c>
    </row>
    <row r="1278" spans="3:18" hidden="1" x14ac:dyDescent="0.25">
      <c r="C1278" t="s">
        <v>45</v>
      </c>
      <c r="D1278" t="s">
        <v>21</v>
      </c>
      <c r="E1278" t="s">
        <v>40</v>
      </c>
      <c r="F1278" t="s">
        <v>41</v>
      </c>
      <c r="G1278" s="89">
        <v>1188917</v>
      </c>
      <c r="H1278" t="s">
        <v>145</v>
      </c>
      <c r="I1278" t="s">
        <v>133</v>
      </c>
      <c r="J1278" s="89">
        <v>29722925</v>
      </c>
      <c r="K1278" t="s">
        <v>127</v>
      </c>
      <c r="L1278" t="s">
        <v>128</v>
      </c>
      <c r="N1278">
        <v>1</v>
      </c>
      <c r="O1278" s="89">
        <v>35667.51</v>
      </c>
      <c r="P1278" s="89">
        <v>332896.76</v>
      </c>
      <c r="Q1278" t="s">
        <v>130</v>
      </c>
      <c r="R1278" t="s">
        <v>131</v>
      </c>
    </row>
    <row r="1279" spans="3:18" x14ac:dyDescent="0.25">
      <c r="C1279" t="s">
        <v>47</v>
      </c>
      <c r="D1279" t="s">
        <v>24</v>
      </c>
      <c r="E1279" t="s">
        <v>48</v>
      </c>
      <c r="F1279" t="s">
        <v>41</v>
      </c>
      <c r="G1279" s="89">
        <v>20802</v>
      </c>
      <c r="H1279" t="s">
        <v>132</v>
      </c>
      <c r="I1279" t="s">
        <v>133</v>
      </c>
      <c r="J1279" s="89">
        <v>436842</v>
      </c>
      <c r="K1279" t="s">
        <v>127</v>
      </c>
      <c r="L1279" t="s">
        <v>128</v>
      </c>
      <c r="N1279">
        <v>1</v>
      </c>
      <c r="O1279" s="89">
        <v>416.04</v>
      </c>
      <c r="P1279" s="89">
        <v>9984.9599999999991</v>
      </c>
      <c r="Q1279" t="s">
        <v>142</v>
      </c>
      <c r="R1279" t="s">
        <v>131</v>
      </c>
    </row>
    <row r="1280" spans="3:18" hidden="1" x14ac:dyDescent="0.25">
      <c r="C1280" t="s">
        <v>45</v>
      </c>
      <c r="D1280" t="s">
        <v>138</v>
      </c>
      <c r="E1280" t="s">
        <v>43</v>
      </c>
      <c r="F1280" t="s">
        <v>41</v>
      </c>
      <c r="G1280" s="89">
        <v>42209364</v>
      </c>
      <c r="H1280" t="s">
        <v>145</v>
      </c>
      <c r="I1280" t="s">
        <v>133</v>
      </c>
      <c r="J1280" s="89">
        <v>1181862192</v>
      </c>
      <c r="K1280" t="s">
        <v>127</v>
      </c>
      <c r="L1280" t="s">
        <v>128</v>
      </c>
      <c r="N1280">
        <v>1</v>
      </c>
      <c r="O1280" s="89">
        <v>1266280.92</v>
      </c>
      <c r="P1280" s="89">
        <v>29124461.16</v>
      </c>
      <c r="Q1280" t="s">
        <v>137</v>
      </c>
      <c r="R1280" t="s">
        <v>131</v>
      </c>
    </row>
    <row r="1281" spans="3:18" hidden="1" x14ac:dyDescent="0.25">
      <c r="C1281" t="s">
        <v>45</v>
      </c>
      <c r="D1281" t="s">
        <v>22</v>
      </c>
      <c r="E1281" t="s">
        <v>48</v>
      </c>
      <c r="F1281" t="s">
        <v>41</v>
      </c>
      <c r="G1281" s="89">
        <v>26794046</v>
      </c>
      <c r="H1281" t="s">
        <v>42</v>
      </c>
      <c r="I1281" t="s">
        <v>133</v>
      </c>
      <c r="J1281" s="89">
        <v>830615426</v>
      </c>
      <c r="K1281" t="s">
        <v>144</v>
      </c>
      <c r="N1281">
        <v>1</v>
      </c>
      <c r="O1281" s="89">
        <v>803821.38</v>
      </c>
      <c r="P1281" s="89">
        <v>13664963.460000001</v>
      </c>
      <c r="Q1281" t="s">
        <v>142</v>
      </c>
      <c r="R1281" t="s">
        <v>42</v>
      </c>
    </row>
    <row r="1282" spans="3:18" hidden="1" x14ac:dyDescent="0.25">
      <c r="C1282" t="s">
        <v>45</v>
      </c>
      <c r="D1282" t="s">
        <v>149</v>
      </c>
      <c r="E1282" t="s">
        <v>44</v>
      </c>
      <c r="F1282" t="s">
        <v>41</v>
      </c>
      <c r="G1282" s="89">
        <v>67644</v>
      </c>
      <c r="H1282" t="s">
        <v>42</v>
      </c>
      <c r="I1282" t="s">
        <v>133</v>
      </c>
      <c r="J1282" s="89">
        <v>1623456</v>
      </c>
      <c r="K1282" t="s">
        <v>127</v>
      </c>
      <c r="L1282" t="s">
        <v>128</v>
      </c>
      <c r="M1282" t="s">
        <v>136</v>
      </c>
      <c r="N1282">
        <v>1</v>
      </c>
      <c r="O1282" s="89">
        <v>3382.2</v>
      </c>
      <c r="P1282" s="89">
        <v>25704.720000000001</v>
      </c>
      <c r="Q1282" t="s">
        <v>130</v>
      </c>
      <c r="R1282" t="s">
        <v>42</v>
      </c>
    </row>
    <row r="1283" spans="3:18" hidden="1" x14ac:dyDescent="0.25">
      <c r="C1283" t="s">
        <v>45</v>
      </c>
      <c r="D1283" t="s">
        <v>23</v>
      </c>
      <c r="E1283" t="s">
        <v>44</v>
      </c>
      <c r="F1283" t="s">
        <v>53</v>
      </c>
      <c r="G1283" s="89">
        <v>1045036</v>
      </c>
      <c r="H1283" t="s">
        <v>42</v>
      </c>
      <c r="I1283" t="s">
        <v>133</v>
      </c>
      <c r="J1283" s="89">
        <v>34486188</v>
      </c>
      <c r="K1283" t="s">
        <v>144</v>
      </c>
      <c r="N1283">
        <v>1</v>
      </c>
      <c r="O1283" s="89">
        <v>31351.08</v>
      </c>
      <c r="P1283" s="89">
        <v>752425.92</v>
      </c>
      <c r="Q1283" t="s">
        <v>137</v>
      </c>
      <c r="R1283" t="s">
        <v>42</v>
      </c>
    </row>
    <row r="1284" spans="3:18" hidden="1" x14ac:dyDescent="0.25">
      <c r="C1284" t="s">
        <v>45</v>
      </c>
      <c r="D1284" t="s">
        <v>23</v>
      </c>
      <c r="E1284" t="s">
        <v>44</v>
      </c>
      <c r="F1284" t="s">
        <v>41</v>
      </c>
      <c r="G1284" s="89">
        <v>2628509</v>
      </c>
      <c r="H1284" t="s">
        <v>42</v>
      </c>
      <c r="I1284" t="s">
        <v>133</v>
      </c>
      <c r="J1284" s="89">
        <v>73598252</v>
      </c>
      <c r="K1284" t="s">
        <v>127</v>
      </c>
      <c r="L1284" t="s">
        <v>128</v>
      </c>
      <c r="M1284" t="s">
        <v>152</v>
      </c>
      <c r="N1284">
        <v>1</v>
      </c>
      <c r="O1284" s="89">
        <v>105140.36</v>
      </c>
      <c r="P1284" s="89">
        <v>841122.88</v>
      </c>
      <c r="Q1284" t="s">
        <v>130</v>
      </c>
      <c r="R1284" t="s">
        <v>42</v>
      </c>
    </row>
    <row r="1285" spans="3:18" hidden="1" x14ac:dyDescent="0.25">
      <c r="C1285" t="s">
        <v>45</v>
      </c>
      <c r="D1285" t="s">
        <v>138</v>
      </c>
      <c r="E1285" t="s">
        <v>43</v>
      </c>
      <c r="F1285" t="s">
        <v>41</v>
      </c>
      <c r="G1285" s="89">
        <v>402838</v>
      </c>
      <c r="H1285" t="s">
        <v>42</v>
      </c>
      <c r="I1285" t="s">
        <v>133</v>
      </c>
      <c r="J1285" s="89">
        <v>11279464</v>
      </c>
      <c r="K1285" t="s">
        <v>127</v>
      </c>
      <c r="L1285" t="s">
        <v>128</v>
      </c>
      <c r="M1285" t="s">
        <v>143</v>
      </c>
      <c r="N1285">
        <v>1</v>
      </c>
      <c r="O1285" s="89">
        <v>12085.14</v>
      </c>
      <c r="P1285" s="89">
        <v>124879.78</v>
      </c>
      <c r="Q1285" t="s">
        <v>130</v>
      </c>
      <c r="R1285" t="s">
        <v>42</v>
      </c>
    </row>
    <row r="1286" spans="3:18" x14ac:dyDescent="0.25">
      <c r="C1286" t="s">
        <v>47</v>
      </c>
      <c r="D1286" t="s">
        <v>21</v>
      </c>
      <c r="E1286" t="s">
        <v>40</v>
      </c>
      <c r="F1286" t="s">
        <v>41</v>
      </c>
      <c r="G1286" s="89">
        <v>715</v>
      </c>
      <c r="H1286" t="s">
        <v>146</v>
      </c>
      <c r="I1286" t="s">
        <v>147</v>
      </c>
      <c r="J1286" s="89"/>
      <c r="K1286" t="s">
        <v>127</v>
      </c>
      <c r="L1286" t="s">
        <v>151</v>
      </c>
      <c r="N1286">
        <v>0</v>
      </c>
      <c r="O1286" s="89">
        <v>28.6</v>
      </c>
      <c r="P1286" s="89">
        <v>0</v>
      </c>
      <c r="Q1286" t="s">
        <v>130</v>
      </c>
      <c r="R1286" t="s">
        <v>131</v>
      </c>
    </row>
    <row r="1287" spans="3:18" hidden="1" x14ac:dyDescent="0.25">
      <c r="C1287" t="s">
        <v>45</v>
      </c>
      <c r="D1287" t="s">
        <v>21</v>
      </c>
      <c r="E1287" t="s">
        <v>43</v>
      </c>
      <c r="F1287" t="s">
        <v>41</v>
      </c>
      <c r="G1287" s="89">
        <v>224122</v>
      </c>
      <c r="H1287" t="s">
        <v>132</v>
      </c>
      <c r="I1287" t="s">
        <v>126</v>
      </c>
      <c r="J1287" s="89">
        <v>3361830</v>
      </c>
      <c r="K1287" t="s">
        <v>127</v>
      </c>
      <c r="L1287" t="s">
        <v>151</v>
      </c>
      <c r="N1287">
        <v>1</v>
      </c>
      <c r="O1287" s="89">
        <v>6723.66</v>
      </c>
      <c r="P1287" s="89">
        <v>103096.12</v>
      </c>
      <c r="Q1287" t="s">
        <v>142</v>
      </c>
      <c r="R1287" t="s">
        <v>131</v>
      </c>
    </row>
    <row r="1288" spans="3:18" x14ac:dyDescent="0.25">
      <c r="C1288" t="s">
        <v>47</v>
      </c>
      <c r="D1288" t="s">
        <v>21</v>
      </c>
      <c r="E1288" t="s">
        <v>43</v>
      </c>
      <c r="F1288" t="s">
        <v>41</v>
      </c>
      <c r="G1288" s="89">
        <v>3501829</v>
      </c>
      <c r="H1288" t="s">
        <v>140</v>
      </c>
      <c r="I1288" t="s">
        <v>141</v>
      </c>
      <c r="J1288" s="89">
        <v>24512803</v>
      </c>
      <c r="K1288" t="s">
        <v>127</v>
      </c>
      <c r="L1288" t="s">
        <v>128</v>
      </c>
      <c r="N1288">
        <v>1</v>
      </c>
      <c r="O1288" s="89">
        <v>175091.45</v>
      </c>
      <c r="P1288" s="89">
        <v>1610841.34</v>
      </c>
      <c r="Q1288" t="s">
        <v>142</v>
      </c>
      <c r="R1288" t="s">
        <v>131</v>
      </c>
    </row>
    <row r="1289" spans="3:18" hidden="1" x14ac:dyDescent="0.25">
      <c r="C1289" t="s">
        <v>45</v>
      </c>
      <c r="D1289" t="s">
        <v>24</v>
      </c>
      <c r="E1289" t="s">
        <v>48</v>
      </c>
      <c r="F1289" t="s">
        <v>41</v>
      </c>
      <c r="G1289" s="89">
        <v>1185222</v>
      </c>
      <c r="H1289" t="s">
        <v>146</v>
      </c>
      <c r="I1289" t="s">
        <v>126</v>
      </c>
      <c r="J1289" s="89">
        <v>20148774</v>
      </c>
      <c r="K1289" t="s">
        <v>127</v>
      </c>
      <c r="L1289" t="s">
        <v>128</v>
      </c>
      <c r="N1289">
        <v>1</v>
      </c>
      <c r="O1289" s="89">
        <v>35556.660000000003</v>
      </c>
      <c r="P1289" s="89">
        <v>805950.96</v>
      </c>
      <c r="Q1289" t="s">
        <v>137</v>
      </c>
      <c r="R1289" t="s">
        <v>131</v>
      </c>
    </row>
    <row r="1290" spans="3:18" hidden="1" x14ac:dyDescent="0.25">
      <c r="C1290" t="s">
        <v>45</v>
      </c>
      <c r="D1290" t="s">
        <v>20</v>
      </c>
      <c r="E1290" t="s">
        <v>43</v>
      </c>
      <c r="F1290" t="s">
        <v>41</v>
      </c>
      <c r="G1290" s="89">
        <v>34095</v>
      </c>
      <c r="H1290" t="s">
        <v>145</v>
      </c>
      <c r="I1290" t="s">
        <v>141</v>
      </c>
      <c r="J1290" s="89">
        <v>272760</v>
      </c>
      <c r="K1290" t="s">
        <v>144</v>
      </c>
      <c r="N1290">
        <v>1</v>
      </c>
      <c r="O1290" s="89">
        <v>1022.85</v>
      </c>
      <c r="P1290" s="89">
        <v>12956.1</v>
      </c>
      <c r="Q1290" t="s">
        <v>130</v>
      </c>
      <c r="R1290" t="s">
        <v>131</v>
      </c>
    </row>
    <row r="1291" spans="3:18" hidden="1" x14ac:dyDescent="0.25">
      <c r="C1291" t="s">
        <v>45</v>
      </c>
      <c r="D1291" t="s">
        <v>24</v>
      </c>
      <c r="E1291" t="s">
        <v>48</v>
      </c>
      <c r="F1291" t="s">
        <v>41</v>
      </c>
      <c r="G1291" s="89">
        <v>9470490</v>
      </c>
      <c r="H1291" t="s">
        <v>42</v>
      </c>
      <c r="I1291" t="s">
        <v>126</v>
      </c>
      <c r="J1291" s="89">
        <v>142057350</v>
      </c>
      <c r="K1291" t="s">
        <v>127</v>
      </c>
      <c r="L1291" t="s">
        <v>128</v>
      </c>
      <c r="M1291" t="s">
        <v>148</v>
      </c>
      <c r="N1291">
        <v>1</v>
      </c>
      <c r="O1291" s="89">
        <v>284114.7</v>
      </c>
      <c r="P1291" s="89">
        <v>2651737.2000000002</v>
      </c>
      <c r="Q1291" t="s">
        <v>130</v>
      </c>
      <c r="R1291" t="s">
        <v>131</v>
      </c>
    </row>
    <row r="1292" spans="3:18" hidden="1" x14ac:dyDescent="0.25">
      <c r="C1292" t="s">
        <v>45</v>
      </c>
      <c r="D1292" t="s">
        <v>138</v>
      </c>
      <c r="E1292" t="s">
        <v>40</v>
      </c>
      <c r="F1292" t="s">
        <v>41</v>
      </c>
      <c r="G1292" s="89">
        <v>79190</v>
      </c>
      <c r="H1292" t="s">
        <v>42</v>
      </c>
      <c r="I1292" t="s">
        <v>126</v>
      </c>
      <c r="J1292" s="89">
        <v>950280</v>
      </c>
      <c r="K1292" t="s">
        <v>134</v>
      </c>
      <c r="L1292" t="s">
        <v>128</v>
      </c>
      <c r="M1292" t="s">
        <v>139</v>
      </c>
      <c r="N1292">
        <v>1</v>
      </c>
      <c r="O1292" s="89">
        <v>2375.6999999999998</v>
      </c>
      <c r="P1292" s="89">
        <v>34051.699999999997</v>
      </c>
      <c r="Q1292" t="s">
        <v>142</v>
      </c>
      <c r="R1292" t="s">
        <v>42</v>
      </c>
    </row>
    <row r="1293" spans="3:18" hidden="1" x14ac:dyDescent="0.25">
      <c r="C1293" t="s">
        <v>45</v>
      </c>
      <c r="D1293" t="s">
        <v>21</v>
      </c>
      <c r="E1293" t="s">
        <v>40</v>
      </c>
      <c r="F1293" t="s">
        <v>41</v>
      </c>
      <c r="G1293" s="89">
        <v>96636</v>
      </c>
      <c r="H1293" t="s">
        <v>42</v>
      </c>
      <c r="I1293" t="s">
        <v>133</v>
      </c>
      <c r="J1293" s="89">
        <v>2415900</v>
      </c>
      <c r="K1293" t="s">
        <v>127</v>
      </c>
      <c r="L1293" t="s">
        <v>128</v>
      </c>
      <c r="M1293" t="s">
        <v>136</v>
      </c>
      <c r="N1293">
        <v>1</v>
      </c>
      <c r="O1293" s="89">
        <v>2899.08</v>
      </c>
      <c r="P1293" s="89">
        <v>59914.32</v>
      </c>
      <c r="Q1293" t="s">
        <v>137</v>
      </c>
      <c r="R1293" t="s">
        <v>131</v>
      </c>
    </row>
    <row r="1294" spans="3:18" hidden="1" x14ac:dyDescent="0.25">
      <c r="C1294" t="s">
        <v>45</v>
      </c>
      <c r="D1294" t="s">
        <v>24</v>
      </c>
      <c r="E1294" t="s">
        <v>44</v>
      </c>
      <c r="F1294" t="s">
        <v>41</v>
      </c>
      <c r="G1294" s="89">
        <v>370447</v>
      </c>
      <c r="H1294" t="s">
        <v>140</v>
      </c>
      <c r="I1294" t="s">
        <v>126</v>
      </c>
      <c r="J1294" s="89">
        <v>5927152</v>
      </c>
      <c r="K1294" t="s">
        <v>144</v>
      </c>
      <c r="N1294">
        <v>1</v>
      </c>
      <c r="O1294" s="89">
        <v>11113.41</v>
      </c>
      <c r="P1294" s="89">
        <v>207450.32</v>
      </c>
      <c r="Q1294" t="s">
        <v>142</v>
      </c>
      <c r="R1294" t="s">
        <v>131</v>
      </c>
    </row>
    <row r="1295" spans="3:18" hidden="1" x14ac:dyDescent="0.25">
      <c r="C1295" t="s">
        <v>45</v>
      </c>
      <c r="D1295" t="s">
        <v>20</v>
      </c>
      <c r="E1295" t="s">
        <v>43</v>
      </c>
      <c r="F1295" t="s">
        <v>41</v>
      </c>
      <c r="G1295" s="89">
        <v>3429289</v>
      </c>
      <c r="H1295" t="s">
        <v>42</v>
      </c>
      <c r="I1295" t="s">
        <v>133</v>
      </c>
      <c r="J1295" s="89">
        <v>99449381</v>
      </c>
      <c r="K1295" t="s">
        <v>127</v>
      </c>
      <c r="L1295" t="s">
        <v>128</v>
      </c>
      <c r="M1295" t="s">
        <v>129</v>
      </c>
      <c r="N1295">
        <v>1</v>
      </c>
      <c r="O1295" s="89">
        <v>102878.67</v>
      </c>
      <c r="P1295" s="89">
        <v>2331916.52</v>
      </c>
      <c r="Q1295" t="s">
        <v>137</v>
      </c>
      <c r="R1295" t="s">
        <v>42</v>
      </c>
    </row>
    <row r="1296" spans="3:18" hidden="1" x14ac:dyDescent="0.25">
      <c r="C1296" t="s">
        <v>45</v>
      </c>
      <c r="D1296" t="s">
        <v>20</v>
      </c>
      <c r="E1296" t="s">
        <v>43</v>
      </c>
      <c r="F1296" t="s">
        <v>41</v>
      </c>
      <c r="G1296" s="89">
        <v>75076</v>
      </c>
      <c r="H1296" t="s">
        <v>42</v>
      </c>
      <c r="I1296" t="s">
        <v>133</v>
      </c>
      <c r="J1296" s="89">
        <v>2477508</v>
      </c>
      <c r="K1296" t="s">
        <v>127</v>
      </c>
      <c r="L1296" t="s">
        <v>128</v>
      </c>
      <c r="M1296" t="s">
        <v>143</v>
      </c>
      <c r="N1296">
        <v>1</v>
      </c>
      <c r="O1296" s="89">
        <v>3003.04</v>
      </c>
      <c r="P1296" s="89">
        <v>66066.880000000005</v>
      </c>
      <c r="Q1296" t="s">
        <v>135</v>
      </c>
      <c r="R1296" t="s">
        <v>42</v>
      </c>
    </row>
    <row r="1297" spans="3:18" hidden="1" x14ac:dyDescent="0.25">
      <c r="C1297" t="s">
        <v>45</v>
      </c>
      <c r="D1297" t="s">
        <v>138</v>
      </c>
      <c r="E1297" t="s">
        <v>43</v>
      </c>
      <c r="F1297" t="s">
        <v>41</v>
      </c>
      <c r="G1297" s="89">
        <v>100104</v>
      </c>
      <c r="H1297" t="s">
        <v>42</v>
      </c>
      <c r="I1297" t="s">
        <v>133</v>
      </c>
      <c r="J1297" s="89">
        <v>3904056</v>
      </c>
      <c r="K1297" t="s">
        <v>134</v>
      </c>
      <c r="N1297">
        <v>1</v>
      </c>
      <c r="O1297" s="89">
        <v>3003.12</v>
      </c>
      <c r="P1297" s="89">
        <v>41042.639999999999</v>
      </c>
      <c r="Q1297" t="s">
        <v>142</v>
      </c>
      <c r="R1297" t="s">
        <v>131</v>
      </c>
    </row>
    <row r="1298" spans="3:18" x14ac:dyDescent="0.25">
      <c r="C1298" t="s">
        <v>47</v>
      </c>
      <c r="D1298" t="s">
        <v>23</v>
      </c>
      <c r="E1298" t="s">
        <v>40</v>
      </c>
      <c r="F1298" t="s">
        <v>41</v>
      </c>
      <c r="G1298" s="89">
        <v>15362510</v>
      </c>
      <c r="H1298" t="s">
        <v>146</v>
      </c>
      <c r="I1298" t="s">
        <v>126</v>
      </c>
      <c r="J1298" s="89">
        <v>168987610</v>
      </c>
      <c r="K1298" t="s">
        <v>127</v>
      </c>
      <c r="L1298" t="s">
        <v>128</v>
      </c>
      <c r="N1298">
        <v>1</v>
      </c>
      <c r="O1298" s="89">
        <v>768125.5</v>
      </c>
      <c r="P1298" s="89">
        <v>2765251.8</v>
      </c>
      <c r="Q1298" t="s">
        <v>130</v>
      </c>
      <c r="R1298" t="s">
        <v>131</v>
      </c>
    </row>
    <row r="1299" spans="3:18" hidden="1" x14ac:dyDescent="0.25">
      <c r="C1299" t="s">
        <v>45</v>
      </c>
      <c r="D1299" t="s">
        <v>23</v>
      </c>
      <c r="E1299" t="s">
        <v>48</v>
      </c>
      <c r="F1299" t="s">
        <v>41</v>
      </c>
      <c r="G1299" s="89">
        <v>398018</v>
      </c>
      <c r="H1299" t="s">
        <v>42</v>
      </c>
      <c r="I1299" t="s">
        <v>133</v>
      </c>
      <c r="J1299" s="89">
        <v>12736576</v>
      </c>
      <c r="K1299" t="s">
        <v>134</v>
      </c>
      <c r="L1299" t="s">
        <v>128</v>
      </c>
      <c r="M1299" t="s">
        <v>152</v>
      </c>
      <c r="N1299">
        <v>1</v>
      </c>
      <c r="O1299" s="89">
        <v>11940.54</v>
      </c>
      <c r="P1299" s="89">
        <v>302493.68</v>
      </c>
      <c r="Q1299" t="s">
        <v>137</v>
      </c>
      <c r="R1299" t="s">
        <v>42</v>
      </c>
    </row>
    <row r="1300" spans="3:18" hidden="1" x14ac:dyDescent="0.25">
      <c r="C1300" t="s">
        <v>45</v>
      </c>
      <c r="D1300" t="s">
        <v>138</v>
      </c>
      <c r="E1300" t="s">
        <v>43</v>
      </c>
      <c r="F1300" t="s">
        <v>41</v>
      </c>
      <c r="G1300" s="89">
        <v>57024678</v>
      </c>
      <c r="H1300" t="s">
        <v>42</v>
      </c>
      <c r="I1300" t="s">
        <v>133</v>
      </c>
      <c r="J1300" s="89">
        <v>2052888408</v>
      </c>
      <c r="K1300" t="s">
        <v>144</v>
      </c>
      <c r="N1300">
        <v>1</v>
      </c>
      <c r="O1300" s="89">
        <v>1710740.34</v>
      </c>
      <c r="P1300" s="89">
        <v>50751963.420000002</v>
      </c>
      <c r="Q1300" t="s">
        <v>135</v>
      </c>
      <c r="R1300" t="s">
        <v>42</v>
      </c>
    </row>
    <row r="1301" spans="3:18" hidden="1" x14ac:dyDescent="0.25">
      <c r="C1301" t="s">
        <v>45</v>
      </c>
      <c r="D1301" t="s">
        <v>138</v>
      </c>
      <c r="E1301" t="s">
        <v>43</v>
      </c>
      <c r="F1301" t="s">
        <v>41</v>
      </c>
      <c r="G1301" s="89">
        <v>5414</v>
      </c>
      <c r="H1301" t="s">
        <v>145</v>
      </c>
      <c r="I1301" t="s">
        <v>147</v>
      </c>
      <c r="J1301" s="89">
        <v>16242</v>
      </c>
      <c r="K1301" t="s">
        <v>127</v>
      </c>
      <c r="L1301" t="s">
        <v>128</v>
      </c>
      <c r="N1301">
        <v>1</v>
      </c>
      <c r="O1301" s="89">
        <v>162.41999999999999</v>
      </c>
      <c r="P1301" s="89">
        <v>3302.54</v>
      </c>
      <c r="Q1301" t="s">
        <v>137</v>
      </c>
      <c r="R1301" t="s">
        <v>131</v>
      </c>
    </row>
    <row r="1302" spans="3:18" hidden="1" x14ac:dyDescent="0.25">
      <c r="C1302" t="s">
        <v>45</v>
      </c>
      <c r="D1302" t="s">
        <v>23</v>
      </c>
      <c r="E1302" t="s">
        <v>48</v>
      </c>
      <c r="F1302" t="s">
        <v>41</v>
      </c>
      <c r="G1302" s="89">
        <v>286988</v>
      </c>
      <c r="H1302" t="s">
        <v>42</v>
      </c>
      <c r="I1302" t="s">
        <v>141</v>
      </c>
      <c r="J1302" s="89">
        <v>2869880</v>
      </c>
      <c r="K1302" t="s">
        <v>144</v>
      </c>
      <c r="N1302">
        <v>1</v>
      </c>
      <c r="O1302" s="89">
        <v>8609.64</v>
      </c>
      <c r="P1302" s="89">
        <v>166453.04</v>
      </c>
      <c r="Q1302" t="s">
        <v>142</v>
      </c>
      <c r="R1302" t="s">
        <v>131</v>
      </c>
    </row>
    <row r="1303" spans="3:18" x14ac:dyDescent="0.25">
      <c r="C1303" t="s">
        <v>47</v>
      </c>
      <c r="D1303" t="s">
        <v>21</v>
      </c>
      <c r="E1303" t="s">
        <v>40</v>
      </c>
      <c r="F1303" t="s">
        <v>41</v>
      </c>
      <c r="G1303" s="89">
        <v>4556556</v>
      </c>
      <c r="H1303" t="s">
        <v>145</v>
      </c>
      <c r="I1303" t="s">
        <v>126</v>
      </c>
      <c r="J1303" s="89">
        <v>50122116</v>
      </c>
      <c r="K1303" t="s">
        <v>127</v>
      </c>
      <c r="L1303" t="s">
        <v>128</v>
      </c>
      <c r="N1303">
        <v>1</v>
      </c>
      <c r="O1303" s="89">
        <v>182262.24</v>
      </c>
      <c r="P1303" s="89">
        <v>2414974.6800000002</v>
      </c>
      <c r="Q1303" t="s">
        <v>142</v>
      </c>
      <c r="R1303" t="s">
        <v>131</v>
      </c>
    </row>
    <row r="1304" spans="3:18" hidden="1" x14ac:dyDescent="0.25">
      <c r="C1304" t="s">
        <v>45</v>
      </c>
      <c r="D1304" t="s">
        <v>22</v>
      </c>
      <c r="E1304" t="s">
        <v>40</v>
      </c>
      <c r="F1304" t="s">
        <v>41</v>
      </c>
      <c r="G1304" s="89">
        <v>19873785</v>
      </c>
      <c r="H1304" t="s">
        <v>146</v>
      </c>
      <c r="I1304" t="s">
        <v>141</v>
      </c>
      <c r="J1304" s="89">
        <v>139116495</v>
      </c>
      <c r="K1304" t="s">
        <v>127</v>
      </c>
      <c r="L1304" t="s">
        <v>128</v>
      </c>
      <c r="N1304">
        <v>1</v>
      </c>
      <c r="O1304" s="89">
        <v>596213.55000000005</v>
      </c>
      <c r="P1304" s="89">
        <v>4372232.7</v>
      </c>
      <c r="Q1304" t="s">
        <v>130</v>
      </c>
      <c r="R1304" t="s">
        <v>131</v>
      </c>
    </row>
    <row r="1305" spans="3:18" hidden="1" x14ac:dyDescent="0.25">
      <c r="C1305" t="s">
        <v>45</v>
      </c>
      <c r="D1305" t="s">
        <v>24</v>
      </c>
      <c r="E1305" t="s">
        <v>48</v>
      </c>
      <c r="F1305" t="s">
        <v>41</v>
      </c>
      <c r="G1305" s="89">
        <v>91432</v>
      </c>
      <c r="H1305" t="s">
        <v>42</v>
      </c>
      <c r="I1305" t="s">
        <v>147</v>
      </c>
      <c r="J1305" s="89">
        <v>365728</v>
      </c>
      <c r="K1305" t="s">
        <v>127</v>
      </c>
      <c r="L1305" t="s">
        <v>128</v>
      </c>
      <c r="M1305" t="s">
        <v>148</v>
      </c>
      <c r="N1305">
        <v>1</v>
      </c>
      <c r="O1305" s="89">
        <v>2742.96</v>
      </c>
      <c r="P1305" s="89">
        <v>39315.760000000002</v>
      </c>
      <c r="Q1305" t="s">
        <v>142</v>
      </c>
      <c r="R1305" t="s">
        <v>131</v>
      </c>
    </row>
    <row r="1306" spans="3:18" hidden="1" x14ac:dyDescent="0.25">
      <c r="C1306" t="s">
        <v>45</v>
      </c>
      <c r="D1306" t="s">
        <v>23</v>
      </c>
      <c r="E1306" t="s">
        <v>48</v>
      </c>
      <c r="F1306" t="s">
        <v>41</v>
      </c>
      <c r="G1306" s="89">
        <v>9868037</v>
      </c>
      <c r="H1306" t="s">
        <v>145</v>
      </c>
      <c r="I1306" t="s">
        <v>133</v>
      </c>
      <c r="J1306" s="89">
        <v>276305036</v>
      </c>
      <c r="K1306" t="s">
        <v>127</v>
      </c>
      <c r="L1306" t="s">
        <v>128</v>
      </c>
      <c r="N1306">
        <v>1</v>
      </c>
      <c r="O1306" s="89">
        <v>296041.11</v>
      </c>
      <c r="P1306" s="89">
        <v>6808945.5300000003</v>
      </c>
      <c r="Q1306" t="s">
        <v>137</v>
      </c>
      <c r="R1306" t="s">
        <v>131</v>
      </c>
    </row>
    <row r="1307" spans="3:18" hidden="1" x14ac:dyDescent="0.25">
      <c r="C1307" t="s">
        <v>45</v>
      </c>
      <c r="D1307" t="s">
        <v>21</v>
      </c>
      <c r="E1307" t="s">
        <v>48</v>
      </c>
      <c r="F1307" t="s">
        <v>41</v>
      </c>
      <c r="G1307" s="89">
        <v>1229666</v>
      </c>
      <c r="H1307" t="s">
        <v>42</v>
      </c>
      <c r="I1307" t="s">
        <v>126</v>
      </c>
      <c r="J1307" s="89">
        <v>18444990</v>
      </c>
      <c r="K1307" t="s">
        <v>127</v>
      </c>
      <c r="L1307" t="s">
        <v>128</v>
      </c>
      <c r="M1307" t="s">
        <v>129</v>
      </c>
      <c r="N1307">
        <v>1</v>
      </c>
      <c r="O1307" s="89">
        <v>36889.980000000003</v>
      </c>
      <c r="P1307" s="89">
        <v>381196.46</v>
      </c>
      <c r="Q1307" t="s">
        <v>130</v>
      </c>
      <c r="R1307" t="s">
        <v>42</v>
      </c>
    </row>
    <row r="1308" spans="3:18" hidden="1" x14ac:dyDescent="0.25">
      <c r="C1308" t="s">
        <v>45</v>
      </c>
      <c r="D1308" t="s">
        <v>20</v>
      </c>
      <c r="E1308" t="s">
        <v>43</v>
      </c>
      <c r="F1308" t="s">
        <v>41</v>
      </c>
      <c r="G1308" s="89">
        <v>745500</v>
      </c>
      <c r="H1308" t="s">
        <v>140</v>
      </c>
      <c r="I1308" t="s">
        <v>133</v>
      </c>
      <c r="J1308" s="89">
        <v>21619500</v>
      </c>
      <c r="K1308" t="s">
        <v>134</v>
      </c>
      <c r="L1308" t="s">
        <v>128</v>
      </c>
      <c r="N1308">
        <v>1</v>
      </c>
      <c r="O1308" s="89">
        <v>22365</v>
      </c>
      <c r="P1308" s="89">
        <v>380205</v>
      </c>
      <c r="Q1308" t="s">
        <v>142</v>
      </c>
      <c r="R1308" t="s">
        <v>131</v>
      </c>
    </row>
    <row r="1309" spans="3:18" hidden="1" x14ac:dyDescent="0.25">
      <c r="C1309" t="s">
        <v>45</v>
      </c>
      <c r="D1309" t="s">
        <v>22</v>
      </c>
      <c r="E1309" t="s">
        <v>40</v>
      </c>
      <c r="F1309" t="s">
        <v>41</v>
      </c>
      <c r="G1309" s="89">
        <v>771559</v>
      </c>
      <c r="H1309" t="s">
        <v>132</v>
      </c>
      <c r="I1309" t="s">
        <v>133</v>
      </c>
      <c r="J1309" s="89">
        <v>23146770</v>
      </c>
      <c r="K1309" t="s">
        <v>134</v>
      </c>
      <c r="L1309" t="s">
        <v>128</v>
      </c>
      <c r="N1309">
        <v>1</v>
      </c>
      <c r="O1309" s="89">
        <v>23146.77</v>
      </c>
      <c r="P1309" s="89">
        <v>532375.71</v>
      </c>
      <c r="Q1309" t="s">
        <v>137</v>
      </c>
      <c r="R1309" t="s">
        <v>131</v>
      </c>
    </row>
    <row r="1310" spans="3:18" hidden="1" x14ac:dyDescent="0.25">
      <c r="C1310" t="s">
        <v>45</v>
      </c>
      <c r="D1310" t="s">
        <v>20</v>
      </c>
      <c r="E1310" t="s">
        <v>43</v>
      </c>
      <c r="F1310" t="s">
        <v>41</v>
      </c>
      <c r="G1310" s="89">
        <v>140027</v>
      </c>
      <c r="H1310" t="s">
        <v>42</v>
      </c>
      <c r="I1310" t="s">
        <v>133</v>
      </c>
      <c r="J1310" s="89">
        <v>5040972</v>
      </c>
      <c r="K1310" t="s">
        <v>134</v>
      </c>
      <c r="L1310" t="s">
        <v>128</v>
      </c>
      <c r="M1310" t="s">
        <v>143</v>
      </c>
      <c r="N1310">
        <v>1</v>
      </c>
      <c r="O1310" s="89">
        <v>4200.8100000000004</v>
      </c>
      <c r="P1310" s="89">
        <v>124624.03</v>
      </c>
      <c r="Q1310" t="s">
        <v>135</v>
      </c>
      <c r="R1310" t="s">
        <v>131</v>
      </c>
    </row>
    <row r="1311" spans="3:18" hidden="1" x14ac:dyDescent="0.25">
      <c r="C1311" t="s">
        <v>45</v>
      </c>
      <c r="D1311" t="s">
        <v>21</v>
      </c>
      <c r="E1311" t="s">
        <v>48</v>
      </c>
      <c r="F1311" t="s">
        <v>41</v>
      </c>
      <c r="G1311" s="89">
        <v>109996</v>
      </c>
      <c r="H1311" t="s">
        <v>42</v>
      </c>
      <c r="I1311" t="s">
        <v>133</v>
      </c>
      <c r="J1311" s="89">
        <v>3849860</v>
      </c>
      <c r="K1311" t="s">
        <v>134</v>
      </c>
      <c r="L1311" t="s">
        <v>128</v>
      </c>
      <c r="M1311" t="s">
        <v>129</v>
      </c>
      <c r="N1311">
        <v>1</v>
      </c>
      <c r="O1311" s="89">
        <v>3299.88</v>
      </c>
      <c r="P1311" s="89">
        <v>89096.76</v>
      </c>
      <c r="Q1311" t="s">
        <v>135</v>
      </c>
      <c r="R1311" t="s">
        <v>42</v>
      </c>
    </row>
    <row r="1312" spans="3:18" x14ac:dyDescent="0.25">
      <c r="C1312" t="s">
        <v>47</v>
      </c>
      <c r="D1312" t="s">
        <v>25</v>
      </c>
      <c r="E1312" t="s">
        <v>48</v>
      </c>
      <c r="F1312" t="s">
        <v>41</v>
      </c>
      <c r="G1312" s="89">
        <v>456677</v>
      </c>
      <c r="H1312" t="s">
        <v>146</v>
      </c>
      <c r="I1312" t="s">
        <v>141</v>
      </c>
      <c r="J1312" s="89">
        <v>3653416</v>
      </c>
      <c r="K1312" t="s">
        <v>127</v>
      </c>
      <c r="L1312" t="s">
        <v>128</v>
      </c>
      <c r="N1312">
        <v>1</v>
      </c>
      <c r="O1312" s="89">
        <v>18267.080000000002</v>
      </c>
      <c r="P1312" s="89">
        <v>310540.36</v>
      </c>
      <c r="Q1312" t="s">
        <v>137</v>
      </c>
      <c r="R1312" t="s">
        <v>131</v>
      </c>
    </row>
    <row r="1313" spans="3:18" hidden="1" x14ac:dyDescent="0.25">
      <c r="C1313" t="s">
        <v>45</v>
      </c>
      <c r="D1313" t="s">
        <v>25</v>
      </c>
      <c r="E1313" t="s">
        <v>44</v>
      </c>
      <c r="F1313" t="s">
        <v>41</v>
      </c>
      <c r="G1313" s="89">
        <v>76884</v>
      </c>
      <c r="H1313" t="s">
        <v>146</v>
      </c>
      <c r="I1313" t="s">
        <v>133</v>
      </c>
      <c r="J1313" s="89">
        <v>2844708</v>
      </c>
      <c r="K1313" t="s">
        <v>144</v>
      </c>
      <c r="N1313">
        <v>1</v>
      </c>
      <c r="O1313" s="89">
        <v>2306.52</v>
      </c>
      <c r="P1313" s="89">
        <v>61507.199999999997</v>
      </c>
      <c r="Q1313" t="s">
        <v>137</v>
      </c>
      <c r="R1313" t="s">
        <v>131</v>
      </c>
    </row>
    <row r="1314" spans="3:18" hidden="1" x14ac:dyDescent="0.25">
      <c r="C1314" t="s">
        <v>45</v>
      </c>
      <c r="D1314" t="s">
        <v>22</v>
      </c>
      <c r="E1314" t="s">
        <v>43</v>
      </c>
      <c r="F1314" t="s">
        <v>41</v>
      </c>
      <c r="G1314" s="89">
        <v>136000</v>
      </c>
      <c r="H1314" t="s">
        <v>42</v>
      </c>
      <c r="I1314" t="s">
        <v>133</v>
      </c>
      <c r="J1314" s="89">
        <v>5440000</v>
      </c>
      <c r="K1314" t="s">
        <v>144</v>
      </c>
      <c r="N1314">
        <v>1</v>
      </c>
      <c r="O1314" s="89">
        <v>4080</v>
      </c>
      <c r="P1314" s="89">
        <v>136000</v>
      </c>
      <c r="Q1314" t="s">
        <v>150</v>
      </c>
      <c r="R1314" t="s">
        <v>42</v>
      </c>
    </row>
    <row r="1315" spans="3:18" hidden="1" x14ac:dyDescent="0.25">
      <c r="C1315" t="s">
        <v>45</v>
      </c>
      <c r="D1315" t="s">
        <v>19</v>
      </c>
      <c r="E1315" t="s">
        <v>43</v>
      </c>
      <c r="F1315" t="s">
        <v>41</v>
      </c>
      <c r="G1315" s="89">
        <v>44107</v>
      </c>
      <c r="H1315" t="s">
        <v>42</v>
      </c>
      <c r="I1315" t="s">
        <v>147</v>
      </c>
      <c r="J1315" s="89">
        <v>220535</v>
      </c>
      <c r="K1315" t="s">
        <v>134</v>
      </c>
      <c r="L1315" t="s">
        <v>128</v>
      </c>
      <c r="M1315" t="s">
        <v>143</v>
      </c>
      <c r="N1315">
        <v>1</v>
      </c>
      <c r="O1315" s="89">
        <v>1323.21</v>
      </c>
      <c r="P1315" s="89">
        <v>6616.05</v>
      </c>
      <c r="Q1315" t="s">
        <v>130</v>
      </c>
      <c r="R1315" t="s">
        <v>131</v>
      </c>
    </row>
    <row r="1316" spans="3:18" x14ac:dyDescent="0.25">
      <c r="C1316" t="s">
        <v>47</v>
      </c>
      <c r="D1316" t="s">
        <v>138</v>
      </c>
      <c r="E1316" t="s">
        <v>40</v>
      </c>
      <c r="F1316" t="s">
        <v>41</v>
      </c>
      <c r="G1316" s="89">
        <v>254351</v>
      </c>
      <c r="H1316" t="s">
        <v>145</v>
      </c>
      <c r="I1316" t="s">
        <v>147</v>
      </c>
      <c r="J1316" s="89"/>
      <c r="K1316" t="s">
        <v>127</v>
      </c>
      <c r="L1316" t="s">
        <v>128</v>
      </c>
      <c r="N1316">
        <v>0</v>
      </c>
      <c r="O1316" s="89">
        <v>10174.040000000001</v>
      </c>
      <c r="P1316" s="89">
        <v>5087.0200000000004</v>
      </c>
      <c r="Q1316" t="s">
        <v>130</v>
      </c>
      <c r="R1316" t="s">
        <v>131</v>
      </c>
    </row>
    <row r="1317" spans="3:18" hidden="1" x14ac:dyDescent="0.25">
      <c r="C1317" t="s">
        <v>45</v>
      </c>
      <c r="D1317" t="s">
        <v>21</v>
      </c>
      <c r="E1317" t="s">
        <v>43</v>
      </c>
      <c r="F1317" t="s">
        <v>53</v>
      </c>
      <c r="G1317" s="89">
        <v>149353</v>
      </c>
      <c r="H1317" t="s">
        <v>145</v>
      </c>
      <c r="I1317" t="s">
        <v>133</v>
      </c>
      <c r="J1317" s="89">
        <v>5227355</v>
      </c>
      <c r="K1317" t="s">
        <v>144</v>
      </c>
      <c r="N1317">
        <v>1</v>
      </c>
      <c r="O1317" s="89">
        <v>4480.59</v>
      </c>
      <c r="P1317" s="89">
        <v>126950.05</v>
      </c>
      <c r="Q1317" t="s">
        <v>135</v>
      </c>
      <c r="R1317" t="s">
        <v>131</v>
      </c>
    </row>
    <row r="1318" spans="3:18" x14ac:dyDescent="0.25">
      <c r="C1318" t="s">
        <v>47</v>
      </c>
      <c r="D1318" t="s">
        <v>21</v>
      </c>
      <c r="E1318" t="s">
        <v>43</v>
      </c>
      <c r="F1318" t="s">
        <v>41</v>
      </c>
      <c r="G1318" s="89">
        <v>108991</v>
      </c>
      <c r="H1318" t="s">
        <v>42</v>
      </c>
      <c r="I1318" t="s">
        <v>147</v>
      </c>
      <c r="J1318" s="89">
        <v>544955</v>
      </c>
      <c r="K1318" t="s">
        <v>127</v>
      </c>
      <c r="L1318" t="s">
        <v>128</v>
      </c>
      <c r="M1318" t="s">
        <v>129</v>
      </c>
      <c r="N1318">
        <v>1</v>
      </c>
      <c r="O1318" s="89">
        <v>5449.55</v>
      </c>
      <c r="P1318" s="89">
        <v>34877.120000000003</v>
      </c>
      <c r="Q1318" t="s">
        <v>130</v>
      </c>
      <c r="R1318" t="s">
        <v>42</v>
      </c>
    </row>
    <row r="1319" spans="3:18" hidden="1" x14ac:dyDescent="0.25">
      <c r="C1319" t="s">
        <v>45</v>
      </c>
      <c r="D1319" t="s">
        <v>21</v>
      </c>
      <c r="E1319" t="s">
        <v>43</v>
      </c>
      <c r="F1319" t="s">
        <v>41</v>
      </c>
      <c r="G1319" s="89">
        <v>11930851</v>
      </c>
      <c r="H1319" t="s">
        <v>140</v>
      </c>
      <c r="I1319" t="s">
        <v>133</v>
      </c>
      <c r="J1319" s="89">
        <v>357925530</v>
      </c>
      <c r="K1319" t="s">
        <v>144</v>
      </c>
      <c r="N1319">
        <v>1</v>
      </c>
      <c r="O1319" s="89">
        <v>357925.53</v>
      </c>
      <c r="P1319" s="89">
        <v>8232287.1900000004</v>
      </c>
      <c r="Q1319" t="s">
        <v>137</v>
      </c>
      <c r="R1319" t="s">
        <v>131</v>
      </c>
    </row>
    <row r="1320" spans="3:18" hidden="1" x14ac:dyDescent="0.25">
      <c r="C1320" t="s">
        <v>45</v>
      </c>
      <c r="D1320" t="s">
        <v>22</v>
      </c>
      <c r="E1320" t="s">
        <v>40</v>
      </c>
      <c r="F1320" t="s">
        <v>41</v>
      </c>
      <c r="G1320" s="89">
        <v>1347122</v>
      </c>
      <c r="H1320" t="s">
        <v>140</v>
      </c>
      <c r="I1320" t="s">
        <v>133</v>
      </c>
      <c r="J1320" s="89">
        <v>45802148</v>
      </c>
      <c r="K1320" t="s">
        <v>134</v>
      </c>
      <c r="L1320" t="s">
        <v>128</v>
      </c>
      <c r="N1320">
        <v>1</v>
      </c>
      <c r="O1320" s="89">
        <v>40413.660000000003</v>
      </c>
      <c r="P1320" s="89">
        <v>1171996.1399999999</v>
      </c>
      <c r="Q1320" t="s">
        <v>135</v>
      </c>
      <c r="R1320" t="s">
        <v>131</v>
      </c>
    </row>
    <row r="1321" spans="3:18" hidden="1" x14ac:dyDescent="0.25">
      <c r="C1321" t="s">
        <v>45</v>
      </c>
      <c r="D1321" t="s">
        <v>138</v>
      </c>
      <c r="E1321" t="s">
        <v>43</v>
      </c>
      <c r="F1321" t="s">
        <v>41</v>
      </c>
      <c r="G1321" s="89">
        <v>2184002</v>
      </c>
      <c r="H1321" t="s">
        <v>42</v>
      </c>
      <c r="I1321" t="s">
        <v>133</v>
      </c>
      <c r="J1321" s="89">
        <v>61152056</v>
      </c>
      <c r="K1321" t="s">
        <v>144</v>
      </c>
      <c r="N1321">
        <v>1</v>
      </c>
      <c r="O1321" s="89">
        <v>65520.06</v>
      </c>
      <c r="P1321" s="89">
        <v>567840.52</v>
      </c>
      <c r="Q1321" t="s">
        <v>130</v>
      </c>
      <c r="R1321" t="s">
        <v>131</v>
      </c>
    </row>
    <row r="1322" spans="3:18" hidden="1" x14ac:dyDescent="0.25">
      <c r="C1322" t="s">
        <v>45</v>
      </c>
      <c r="D1322" t="s">
        <v>19</v>
      </c>
      <c r="E1322" t="s">
        <v>43</v>
      </c>
      <c r="F1322" t="s">
        <v>41</v>
      </c>
      <c r="G1322" s="89">
        <v>7008086</v>
      </c>
      <c r="H1322" t="s">
        <v>140</v>
      </c>
      <c r="I1322" t="s">
        <v>133</v>
      </c>
      <c r="J1322" s="89">
        <v>224258752</v>
      </c>
      <c r="K1322" t="s">
        <v>144</v>
      </c>
      <c r="N1322">
        <v>1</v>
      </c>
      <c r="O1322" s="89">
        <v>210242.58</v>
      </c>
      <c r="P1322" s="89">
        <v>4975741.0599999996</v>
      </c>
      <c r="Q1322" t="s">
        <v>137</v>
      </c>
      <c r="R1322" t="s">
        <v>131</v>
      </c>
    </row>
    <row r="1323" spans="3:18" hidden="1" x14ac:dyDescent="0.25">
      <c r="C1323" t="s">
        <v>45</v>
      </c>
      <c r="D1323" t="s">
        <v>24</v>
      </c>
      <c r="E1323" t="s">
        <v>40</v>
      </c>
      <c r="F1323" t="s">
        <v>41</v>
      </c>
      <c r="G1323" s="89">
        <v>5815300</v>
      </c>
      <c r="H1323" t="s">
        <v>145</v>
      </c>
      <c r="I1323" t="s">
        <v>133</v>
      </c>
      <c r="J1323" s="89">
        <v>145382500</v>
      </c>
      <c r="K1323" t="s">
        <v>127</v>
      </c>
      <c r="L1323" t="s">
        <v>128</v>
      </c>
      <c r="N1323">
        <v>1</v>
      </c>
      <c r="O1323" s="89">
        <v>174459</v>
      </c>
      <c r="P1323" s="89">
        <v>3023956</v>
      </c>
      <c r="Q1323" t="s">
        <v>142</v>
      </c>
      <c r="R1323" t="s">
        <v>131</v>
      </c>
    </row>
    <row r="1324" spans="3:18" hidden="1" x14ac:dyDescent="0.25">
      <c r="C1324" t="s">
        <v>45</v>
      </c>
      <c r="D1324" t="s">
        <v>21</v>
      </c>
      <c r="E1324" t="s">
        <v>40</v>
      </c>
      <c r="F1324" t="s">
        <v>41</v>
      </c>
      <c r="G1324" s="89">
        <v>1456</v>
      </c>
      <c r="H1324" t="s">
        <v>42</v>
      </c>
      <c r="I1324" t="s">
        <v>147</v>
      </c>
      <c r="J1324" s="89">
        <v>4368</v>
      </c>
      <c r="K1324" t="s">
        <v>127</v>
      </c>
      <c r="L1324" t="s">
        <v>128</v>
      </c>
      <c r="M1324" t="s">
        <v>129</v>
      </c>
      <c r="N1324">
        <v>1</v>
      </c>
      <c r="O1324" s="89">
        <v>43.68</v>
      </c>
      <c r="P1324" s="89">
        <v>1004.64</v>
      </c>
      <c r="Q1324" t="s">
        <v>137</v>
      </c>
      <c r="R1324" t="s">
        <v>42</v>
      </c>
    </row>
    <row r="1325" spans="3:18" x14ac:dyDescent="0.25">
      <c r="C1325" t="s">
        <v>47</v>
      </c>
      <c r="D1325" t="s">
        <v>25</v>
      </c>
      <c r="E1325" t="s">
        <v>40</v>
      </c>
      <c r="F1325" t="s">
        <v>41</v>
      </c>
      <c r="G1325" s="89">
        <v>78124</v>
      </c>
      <c r="H1325" t="s">
        <v>145</v>
      </c>
      <c r="I1325" t="s">
        <v>141</v>
      </c>
      <c r="J1325" s="89">
        <v>468744</v>
      </c>
      <c r="K1325" t="s">
        <v>127</v>
      </c>
      <c r="L1325" t="s">
        <v>128</v>
      </c>
      <c r="N1325">
        <v>1</v>
      </c>
      <c r="O1325" s="89">
        <v>3124.96</v>
      </c>
      <c r="P1325" s="89">
        <v>35937.040000000001</v>
      </c>
      <c r="Q1325" t="s">
        <v>142</v>
      </c>
      <c r="R1325" t="s">
        <v>131</v>
      </c>
    </row>
    <row r="1326" spans="3:18" hidden="1" x14ac:dyDescent="0.25">
      <c r="C1326" t="s">
        <v>45</v>
      </c>
      <c r="D1326" t="s">
        <v>19</v>
      </c>
      <c r="E1326" t="s">
        <v>40</v>
      </c>
      <c r="F1326" t="s">
        <v>41</v>
      </c>
      <c r="G1326" s="89">
        <v>19838014</v>
      </c>
      <c r="H1326" t="s">
        <v>42</v>
      </c>
      <c r="I1326" t="s">
        <v>133</v>
      </c>
      <c r="J1326" s="89">
        <v>614978434</v>
      </c>
      <c r="K1326" t="s">
        <v>127</v>
      </c>
      <c r="L1326" t="s">
        <v>128</v>
      </c>
      <c r="M1326" t="s">
        <v>136</v>
      </c>
      <c r="N1326">
        <v>1</v>
      </c>
      <c r="O1326" s="89">
        <v>595140.42000000004</v>
      </c>
      <c r="P1326" s="89">
        <v>14283370.08</v>
      </c>
      <c r="Q1326" t="s">
        <v>137</v>
      </c>
      <c r="R1326" t="s">
        <v>131</v>
      </c>
    </row>
    <row r="1327" spans="3:18" hidden="1" x14ac:dyDescent="0.25">
      <c r="C1327" t="s">
        <v>45</v>
      </c>
      <c r="D1327" t="s">
        <v>23</v>
      </c>
      <c r="E1327" t="s">
        <v>40</v>
      </c>
      <c r="F1327" t="s">
        <v>41</v>
      </c>
      <c r="G1327" s="89">
        <v>106345</v>
      </c>
      <c r="H1327" t="s">
        <v>146</v>
      </c>
      <c r="I1327" t="s">
        <v>147</v>
      </c>
      <c r="J1327" s="89">
        <v>531725</v>
      </c>
      <c r="K1327" t="s">
        <v>127</v>
      </c>
      <c r="L1327" t="s">
        <v>128</v>
      </c>
      <c r="N1327">
        <v>1</v>
      </c>
      <c r="O1327" s="89">
        <v>4253.8</v>
      </c>
      <c r="P1327" s="89">
        <v>47855.25</v>
      </c>
      <c r="Q1327" t="s">
        <v>142</v>
      </c>
      <c r="R1327" t="s">
        <v>131</v>
      </c>
    </row>
    <row r="1328" spans="3:18" hidden="1" x14ac:dyDescent="0.25">
      <c r="C1328" t="s">
        <v>45</v>
      </c>
      <c r="D1328" t="s">
        <v>21</v>
      </c>
      <c r="E1328" t="s">
        <v>40</v>
      </c>
      <c r="F1328" t="s">
        <v>53</v>
      </c>
      <c r="G1328" s="89">
        <v>108114</v>
      </c>
      <c r="H1328" t="s">
        <v>42</v>
      </c>
      <c r="I1328" t="s">
        <v>133</v>
      </c>
      <c r="J1328" s="89">
        <v>3135306</v>
      </c>
      <c r="K1328" t="s">
        <v>127</v>
      </c>
      <c r="L1328" t="s">
        <v>128</v>
      </c>
      <c r="M1328" t="s">
        <v>129</v>
      </c>
      <c r="N1328">
        <v>1</v>
      </c>
      <c r="O1328" s="89">
        <v>3243.42</v>
      </c>
      <c r="P1328" s="89">
        <v>49732.44</v>
      </c>
      <c r="Q1328" t="s">
        <v>142</v>
      </c>
      <c r="R1328" t="s">
        <v>42</v>
      </c>
    </row>
    <row r="1329" spans="3:18" x14ac:dyDescent="0.25">
      <c r="C1329" t="s">
        <v>47</v>
      </c>
      <c r="D1329" t="s">
        <v>24</v>
      </c>
      <c r="E1329" t="s">
        <v>48</v>
      </c>
      <c r="F1329" t="s">
        <v>41</v>
      </c>
      <c r="G1329" s="89">
        <v>444210</v>
      </c>
      <c r="H1329" t="s">
        <v>145</v>
      </c>
      <c r="I1329" t="s">
        <v>126</v>
      </c>
      <c r="J1329" s="89">
        <v>4886310</v>
      </c>
      <c r="K1329" t="s">
        <v>127</v>
      </c>
      <c r="L1329" t="s">
        <v>128</v>
      </c>
      <c r="N1329">
        <v>1</v>
      </c>
      <c r="O1329" s="89">
        <v>17768.400000000001</v>
      </c>
      <c r="P1329" s="89">
        <v>208778.7</v>
      </c>
      <c r="Q1329" t="s">
        <v>142</v>
      </c>
      <c r="R1329" t="s">
        <v>131</v>
      </c>
    </row>
    <row r="1330" spans="3:18" hidden="1" x14ac:dyDescent="0.25">
      <c r="C1330" t="s">
        <v>45</v>
      </c>
      <c r="D1330" t="s">
        <v>22</v>
      </c>
      <c r="E1330" t="s">
        <v>40</v>
      </c>
      <c r="F1330" t="s">
        <v>41</v>
      </c>
      <c r="G1330" s="89">
        <v>1104825</v>
      </c>
      <c r="H1330" t="s">
        <v>132</v>
      </c>
      <c r="I1330" t="s">
        <v>133</v>
      </c>
      <c r="J1330" s="89">
        <v>30935100</v>
      </c>
      <c r="K1330" t="s">
        <v>127</v>
      </c>
      <c r="L1330" t="s">
        <v>128</v>
      </c>
      <c r="N1330">
        <v>1</v>
      </c>
      <c r="O1330" s="89">
        <v>33144.75</v>
      </c>
      <c r="P1330" s="89">
        <v>1292645.25</v>
      </c>
      <c r="Q1330" t="s">
        <v>150</v>
      </c>
      <c r="R1330" t="s">
        <v>131</v>
      </c>
    </row>
    <row r="1331" spans="3:18" hidden="1" x14ac:dyDescent="0.25">
      <c r="C1331" t="s">
        <v>45</v>
      </c>
      <c r="D1331" t="s">
        <v>23</v>
      </c>
      <c r="E1331" t="s">
        <v>44</v>
      </c>
      <c r="F1331" t="s">
        <v>41</v>
      </c>
      <c r="G1331" s="89">
        <v>81858</v>
      </c>
      <c r="H1331" t="s">
        <v>42</v>
      </c>
      <c r="I1331" t="s">
        <v>133</v>
      </c>
      <c r="J1331" s="89">
        <v>2619456</v>
      </c>
      <c r="K1331" t="s">
        <v>127</v>
      </c>
      <c r="L1331" t="s">
        <v>128</v>
      </c>
      <c r="M1331" t="s">
        <v>152</v>
      </c>
      <c r="N1331">
        <v>1</v>
      </c>
      <c r="O1331" s="89">
        <v>2455.7399999999998</v>
      </c>
      <c r="P1331" s="89">
        <v>29468.880000000001</v>
      </c>
      <c r="Q1331" t="s">
        <v>130</v>
      </c>
      <c r="R1331" t="s">
        <v>131</v>
      </c>
    </row>
    <row r="1332" spans="3:18" hidden="1" x14ac:dyDescent="0.25">
      <c r="C1332" t="s">
        <v>45</v>
      </c>
      <c r="D1332" t="s">
        <v>22</v>
      </c>
      <c r="E1332" t="s">
        <v>52</v>
      </c>
      <c r="F1332" t="s">
        <v>41</v>
      </c>
      <c r="G1332" s="89">
        <v>44694</v>
      </c>
      <c r="H1332" t="s">
        <v>42</v>
      </c>
      <c r="I1332" t="s">
        <v>126</v>
      </c>
      <c r="J1332" s="89">
        <v>670410</v>
      </c>
      <c r="K1332" t="s">
        <v>144</v>
      </c>
      <c r="N1332">
        <v>1</v>
      </c>
      <c r="O1332" s="89">
        <v>1340.82</v>
      </c>
      <c r="P1332" s="89">
        <v>19218.419999999998</v>
      </c>
      <c r="Q1332" t="s">
        <v>142</v>
      </c>
      <c r="R1332" t="s">
        <v>42</v>
      </c>
    </row>
    <row r="1333" spans="3:18" hidden="1" x14ac:dyDescent="0.25">
      <c r="C1333" t="s">
        <v>45</v>
      </c>
      <c r="D1333" t="s">
        <v>20</v>
      </c>
      <c r="E1333" t="s">
        <v>43</v>
      </c>
      <c r="F1333" t="s">
        <v>41</v>
      </c>
      <c r="G1333" s="89">
        <v>1416649</v>
      </c>
      <c r="H1333" t="s">
        <v>145</v>
      </c>
      <c r="I1333" t="s">
        <v>133</v>
      </c>
      <c r="J1333" s="89">
        <v>42499470</v>
      </c>
      <c r="K1333" t="s">
        <v>144</v>
      </c>
      <c r="N1333">
        <v>1</v>
      </c>
      <c r="O1333" s="89">
        <v>42499.47</v>
      </c>
      <c r="P1333" s="89">
        <v>410828.21</v>
      </c>
      <c r="Q1333" t="s">
        <v>130</v>
      </c>
      <c r="R1333" t="s">
        <v>131</v>
      </c>
    </row>
    <row r="1334" spans="3:18" x14ac:dyDescent="0.25">
      <c r="C1334" t="s">
        <v>47</v>
      </c>
      <c r="D1334" t="s">
        <v>21</v>
      </c>
      <c r="E1334" t="s">
        <v>40</v>
      </c>
      <c r="F1334" t="s">
        <v>41</v>
      </c>
      <c r="G1334" s="89">
        <v>64054</v>
      </c>
      <c r="H1334" t="s">
        <v>145</v>
      </c>
      <c r="I1334" t="s">
        <v>147</v>
      </c>
      <c r="J1334" s="89">
        <v>128108</v>
      </c>
      <c r="K1334" t="s">
        <v>127</v>
      </c>
      <c r="L1334" t="s">
        <v>128</v>
      </c>
      <c r="N1334">
        <v>1</v>
      </c>
      <c r="O1334" s="89">
        <v>2562.16</v>
      </c>
      <c r="P1334" s="89">
        <v>61491.839999999997</v>
      </c>
      <c r="Q1334" t="s">
        <v>135</v>
      </c>
      <c r="R1334" t="s">
        <v>131</v>
      </c>
    </row>
    <row r="1335" spans="3:18" x14ac:dyDescent="0.25">
      <c r="C1335" t="s">
        <v>47</v>
      </c>
      <c r="D1335" t="s">
        <v>21</v>
      </c>
      <c r="E1335" t="s">
        <v>40</v>
      </c>
      <c r="F1335" t="s">
        <v>41</v>
      </c>
      <c r="G1335" s="89">
        <v>471200</v>
      </c>
      <c r="H1335" t="s">
        <v>145</v>
      </c>
      <c r="I1335" t="s">
        <v>126</v>
      </c>
      <c r="J1335" s="89">
        <v>5183200</v>
      </c>
      <c r="K1335" t="s">
        <v>144</v>
      </c>
      <c r="N1335">
        <v>1</v>
      </c>
      <c r="O1335" s="89">
        <v>18848</v>
      </c>
      <c r="P1335" s="89">
        <v>518320</v>
      </c>
      <c r="Q1335" t="s">
        <v>150</v>
      </c>
      <c r="R1335" t="s">
        <v>131</v>
      </c>
    </row>
    <row r="1336" spans="3:18" hidden="1" x14ac:dyDescent="0.25">
      <c r="C1336" t="s">
        <v>45</v>
      </c>
      <c r="D1336" t="s">
        <v>21</v>
      </c>
      <c r="E1336" t="s">
        <v>43</v>
      </c>
      <c r="F1336" t="s">
        <v>41</v>
      </c>
      <c r="G1336" s="89">
        <v>0</v>
      </c>
      <c r="H1336" t="s">
        <v>145</v>
      </c>
      <c r="I1336" t="s">
        <v>133</v>
      </c>
      <c r="J1336" s="89">
        <v>0</v>
      </c>
      <c r="K1336" t="s">
        <v>134</v>
      </c>
      <c r="L1336" t="s">
        <v>128</v>
      </c>
      <c r="N1336">
        <v>1</v>
      </c>
      <c r="O1336" s="89">
        <v>0</v>
      </c>
      <c r="P1336" s="89">
        <v>0</v>
      </c>
      <c r="Q1336" t="s">
        <v>150</v>
      </c>
      <c r="R1336" t="s">
        <v>131</v>
      </c>
    </row>
    <row r="1337" spans="3:18" hidden="1" x14ac:dyDescent="0.25">
      <c r="C1337" t="s">
        <v>45</v>
      </c>
      <c r="D1337" t="s">
        <v>22</v>
      </c>
      <c r="E1337" t="s">
        <v>40</v>
      </c>
      <c r="F1337" t="s">
        <v>53</v>
      </c>
      <c r="G1337" s="89">
        <v>438555</v>
      </c>
      <c r="H1337" t="s">
        <v>42</v>
      </c>
      <c r="I1337" t="s">
        <v>133</v>
      </c>
      <c r="J1337" s="89">
        <v>15787980</v>
      </c>
      <c r="K1337" t="s">
        <v>127</v>
      </c>
      <c r="L1337" t="s">
        <v>128</v>
      </c>
      <c r="M1337" t="s">
        <v>143</v>
      </c>
      <c r="N1337">
        <v>1</v>
      </c>
      <c r="O1337" s="89">
        <v>13156.65</v>
      </c>
      <c r="P1337" s="89">
        <v>368386.2</v>
      </c>
      <c r="Q1337" t="s">
        <v>135</v>
      </c>
      <c r="R1337" t="s">
        <v>131</v>
      </c>
    </row>
    <row r="1338" spans="3:18" hidden="1" x14ac:dyDescent="0.25">
      <c r="C1338" t="s">
        <v>45</v>
      </c>
      <c r="D1338" t="s">
        <v>22</v>
      </c>
      <c r="E1338" t="s">
        <v>43</v>
      </c>
      <c r="F1338" t="s">
        <v>41</v>
      </c>
      <c r="G1338" s="89">
        <v>3860552</v>
      </c>
      <c r="H1338" t="s">
        <v>140</v>
      </c>
      <c r="I1338" t="s">
        <v>147</v>
      </c>
      <c r="J1338" s="89">
        <v>11581656</v>
      </c>
      <c r="K1338" t="s">
        <v>127</v>
      </c>
      <c r="L1338" t="s">
        <v>128</v>
      </c>
      <c r="N1338">
        <v>1</v>
      </c>
      <c r="O1338" s="89">
        <v>115816.56</v>
      </c>
      <c r="P1338" s="89">
        <v>424660.72</v>
      </c>
      <c r="Q1338" t="s">
        <v>130</v>
      </c>
      <c r="R1338" t="s">
        <v>131</v>
      </c>
    </row>
    <row r="1339" spans="3:18" hidden="1" x14ac:dyDescent="0.25">
      <c r="C1339" t="s">
        <v>45</v>
      </c>
      <c r="D1339" t="s">
        <v>149</v>
      </c>
      <c r="E1339" t="s">
        <v>43</v>
      </c>
      <c r="F1339" t="s">
        <v>41</v>
      </c>
      <c r="G1339" s="89">
        <v>29477</v>
      </c>
      <c r="H1339" t="s">
        <v>42</v>
      </c>
      <c r="I1339" t="s">
        <v>147</v>
      </c>
      <c r="J1339" s="89">
        <v>29477</v>
      </c>
      <c r="K1339" t="s">
        <v>127</v>
      </c>
      <c r="L1339" t="s">
        <v>128</v>
      </c>
      <c r="M1339" t="s">
        <v>129</v>
      </c>
      <c r="N1339">
        <v>1</v>
      </c>
      <c r="O1339" s="89">
        <v>1179.08</v>
      </c>
      <c r="P1339" s="89">
        <v>3537.24</v>
      </c>
      <c r="Q1339" t="s">
        <v>130</v>
      </c>
      <c r="R1339" t="s">
        <v>131</v>
      </c>
    </row>
    <row r="1340" spans="3:18" x14ac:dyDescent="0.25">
      <c r="C1340" t="s">
        <v>47</v>
      </c>
      <c r="D1340" t="s">
        <v>138</v>
      </c>
      <c r="E1340" t="s">
        <v>40</v>
      </c>
      <c r="F1340" t="s">
        <v>41</v>
      </c>
      <c r="G1340" s="89">
        <v>11756076</v>
      </c>
      <c r="H1340" t="s">
        <v>42</v>
      </c>
      <c r="I1340" t="s">
        <v>126</v>
      </c>
      <c r="J1340" s="89">
        <v>141072912</v>
      </c>
      <c r="K1340" t="s">
        <v>127</v>
      </c>
      <c r="L1340" t="s">
        <v>128</v>
      </c>
      <c r="M1340" t="s">
        <v>139</v>
      </c>
      <c r="N1340">
        <v>1</v>
      </c>
      <c r="O1340" s="89">
        <v>470243.04</v>
      </c>
      <c r="P1340" s="89">
        <v>7523888.6399999997</v>
      </c>
      <c r="Q1340" t="s">
        <v>137</v>
      </c>
      <c r="R1340" t="s">
        <v>131</v>
      </c>
    </row>
    <row r="1341" spans="3:18" hidden="1" x14ac:dyDescent="0.25">
      <c r="C1341" t="s">
        <v>45</v>
      </c>
      <c r="D1341" t="s">
        <v>138</v>
      </c>
      <c r="E1341" t="s">
        <v>43</v>
      </c>
      <c r="F1341" t="s">
        <v>41</v>
      </c>
      <c r="G1341" s="89">
        <v>67168</v>
      </c>
      <c r="H1341" t="s">
        <v>42</v>
      </c>
      <c r="I1341" t="s">
        <v>126</v>
      </c>
      <c r="J1341" s="89">
        <v>738848</v>
      </c>
      <c r="K1341" t="s">
        <v>134</v>
      </c>
      <c r="L1341" t="s">
        <v>128</v>
      </c>
      <c r="M1341" t="s">
        <v>139</v>
      </c>
      <c r="N1341">
        <v>1</v>
      </c>
      <c r="O1341" s="89">
        <v>2015.04</v>
      </c>
      <c r="P1341" s="89">
        <v>28882.240000000002</v>
      </c>
      <c r="Q1341" t="s">
        <v>142</v>
      </c>
      <c r="R1341" t="s">
        <v>131</v>
      </c>
    </row>
    <row r="1342" spans="3:18" hidden="1" x14ac:dyDescent="0.25">
      <c r="C1342" t="s">
        <v>45</v>
      </c>
      <c r="D1342" t="s">
        <v>19</v>
      </c>
      <c r="E1342" t="s">
        <v>43</v>
      </c>
      <c r="F1342" t="s">
        <v>41</v>
      </c>
      <c r="G1342" s="89">
        <v>2918354</v>
      </c>
      <c r="I1342" t="s">
        <v>133</v>
      </c>
      <c r="J1342" s="89">
        <v>96305682</v>
      </c>
      <c r="K1342" t="s">
        <v>127</v>
      </c>
      <c r="L1342" t="s">
        <v>128</v>
      </c>
      <c r="N1342">
        <v>1</v>
      </c>
      <c r="O1342" s="89">
        <v>87550.62</v>
      </c>
      <c r="P1342" s="89">
        <v>2188765.5</v>
      </c>
      <c r="Q1342" t="s">
        <v>137</v>
      </c>
      <c r="R1342" t="s">
        <v>131</v>
      </c>
    </row>
    <row r="1343" spans="3:18" hidden="1" x14ac:dyDescent="0.25">
      <c r="C1343" t="s">
        <v>45</v>
      </c>
      <c r="D1343" t="s">
        <v>19</v>
      </c>
      <c r="E1343" t="s">
        <v>43</v>
      </c>
      <c r="F1343" t="s">
        <v>41</v>
      </c>
      <c r="G1343" s="89">
        <v>73013</v>
      </c>
      <c r="H1343" t="s">
        <v>42</v>
      </c>
      <c r="I1343" t="s">
        <v>133</v>
      </c>
      <c r="J1343" s="89">
        <v>2044364</v>
      </c>
      <c r="K1343" t="s">
        <v>127</v>
      </c>
      <c r="L1343" t="s">
        <v>128</v>
      </c>
      <c r="M1343" t="s">
        <v>129</v>
      </c>
      <c r="N1343">
        <v>1</v>
      </c>
      <c r="O1343" s="89">
        <v>2190.39</v>
      </c>
      <c r="P1343" s="89">
        <v>35776.370000000003</v>
      </c>
      <c r="Q1343" t="s">
        <v>142</v>
      </c>
      <c r="R1343" t="s">
        <v>42</v>
      </c>
    </row>
    <row r="1344" spans="3:18" hidden="1" x14ac:dyDescent="0.25">
      <c r="C1344" t="s">
        <v>45</v>
      </c>
      <c r="D1344" t="s">
        <v>19</v>
      </c>
      <c r="E1344" t="s">
        <v>43</v>
      </c>
      <c r="F1344" t="s">
        <v>41</v>
      </c>
      <c r="G1344" s="89">
        <v>5188060</v>
      </c>
      <c r="H1344" t="s">
        <v>145</v>
      </c>
      <c r="I1344" t="s">
        <v>126</v>
      </c>
      <c r="J1344" s="89">
        <v>72632840</v>
      </c>
      <c r="K1344" t="s">
        <v>127</v>
      </c>
      <c r="L1344" t="s">
        <v>128</v>
      </c>
      <c r="N1344">
        <v>1</v>
      </c>
      <c r="O1344" s="89">
        <v>155641.79999999999</v>
      </c>
      <c r="P1344" s="89">
        <v>1348895.6</v>
      </c>
      <c r="Q1344" t="s">
        <v>130</v>
      </c>
      <c r="R1344" t="s">
        <v>131</v>
      </c>
    </row>
    <row r="1345" spans="3:18" hidden="1" x14ac:dyDescent="0.25">
      <c r="C1345" t="s">
        <v>45</v>
      </c>
      <c r="D1345" t="s">
        <v>22</v>
      </c>
      <c r="E1345" t="s">
        <v>48</v>
      </c>
      <c r="F1345" t="s">
        <v>41</v>
      </c>
      <c r="G1345" s="89">
        <v>751488</v>
      </c>
      <c r="H1345" t="s">
        <v>42</v>
      </c>
      <c r="I1345" t="s">
        <v>133</v>
      </c>
      <c r="J1345" s="89">
        <v>24047616</v>
      </c>
      <c r="K1345" t="s">
        <v>144</v>
      </c>
      <c r="N1345">
        <v>1</v>
      </c>
      <c r="O1345" s="89">
        <v>22544.639999999999</v>
      </c>
      <c r="P1345" s="89">
        <v>526041.59999999998</v>
      </c>
      <c r="Q1345" t="s">
        <v>137</v>
      </c>
      <c r="R1345" t="s">
        <v>131</v>
      </c>
    </row>
    <row r="1346" spans="3:18" hidden="1" x14ac:dyDescent="0.25">
      <c r="C1346" t="s">
        <v>45</v>
      </c>
      <c r="D1346" t="s">
        <v>138</v>
      </c>
      <c r="E1346" t="s">
        <v>48</v>
      </c>
      <c r="F1346" t="s">
        <v>41</v>
      </c>
      <c r="G1346" s="89">
        <v>538046</v>
      </c>
      <c r="H1346" t="s">
        <v>42</v>
      </c>
      <c r="I1346" t="s">
        <v>133</v>
      </c>
      <c r="J1346" s="89">
        <v>18293564</v>
      </c>
      <c r="K1346" t="s">
        <v>144</v>
      </c>
      <c r="N1346">
        <v>1</v>
      </c>
      <c r="O1346" s="89">
        <v>16141.38</v>
      </c>
      <c r="P1346" s="89">
        <v>408914.96</v>
      </c>
      <c r="Q1346" t="s">
        <v>137</v>
      </c>
      <c r="R1346" t="s">
        <v>42</v>
      </c>
    </row>
    <row r="1347" spans="3:18" hidden="1" x14ac:dyDescent="0.25">
      <c r="C1347" t="s">
        <v>45</v>
      </c>
      <c r="D1347" t="s">
        <v>25</v>
      </c>
      <c r="E1347" t="s">
        <v>48</v>
      </c>
      <c r="F1347" t="s">
        <v>41</v>
      </c>
      <c r="G1347" s="89">
        <v>258932</v>
      </c>
      <c r="H1347" t="s">
        <v>42</v>
      </c>
      <c r="I1347" t="s">
        <v>133</v>
      </c>
      <c r="J1347" s="89">
        <v>9062620</v>
      </c>
      <c r="K1347" t="s">
        <v>127</v>
      </c>
      <c r="L1347" t="s">
        <v>128</v>
      </c>
      <c r="M1347" t="s">
        <v>155</v>
      </c>
      <c r="N1347">
        <v>1</v>
      </c>
      <c r="O1347" s="89">
        <v>7767.96</v>
      </c>
      <c r="P1347" s="89">
        <v>181252.4</v>
      </c>
      <c r="Q1347" t="s">
        <v>137</v>
      </c>
      <c r="R1347" t="s">
        <v>131</v>
      </c>
    </row>
    <row r="1348" spans="3:18" hidden="1" x14ac:dyDescent="0.25">
      <c r="C1348" t="s">
        <v>45</v>
      </c>
      <c r="D1348" t="s">
        <v>23</v>
      </c>
      <c r="E1348" t="s">
        <v>40</v>
      </c>
      <c r="F1348" t="s">
        <v>41</v>
      </c>
      <c r="G1348" s="89">
        <v>19485903</v>
      </c>
      <c r="H1348" t="s">
        <v>132</v>
      </c>
      <c r="I1348" t="s">
        <v>126</v>
      </c>
      <c r="J1348" s="89">
        <v>272802642</v>
      </c>
      <c r="K1348" t="s">
        <v>127</v>
      </c>
      <c r="L1348" t="s">
        <v>128</v>
      </c>
      <c r="N1348">
        <v>1</v>
      </c>
      <c r="O1348" s="89">
        <v>584577.09</v>
      </c>
      <c r="P1348" s="89">
        <v>5456052.8399999999</v>
      </c>
      <c r="Q1348" t="s">
        <v>130</v>
      </c>
      <c r="R1348" t="s">
        <v>131</v>
      </c>
    </row>
    <row r="1349" spans="3:18" x14ac:dyDescent="0.25">
      <c r="C1349" t="s">
        <v>47</v>
      </c>
      <c r="D1349" t="s">
        <v>23</v>
      </c>
      <c r="E1349" t="s">
        <v>43</v>
      </c>
      <c r="F1349" t="s">
        <v>41</v>
      </c>
      <c r="G1349" s="89">
        <v>3470513</v>
      </c>
      <c r="H1349" t="s">
        <v>146</v>
      </c>
      <c r="I1349" t="s">
        <v>141</v>
      </c>
      <c r="J1349" s="89">
        <v>27764104</v>
      </c>
      <c r="K1349" t="s">
        <v>127</v>
      </c>
      <c r="L1349" t="s">
        <v>128</v>
      </c>
      <c r="N1349">
        <v>1</v>
      </c>
      <c r="O1349" s="89">
        <v>173525.65</v>
      </c>
      <c r="P1349" s="89">
        <v>242935.91</v>
      </c>
      <c r="Q1349" t="s">
        <v>130</v>
      </c>
      <c r="R1349" t="s">
        <v>131</v>
      </c>
    </row>
    <row r="1350" spans="3:18" hidden="1" x14ac:dyDescent="0.25">
      <c r="C1350" t="s">
        <v>45</v>
      </c>
      <c r="D1350" t="s">
        <v>22</v>
      </c>
      <c r="E1350" t="s">
        <v>40</v>
      </c>
      <c r="F1350" t="s">
        <v>41</v>
      </c>
      <c r="G1350" s="89">
        <v>405682</v>
      </c>
      <c r="H1350" t="s">
        <v>42</v>
      </c>
      <c r="I1350" t="s">
        <v>133</v>
      </c>
      <c r="J1350" s="89">
        <v>12576142</v>
      </c>
      <c r="K1350" t="s">
        <v>127</v>
      </c>
      <c r="L1350" t="s">
        <v>128</v>
      </c>
      <c r="M1350" t="s">
        <v>129</v>
      </c>
      <c r="N1350">
        <v>1</v>
      </c>
      <c r="O1350" s="89">
        <v>12170.46</v>
      </c>
      <c r="P1350" s="89">
        <v>89250.04</v>
      </c>
      <c r="Q1350" t="s">
        <v>130</v>
      </c>
      <c r="R1350" t="s">
        <v>131</v>
      </c>
    </row>
    <row r="1351" spans="3:18" hidden="1" x14ac:dyDescent="0.25">
      <c r="C1351" t="s">
        <v>45</v>
      </c>
      <c r="D1351" t="s">
        <v>19</v>
      </c>
      <c r="E1351" t="s">
        <v>43</v>
      </c>
      <c r="F1351" t="s">
        <v>41</v>
      </c>
      <c r="G1351" s="89">
        <v>167582</v>
      </c>
      <c r="H1351" t="s">
        <v>146</v>
      </c>
      <c r="I1351" t="s">
        <v>133</v>
      </c>
      <c r="J1351" s="89">
        <v>6200534</v>
      </c>
      <c r="K1351" t="s">
        <v>134</v>
      </c>
      <c r="L1351" t="s">
        <v>128</v>
      </c>
      <c r="N1351">
        <v>1</v>
      </c>
      <c r="O1351" s="89">
        <v>5027.46</v>
      </c>
      <c r="P1351" s="89">
        <v>187691.84</v>
      </c>
      <c r="Q1351" t="s">
        <v>150</v>
      </c>
      <c r="R1351" t="s">
        <v>131</v>
      </c>
    </row>
    <row r="1352" spans="3:18" hidden="1" x14ac:dyDescent="0.25">
      <c r="C1352" t="s">
        <v>45</v>
      </c>
      <c r="D1352" t="s">
        <v>22</v>
      </c>
      <c r="E1352" t="s">
        <v>40</v>
      </c>
      <c r="F1352" t="s">
        <v>41</v>
      </c>
      <c r="G1352" s="89">
        <v>23461</v>
      </c>
      <c r="H1352" t="s">
        <v>42</v>
      </c>
      <c r="I1352" t="s">
        <v>147</v>
      </c>
      <c r="J1352" s="89"/>
      <c r="K1352" t="s">
        <v>127</v>
      </c>
      <c r="L1352" t="s">
        <v>128</v>
      </c>
      <c r="M1352" t="s">
        <v>143</v>
      </c>
      <c r="N1352">
        <v>0</v>
      </c>
      <c r="O1352" s="89">
        <v>938.44</v>
      </c>
      <c r="P1352" s="89">
        <v>0</v>
      </c>
      <c r="Q1352" t="s">
        <v>130</v>
      </c>
      <c r="R1352" t="s">
        <v>131</v>
      </c>
    </row>
    <row r="1353" spans="3:18" hidden="1" x14ac:dyDescent="0.25">
      <c r="C1353" t="s">
        <v>45</v>
      </c>
      <c r="D1353" t="s">
        <v>21</v>
      </c>
      <c r="E1353" t="s">
        <v>43</v>
      </c>
      <c r="F1353" t="s">
        <v>41</v>
      </c>
      <c r="G1353" s="89">
        <v>30545939</v>
      </c>
      <c r="H1353" t="s">
        <v>132</v>
      </c>
      <c r="I1353" t="s">
        <v>133</v>
      </c>
      <c r="J1353" s="89">
        <v>885832231</v>
      </c>
      <c r="K1353" t="s">
        <v>127</v>
      </c>
      <c r="L1353" t="s">
        <v>128</v>
      </c>
      <c r="N1353">
        <v>1</v>
      </c>
      <c r="O1353" s="89">
        <v>916378.17</v>
      </c>
      <c r="P1353" s="89">
        <v>25964048.149999999</v>
      </c>
      <c r="Q1353" t="s">
        <v>135</v>
      </c>
      <c r="R1353" t="s">
        <v>131</v>
      </c>
    </row>
    <row r="1354" spans="3:18" hidden="1" x14ac:dyDescent="0.25">
      <c r="C1354" t="s">
        <v>45</v>
      </c>
      <c r="D1354" t="s">
        <v>20</v>
      </c>
      <c r="E1354" t="s">
        <v>43</v>
      </c>
      <c r="F1354" t="s">
        <v>41</v>
      </c>
      <c r="G1354" s="89">
        <v>120535</v>
      </c>
      <c r="H1354" t="s">
        <v>145</v>
      </c>
      <c r="I1354" t="s">
        <v>133</v>
      </c>
      <c r="J1354" s="89">
        <v>3857120</v>
      </c>
      <c r="K1354" t="s">
        <v>127</v>
      </c>
      <c r="L1354" t="s">
        <v>128</v>
      </c>
      <c r="N1354">
        <v>1</v>
      </c>
      <c r="O1354" s="89">
        <v>3616.05</v>
      </c>
      <c r="P1354" s="89">
        <v>180802.5</v>
      </c>
      <c r="Q1354" t="s">
        <v>150</v>
      </c>
      <c r="R1354" t="s">
        <v>131</v>
      </c>
    </row>
    <row r="1355" spans="3:18" hidden="1" x14ac:dyDescent="0.25">
      <c r="C1355" t="s">
        <v>45</v>
      </c>
      <c r="D1355" t="s">
        <v>24</v>
      </c>
      <c r="E1355" t="s">
        <v>48</v>
      </c>
      <c r="F1355" t="s">
        <v>41</v>
      </c>
      <c r="G1355" s="89">
        <v>708280</v>
      </c>
      <c r="H1355" t="s">
        <v>145</v>
      </c>
      <c r="I1355" t="s">
        <v>141</v>
      </c>
      <c r="J1355" s="89">
        <v>5666240</v>
      </c>
      <c r="K1355" t="s">
        <v>127</v>
      </c>
      <c r="L1355" t="s">
        <v>128</v>
      </c>
      <c r="N1355">
        <v>1</v>
      </c>
      <c r="O1355" s="89">
        <v>21248.400000000001</v>
      </c>
      <c r="P1355" s="89">
        <v>332891.59999999998</v>
      </c>
      <c r="Q1355" t="s">
        <v>142</v>
      </c>
      <c r="R1355" t="s">
        <v>131</v>
      </c>
    </row>
    <row r="1356" spans="3:18" hidden="1" x14ac:dyDescent="0.25">
      <c r="C1356" t="s">
        <v>45</v>
      </c>
      <c r="D1356" t="s">
        <v>50</v>
      </c>
      <c r="E1356" t="s">
        <v>50</v>
      </c>
      <c r="F1356" t="s">
        <v>41</v>
      </c>
      <c r="G1356" s="89">
        <v>18279</v>
      </c>
      <c r="H1356" t="s">
        <v>51</v>
      </c>
      <c r="I1356" t="s">
        <v>141</v>
      </c>
      <c r="J1356" s="89">
        <v>146232</v>
      </c>
      <c r="K1356" t="s">
        <v>127</v>
      </c>
      <c r="N1356">
        <v>1</v>
      </c>
      <c r="O1356" s="89">
        <v>548.37</v>
      </c>
      <c r="P1356" s="89">
        <v>1827.9</v>
      </c>
      <c r="Q1356" t="s">
        <v>130</v>
      </c>
    </row>
    <row r="1357" spans="3:18" hidden="1" x14ac:dyDescent="0.25">
      <c r="C1357" t="s">
        <v>45</v>
      </c>
      <c r="D1357" t="s">
        <v>138</v>
      </c>
      <c r="E1357" t="s">
        <v>48</v>
      </c>
      <c r="F1357" t="s">
        <v>41</v>
      </c>
      <c r="G1357" s="89">
        <v>138719</v>
      </c>
      <c r="H1357" t="s">
        <v>42</v>
      </c>
      <c r="I1357" t="s">
        <v>126</v>
      </c>
      <c r="J1357" s="89">
        <v>1803347</v>
      </c>
      <c r="K1357" t="s">
        <v>127</v>
      </c>
      <c r="L1357" t="s">
        <v>128</v>
      </c>
      <c r="M1357" t="s">
        <v>139</v>
      </c>
      <c r="N1357">
        <v>1</v>
      </c>
      <c r="O1357" s="89">
        <v>4161.57</v>
      </c>
      <c r="P1357" s="89">
        <v>91554.54</v>
      </c>
      <c r="Q1357" t="s">
        <v>137</v>
      </c>
      <c r="R1357" t="s">
        <v>131</v>
      </c>
    </row>
    <row r="1358" spans="3:18" hidden="1" x14ac:dyDescent="0.25">
      <c r="C1358" t="s">
        <v>45</v>
      </c>
      <c r="D1358" t="s">
        <v>22</v>
      </c>
      <c r="E1358" t="s">
        <v>43</v>
      </c>
      <c r="F1358" t="s">
        <v>41</v>
      </c>
      <c r="G1358" s="89">
        <v>1856170</v>
      </c>
      <c r="H1358" t="s">
        <v>145</v>
      </c>
      <c r="I1358" t="s">
        <v>133</v>
      </c>
      <c r="J1358" s="89">
        <v>55685100</v>
      </c>
      <c r="K1358" t="s">
        <v>127</v>
      </c>
      <c r="L1358" t="s">
        <v>128</v>
      </c>
      <c r="N1358">
        <v>1</v>
      </c>
      <c r="O1358" s="89">
        <v>55685.1</v>
      </c>
      <c r="P1358" s="89">
        <v>1540621.1</v>
      </c>
      <c r="Q1358" t="s">
        <v>135</v>
      </c>
      <c r="R1358" t="s">
        <v>131</v>
      </c>
    </row>
    <row r="1359" spans="3:18" hidden="1" x14ac:dyDescent="0.25">
      <c r="C1359" t="s">
        <v>45</v>
      </c>
      <c r="D1359" t="s">
        <v>21</v>
      </c>
      <c r="E1359" t="s">
        <v>43</v>
      </c>
      <c r="F1359" t="s">
        <v>41</v>
      </c>
      <c r="G1359" s="89">
        <v>103437</v>
      </c>
      <c r="H1359" t="s">
        <v>140</v>
      </c>
      <c r="I1359" t="s">
        <v>147</v>
      </c>
      <c r="J1359" s="89">
        <v>103437</v>
      </c>
      <c r="K1359" t="s">
        <v>134</v>
      </c>
      <c r="N1359">
        <v>1</v>
      </c>
      <c r="O1359" s="89">
        <v>3103.11</v>
      </c>
      <c r="P1359" s="89">
        <v>37237.32</v>
      </c>
      <c r="Q1359" t="s">
        <v>130</v>
      </c>
      <c r="R1359" t="s">
        <v>131</v>
      </c>
    </row>
    <row r="1360" spans="3:18" hidden="1" x14ac:dyDescent="0.25">
      <c r="C1360" t="s">
        <v>45</v>
      </c>
      <c r="D1360" t="s">
        <v>22</v>
      </c>
      <c r="E1360" t="s">
        <v>43</v>
      </c>
      <c r="F1360" t="s">
        <v>41</v>
      </c>
      <c r="G1360" s="89">
        <v>49784</v>
      </c>
      <c r="H1360" t="s">
        <v>132</v>
      </c>
      <c r="I1360" t="s">
        <v>126</v>
      </c>
      <c r="J1360" s="89">
        <v>995680</v>
      </c>
      <c r="K1360" t="s">
        <v>144</v>
      </c>
      <c r="N1360">
        <v>1</v>
      </c>
      <c r="O1360" s="89">
        <v>1493.52</v>
      </c>
      <c r="P1360" s="89">
        <v>24892</v>
      </c>
      <c r="Q1360" t="s">
        <v>142</v>
      </c>
      <c r="R1360" t="s">
        <v>131</v>
      </c>
    </row>
    <row r="1361" spans="3:18" x14ac:dyDescent="0.25">
      <c r="C1361" t="s">
        <v>47</v>
      </c>
      <c r="D1361" t="s">
        <v>20</v>
      </c>
      <c r="E1361" t="s">
        <v>43</v>
      </c>
      <c r="F1361" t="s">
        <v>41</v>
      </c>
      <c r="G1361" s="89">
        <v>1390206</v>
      </c>
      <c r="H1361" t="s">
        <v>42</v>
      </c>
      <c r="I1361" t="s">
        <v>141</v>
      </c>
      <c r="J1361" s="89">
        <v>9731442</v>
      </c>
      <c r="K1361" t="s">
        <v>127</v>
      </c>
      <c r="L1361" t="s">
        <v>128</v>
      </c>
      <c r="M1361" t="s">
        <v>139</v>
      </c>
      <c r="N1361">
        <v>1</v>
      </c>
      <c r="O1361" s="89">
        <v>41706.18</v>
      </c>
      <c r="P1361" s="89">
        <v>389257.68</v>
      </c>
      <c r="Q1361" t="s">
        <v>130</v>
      </c>
      <c r="R1361" t="s">
        <v>42</v>
      </c>
    </row>
    <row r="1362" spans="3:18" hidden="1" x14ac:dyDescent="0.25">
      <c r="C1362" t="s">
        <v>45</v>
      </c>
      <c r="D1362" t="s">
        <v>22</v>
      </c>
      <c r="E1362" t="s">
        <v>40</v>
      </c>
      <c r="F1362" t="s">
        <v>41</v>
      </c>
      <c r="G1362" s="89">
        <v>998971</v>
      </c>
      <c r="H1362" t="s">
        <v>42</v>
      </c>
      <c r="I1362" t="s">
        <v>126</v>
      </c>
      <c r="J1362" s="89">
        <v>15983536</v>
      </c>
      <c r="K1362" t="s">
        <v>144</v>
      </c>
      <c r="N1362">
        <v>1</v>
      </c>
      <c r="O1362" s="89">
        <v>29969.13</v>
      </c>
      <c r="P1362" s="89">
        <v>459526.66</v>
      </c>
      <c r="Q1362" t="s">
        <v>142</v>
      </c>
      <c r="R1362" t="s">
        <v>131</v>
      </c>
    </row>
    <row r="1363" spans="3:18" hidden="1" x14ac:dyDescent="0.25">
      <c r="C1363" t="s">
        <v>45</v>
      </c>
      <c r="D1363" t="s">
        <v>22</v>
      </c>
      <c r="E1363" t="s">
        <v>40</v>
      </c>
      <c r="F1363" t="s">
        <v>41</v>
      </c>
      <c r="G1363" s="89">
        <v>372782</v>
      </c>
      <c r="H1363" t="s">
        <v>140</v>
      </c>
      <c r="I1363" t="s">
        <v>133</v>
      </c>
      <c r="J1363" s="89">
        <v>12674588</v>
      </c>
      <c r="K1363" t="s">
        <v>144</v>
      </c>
      <c r="N1363">
        <v>1</v>
      </c>
      <c r="O1363" s="89">
        <v>7455.64</v>
      </c>
      <c r="P1363" s="89">
        <v>413788.02</v>
      </c>
      <c r="Q1363" t="s">
        <v>150</v>
      </c>
      <c r="R1363" t="s">
        <v>131</v>
      </c>
    </row>
    <row r="1364" spans="3:18" x14ac:dyDescent="0.25">
      <c r="C1364" t="s">
        <v>47</v>
      </c>
      <c r="D1364" t="s">
        <v>25</v>
      </c>
      <c r="E1364" t="s">
        <v>48</v>
      </c>
      <c r="F1364" t="s">
        <v>41</v>
      </c>
      <c r="G1364" s="89">
        <v>227776</v>
      </c>
      <c r="H1364" t="s">
        <v>140</v>
      </c>
      <c r="I1364" t="s">
        <v>126</v>
      </c>
      <c r="J1364" s="89">
        <v>2733312</v>
      </c>
      <c r="K1364" t="s">
        <v>127</v>
      </c>
      <c r="L1364" t="s">
        <v>128</v>
      </c>
      <c r="N1364">
        <v>1</v>
      </c>
      <c r="O1364" s="89">
        <v>9111.0400000000009</v>
      </c>
      <c r="P1364" s="89">
        <v>136665.60000000001</v>
      </c>
      <c r="Q1364" t="s">
        <v>137</v>
      </c>
      <c r="R1364" t="s">
        <v>131</v>
      </c>
    </row>
    <row r="1365" spans="3:18" hidden="1" x14ac:dyDescent="0.25">
      <c r="C1365" t="s">
        <v>45</v>
      </c>
      <c r="D1365" t="s">
        <v>22</v>
      </c>
      <c r="E1365" t="s">
        <v>52</v>
      </c>
      <c r="F1365" t="s">
        <v>41</v>
      </c>
      <c r="G1365" s="89">
        <v>3101654</v>
      </c>
      <c r="H1365" t="s">
        <v>42</v>
      </c>
      <c r="I1365" t="s">
        <v>133</v>
      </c>
      <c r="J1365" s="89">
        <v>117862852</v>
      </c>
      <c r="K1365" t="s">
        <v>144</v>
      </c>
      <c r="N1365">
        <v>1</v>
      </c>
      <c r="O1365" s="89">
        <v>93049.62</v>
      </c>
      <c r="P1365" s="89">
        <v>2729455.52</v>
      </c>
      <c r="Q1365" t="s">
        <v>135</v>
      </c>
      <c r="R1365" t="s">
        <v>42</v>
      </c>
    </row>
    <row r="1366" spans="3:18" hidden="1" x14ac:dyDescent="0.25">
      <c r="C1366" t="s">
        <v>45</v>
      </c>
      <c r="D1366" t="s">
        <v>19</v>
      </c>
      <c r="E1366" t="s">
        <v>43</v>
      </c>
      <c r="F1366" t="s">
        <v>41</v>
      </c>
      <c r="G1366" s="89">
        <v>162780</v>
      </c>
      <c r="H1366" t="s">
        <v>42</v>
      </c>
      <c r="I1366" t="s">
        <v>133</v>
      </c>
      <c r="J1366" s="89">
        <v>6022860</v>
      </c>
      <c r="K1366" t="s">
        <v>134</v>
      </c>
      <c r="L1366" t="s">
        <v>128</v>
      </c>
      <c r="M1366" t="s">
        <v>136</v>
      </c>
      <c r="N1366">
        <v>1</v>
      </c>
      <c r="O1366" s="89">
        <v>4883.3999999999996</v>
      </c>
      <c r="P1366" s="89">
        <v>76506.600000000006</v>
      </c>
      <c r="Q1366" t="s">
        <v>142</v>
      </c>
      <c r="R1366" t="s">
        <v>42</v>
      </c>
    </row>
    <row r="1367" spans="3:18" hidden="1" x14ac:dyDescent="0.25">
      <c r="C1367" t="s">
        <v>45</v>
      </c>
      <c r="D1367" t="s">
        <v>138</v>
      </c>
      <c r="E1367" t="s">
        <v>43</v>
      </c>
      <c r="F1367" t="s">
        <v>41</v>
      </c>
      <c r="G1367" s="89">
        <v>39595142</v>
      </c>
      <c r="H1367" t="s">
        <v>140</v>
      </c>
      <c r="I1367" t="s">
        <v>133</v>
      </c>
      <c r="J1367" s="89">
        <v>1108663976</v>
      </c>
      <c r="K1367" t="s">
        <v>127</v>
      </c>
      <c r="L1367" t="s">
        <v>128</v>
      </c>
      <c r="N1367">
        <v>1</v>
      </c>
      <c r="O1367" s="89">
        <v>1187854.26</v>
      </c>
      <c r="P1367" s="89">
        <v>27320647.98</v>
      </c>
      <c r="Q1367" t="s">
        <v>137</v>
      </c>
      <c r="R1367" t="s">
        <v>131</v>
      </c>
    </row>
    <row r="1368" spans="3:18" x14ac:dyDescent="0.25">
      <c r="C1368" t="s">
        <v>47</v>
      </c>
      <c r="D1368" t="s">
        <v>21</v>
      </c>
      <c r="E1368" t="s">
        <v>48</v>
      </c>
      <c r="F1368" t="s">
        <v>41</v>
      </c>
      <c r="G1368" s="89">
        <v>104424</v>
      </c>
      <c r="H1368" t="s">
        <v>42</v>
      </c>
      <c r="I1368" t="s">
        <v>126</v>
      </c>
      <c r="J1368" s="89">
        <v>1148664</v>
      </c>
      <c r="K1368" t="s">
        <v>127</v>
      </c>
      <c r="L1368" t="s">
        <v>128</v>
      </c>
      <c r="M1368" t="s">
        <v>129</v>
      </c>
      <c r="N1368">
        <v>1</v>
      </c>
      <c r="O1368" s="89">
        <v>4176.96</v>
      </c>
      <c r="P1368" s="89">
        <v>56388.959999999999</v>
      </c>
      <c r="Q1368" t="s">
        <v>142</v>
      </c>
      <c r="R1368" t="s">
        <v>131</v>
      </c>
    </row>
    <row r="1369" spans="3:18" x14ac:dyDescent="0.25">
      <c r="C1369" t="s">
        <v>47</v>
      </c>
      <c r="D1369" t="s">
        <v>138</v>
      </c>
      <c r="E1369" t="s">
        <v>40</v>
      </c>
      <c r="F1369" t="s">
        <v>41</v>
      </c>
      <c r="G1369" s="89">
        <v>17247517</v>
      </c>
      <c r="H1369" t="s">
        <v>140</v>
      </c>
      <c r="I1369" t="s">
        <v>126</v>
      </c>
      <c r="J1369" s="89">
        <v>189722687</v>
      </c>
      <c r="K1369" t="s">
        <v>127</v>
      </c>
      <c r="L1369" t="s">
        <v>128</v>
      </c>
      <c r="N1369">
        <v>1</v>
      </c>
      <c r="O1369" s="89">
        <v>689900.68</v>
      </c>
      <c r="P1369" s="89">
        <v>8623758.5</v>
      </c>
      <c r="Q1369" t="s">
        <v>142</v>
      </c>
      <c r="R1369" t="s">
        <v>131</v>
      </c>
    </row>
    <row r="1370" spans="3:18" hidden="1" x14ac:dyDescent="0.25">
      <c r="C1370" t="s">
        <v>45</v>
      </c>
      <c r="D1370" t="s">
        <v>22</v>
      </c>
      <c r="E1370" t="s">
        <v>40</v>
      </c>
      <c r="F1370" t="s">
        <v>41</v>
      </c>
      <c r="G1370" s="89">
        <v>28956166</v>
      </c>
      <c r="H1370" t="s">
        <v>42</v>
      </c>
      <c r="I1370" t="s">
        <v>133</v>
      </c>
      <c r="J1370" s="89">
        <v>926597312</v>
      </c>
      <c r="K1370" t="s">
        <v>144</v>
      </c>
      <c r="N1370">
        <v>1</v>
      </c>
      <c r="O1370" s="89">
        <v>868684.98</v>
      </c>
      <c r="P1370" s="89">
        <v>20558877.859999999</v>
      </c>
      <c r="Q1370" t="s">
        <v>137</v>
      </c>
      <c r="R1370" t="s">
        <v>131</v>
      </c>
    </row>
    <row r="1371" spans="3:18" x14ac:dyDescent="0.25">
      <c r="C1371" t="s">
        <v>47</v>
      </c>
      <c r="D1371" t="s">
        <v>19</v>
      </c>
      <c r="E1371" t="s">
        <v>43</v>
      </c>
      <c r="F1371" t="s">
        <v>41</v>
      </c>
      <c r="G1371" s="89">
        <v>684339</v>
      </c>
      <c r="H1371" t="s">
        <v>154</v>
      </c>
      <c r="I1371" t="s">
        <v>141</v>
      </c>
      <c r="J1371" s="89">
        <v>5474712</v>
      </c>
      <c r="K1371" t="s">
        <v>127</v>
      </c>
      <c r="L1371" t="s">
        <v>128</v>
      </c>
      <c r="N1371">
        <v>1</v>
      </c>
      <c r="O1371" s="89">
        <v>20530.169999999998</v>
      </c>
      <c r="P1371" s="89">
        <v>13686.78</v>
      </c>
      <c r="Q1371" t="s">
        <v>130</v>
      </c>
      <c r="R1371" t="s">
        <v>131</v>
      </c>
    </row>
    <row r="1372" spans="3:18" hidden="1" x14ac:dyDescent="0.25">
      <c r="C1372" t="s">
        <v>45</v>
      </c>
      <c r="D1372" t="s">
        <v>22</v>
      </c>
      <c r="E1372" t="s">
        <v>40</v>
      </c>
      <c r="F1372" t="s">
        <v>41</v>
      </c>
      <c r="G1372" s="89">
        <v>4645335</v>
      </c>
      <c r="H1372" t="s">
        <v>140</v>
      </c>
      <c r="I1372" t="s">
        <v>147</v>
      </c>
      <c r="J1372" s="89">
        <v>4645335</v>
      </c>
      <c r="K1372" t="s">
        <v>134</v>
      </c>
      <c r="L1372" t="s">
        <v>128</v>
      </c>
      <c r="N1372">
        <v>1</v>
      </c>
      <c r="O1372" s="89">
        <v>139360.04999999999</v>
      </c>
      <c r="P1372" s="89">
        <v>696800.25</v>
      </c>
      <c r="Q1372" t="s">
        <v>130</v>
      </c>
      <c r="R1372" t="s">
        <v>131</v>
      </c>
    </row>
    <row r="1373" spans="3:18" x14ac:dyDescent="0.25">
      <c r="C1373" t="s">
        <v>47</v>
      </c>
      <c r="D1373" t="s">
        <v>21</v>
      </c>
      <c r="E1373" t="s">
        <v>43</v>
      </c>
      <c r="F1373" t="s">
        <v>41</v>
      </c>
      <c r="G1373" s="89">
        <v>6392645</v>
      </c>
      <c r="H1373" t="s">
        <v>146</v>
      </c>
      <c r="I1373" t="s">
        <v>141</v>
      </c>
      <c r="J1373" s="89">
        <v>44748515</v>
      </c>
      <c r="K1373" t="s">
        <v>127</v>
      </c>
      <c r="L1373" t="s">
        <v>128</v>
      </c>
      <c r="N1373">
        <v>1</v>
      </c>
      <c r="O1373" s="89">
        <v>255705.8</v>
      </c>
      <c r="P1373" s="89">
        <v>1278529</v>
      </c>
      <c r="Q1373" t="s">
        <v>130</v>
      </c>
      <c r="R1373" t="s">
        <v>131</v>
      </c>
    </row>
    <row r="1374" spans="3:18" hidden="1" x14ac:dyDescent="0.25">
      <c r="C1374" t="s">
        <v>45</v>
      </c>
      <c r="D1374" t="s">
        <v>149</v>
      </c>
      <c r="E1374" t="s">
        <v>44</v>
      </c>
      <c r="F1374" t="s">
        <v>41</v>
      </c>
      <c r="G1374" s="89">
        <v>83573</v>
      </c>
      <c r="H1374" t="s">
        <v>42</v>
      </c>
      <c r="I1374" t="s">
        <v>133</v>
      </c>
      <c r="J1374" s="89">
        <v>1838606</v>
      </c>
      <c r="K1374" t="s">
        <v>134</v>
      </c>
      <c r="L1374" t="s">
        <v>128</v>
      </c>
      <c r="M1374" t="s">
        <v>136</v>
      </c>
      <c r="N1374">
        <v>1</v>
      </c>
      <c r="O1374" s="89">
        <v>2507.19</v>
      </c>
      <c r="P1374" s="89">
        <v>45965.15</v>
      </c>
      <c r="Q1374" t="s">
        <v>142</v>
      </c>
      <c r="R1374" t="s">
        <v>131</v>
      </c>
    </row>
    <row r="1375" spans="3:18" hidden="1" x14ac:dyDescent="0.25">
      <c r="C1375" t="s">
        <v>45</v>
      </c>
      <c r="D1375" t="s">
        <v>23</v>
      </c>
      <c r="E1375" t="s">
        <v>44</v>
      </c>
      <c r="F1375" t="s">
        <v>41</v>
      </c>
      <c r="G1375" s="89">
        <v>25722</v>
      </c>
      <c r="H1375" t="s">
        <v>42</v>
      </c>
      <c r="I1375" t="s">
        <v>141</v>
      </c>
      <c r="J1375" s="89">
        <v>231498</v>
      </c>
      <c r="K1375" t="s">
        <v>134</v>
      </c>
      <c r="L1375" t="s">
        <v>128</v>
      </c>
      <c r="M1375" t="s">
        <v>152</v>
      </c>
      <c r="N1375">
        <v>1</v>
      </c>
      <c r="O1375" s="89">
        <v>771.66</v>
      </c>
      <c r="P1375" s="89">
        <v>13118.22</v>
      </c>
      <c r="Q1375" t="s">
        <v>142</v>
      </c>
      <c r="R1375" t="s">
        <v>42</v>
      </c>
    </row>
    <row r="1376" spans="3:18" hidden="1" x14ac:dyDescent="0.25">
      <c r="C1376" t="s">
        <v>45</v>
      </c>
      <c r="D1376" t="s">
        <v>22</v>
      </c>
      <c r="E1376" t="s">
        <v>40</v>
      </c>
      <c r="F1376" t="s">
        <v>41</v>
      </c>
      <c r="G1376" s="89">
        <v>280494</v>
      </c>
      <c r="H1376" t="s">
        <v>146</v>
      </c>
      <c r="I1376" t="s">
        <v>133</v>
      </c>
      <c r="J1376" s="89">
        <v>7853832</v>
      </c>
      <c r="K1376" t="s">
        <v>134</v>
      </c>
      <c r="L1376" t="s">
        <v>128</v>
      </c>
      <c r="N1376">
        <v>1</v>
      </c>
      <c r="O1376" s="89">
        <v>8414.82</v>
      </c>
      <c r="P1376" s="89">
        <v>103782.78</v>
      </c>
      <c r="Q1376" t="s">
        <v>130</v>
      </c>
      <c r="R1376" t="s">
        <v>131</v>
      </c>
    </row>
    <row r="1377" spans="3:18" hidden="1" x14ac:dyDescent="0.25">
      <c r="C1377" t="s">
        <v>45</v>
      </c>
      <c r="D1377" t="s">
        <v>23</v>
      </c>
      <c r="E1377" t="s">
        <v>48</v>
      </c>
      <c r="F1377" t="s">
        <v>41</v>
      </c>
      <c r="G1377" s="89">
        <v>236423</v>
      </c>
      <c r="H1377" t="s">
        <v>42</v>
      </c>
      <c r="I1377" t="s">
        <v>141</v>
      </c>
      <c r="J1377" s="89">
        <v>2127807</v>
      </c>
      <c r="K1377" t="s">
        <v>127</v>
      </c>
      <c r="L1377" t="s">
        <v>128</v>
      </c>
      <c r="M1377" t="s">
        <v>152</v>
      </c>
      <c r="N1377">
        <v>1</v>
      </c>
      <c r="O1377" s="89">
        <v>7092.69</v>
      </c>
      <c r="P1377" s="89">
        <v>153674.95000000001</v>
      </c>
      <c r="Q1377" t="s">
        <v>137</v>
      </c>
      <c r="R1377" t="s">
        <v>42</v>
      </c>
    </row>
    <row r="1378" spans="3:18" hidden="1" x14ac:dyDescent="0.25">
      <c r="C1378" t="s">
        <v>45</v>
      </c>
      <c r="D1378" t="s">
        <v>24</v>
      </c>
      <c r="E1378" t="s">
        <v>40</v>
      </c>
      <c r="F1378" t="s">
        <v>41</v>
      </c>
      <c r="G1378" s="89">
        <v>1361124</v>
      </c>
      <c r="H1378" t="s">
        <v>132</v>
      </c>
      <c r="I1378" t="s">
        <v>133</v>
      </c>
      <c r="J1378" s="89">
        <v>35389224</v>
      </c>
      <c r="K1378" t="s">
        <v>127</v>
      </c>
      <c r="L1378" t="s">
        <v>128</v>
      </c>
      <c r="N1378">
        <v>1</v>
      </c>
      <c r="O1378" s="89">
        <v>40833.72</v>
      </c>
      <c r="P1378" s="89">
        <v>680562</v>
      </c>
      <c r="Q1378" t="s">
        <v>142</v>
      </c>
      <c r="R1378" t="s">
        <v>131</v>
      </c>
    </row>
    <row r="1379" spans="3:18" x14ac:dyDescent="0.25">
      <c r="C1379" t="s">
        <v>47</v>
      </c>
      <c r="D1379" t="s">
        <v>19</v>
      </c>
      <c r="E1379" t="s">
        <v>52</v>
      </c>
      <c r="F1379" t="s">
        <v>41</v>
      </c>
      <c r="G1379" s="89">
        <v>75162</v>
      </c>
      <c r="H1379" t="s">
        <v>146</v>
      </c>
      <c r="I1379" t="s">
        <v>141</v>
      </c>
      <c r="J1379" s="89">
        <v>601296</v>
      </c>
      <c r="K1379" t="s">
        <v>127</v>
      </c>
      <c r="L1379" t="s">
        <v>128</v>
      </c>
      <c r="N1379">
        <v>1</v>
      </c>
      <c r="O1379" s="89">
        <v>2254.86</v>
      </c>
      <c r="P1379" s="89">
        <v>0</v>
      </c>
      <c r="Q1379" t="s">
        <v>130</v>
      </c>
      <c r="R1379" t="s">
        <v>131</v>
      </c>
    </row>
    <row r="1380" spans="3:18" hidden="1" x14ac:dyDescent="0.25">
      <c r="C1380" t="s">
        <v>45</v>
      </c>
      <c r="D1380" t="s">
        <v>24</v>
      </c>
      <c r="E1380" t="s">
        <v>44</v>
      </c>
      <c r="F1380" t="s">
        <v>41</v>
      </c>
      <c r="G1380" s="89">
        <v>2132118</v>
      </c>
      <c r="H1380" t="s">
        <v>145</v>
      </c>
      <c r="I1380" t="s">
        <v>133</v>
      </c>
      <c r="J1380" s="89">
        <v>61831422</v>
      </c>
      <c r="K1380" t="s">
        <v>127</v>
      </c>
      <c r="L1380" t="s">
        <v>128</v>
      </c>
      <c r="N1380">
        <v>1</v>
      </c>
      <c r="O1380" s="89">
        <v>63963.54</v>
      </c>
      <c r="P1380" s="89">
        <v>1471161.42</v>
      </c>
      <c r="Q1380" t="s">
        <v>137</v>
      </c>
      <c r="R1380" t="s">
        <v>131</v>
      </c>
    </row>
    <row r="1381" spans="3:18" x14ac:dyDescent="0.25">
      <c r="C1381" t="s">
        <v>47</v>
      </c>
      <c r="D1381" t="s">
        <v>25</v>
      </c>
      <c r="E1381" t="s">
        <v>48</v>
      </c>
      <c r="F1381" t="s">
        <v>41</v>
      </c>
      <c r="G1381" s="89">
        <v>19959</v>
      </c>
      <c r="H1381" t="s">
        <v>42</v>
      </c>
      <c r="I1381" t="s">
        <v>141</v>
      </c>
      <c r="J1381" s="89">
        <v>139713</v>
      </c>
      <c r="K1381" t="s">
        <v>127</v>
      </c>
      <c r="L1381" t="s">
        <v>128</v>
      </c>
      <c r="M1381" t="s">
        <v>155</v>
      </c>
      <c r="N1381">
        <v>1</v>
      </c>
      <c r="O1381" s="89">
        <v>1397.13</v>
      </c>
      <c r="P1381" s="89">
        <v>8981.5499999999993</v>
      </c>
      <c r="Q1381" t="s">
        <v>142</v>
      </c>
      <c r="R1381" t="s">
        <v>131</v>
      </c>
    </row>
    <row r="1382" spans="3:18" x14ac:dyDescent="0.25">
      <c r="C1382" t="s">
        <v>47</v>
      </c>
      <c r="D1382" t="s">
        <v>20</v>
      </c>
      <c r="E1382" t="s">
        <v>43</v>
      </c>
      <c r="F1382" t="s">
        <v>41</v>
      </c>
      <c r="G1382" s="89">
        <v>66359</v>
      </c>
      <c r="H1382" t="s">
        <v>145</v>
      </c>
      <c r="I1382" t="s">
        <v>126</v>
      </c>
      <c r="J1382" s="89">
        <v>663590</v>
      </c>
      <c r="K1382" t="s">
        <v>127</v>
      </c>
      <c r="L1382" t="s">
        <v>128</v>
      </c>
      <c r="N1382">
        <v>1</v>
      </c>
      <c r="O1382" s="89">
        <v>2654.36</v>
      </c>
      <c r="P1382" s="89">
        <v>49105.66</v>
      </c>
      <c r="Q1382" t="s">
        <v>137</v>
      </c>
      <c r="R1382" t="s">
        <v>131</v>
      </c>
    </row>
    <row r="1383" spans="3:18" hidden="1" x14ac:dyDescent="0.25">
      <c r="C1383" t="s">
        <v>45</v>
      </c>
      <c r="D1383" t="s">
        <v>20</v>
      </c>
      <c r="E1383" t="s">
        <v>43</v>
      </c>
      <c r="F1383" t="s">
        <v>41</v>
      </c>
      <c r="G1383" s="89">
        <v>338</v>
      </c>
      <c r="H1383" t="s">
        <v>146</v>
      </c>
      <c r="I1383" t="s">
        <v>147</v>
      </c>
      <c r="J1383" s="89">
        <v>0</v>
      </c>
      <c r="K1383" t="s">
        <v>134</v>
      </c>
      <c r="L1383" t="s">
        <v>128</v>
      </c>
      <c r="N1383">
        <v>1</v>
      </c>
      <c r="O1383" s="89">
        <v>10.14</v>
      </c>
      <c r="P1383" s="89">
        <v>0</v>
      </c>
      <c r="Q1383" t="s">
        <v>130</v>
      </c>
      <c r="R1383" t="s">
        <v>131</v>
      </c>
    </row>
    <row r="1384" spans="3:18" hidden="1" x14ac:dyDescent="0.25">
      <c r="C1384" t="s">
        <v>45</v>
      </c>
      <c r="D1384" t="s">
        <v>20</v>
      </c>
      <c r="E1384" t="s">
        <v>40</v>
      </c>
      <c r="F1384" t="s">
        <v>41</v>
      </c>
      <c r="G1384" s="89">
        <v>41479</v>
      </c>
      <c r="H1384" t="s">
        <v>42</v>
      </c>
      <c r="I1384" t="s">
        <v>141</v>
      </c>
      <c r="J1384" s="89">
        <v>207395</v>
      </c>
      <c r="K1384" t="s">
        <v>127</v>
      </c>
      <c r="L1384" t="s">
        <v>128</v>
      </c>
      <c r="M1384" t="s">
        <v>139</v>
      </c>
      <c r="N1384">
        <v>1</v>
      </c>
      <c r="O1384" s="89">
        <v>1244.3699999999999</v>
      </c>
      <c r="P1384" s="89">
        <v>9125.3799999999992</v>
      </c>
      <c r="Q1384" t="s">
        <v>130</v>
      </c>
      <c r="R1384" t="s">
        <v>42</v>
      </c>
    </row>
    <row r="1385" spans="3:18" x14ac:dyDescent="0.25">
      <c r="C1385" t="s">
        <v>47</v>
      </c>
      <c r="D1385" t="s">
        <v>20</v>
      </c>
      <c r="E1385" t="s">
        <v>43</v>
      </c>
      <c r="F1385" t="s">
        <v>41</v>
      </c>
      <c r="G1385" s="89">
        <v>147156</v>
      </c>
      <c r="H1385" t="s">
        <v>140</v>
      </c>
      <c r="I1385" t="s">
        <v>126</v>
      </c>
      <c r="J1385" s="89">
        <v>2060184</v>
      </c>
      <c r="K1385" t="s">
        <v>144</v>
      </c>
      <c r="N1385">
        <v>1</v>
      </c>
      <c r="O1385" s="89">
        <v>8829.36</v>
      </c>
      <c r="P1385" s="89">
        <v>67691.759999999995</v>
      </c>
      <c r="Q1385" t="s">
        <v>142</v>
      </c>
      <c r="R1385" t="s">
        <v>131</v>
      </c>
    </row>
    <row r="1386" spans="3:18" hidden="1" x14ac:dyDescent="0.25">
      <c r="C1386" t="s">
        <v>45</v>
      </c>
      <c r="D1386" t="s">
        <v>23</v>
      </c>
      <c r="E1386" t="s">
        <v>40</v>
      </c>
      <c r="F1386" t="s">
        <v>41</v>
      </c>
      <c r="G1386" s="89">
        <v>36832</v>
      </c>
      <c r="H1386" t="s">
        <v>132</v>
      </c>
      <c r="I1386" t="s">
        <v>141</v>
      </c>
      <c r="J1386" s="89">
        <v>368320</v>
      </c>
      <c r="K1386" t="s">
        <v>144</v>
      </c>
      <c r="N1386">
        <v>1</v>
      </c>
      <c r="O1386" s="89">
        <v>1104.96</v>
      </c>
      <c r="P1386" s="89">
        <v>21362.560000000001</v>
      </c>
      <c r="Q1386" t="s">
        <v>142</v>
      </c>
      <c r="R1386" t="s">
        <v>131</v>
      </c>
    </row>
    <row r="1387" spans="3:18" hidden="1" x14ac:dyDescent="0.25">
      <c r="C1387" t="s">
        <v>45</v>
      </c>
      <c r="D1387" t="s">
        <v>19</v>
      </c>
      <c r="E1387" t="s">
        <v>43</v>
      </c>
      <c r="F1387" t="s">
        <v>41</v>
      </c>
      <c r="G1387" s="89">
        <v>241633</v>
      </c>
      <c r="H1387" t="s">
        <v>132</v>
      </c>
      <c r="I1387" t="s">
        <v>147</v>
      </c>
      <c r="J1387" s="89">
        <v>724899</v>
      </c>
      <c r="K1387" t="s">
        <v>144</v>
      </c>
      <c r="N1387">
        <v>1</v>
      </c>
      <c r="O1387" s="89">
        <v>9665.32</v>
      </c>
      <c r="P1387" s="89">
        <v>9665.32</v>
      </c>
      <c r="Q1387" t="s">
        <v>130</v>
      </c>
      <c r="R1387" t="s">
        <v>131</v>
      </c>
    </row>
    <row r="1388" spans="3:18" hidden="1" x14ac:dyDescent="0.25">
      <c r="C1388" t="s">
        <v>45</v>
      </c>
      <c r="D1388" t="s">
        <v>138</v>
      </c>
      <c r="E1388" t="s">
        <v>43</v>
      </c>
      <c r="F1388" t="s">
        <v>53</v>
      </c>
      <c r="G1388" s="89">
        <v>4414372</v>
      </c>
      <c r="H1388" t="s">
        <v>42</v>
      </c>
      <c r="I1388" t="s">
        <v>133</v>
      </c>
      <c r="J1388" s="89">
        <v>145674276</v>
      </c>
      <c r="K1388" t="s">
        <v>144</v>
      </c>
      <c r="N1388">
        <v>1</v>
      </c>
      <c r="O1388" s="89">
        <v>132431.16</v>
      </c>
      <c r="P1388" s="89">
        <v>3090060.4</v>
      </c>
      <c r="Q1388" t="s">
        <v>137</v>
      </c>
      <c r="R1388" t="s">
        <v>42</v>
      </c>
    </row>
    <row r="1389" spans="3:18" hidden="1" x14ac:dyDescent="0.25">
      <c r="C1389" t="s">
        <v>45</v>
      </c>
      <c r="D1389" t="s">
        <v>23</v>
      </c>
      <c r="E1389" t="s">
        <v>48</v>
      </c>
      <c r="F1389" t="s">
        <v>41</v>
      </c>
      <c r="G1389" s="89">
        <v>2621272</v>
      </c>
      <c r="H1389" t="s">
        <v>146</v>
      </c>
      <c r="I1389" t="s">
        <v>133</v>
      </c>
      <c r="J1389" s="89">
        <v>68153072</v>
      </c>
      <c r="K1389" t="s">
        <v>127</v>
      </c>
      <c r="L1389" t="s">
        <v>128</v>
      </c>
      <c r="N1389">
        <v>1</v>
      </c>
      <c r="O1389" s="89">
        <v>78638.16</v>
      </c>
      <c r="P1389" s="89">
        <v>733956.16</v>
      </c>
      <c r="Q1389" t="s">
        <v>130</v>
      </c>
      <c r="R1389" t="s">
        <v>131</v>
      </c>
    </row>
    <row r="1390" spans="3:18" hidden="1" x14ac:dyDescent="0.25">
      <c r="C1390" t="s">
        <v>45</v>
      </c>
      <c r="D1390" t="s">
        <v>21</v>
      </c>
      <c r="E1390" t="s">
        <v>40</v>
      </c>
      <c r="F1390" t="s">
        <v>41</v>
      </c>
      <c r="G1390" s="89">
        <v>164743</v>
      </c>
      <c r="H1390" t="s">
        <v>146</v>
      </c>
      <c r="I1390" t="s">
        <v>147</v>
      </c>
      <c r="J1390" s="89">
        <v>658972</v>
      </c>
      <c r="K1390" t="s">
        <v>127</v>
      </c>
      <c r="L1390" t="s">
        <v>128</v>
      </c>
      <c r="N1390">
        <v>1</v>
      </c>
      <c r="O1390" s="89">
        <v>8237.15</v>
      </c>
      <c r="P1390" s="89">
        <v>92256.08</v>
      </c>
      <c r="Q1390" t="s">
        <v>142</v>
      </c>
      <c r="R1390" t="s">
        <v>131</v>
      </c>
    </row>
    <row r="1391" spans="3:18" hidden="1" x14ac:dyDescent="0.25">
      <c r="C1391" t="s">
        <v>45</v>
      </c>
      <c r="D1391" t="s">
        <v>23</v>
      </c>
      <c r="E1391" t="s">
        <v>40</v>
      </c>
      <c r="F1391" t="s">
        <v>41</v>
      </c>
      <c r="G1391" s="89">
        <v>227612</v>
      </c>
      <c r="H1391" t="s">
        <v>146</v>
      </c>
      <c r="I1391" t="s">
        <v>133</v>
      </c>
      <c r="J1391" s="89">
        <v>7511196</v>
      </c>
      <c r="K1391" t="s">
        <v>144</v>
      </c>
      <c r="N1391">
        <v>1</v>
      </c>
      <c r="O1391" s="89">
        <v>6828.36</v>
      </c>
      <c r="P1391" s="89">
        <v>59179.12</v>
      </c>
      <c r="Q1391" t="s">
        <v>130</v>
      </c>
      <c r="R1391" t="s">
        <v>131</v>
      </c>
    </row>
    <row r="1392" spans="3:18" hidden="1" x14ac:dyDescent="0.25">
      <c r="C1392" t="s">
        <v>45</v>
      </c>
      <c r="D1392" t="s">
        <v>22</v>
      </c>
      <c r="E1392" t="s">
        <v>40</v>
      </c>
      <c r="F1392" t="s">
        <v>53</v>
      </c>
      <c r="G1392" s="89">
        <v>199292</v>
      </c>
      <c r="H1392" t="s">
        <v>132</v>
      </c>
      <c r="I1392" t="s">
        <v>133</v>
      </c>
      <c r="J1392" s="89">
        <v>6975220</v>
      </c>
      <c r="K1392" t="s">
        <v>144</v>
      </c>
      <c r="N1392">
        <v>1</v>
      </c>
      <c r="O1392" s="89">
        <v>5978.76</v>
      </c>
      <c r="P1392" s="89">
        <v>139504.4</v>
      </c>
      <c r="Q1392" t="s">
        <v>137</v>
      </c>
      <c r="R1392" t="s">
        <v>131</v>
      </c>
    </row>
    <row r="1393" spans="3:18" hidden="1" x14ac:dyDescent="0.25">
      <c r="C1393" t="s">
        <v>45</v>
      </c>
      <c r="D1393" t="s">
        <v>24</v>
      </c>
      <c r="E1393" t="s">
        <v>48</v>
      </c>
      <c r="F1393" t="s">
        <v>41</v>
      </c>
      <c r="G1393" s="89">
        <v>4889821</v>
      </c>
      <c r="H1393" t="s">
        <v>146</v>
      </c>
      <c r="I1393" t="s">
        <v>126</v>
      </c>
      <c r="J1393" s="89">
        <v>78237136</v>
      </c>
      <c r="K1393" t="s">
        <v>127</v>
      </c>
      <c r="L1393" t="s">
        <v>128</v>
      </c>
      <c r="N1393">
        <v>1</v>
      </c>
      <c r="O1393" s="89">
        <v>146694.63</v>
      </c>
      <c r="P1393" s="89">
        <v>2444910.5</v>
      </c>
      <c r="Q1393" t="s">
        <v>142</v>
      </c>
      <c r="R1393" t="s">
        <v>131</v>
      </c>
    </row>
    <row r="1394" spans="3:18" x14ac:dyDescent="0.25">
      <c r="C1394" t="s">
        <v>47</v>
      </c>
      <c r="D1394" t="s">
        <v>19</v>
      </c>
      <c r="E1394" t="s">
        <v>40</v>
      </c>
      <c r="F1394" t="s">
        <v>41</v>
      </c>
      <c r="G1394" s="89">
        <v>63229</v>
      </c>
      <c r="H1394" t="s">
        <v>146</v>
      </c>
      <c r="I1394" t="s">
        <v>141</v>
      </c>
      <c r="J1394" s="89">
        <v>379374</v>
      </c>
      <c r="K1394" t="s">
        <v>127</v>
      </c>
      <c r="L1394" t="s">
        <v>128</v>
      </c>
      <c r="N1394">
        <v>1</v>
      </c>
      <c r="O1394" s="89">
        <v>1896.87</v>
      </c>
      <c r="P1394" s="89">
        <v>25291.599999999999</v>
      </c>
      <c r="Q1394" t="s">
        <v>130</v>
      </c>
      <c r="R1394" t="s">
        <v>131</v>
      </c>
    </row>
    <row r="1395" spans="3:18" hidden="1" x14ac:dyDescent="0.25">
      <c r="C1395" t="s">
        <v>45</v>
      </c>
      <c r="D1395" t="s">
        <v>138</v>
      </c>
      <c r="E1395" t="s">
        <v>43</v>
      </c>
      <c r="F1395" t="s">
        <v>53</v>
      </c>
      <c r="G1395" s="89">
        <v>172127</v>
      </c>
      <c r="H1395" t="s">
        <v>42</v>
      </c>
      <c r="I1395" t="s">
        <v>126</v>
      </c>
      <c r="J1395" s="89">
        <v>2581905</v>
      </c>
      <c r="K1395" t="s">
        <v>144</v>
      </c>
      <c r="N1395">
        <v>1</v>
      </c>
      <c r="O1395" s="89">
        <v>5163.8100000000004</v>
      </c>
      <c r="P1395" s="89">
        <v>120488.9</v>
      </c>
      <c r="Q1395" t="s">
        <v>137</v>
      </c>
      <c r="R1395" t="s">
        <v>42</v>
      </c>
    </row>
    <row r="1396" spans="3:18" hidden="1" x14ac:dyDescent="0.25">
      <c r="C1396" t="s">
        <v>45</v>
      </c>
      <c r="D1396" t="s">
        <v>23</v>
      </c>
      <c r="E1396" t="s">
        <v>48</v>
      </c>
      <c r="F1396" t="s">
        <v>41</v>
      </c>
      <c r="G1396" s="89">
        <v>1976662</v>
      </c>
      <c r="H1396" t="s">
        <v>42</v>
      </c>
      <c r="I1396" t="s">
        <v>133</v>
      </c>
      <c r="J1396" s="89">
        <v>63253184</v>
      </c>
      <c r="K1396" t="s">
        <v>127</v>
      </c>
      <c r="L1396" t="s">
        <v>128</v>
      </c>
      <c r="M1396" t="s">
        <v>152</v>
      </c>
      <c r="N1396">
        <v>1</v>
      </c>
      <c r="O1396" s="89">
        <v>59299.86</v>
      </c>
      <c r="P1396" s="89">
        <v>2371994.4</v>
      </c>
      <c r="Q1396" t="s">
        <v>150</v>
      </c>
      <c r="R1396" t="s">
        <v>131</v>
      </c>
    </row>
    <row r="1397" spans="3:18" hidden="1" x14ac:dyDescent="0.25">
      <c r="C1397" t="s">
        <v>45</v>
      </c>
      <c r="D1397" t="s">
        <v>19</v>
      </c>
      <c r="E1397" t="s">
        <v>43</v>
      </c>
      <c r="F1397" t="s">
        <v>41</v>
      </c>
      <c r="G1397" s="89">
        <v>479649</v>
      </c>
      <c r="H1397" t="s">
        <v>42</v>
      </c>
      <c r="I1397" t="s">
        <v>133</v>
      </c>
      <c r="J1397" s="89">
        <v>15348768</v>
      </c>
      <c r="K1397" t="s">
        <v>134</v>
      </c>
      <c r="L1397" t="s">
        <v>128</v>
      </c>
      <c r="M1397" t="s">
        <v>148</v>
      </c>
      <c r="N1397">
        <v>1</v>
      </c>
      <c r="O1397" s="89">
        <v>14389.47</v>
      </c>
      <c r="P1397" s="89">
        <v>287789.40000000002</v>
      </c>
      <c r="Q1397" t="s">
        <v>142</v>
      </c>
      <c r="R1397" t="s">
        <v>131</v>
      </c>
    </row>
    <row r="1398" spans="3:18" hidden="1" x14ac:dyDescent="0.25">
      <c r="C1398" t="s">
        <v>45</v>
      </c>
      <c r="D1398" t="s">
        <v>138</v>
      </c>
      <c r="E1398" t="s">
        <v>43</v>
      </c>
      <c r="F1398" t="s">
        <v>41</v>
      </c>
      <c r="G1398" s="89">
        <v>329636</v>
      </c>
      <c r="H1398" t="s">
        <v>140</v>
      </c>
      <c r="I1398" t="s">
        <v>133</v>
      </c>
      <c r="J1398" s="89">
        <v>8570536</v>
      </c>
      <c r="K1398" t="s">
        <v>134</v>
      </c>
      <c r="L1398" t="s">
        <v>128</v>
      </c>
      <c r="N1398">
        <v>1</v>
      </c>
      <c r="O1398" s="89">
        <v>9889.08</v>
      </c>
      <c r="P1398" s="89">
        <v>95594.44</v>
      </c>
      <c r="Q1398" t="s">
        <v>130</v>
      </c>
      <c r="R1398" t="s">
        <v>131</v>
      </c>
    </row>
    <row r="1399" spans="3:18" x14ac:dyDescent="0.25">
      <c r="C1399" t="s">
        <v>47</v>
      </c>
      <c r="D1399" t="s">
        <v>24</v>
      </c>
      <c r="E1399" t="s">
        <v>48</v>
      </c>
      <c r="F1399" t="s">
        <v>41</v>
      </c>
      <c r="G1399" s="89">
        <v>59967</v>
      </c>
      <c r="H1399" t="s">
        <v>42</v>
      </c>
      <c r="I1399" t="s">
        <v>133</v>
      </c>
      <c r="J1399" s="89">
        <v>1619109</v>
      </c>
      <c r="K1399" t="s">
        <v>127</v>
      </c>
      <c r="L1399" t="s">
        <v>128</v>
      </c>
      <c r="M1399" t="s">
        <v>148</v>
      </c>
      <c r="N1399">
        <v>1</v>
      </c>
      <c r="O1399" s="89">
        <v>1199.3399999999999</v>
      </c>
      <c r="P1399" s="89">
        <v>19189.439999999999</v>
      </c>
      <c r="Q1399" t="s">
        <v>130</v>
      </c>
      <c r="R1399" t="s">
        <v>131</v>
      </c>
    </row>
    <row r="1400" spans="3:18" hidden="1" x14ac:dyDescent="0.25">
      <c r="C1400" t="s">
        <v>45</v>
      </c>
      <c r="D1400" t="s">
        <v>21</v>
      </c>
      <c r="E1400" t="s">
        <v>43</v>
      </c>
      <c r="F1400" t="s">
        <v>41</v>
      </c>
      <c r="G1400" s="89">
        <v>1231402</v>
      </c>
      <c r="H1400" t="s">
        <v>132</v>
      </c>
      <c r="I1400" t="s">
        <v>133</v>
      </c>
      <c r="J1400" s="89">
        <v>35710658</v>
      </c>
      <c r="K1400" t="s">
        <v>134</v>
      </c>
      <c r="L1400" t="s">
        <v>128</v>
      </c>
      <c r="N1400">
        <v>1</v>
      </c>
      <c r="O1400" s="89">
        <v>36942.06</v>
      </c>
      <c r="P1400" s="89">
        <v>861981.4</v>
      </c>
      <c r="Q1400" t="s">
        <v>137</v>
      </c>
      <c r="R1400" t="s">
        <v>131</v>
      </c>
    </row>
    <row r="1401" spans="3:18" hidden="1" x14ac:dyDescent="0.25">
      <c r="C1401" t="s">
        <v>45</v>
      </c>
      <c r="D1401" t="s">
        <v>22</v>
      </c>
      <c r="E1401" t="s">
        <v>40</v>
      </c>
      <c r="F1401" t="s">
        <v>41</v>
      </c>
      <c r="G1401" s="89">
        <v>186298</v>
      </c>
      <c r="H1401" t="s">
        <v>146</v>
      </c>
      <c r="I1401" t="s">
        <v>126</v>
      </c>
      <c r="J1401" s="89">
        <v>3167066</v>
      </c>
      <c r="K1401" t="s">
        <v>134</v>
      </c>
      <c r="L1401" t="s">
        <v>128</v>
      </c>
      <c r="N1401">
        <v>1</v>
      </c>
      <c r="O1401" s="89">
        <v>7451.92</v>
      </c>
      <c r="P1401" s="89">
        <v>115504.76</v>
      </c>
      <c r="Q1401" t="s">
        <v>137</v>
      </c>
      <c r="R1401" t="s">
        <v>131</v>
      </c>
    </row>
    <row r="1402" spans="3:18" hidden="1" x14ac:dyDescent="0.25">
      <c r="C1402" t="s">
        <v>45</v>
      </c>
      <c r="D1402" t="s">
        <v>25</v>
      </c>
      <c r="E1402" t="s">
        <v>43</v>
      </c>
      <c r="F1402" t="s">
        <v>41</v>
      </c>
      <c r="G1402" s="89">
        <v>233449</v>
      </c>
      <c r="H1402" t="s">
        <v>42</v>
      </c>
      <c r="I1402" t="s">
        <v>133</v>
      </c>
      <c r="J1402" s="89">
        <v>5836225</v>
      </c>
      <c r="K1402" t="s">
        <v>127</v>
      </c>
      <c r="L1402" t="s">
        <v>128</v>
      </c>
      <c r="M1402" t="s">
        <v>152</v>
      </c>
      <c r="N1402">
        <v>1</v>
      </c>
      <c r="O1402" s="89">
        <v>9337.9599999999991</v>
      </c>
      <c r="P1402" s="89">
        <v>170417.77</v>
      </c>
      <c r="Q1402" t="s">
        <v>137</v>
      </c>
      <c r="R1402" t="s">
        <v>42</v>
      </c>
    </row>
    <row r="1403" spans="3:18" hidden="1" x14ac:dyDescent="0.25">
      <c r="C1403" t="s">
        <v>45</v>
      </c>
      <c r="D1403" t="s">
        <v>149</v>
      </c>
      <c r="E1403" t="s">
        <v>40</v>
      </c>
      <c r="F1403" t="s">
        <v>41</v>
      </c>
      <c r="G1403" s="89">
        <v>148523</v>
      </c>
      <c r="H1403" t="s">
        <v>42</v>
      </c>
      <c r="I1403" t="s">
        <v>133</v>
      </c>
      <c r="J1403" s="89">
        <v>4901259</v>
      </c>
      <c r="K1403" t="s">
        <v>144</v>
      </c>
      <c r="N1403">
        <v>1</v>
      </c>
      <c r="O1403" s="89">
        <v>4455.6899999999996</v>
      </c>
      <c r="P1403" s="89">
        <v>102480.87</v>
      </c>
      <c r="Q1403" t="s">
        <v>137</v>
      </c>
      <c r="R1403" t="s">
        <v>131</v>
      </c>
    </row>
    <row r="1404" spans="3:18" hidden="1" x14ac:dyDescent="0.25">
      <c r="C1404" t="s">
        <v>45</v>
      </c>
      <c r="D1404" t="s">
        <v>24</v>
      </c>
      <c r="E1404" t="s">
        <v>44</v>
      </c>
      <c r="F1404" t="s">
        <v>41</v>
      </c>
      <c r="G1404" s="89">
        <v>332157</v>
      </c>
      <c r="H1404" t="s">
        <v>145</v>
      </c>
      <c r="I1404" t="s">
        <v>126</v>
      </c>
      <c r="J1404" s="89">
        <v>4650198</v>
      </c>
      <c r="K1404" t="s">
        <v>127</v>
      </c>
      <c r="L1404" t="s">
        <v>128</v>
      </c>
      <c r="N1404">
        <v>1</v>
      </c>
      <c r="O1404" s="89">
        <v>13286.28</v>
      </c>
      <c r="P1404" s="89">
        <v>86360.82</v>
      </c>
      <c r="Q1404" t="s">
        <v>130</v>
      </c>
      <c r="R1404" t="s">
        <v>131</v>
      </c>
    </row>
    <row r="1405" spans="3:18" hidden="1" x14ac:dyDescent="0.25">
      <c r="C1405" t="s">
        <v>45</v>
      </c>
      <c r="D1405" t="s">
        <v>24</v>
      </c>
      <c r="E1405" t="s">
        <v>52</v>
      </c>
      <c r="F1405" t="s">
        <v>41</v>
      </c>
      <c r="G1405" s="89">
        <v>14244</v>
      </c>
      <c r="H1405" t="s">
        <v>42</v>
      </c>
      <c r="I1405" t="s">
        <v>141</v>
      </c>
      <c r="J1405" s="89">
        <v>113952</v>
      </c>
      <c r="K1405" t="s">
        <v>134</v>
      </c>
      <c r="L1405" t="s">
        <v>128</v>
      </c>
      <c r="M1405" t="s">
        <v>143</v>
      </c>
      <c r="N1405">
        <v>1</v>
      </c>
      <c r="O1405" s="89">
        <v>427.32</v>
      </c>
      <c r="P1405" s="89">
        <v>4842.96</v>
      </c>
      <c r="Q1405" t="s">
        <v>130</v>
      </c>
      <c r="R1405" t="s">
        <v>42</v>
      </c>
    </row>
    <row r="1406" spans="3:18" hidden="1" x14ac:dyDescent="0.25">
      <c r="C1406" t="s">
        <v>45</v>
      </c>
      <c r="D1406" t="s">
        <v>23</v>
      </c>
      <c r="E1406" t="s">
        <v>43</v>
      </c>
      <c r="F1406" t="s">
        <v>41</v>
      </c>
      <c r="G1406" s="89">
        <v>1752586</v>
      </c>
      <c r="H1406" t="s">
        <v>145</v>
      </c>
      <c r="I1406" t="s">
        <v>133</v>
      </c>
      <c r="J1406" s="89">
        <v>47319822</v>
      </c>
      <c r="K1406" t="s">
        <v>127</v>
      </c>
      <c r="L1406" t="s">
        <v>128</v>
      </c>
      <c r="N1406">
        <v>1</v>
      </c>
      <c r="O1406" s="89">
        <v>52577.58</v>
      </c>
      <c r="P1406" s="89">
        <v>1226810.2</v>
      </c>
      <c r="Q1406" t="s">
        <v>137</v>
      </c>
      <c r="R1406" t="s">
        <v>131</v>
      </c>
    </row>
    <row r="1407" spans="3:18" hidden="1" x14ac:dyDescent="0.25">
      <c r="C1407" t="s">
        <v>45</v>
      </c>
      <c r="D1407" t="s">
        <v>20</v>
      </c>
      <c r="E1407" t="s">
        <v>43</v>
      </c>
      <c r="F1407" t="s">
        <v>41</v>
      </c>
      <c r="G1407" s="89">
        <v>46188069</v>
      </c>
      <c r="H1407" t="s">
        <v>42</v>
      </c>
      <c r="I1407" t="s">
        <v>133</v>
      </c>
      <c r="J1407" s="89">
        <v>1662770484</v>
      </c>
      <c r="K1407" t="s">
        <v>144</v>
      </c>
      <c r="N1407">
        <v>1</v>
      </c>
      <c r="O1407" s="89">
        <v>1385642.07</v>
      </c>
      <c r="P1407" s="89">
        <v>41107381.409999996</v>
      </c>
      <c r="Q1407" t="s">
        <v>135</v>
      </c>
      <c r="R1407" t="s">
        <v>42</v>
      </c>
    </row>
    <row r="1408" spans="3:18" x14ac:dyDescent="0.25">
      <c r="C1408" t="s">
        <v>47</v>
      </c>
      <c r="D1408" t="s">
        <v>25</v>
      </c>
      <c r="E1408" t="s">
        <v>48</v>
      </c>
      <c r="F1408" t="s">
        <v>41</v>
      </c>
      <c r="G1408" s="89">
        <v>63154</v>
      </c>
      <c r="H1408" t="s">
        <v>140</v>
      </c>
      <c r="I1408" t="s">
        <v>147</v>
      </c>
      <c r="J1408" s="89">
        <v>0</v>
      </c>
      <c r="K1408" t="s">
        <v>127</v>
      </c>
      <c r="L1408" t="s">
        <v>128</v>
      </c>
      <c r="N1408">
        <v>1</v>
      </c>
      <c r="O1408" s="89">
        <v>3789.24</v>
      </c>
      <c r="P1408" s="89">
        <v>3157.7</v>
      </c>
      <c r="Q1408" t="s">
        <v>130</v>
      </c>
      <c r="R1408" t="s">
        <v>131</v>
      </c>
    </row>
    <row r="1409" spans="3:18" hidden="1" x14ac:dyDescent="0.25">
      <c r="C1409" t="s">
        <v>45</v>
      </c>
      <c r="D1409" t="s">
        <v>149</v>
      </c>
      <c r="E1409" t="s">
        <v>43</v>
      </c>
      <c r="F1409" t="s">
        <v>41</v>
      </c>
      <c r="G1409" s="89">
        <v>2464930</v>
      </c>
      <c r="H1409" t="s">
        <v>145</v>
      </c>
      <c r="I1409" t="s">
        <v>126</v>
      </c>
      <c r="J1409" s="89">
        <v>39438880</v>
      </c>
      <c r="K1409" t="s">
        <v>127</v>
      </c>
      <c r="L1409" t="s">
        <v>128</v>
      </c>
      <c r="N1409">
        <v>1</v>
      </c>
      <c r="O1409" s="89">
        <v>73947.899999999994</v>
      </c>
      <c r="P1409" s="89">
        <v>690180.4</v>
      </c>
      <c r="Q1409" t="s">
        <v>130</v>
      </c>
      <c r="R1409" t="s">
        <v>131</v>
      </c>
    </row>
    <row r="1410" spans="3:18" hidden="1" x14ac:dyDescent="0.25">
      <c r="C1410" t="s">
        <v>45</v>
      </c>
      <c r="D1410" t="s">
        <v>21</v>
      </c>
      <c r="E1410" t="s">
        <v>43</v>
      </c>
      <c r="F1410" t="s">
        <v>41</v>
      </c>
      <c r="G1410" s="89">
        <v>118</v>
      </c>
      <c r="H1410" t="s">
        <v>42</v>
      </c>
      <c r="I1410" t="s">
        <v>147</v>
      </c>
      <c r="J1410" s="89"/>
      <c r="K1410" t="s">
        <v>127</v>
      </c>
      <c r="L1410" t="s">
        <v>151</v>
      </c>
      <c r="M1410" t="s">
        <v>156</v>
      </c>
      <c r="N1410">
        <v>0</v>
      </c>
      <c r="O1410" s="89">
        <v>7.08</v>
      </c>
      <c r="P1410" s="89">
        <v>0</v>
      </c>
      <c r="Q1410" t="s">
        <v>130</v>
      </c>
      <c r="R1410" t="s">
        <v>131</v>
      </c>
    </row>
    <row r="1411" spans="3:18" hidden="1" x14ac:dyDescent="0.25">
      <c r="C1411" t="s">
        <v>45</v>
      </c>
      <c r="D1411" t="s">
        <v>21</v>
      </c>
      <c r="E1411" t="s">
        <v>43</v>
      </c>
      <c r="F1411" t="s">
        <v>41</v>
      </c>
      <c r="G1411" s="89">
        <v>42410121</v>
      </c>
      <c r="H1411" t="s">
        <v>145</v>
      </c>
      <c r="I1411" t="s">
        <v>141</v>
      </c>
      <c r="J1411" s="89">
        <v>296870847</v>
      </c>
      <c r="K1411" t="s">
        <v>127</v>
      </c>
      <c r="L1411" t="s">
        <v>128</v>
      </c>
      <c r="N1411">
        <v>1</v>
      </c>
      <c r="O1411" s="89">
        <v>1272303.6299999999</v>
      </c>
      <c r="P1411" s="89">
        <v>9754327.8300000001</v>
      </c>
      <c r="Q1411" t="s">
        <v>130</v>
      </c>
      <c r="R1411" t="s">
        <v>131</v>
      </c>
    </row>
    <row r="1412" spans="3:18" hidden="1" x14ac:dyDescent="0.25">
      <c r="C1412" t="s">
        <v>45</v>
      </c>
      <c r="D1412" t="s">
        <v>21</v>
      </c>
      <c r="E1412" t="s">
        <v>43</v>
      </c>
      <c r="F1412" t="s">
        <v>41</v>
      </c>
      <c r="G1412" s="89">
        <v>216442</v>
      </c>
      <c r="H1412" t="s">
        <v>145</v>
      </c>
      <c r="I1412" t="s">
        <v>133</v>
      </c>
      <c r="J1412" s="89">
        <v>5411050</v>
      </c>
      <c r="K1412" t="s">
        <v>127</v>
      </c>
      <c r="L1412" t="s">
        <v>151</v>
      </c>
      <c r="N1412">
        <v>1</v>
      </c>
      <c r="O1412" s="89">
        <v>6493.26</v>
      </c>
      <c r="P1412" s="89">
        <v>116878.68</v>
      </c>
      <c r="Q1412" t="s">
        <v>142</v>
      </c>
      <c r="R1412" t="s">
        <v>131</v>
      </c>
    </row>
    <row r="1413" spans="3:18" hidden="1" x14ac:dyDescent="0.25">
      <c r="C1413" t="s">
        <v>45</v>
      </c>
      <c r="D1413" t="s">
        <v>25</v>
      </c>
      <c r="E1413" t="s">
        <v>48</v>
      </c>
      <c r="F1413" t="s">
        <v>41</v>
      </c>
      <c r="G1413" s="89">
        <v>79143</v>
      </c>
      <c r="H1413" t="s">
        <v>146</v>
      </c>
      <c r="I1413" t="s">
        <v>133</v>
      </c>
      <c r="J1413" s="89">
        <v>1978575</v>
      </c>
      <c r="K1413" t="s">
        <v>144</v>
      </c>
      <c r="N1413">
        <v>1</v>
      </c>
      <c r="O1413" s="89">
        <v>2374.29</v>
      </c>
      <c r="P1413" s="89">
        <v>65688.69</v>
      </c>
      <c r="Q1413" t="s">
        <v>135</v>
      </c>
      <c r="R1413" t="s">
        <v>131</v>
      </c>
    </row>
    <row r="1414" spans="3:18" x14ac:dyDescent="0.25">
      <c r="C1414" t="s">
        <v>47</v>
      </c>
      <c r="D1414" t="s">
        <v>19</v>
      </c>
      <c r="E1414" t="s">
        <v>43</v>
      </c>
      <c r="F1414" t="s">
        <v>41</v>
      </c>
      <c r="G1414" s="89">
        <v>353174</v>
      </c>
      <c r="H1414" t="s">
        <v>146</v>
      </c>
      <c r="I1414" t="s">
        <v>153</v>
      </c>
      <c r="J1414" s="89"/>
      <c r="K1414" t="s">
        <v>127</v>
      </c>
      <c r="L1414" t="s">
        <v>128</v>
      </c>
      <c r="N1414">
        <v>0</v>
      </c>
      <c r="O1414" s="89">
        <v>24722.18</v>
      </c>
      <c r="P1414" s="89">
        <v>70634.8</v>
      </c>
      <c r="Q1414" t="s">
        <v>130</v>
      </c>
      <c r="R1414" t="s">
        <v>131</v>
      </c>
    </row>
    <row r="1415" spans="3:18" hidden="1" x14ac:dyDescent="0.25">
      <c r="C1415" t="s">
        <v>45</v>
      </c>
      <c r="D1415" t="s">
        <v>138</v>
      </c>
      <c r="E1415" t="s">
        <v>43</v>
      </c>
      <c r="F1415" t="s">
        <v>41</v>
      </c>
      <c r="G1415" s="89">
        <v>14746</v>
      </c>
      <c r="H1415" t="s">
        <v>42</v>
      </c>
      <c r="I1415" t="s">
        <v>141</v>
      </c>
      <c r="J1415" s="89">
        <v>117968</v>
      </c>
      <c r="K1415" t="s">
        <v>134</v>
      </c>
      <c r="L1415" t="s">
        <v>128</v>
      </c>
      <c r="M1415" t="s">
        <v>129</v>
      </c>
      <c r="N1415">
        <v>1</v>
      </c>
      <c r="O1415" s="89">
        <v>442.38</v>
      </c>
      <c r="P1415" s="89">
        <v>1032.22</v>
      </c>
      <c r="Q1415" t="s">
        <v>130</v>
      </c>
      <c r="R1415" t="s">
        <v>42</v>
      </c>
    </row>
    <row r="1416" spans="3:18" hidden="1" x14ac:dyDescent="0.25">
      <c r="C1416" t="s">
        <v>45</v>
      </c>
      <c r="D1416" t="s">
        <v>22</v>
      </c>
      <c r="E1416" t="s">
        <v>40</v>
      </c>
      <c r="F1416" t="s">
        <v>41</v>
      </c>
      <c r="G1416" s="89">
        <v>48957</v>
      </c>
      <c r="H1416" t="s">
        <v>132</v>
      </c>
      <c r="I1416" t="s">
        <v>141</v>
      </c>
      <c r="J1416" s="89">
        <v>391656</v>
      </c>
      <c r="K1416" t="s">
        <v>134</v>
      </c>
      <c r="L1416" t="s">
        <v>128</v>
      </c>
      <c r="N1416">
        <v>1</v>
      </c>
      <c r="O1416" s="89">
        <v>1468.71</v>
      </c>
      <c r="P1416" s="89">
        <v>13218.39</v>
      </c>
      <c r="Q1416" t="s">
        <v>130</v>
      </c>
      <c r="R1416" t="s">
        <v>131</v>
      </c>
    </row>
    <row r="1417" spans="3:18" hidden="1" x14ac:dyDescent="0.25">
      <c r="C1417" t="s">
        <v>45</v>
      </c>
      <c r="D1417" t="s">
        <v>24</v>
      </c>
      <c r="E1417" t="s">
        <v>48</v>
      </c>
      <c r="F1417" t="s">
        <v>41</v>
      </c>
      <c r="G1417" s="89">
        <v>6305</v>
      </c>
      <c r="H1417" t="s">
        <v>42</v>
      </c>
      <c r="I1417" t="s">
        <v>147</v>
      </c>
      <c r="J1417" s="89">
        <v>18915</v>
      </c>
      <c r="K1417" t="s">
        <v>127</v>
      </c>
      <c r="L1417" t="s">
        <v>128</v>
      </c>
      <c r="M1417" t="s">
        <v>148</v>
      </c>
      <c r="N1417">
        <v>1</v>
      </c>
      <c r="O1417" s="89">
        <v>189.15</v>
      </c>
      <c r="P1417" s="89">
        <v>3972.15</v>
      </c>
      <c r="Q1417" t="s">
        <v>137</v>
      </c>
      <c r="R1417" t="s">
        <v>131</v>
      </c>
    </row>
    <row r="1418" spans="3:18" hidden="1" x14ac:dyDescent="0.25">
      <c r="C1418" t="s">
        <v>45</v>
      </c>
      <c r="D1418" t="s">
        <v>24</v>
      </c>
      <c r="E1418" t="s">
        <v>44</v>
      </c>
      <c r="F1418" t="s">
        <v>41</v>
      </c>
      <c r="G1418" s="89">
        <v>35347</v>
      </c>
      <c r="H1418" t="s">
        <v>140</v>
      </c>
      <c r="I1418" t="s">
        <v>141</v>
      </c>
      <c r="J1418" s="89">
        <v>353470</v>
      </c>
      <c r="K1418" t="s">
        <v>127</v>
      </c>
      <c r="L1418" t="s">
        <v>128</v>
      </c>
      <c r="N1418">
        <v>1</v>
      </c>
      <c r="O1418" s="89">
        <v>1767.35</v>
      </c>
      <c r="P1418" s="89">
        <v>25449.84</v>
      </c>
      <c r="Q1418" t="s">
        <v>137</v>
      </c>
      <c r="R1418" t="s">
        <v>131</v>
      </c>
    </row>
    <row r="1419" spans="3:18" hidden="1" x14ac:dyDescent="0.25">
      <c r="C1419" t="s">
        <v>45</v>
      </c>
      <c r="D1419" t="s">
        <v>149</v>
      </c>
      <c r="E1419" t="s">
        <v>43</v>
      </c>
      <c r="F1419" t="s">
        <v>41</v>
      </c>
      <c r="G1419" s="89">
        <v>156264</v>
      </c>
      <c r="H1419" t="s">
        <v>42</v>
      </c>
      <c r="I1419" t="s">
        <v>126</v>
      </c>
      <c r="J1419" s="89">
        <v>2812752</v>
      </c>
      <c r="K1419" t="s">
        <v>127</v>
      </c>
      <c r="L1419" t="s">
        <v>128</v>
      </c>
      <c r="M1419" t="s">
        <v>152</v>
      </c>
      <c r="N1419">
        <v>1</v>
      </c>
      <c r="O1419" s="89">
        <v>4687.92</v>
      </c>
      <c r="P1419" s="89">
        <v>154701.35999999999</v>
      </c>
      <c r="Q1419" t="s">
        <v>135</v>
      </c>
      <c r="R1419" t="s">
        <v>131</v>
      </c>
    </row>
    <row r="1420" spans="3:18" hidden="1" x14ac:dyDescent="0.25">
      <c r="C1420" t="s">
        <v>45</v>
      </c>
      <c r="D1420" t="s">
        <v>23</v>
      </c>
      <c r="E1420" t="s">
        <v>44</v>
      </c>
      <c r="F1420" t="s">
        <v>41</v>
      </c>
      <c r="G1420" s="89">
        <v>45985</v>
      </c>
      <c r="H1420" t="s">
        <v>42</v>
      </c>
      <c r="I1420" t="s">
        <v>141</v>
      </c>
      <c r="J1420" s="89">
        <v>321895</v>
      </c>
      <c r="K1420" t="s">
        <v>127</v>
      </c>
      <c r="L1420" t="s">
        <v>128</v>
      </c>
      <c r="M1420" t="s">
        <v>152</v>
      </c>
      <c r="N1420">
        <v>1</v>
      </c>
      <c r="O1420" s="89">
        <v>1379.55</v>
      </c>
      <c r="P1420" s="89">
        <v>28050.85</v>
      </c>
      <c r="Q1420" t="s">
        <v>137</v>
      </c>
      <c r="R1420" t="s">
        <v>131</v>
      </c>
    </row>
    <row r="1421" spans="3:18" x14ac:dyDescent="0.25">
      <c r="C1421" t="s">
        <v>47</v>
      </c>
      <c r="D1421" t="s">
        <v>24</v>
      </c>
      <c r="E1421" t="s">
        <v>44</v>
      </c>
      <c r="F1421" t="s">
        <v>41</v>
      </c>
      <c r="G1421" s="89">
        <v>189043</v>
      </c>
      <c r="H1421" t="s">
        <v>140</v>
      </c>
      <c r="I1421" t="s">
        <v>126</v>
      </c>
      <c r="J1421" s="89">
        <v>2079473</v>
      </c>
      <c r="K1421" t="s">
        <v>144</v>
      </c>
      <c r="N1421">
        <v>1</v>
      </c>
      <c r="O1421" s="89">
        <v>7561.72</v>
      </c>
      <c r="P1421" s="89">
        <v>64274.62</v>
      </c>
      <c r="Q1421" t="s">
        <v>130</v>
      </c>
      <c r="R1421" t="s">
        <v>131</v>
      </c>
    </row>
    <row r="1422" spans="3:18" x14ac:dyDescent="0.25">
      <c r="C1422" t="s">
        <v>47</v>
      </c>
      <c r="D1422" t="s">
        <v>25</v>
      </c>
      <c r="E1422" t="s">
        <v>48</v>
      </c>
      <c r="F1422" t="s">
        <v>41</v>
      </c>
      <c r="G1422" s="89">
        <v>2783</v>
      </c>
      <c r="H1422" t="s">
        <v>146</v>
      </c>
      <c r="I1422" t="s">
        <v>133</v>
      </c>
      <c r="J1422" s="89">
        <v>72358</v>
      </c>
      <c r="K1422" t="s">
        <v>127</v>
      </c>
      <c r="L1422" t="s">
        <v>128</v>
      </c>
      <c r="N1422">
        <v>1</v>
      </c>
      <c r="O1422" s="89">
        <v>111.32</v>
      </c>
      <c r="P1422" s="89">
        <v>974.05</v>
      </c>
      <c r="Q1422" t="s">
        <v>130</v>
      </c>
      <c r="R1422" t="s">
        <v>131</v>
      </c>
    </row>
    <row r="1423" spans="3:18" hidden="1" x14ac:dyDescent="0.25">
      <c r="C1423" t="s">
        <v>45</v>
      </c>
      <c r="D1423" t="s">
        <v>20</v>
      </c>
      <c r="E1423" t="s">
        <v>43</v>
      </c>
      <c r="F1423" t="s">
        <v>41</v>
      </c>
      <c r="G1423" s="89">
        <v>2685556</v>
      </c>
      <c r="H1423" t="s">
        <v>42</v>
      </c>
      <c r="I1423" t="s">
        <v>126</v>
      </c>
      <c r="J1423" s="89">
        <v>40283340</v>
      </c>
      <c r="K1423" t="s">
        <v>127</v>
      </c>
      <c r="L1423" t="s">
        <v>128</v>
      </c>
      <c r="M1423" t="s">
        <v>139</v>
      </c>
      <c r="N1423">
        <v>1</v>
      </c>
      <c r="O1423" s="89">
        <v>80566.679999999993</v>
      </c>
      <c r="P1423" s="89">
        <v>671389</v>
      </c>
      <c r="Q1423" t="s">
        <v>130</v>
      </c>
      <c r="R1423" t="s">
        <v>42</v>
      </c>
    </row>
    <row r="1424" spans="3:18" hidden="1" x14ac:dyDescent="0.25">
      <c r="C1424" t="s">
        <v>45</v>
      </c>
      <c r="D1424" t="s">
        <v>149</v>
      </c>
      <c r="E1424" t="s">
        <v>43</v>
      </c>
      <c r="F1424" t="s">
        <v>41</v>
      </c>
      <c r="G1424" s="89">
        <v>722144</v>
      </c>
      <c r="H1424" t="s">
        <v>146</v>
      </c>
      <c r="I1424" t="s">
        <v>133</v>
      </c>
      <c r="J1424" s="89">
        <v>21664320</v>
      </c>
      <c r="K1424" t="s">
        <v>127</v>
      </c>
      <c r="L1424" t="s">
        <v>128</v>
      </c>
      <c r="N1424">
        <v>1</v>
      </c>
      <c r="O1424" s="89">
        <v>21664.32</v>
      </c>
      <c r="P1424" s="89">
        <v>368293.44</v>
      </c>
      <c r="Q1424" t="s">
        <v>142</v>
      </c>
      <c r="R1424" t="s">
        <v>131</v>
      </c>
    </row>
    <row r="1425" spans="3:18" hidden="1" x14ac:dyDescent="0.25">
      <c r="C1425" t="s">
        <v>45</v>
      </c>
      <c r="D1425" t="s">
        <v>22</v>
      </c>
      <c r="E1425" t="s">
        <v>43</v>
      </c>
      <c r="F1425" t="s">
        <v>41</v>
      </c>
      <c r="G1425" s="89">
        <v>11914031</v>
      </c>
      <c r="H1425" t="s">
        <v>42</v>
      </c>
      <c r="I1425" t="s">
        <v>133</v>
      </c>
      <c r="J1425" s="89">
        <v>381248992</v>
      </c>
      <c r="K1425" t="s">
        <v>144</v>
      </c>
      <c r="N1425">
        <v>1</v>
      </c>
      <c r="O1425" s="89">
        <v>357420.93</v>
      </c>
      <c r="P1425" s="89">
        <v>8458962.0099999998</v>
      </c>
      <c r="Q1425" t="s">
        <v>137</v>
      </c>
      <c r="R1425" t="s">
        <v>131</v>
      </c>
    </row>
    <row r="1426" spans="3:18" hidden="1" x14ac:dyDescent="0.25">
      <c r="C1426" t="s">
        <v>45</v>
      </c>
      <c r="D1426" t="s">
        <v>21</v>
      </c>
      <c r="E1426" t="s">
        <v>43</v>
      </c>
      <c r="F1426" t="s">
        <v>41</v>
      </c>
      <c r="G1426" s="89">
        <v>384734</v>
      </c>
      <c r="H1426" t="s">
        <v>42</v>
      </c>
      <c r="I1426" t="s">
        <v>133</v>
      </c>
      <c r="J1426" s="89">
        <v>8848882</v>
      </c>
      <c r="K1426" t="s">
        <v>127</v>
      </c>
      <c r="L1426" t="s">
        <v>128</v>
      </c>
      <c r="M1426" t="s">
        <v>148</v>
      </c>
      <c r="N1426">
        <v>1</v>
      </c>
      <c r="O1426" s="89">
        <v>11542.02</v>
      </c>
      <c r="P1426" s="89">
        <v>211603.7</v>
      </c>
      <c r="Q1426" t="s">
        <v>142</v>
      </c>
      <c r="R1426" t="s">
        <v>131</v>
      </c>
    </row>
    <row r="1427" spans="3:18" x14ac:dyDescent="0.25">
      <c r="C1427" t="s">
        <v>47</v>
      </c>
      <c r="D1427" t="s">
        <v>20</v>
      </c>
      <c r="E1427" t="s">
        <v>40</v>
      </c>
      <c r="F1427" t="s">
        <v>41</v>
      </c>
      <c r="G1427" s="89">
        <v>519726</v>
      </c>
      <c r="H1427" t="s">
        <v>140</v>
      </c>
      <c r="I1427" t="s">
        <v>141</v>
      </c>
      <c r="J1427" s="89">
        <v>3638082</v>
      </c>
      <c r="K1427" t="s">
        <v>127</v>
      </c>
      <c r="L1427" t="s">
        <v>128</v>
      </c>
      <c r="N1427">
        <v>1</v>
      </c>
      <c r="O1427" s="89">
        <v>25986.3</v>
      </c>
      <c r="P1427" s="89">
        <v>239073.96</v>
      </c>
      <c r="Q1427" t="s">
        <v>142</v>
      </c>
      <c r="R1427" t="s">
        <v>131</v>
      </c>
    </row>
    <row r="1428" spans="3:18" hidden="1" x14ac:dyDescent="0.25">
      <c r="C1428" t="s">
        <v>45</v>
      </c>
      <c r="D1428" t="s">
        <v>24</v>
      </c>
      <c r="E1428" t="s">
        <v>46</v>
      </c>
      <c r="F1428" t="s">
        <v>41</v>
      </c>
      <c r="G1428" s="89">
        <v>51715</v>
      </c>
      <c r="H1428" t="s">
        <v>42</v>
      </c>
      <c r="I1428" t="s">
        <v>147</v>
      </c>
      <c r="J1428" s="89">
        <v>155145</v>
      </c>
      <c r="K1428" t="s">
        <v>127</v>
      </c>
      <c r="L1428" t="s">
        <v>128</v>
      </c>
      <c r="M1428" t="s">
        <v>148</v>
      </c>
      <c r="N1428">
        <v>1</v>
      </c>
      <c r="O1428" s="89">
        <v>2068.6</v>
      </c>
      <c r="P1428" s="89">
        <v>9308.7000000000007</v>
      </c>
      <c r="Q1428" t="s">
        <v>130</v>
      </c>
      <c r="R1428" t="s">
        <v>42</v>
      </c>
    </row>
    <row r="1429" spans="3:18" hidden="1" x14ac:dyDescent="0.25">
      <c r="C1429" t="s">
        <v>45</v>
      </c>
      <c r="D1429" t="s">
        <v>23</v>
      </c>
      <c r="E1429" t="s">
        <v>40</v>
      </c>
      <c r="F1429" t="s">
        <v>41</v>
      </c>
      <c r="G1429" s="89">
        <v>144187</v>
      </c>
      <c r="H1429" t="s">
        <v>42</v>
      </c>
      <c r="I1429" t="s">
        <v>133</v>
      </c>
      <c r="J1429" s="89">
        <v>5623293</v>
      </c>
      <c r="K1429" t="s">
        <v>127</v>
      </c>
      <c r="L1429" t="s">
        <v>151</v>
      </c>
      <c r="M1429" t="s">
        <v>156</v>
      </c>
      <c r="N1429">
        <v>1</v>
      </c>
      <c r="O1429" s="89">
        <v>4325.6099999999997</v>
      </c>
      <c r="P1429" s="89">
        <v>118233.34</v>
      </c>
      <c r="Q1429" t="s">
        <v>135</v>
      </c>
      <c r="R1429" t="s">
        <v>131</v>
      </c>
    </row>
    <row r="1430" spans="3:18" hidden="1" x14ac:dyDescent="0.25">
      <c r="C1430" t="s">
        <v>45</v>
      </c>
      <c r="D1430" t="s">
        <v>22</v>
      </c>
      <c r="E1430" t="s">
        <v>40</v>
      </c>
      <c r="F1430" t="s">
        <v>41</v>
      </c>
      <c r="G1430" s="89">
        <v>28628601</v>
      </c>
      <c r="H1430" t="s">
        <v>145</v>
      </c>
      <c r="I1430" t="s">
        <v>126</v>
      </c>
      <c r="J1430" s="89">
        <v>429429015</v>
      </c>
      <c r="K1430" t="s">
        <v>127</v>
      </c>
      <c r="L1430" t="s">
        <v>128</v>
      </c>
      <c r="N1430">
        <v>1</v>
      </c>
      <c r="O1430" s="89">
        <v>858858.03</v>
      </c>
      <c r="P1430" s="89">
        <v>8016008.2800000003</v>
      </c>
      <c r="Q1430" t="s">
        <v>130</v>
      </c>
      <c r="R1430" t="s">
        <v>131</v>
      </c>
    </row>
    <row r="1431" spans="3:18" hidden="1" x14ac:dyDescent="0.25">
      <c r="C1431" t="s">
        <v>45</v>
      </c>
      <c r="D1431" t="s">
        <v>138</v>
      </c>
      <c r="E1431" t="s">
        <v>43</v>
      </c>
      <c r="F1431" t="s">
        <v>41</v>
      </c>
      <c r="G1431" s="89">
        <v>475425</v>
      </c>
      <c r="H1431" t="s">
        <v>42</v>
      </c>
      <c r="I1431" t="s">
        <v>133</v>
      </c>
      <c r="J1431" s="89">
        <v>13787325</v>
      </c>
      <c r="K1431" t="s">
        <v>134</v>
      </c>
      <c r="L1431" t="s">
        <v>128</v>
      </c>
      <c r="M1431" t="s">
        <v>139</v>
      </c>
      <c r="N1431">
        <v>1</v>
      </c>
      <c r="O1431" s="89">
        <v>14262.75</v>
      </c>
      <c r="P1431" s="89">
        <v>228204</v>
      </c>
      <c r="Q1431" t="s">
        <v>142</v>
      </c>
      <c r="R1431" t="s">
        <v>42</v>
      </c>
    </row>
    <row r="1432" spans="3:18" hidden="1" x14ac:dyDescent="0.25">
      <c r="C1432" t="s">
        <v>45</v>
      </c>
      <c r="D1432" t="s">
        <v>24</v>
      </c>
      <c r="E1432" t="s">
        <v>44</v>
      </c>
      <c r="F1432" t="s">
        <v>41</v>
      </c>
      <c r="G1432" s="89">
        <v>69894</v>
      </c>
      <c r="H1432" t="s">
        <v>145</v>
      </c>
      <c r="I1432" t="s">
        <v>126</v>
      </c>
      <c r="J1432" s="89">
        <v>908622</v>
      </c>
      <c r="K1432" t="s">
        <v>144</v>
      </c>
      <c r="N1432">
        <v>1</v>
      </c>
      <c r="O1432" s="89">
        <v>2096.8200000000002</v>
      </c>
      <c r="P1432" s="89">
        <v>55216.26</v>
      </c>
      <c r="Q1432" t="s">
        <v>137</v>
      </c>
      <c r="R1432" t="s">
        <v>131</v>
      </c>
    </row>
    <row r="1433" spans="3:18" x14ac:dyDescent="0.25">
      <c r="C1433" t="s">
        <v>47</v>
      </c>
      <c r="D1433" t="s">
        <v>138</v>
      </c>
      <c r="E1433" t="s">
        <v>40</v>
      </c>
      <c r="F1433" t="s">
        <v>41</v>
      </c>
      <c r="G1433" s="89">
        <v>5209688</v>
      </c>
      <c r="H1433" t="s">
        <v>140</v>
      </c>
      <c r="I1433" t="s">
        <v>141</v>
      </c>
      <c r="J1433" s="89">
        <v>31258128</v>
      </c>
      <c r="K1433" t="s">
        <v>127</v>
      </c>
      <c r="L1433" t="s">
        <v>128</v>
      </c>
      <c r="N1433">
        <v>1</v>
      </c>
      <c r="O1433" s="89">
        <v>260484.4</v>
      </c>
      <c r="P1433" s="89">
        <v>3698878.48</v>
      </c>
      <c r="Q1433" t="s">
        <v>137</v>
      </c>
      <c r="R1433" t="s">
        <v>131</v>
      </c>
    </row>
    <row r="1434" spans="3:18" hidden="1" x14ac:dyDescent="0.25">
      <c r="C1434" t="s">
        <v>45</v>
      </c>
      <c r="D1434" t="s">
        <v>21</v>
      </c>
      <c r="E1434" t="s">
        <v>43</v>
      </c>
      <c r="F1434" t="s">
        <v>41</v>
      </c>
      <c r="G1434" s="89">
        <v>26921444</v>
      </c>
      <c r="H1434" t="s">
        <v>132</v>
      </c>
      <c r="I1434" t="s">
        <v>126</v>
      </c>
      <c r="J1434" s="89">
        <v>457664548</v>
      </c>
      <c r="K1434" t="s">
        <v>127</v>
      </c>
      <c r="L1434" t="s">
        <v>128</v>
      </c>
      <c r="N1434">
        <v>1</v>
      </c>
      <c r="O1434" s="89">
        <v>807643.32</v>
      </c>
      <c r="P1434" s="89">
        <v>18037367.48</v>
      </c>
      <c r="Q1434" t="s">
        <v>137</v>
      </c>
      <c r="R1434" t="s">
        <v>131</v>
      </c>
    </row>
    <row r="1435" spans="3:18" x14ac:dyDescent="0.25">
      <c r="C1435" t="s">
        <v>47</v>
      </c>
      <c r="D1435" t="s">
        <v>138</v>
      </c>
      <c r="E1435" t="s">
        <v>40</v>
      </c>
      <c r="F1435" t="s">
        <v>41</v>
      </c>
      <c r="G1435" s="89">
        <v>198126</v>
      </c>
      <c r="H1435" t="s">
        <v>146</v>
      </c>
      <c r="I1435" t="s">
        <v>141</v>
      </c>
      <c r="J1435" s="89">
        <v>1386882</v>
      </c>
      <c r="K1435" t="s">
        <v>127</v>
      </c>
      <c r="L1435" t="s">
        <v>128</v>
      </c>
      <c r="N1435">
        <v>1</v>
      </c>
      <c r="O1435" s="89">
        <v>9906.2999999999993</v>
      </c>
      <c r="P1435" s="89">
        <v>63400.32</v>
      </c>
      <c r="Q1435" t="s">
        <v>130</v>
      </c>
      <c r="R1435" t="s">
        <v>131</v>
      </c>
    </row>
    <row r="1436" spans="3:18" hidden="1" x14ac:dyDescent="0.25">
      <c r="C1436" t="s">
        <v>45</v>
      </c>
      <c r="D1436" t="s">
        <v>22</v>
      </c>
      <c r="E1436" t="s">
        <v>43</v>
      </c>
      <c r="F1436" t="s">
        <v>41</v>
      </c>
      <c r="G1436" s="89">
        <v>84613</v>
      </c>
      <c r="H1436" t="s">
        <v>146</v>
      </c>
      <c r="I1436" t="s">
        <v>133</v>
      </c>
      <c r="J1436" s="89">
        <v>1946099</v>
      </c>
      <c r="K1436" t="s">
        <v>127</v>
      </c>
      <c r="L1436" t="s">
        <v>151</v>
      </c>
      <c r="N1436">
        <v>1</v>
      </c>
      <c r="O1436" s="89">
        <v>2538.39</v>
      </c>
      <c r="P1436" s="89">
        <v>43998.76</v>
      </c>
      <c r="Q1436" t="s">
        <v>142</v>
      </c>
      <c r="R1436" t="s">
        <v>131</v>
      </c>
    </row>
    <row r="1437" spans="3:18" hidden="1" x14ac:dyDescent="0.25">
      <c r="C1437" t="s">
        <v>45</v>
      </c>
      <c r="D1437" t="s">
        <v>24</v>
      </c>
      <c r="E1437" t="s">
        <v>48</v>
      </c>
      <c r="F1437" t="s">
        <v>41</v>
      </c>
      <c r="G1437" s="89">
        <v>7252920</v>
      </c>
      <c r="H1437" t="s">
        <v>42</v>
      </c>
      <c r="I1437" t="s">
        <v>133</v>
      </c>
      <c r="J1437" s="89">
        <v>239346360</v>
      </c>
      <c r="K1437" t="s">
        <v>127</v>
      </c>
      <c r="L1437" t="s">
        <v>128</v>
      </c>
      <c r="M1437" t="s">
        <v>148</v>
      </c>
      <c r="N1437">
        <v>1</v>
      </c>
      <c r="O1437" s="89">
        <v>217587.6</v>
      </c>
      <c r="P1437" s="89">
        <v>5149573.2</v>
      </c>
      <c r="Q1437" t="s">
        <v>137</v>
      </c>
      <c r="R1437" t="s">
        <v>42</v>
      </c>
    </row>
    <row r="1438" spans="3:18" hidden="1" x14ac:dyDescent="0.25">
      <c r="C1438" t="s">
        <v>45</v>
      </c>
      <c r="D1438" t="s">
        <v>23</v>
      </c>
      <c r="E1438" t="s">
        <v>48</v>
      </c>
      <c r="F1438" t="s">
        <v>41</v>
      </c>
      <c r="G1438" s="89">
        <v>3772051</v>
      </c>
      <c r="H1438" t="s">
        <v>42</v>
      </c>
      <c r="I1438" t="s">
        <v>133</v>
      </c>
      <c r="J1438" s="89">
        <v>101845377</v>
      </c>
      <c r="K1438" t="s">
        <v>127</v>
      </c>
      <c r="L1438" t="s">
        <v>128</v>
      </c>
      <c r="M1438" t="s">
        <v>152</v>
      </c>
      <c r="N1438">
        <v>1</v>
      </c>
      <c r="O1438" s="89">
        <v>113161.53</v>
      </c>
      <c r="P1438" s="89">
        <v>1056174.28</v>
      </c>
      <c r="Q1438" t="s">
        <v>130</v>
      </c>
      <c r="R1438" t="s">
        <v>42</v>
      </c>
    </row>
    <row r="1439" spans="3:18" hidden="1" x14ac:dyDescent="0.25">
      <c r="C1439" t="s">
        <v>45</v>
      </c>
      <c r="D1439" t="s">
        <v>24</v>
      </c>
      <c r="E1439" t="s">
        <v>44</v>
      </c>
      <c r="F1439" t="s">
        <v>41</v>
      </c>
      <c r="G1439" s="89">
        <v>507525</v>
      </c>
      <c r="H1439" t="s">
        <v>145</v>
      </c>
      <c r="I1439" t="s">
        <v>133</v>
      </c>
      <c r="J1439" s="89">
        <v>16240800</v>
      </c>
      <c r="K1439" t="s">
        <v>144</v>
      </c>
      <c r="N1439">
        <v>1</v>
      </c>
      <c r="O1439" s="89">
        <v>15225.75</v>
      </c>
      <c r="P1439" s="89">
        <v>365418</v>
      </c>
      <c r="Q1439" t="s">
        <v>137</v>
      </c>
      <c r="R1439" t="s">
        <v>131</v>
      </c>
    </row>
    <row r="1440" spans="3:18" hidden="1" x14ac:dyDescent="0.25">
      <c r="C1440" t="s">
        <v>45</v>
      </c>
      <c r="D1440" t="s">
        <v>23</v>
      </c>
      <c r="E1440" t="s">
        <v>48</v>
      </c>
      <c r="F1440" t="s">
        <v>41</v>
      </c>
      <c r="G1440" s="89">
        <v>3211314</v>
      </c>
      <c r="H1440" t="s">
        <v>132</v>
      </c>
      <c r="I1440" t="s">
        <v>126</v>
      </c>
      <c r="J1440" s="89">
        <v>51381024</v>
      </c>
      <c r="K1440" t="s">
        <v>127</v>
      </c>
      <c r="L1440" t="s">
        <v>128</v>
      </c>
      <c r="N1440">
        <v>1</v>
      </c>
      <c r="O1440" s="89">
        <v>96339.42</v>
      </c>
      <c r="P1440" s="89">
        <v>1605657</v>
      </c>
      <c r="Q1440" t="s">
        <v>142</v>
      </c>
      <c r="R1440" t="s">
        <v>131</v>
      </c>
    </row>
    <row r="1441" spans="3:18" hidden="1" x14ac:dyDescent="0.25">
      <c r="C1441" t="s">
        <v>45</v>
      </c>
      <c r="D1441" t="s">
        <v>24</v>
      </c>
      <c r="E1441" t="s">
        <v>48</v>
      </c>
      <c r="F1441" t="s">
        <v>41</v>
      </c>
      <c r="G1441" s="89">
        <v>5152</v>
      </c>
      <c r="H1441" t="s">
        <v>145</v>
      </c>
      <c r="I1441" t="s">
        <v>147</v>
      </c>
      <c r="J1441" s="89"/>
      <c r="K1441" t="s">
        <v>127</v>
      </c>
      <c r="L1441" t="s">
        <v>128</v>
      </c>
      <c r="N1441">
        <v>0</v>
      </c>
      <c r="O1441" s="89">
        <v>103.04</v>
      </c>
      <c r="P1441" s="89">
        <v>51.52</v>
      </c>
      <c r="Q1441" t="s">
        <v>130</v>
      </c>
      <c r="R1441" t="s">
        <v>131</v>
      </c>
    </row>
    <row r="1442" spans="3:18" hidden="1" x14ac:dyDescent="0.25">
      <c r="C1442" t="s">
        <v>45</v>
      </c>
      <c r="D1442" t="s">
        <v>149</v>
      </c>
      <c r="E1442" t="s">
        <v>43</v>
      </c>
      <c r="F1442" t="s">
        <v>41</v>
      </c>
      <c r="G1442" s="89">
        <v>612052</v>
      </c>
      <c r="H1442" t="s">
        <v>140</v>
      </c>
      <c r="I1442" t="s">
        <v>126</v>
      </c>
      <c r="J1442" s="89">
        <v>8568728</v>
      </c>
      <c r="K1442" t="s">
        <v>144</v>
      </c>
      <c r="N1442">
        <v>1</v>
      </c>
      <c r="O1442" s="89">
        <v>18361.560000000001</v>
      </c>
      <c r="P1442" s="89">
        <v>452918.48</v>
      </c>
      <c r="Q1442" t="s">
        <v>137</v>
      </c>
      <c r="R1442" t="s">
        <v>131</v>
      </c>
    </row>
    <row r="1443" spans="3:18" hidden="1" x14ac:dyDescent="0.25">
      <c r="C1443" t="s">
        <v>45</v>
      </c>
      <c r="D1443" t="s">
        <v>19</v>
      </c>
      <c r="E1443" t="s">
        <v>43</v>
      </c>
      <c r="F1443" t="s">
        <v>41</v>
      </c>
      <c r="G1443" s="89">
        <v>155425</v>
      </c>
      <c r="H1443" t="s">
        <v>42</v>
      </c>
      <c r="I1443" t="s">
        <v>133</v>
      </c>
      <c r="J1443" s="89">
        <v>4041050</v>
      </c>
      <c r="K1443" t="s">
        <v>127</v>
      </c>
      <c r="L1443" t="s">
        <v>128</v>
      </c>
      <c r="M1443" t="s">
        <v>139</v>
      </c>
      <c r="N1443">
        <v>1</v>
      </c>
      <c r="O1443" s="89">
        <v>4662.75</v>
      </c>
      <c r="P1443" s="89">
        <v>52844.5</v>
      </c>
      <c r="Q1443" t="s">
        <v>130</v>
      </c>
      <c r="R1443" t="s">
        <v>42</v>
      </c>
    </row>
    <row r="1444" spans="3:18" x14ac:dyDescent="0.25">
      <c r="C1444" t="s">
        <v>47</v>
      </c>
      <c r="D1444" t="s">
        <v>19</v>
      </c>
      <c r="E1444" t="s">
        <v>43</v>
      </c>
      <c r="F1444" t="s">
        <v>41</v>
      </c>
      <c r="G1444" s="89">
        <v>3</v>
      </c>
      <c r="H1444" t="s">
        <v>42</v>
      </c>
      <c r="I1444" t="s">
        <v>126</v>
      </c>
      <c r="J1444" s="89">
        <v>33</v>
      </c>
      <c r="K1444" t="s">
        <v>144</v>
      </c>
      <c r="N1444">
        <v>1</v>
      </c>
      <c r="O1444" s="89">
        <v>0.12</v>
      </c>
      <c r="P1444" s="89">
        <v>4.5</v>
      </c>
      <c r="Q1444" t="s">
        <v>150</v>
      </c>
      <c r="R1444" t="s">
        <v>131</v>
      </c>
    </row>
    <row r="1445" spans="3:18" hidden="1" x14ac:dyDescent="0.25">
      <c r="C1445" t="s">
        <v>45</v>
      </c>
      <c r="D1445" t="s">
        <v>23</v>
      </c>
      <c r="E1445" t="s">
        <v>48</v>
      </c>
      <c r="F1445" t="s">
        <v>41</v>
      </c>
      <c r="G1445" s="89">
        <v>729</v>
      </c>
      <c r="H1445" t="s">
        <v>145</v>
      </c>
      <c r="I1445" t="s">
        <v>141</v>
      </c>
      <c r="J1445" s="89">
        <v>4374</v>
      </c>
      <c r="K1445" t="s">
        <v>127</v>
      </c>
      <c r="L1445" t="s">
        <v>128</v>
      </c>
      <c r="N1445">
        <v>1</v>
      </c>
      <c r="O1445" s="89">
        <v>21.87</v>
      </c>
      <c r="P1445" s="89">
        <v>1093.5</v>
      </c>
      <c r="Q1445" t="s">
        <v>150</v>
      </c>
      <c r="R1445" t="s">
        <v>131</v>
      </c>
    </row>
    <row r="1446" spans="3:18" hidden="1" x14ac:dyDescent="0.25">
      <c r="C1446" t="s">
        <v>45</v>
      </c>
      <c r="D1446" t="s">
        <v>20</v>
      </c>
      <c r="E1446" t="s">
        <v>43</v>
      </c>
      <c r="F1446" t="s">
        <v>41</v>
      </c>
      <c r="G1446" s="89">
        <v>259964</v>
      </c>
      <c r="H1446" t="s">
        <v>42</v>
      </c>
      <c r="I1446" t="s">
        <v>133</v>
      </c>
      <c r="J1446" s="89">
        <v>5459244</v>
      </c>
      <c r="K1446" t="s">
        <v>134</v>
      </c>
      <c r="N1446">
        <v>1</v>
      </c>
      <c r="O1446" s="89">
        <v>7798.92</v>
      </c>
      <c r="P1446" s="89">
        <v>202771.92</v>
      </c>
      <c r="Q1446" t="s">
        <v>137</v>
      </c>
      <c r="R1446" t="s">
        <v>42</v>
      </c>
    </row>
    <row r="1447" spans="3:18" x14ac:dyDescent="0.25">
      <c r="C1447" t="s">
        <v>47</v>
      </c>
      <c r="D1447" t="s">
        <v>24</v>
      </c>
      <c r="E1447" t="s">
        <v>48</v>
      </c>
      <c r="F1447" t="s">
        <v>41</v>
      </c>
      <c r="G1447" s="89">
        <v>4101350</v>
      </c>
      <c r="H1447" t="s">
        <v>146</v>
      </c>
      <c r="I1447" t="s">
        <v>126</v>
      </c>
      <c r="J1447" s="89">
        <v>45114850</v>
      </c>
      <c r="K1447" t="s">
        <v>127</v>
      </c>
      <c r="L1447" t="s">
        <v>128</v>
      </c>
      <c r="N1447">
        <v>1</v>
      </c>
      <c r="O1447" s="89">
        <v>123040.5</v>
      </c>
      <c r="P1447" s="89">
        <v>2788918</v>
      </c>
      <c r="Q1447" t="s">
        <v>137</v>
      </c>
      <c r="R1447" t="s">
        <v>131</v>
      </c>
    </row>
    <row r="1448" spans="3:18" hidden="1" x14ac:dyDescent="0.25">
      <c r="C1448" t="s">
        <v>45</v>
      </c>
      <c r="D1448" t="s">
        <v>22</v>
      </c>
      <c r="E1448" t="s">
        <v>46</v>
      </c>
      <c r="F1448" t="s">
        <v>41</v>
      </c>
      <c r="G1448" s="89">
        <v>54567</v>
      </c>
      <c r="H1448" t="s">
        <v>42</v>
      </c>
      <c r="I1448" t="s">
        <v>133</v>
      </c>
      <c r="J1448" s="89">
        <v>1200474</v>
      </c>
      <c r="K1448" t="s">
        <v>127</v>
      </c>
      <c r="L1448" t="s">
        <v>128</v>
      </c>
      <c r="M1448" t="s">
        <v>129</v>
      </c>
      <c r="N1448">
        <v>1</v>
      </c>
      <c r="O1448" s="89">
        <v>1637.01</v>
      </c>
      <c r="P1448" s="89">
        <v>30557.52</v>
      </c>
      <c r="Q1448" t="s">
        <v>142</v>
      </c>
      <c r="R1448" t="s">
        <v>42</v>
      </c>
    </row>
    <row r="1449" spans="3:18" x14ac:dyDescent="0.25">
      <c r="C1449" t="s">
        <v>47</v>
      </c>
      <c r="D1449" t="s">
        <v>138</v>
      </c>
      <c r="E1449" t="s">
        <v>48</v>
      </c>
      <c r="F1449" t="s">
        <v>41</v>
      </c>
      <c r="G1449" s="89">
        <v>191871</v>
      </c>
      <c r="H1449" t="s">
        <v>42</v>
      </c>
      <c r="I1449" t="s">
        <v>126</v>
      </c>
      <c r="J1449" s="89">
        <v>2110581</v>
      </c>
      <c r="K1449" t="s">
        <v>127</v>
      </c>
      <c r="L1449" t="s">
        <v>128</v>
      </c>
      <c r="M1449" t="s">
        <v>139</v>
      </c>
      <c r="N1449">
        <v>1</v>
      </c>
      <c r="O1449" s="89">
        <v>7674.84</v>
      </c>
      <c r="P1449" s="89">
        <v>184196.16</v>
      </c>
      <c r="Q1449" t="s">
        <v>135</v>
      </c>
      <c r="R1449" t="s">
        <v>131</v>
      </c>
    </row>
    <row r="1450" spans="3:18" hidden="1" x14ac:dyDescent="0.25">
      <c r="C1450" t="s">
        <v>45</v>
      </c>
      <c r="D1450" t="s">
        <v>24</v>
      </c>
      <c r="E1450" t="s">
        <v>44</v>
      </c>
      <c r="F1450" t="s">
        <v>41</v>
      </c>
      <c r="G1450" s="89">
        <v>66383</v>
      </c>
      <c r="H1450" t="s">
        <v>132</v>
      </c>
      <c r="I1450" t="s">
        <v>133</v>
      </c>
      <c r="J1450" s="89">
        <v>1792341</v>
      </c>
      <c r="K1450" t="s">
        <v>127</v>
      </c>
      <c r="L1450" t="s">
        <v>128</v>
      </c>
      <c r="N1450">
        <v>1</v>
      </c>
      <c r="O1450" s="89">
        <v>1991.49</v>
      </c>
      <c r="P1450" s="89">
        <v>21906.39</v>
      </c>
      <c r="Q1450" t="s">
        <v>130</v>
      </c>
      <c r="R1450" t="s">
        <v>131</v>
      </c>
    </row>
    <row r="1451" spans="3:18" hidden="1" x14ac:dyDescent="0.25">
      <c r="C1451" t="s">
        <v>45</v>
      </c>
      <c r="D1451" t="s">
        <v>23</v>
      </c>
      <c r="E1451" t="s">
        <v>44</v>
      </c>
      <c r="F1451" t="s">
        <v>41</v>
      </c>
      <c r="G1451" s="89">
        <v>755307</v>
      </c>
      <c r="H1451" t="s">
        <v>140</v>
      </c>
      <c r="I1451" t="s">
        <v>133</v>
      </c>
      <c r="J1451" s="89">
        <v>24169824</v>
      </c>
      <c r="K1451" t="s">
        <v>144</v>
      </c>
      <c r="N1451">
        <v>1</v>
      </c>
      <c r="O1451" s="89">
        <v>22659.21</v>
      </c>
      <c r="P1451" s="89">
        <v>158614.47</v>
      </c>
      <c r="Q1451" t="s">
        <v>130</v>
      </c>
      <c r="R1451" t="s">
        <v>131</v>
      </c>
    </row>
    <row r="1452" spans="3:18" hidden="1" x14ac:dyDescent="0.25">
      <c r="C1452" t="s">
        <v>45</v>
      </c>
      <c r="D1452" t="s">
        <v>24</v>
      </c>
      <c r="E1452" t="s">
        <v>44</v>
      </c>
      <c r="F1452" t="s">
        <v>41</v>
      </c>
      <c r="G1452" s="89">
        <v>128239</v>
      </c>
      <c r="H1452" t="s">
        <v>42</v>
      </c>
      <c r="I1452" t="s">
        <v>133</v>
      </c>
      <c r="J1452" s="89">
        <v>4616604</v>
      </c>
      <c r="K1452" t="s">
        <v>127</v>
      </c>
      <c r="L1452" t="s">
        <v>128</v>
      </c>
      <c r="M1452" t="s">
        <v>129</v>
      </c>
      <c r="N1452">
        <v>1</v>
      </c>
      <c r="O1452" s="89">
        <v>3847.17</v>
      </c>
      <c r="P1452" s="89">
        <v>83355.350000000006</v>
      </c>
      <c r="Q1452" t="s">
        <v>137</v>
      </c>
      <c r="R1452" t="s">
        <v>131</v>
      </c>
    </row>
    <row r="1453" spans="3:18" hidden="1" x14ac:dyDescent="0.25">
      <c r="C1453" t="s">
        <v>45</v>
      </c>
      <c r="D1453" t="s">
        <v>21</v>
      </c>
      <c r="E1453" t="s">
        <v>48</v>
      </c>
      <c r="F1453" t="s">
        <v>41</v>
      </c>
      <c r="G1453" s="89">
        <v>98825</v>
      </c>
      <c r="H1453" t="s">
        <v>42</v>
      </c>
      <c r="I1453" t="s">
        <v>133</v>
      </c>
      <c r="J1453" s="89">
        <v>3063575</v>
      </c>
      <c r="K1453" t="s">
        <v>127</v>
      </c>
      <c r="L1453" t="s">
        <v>128</v>
      </c>
      <c r="M1453" t="s">
        <v>143</v>
      </c>
      <c r="N1453">
        <v>1</v>
      </c>
      <c r="O1453" s="89">
        <v>2964.75</v>
      </c>
      <c r="P1453" s="89">
        <v>26682.75</v>
      </c>
      <c r="Q1453" t="s">
        <v>130</v>
      </c>
      <c r="R1453" t="s">
        <v>42</v>
      </c>
    </row>
    <row r="1454" spans="3:18" hidden="1" x14ac:dyDescent="0.25">
      <c r="C1454" t="s">
        <v>45</v>
      </c>
      <c r="D1454" t="s">
        <v>19</v>
      </c>
      <c r="E1454" t="s">
        <v>43</v>
      </c>
      <c r="F1454" t="s">
        <v>41</v>
      </c>
      <c r="G1454" s="89">
        <v>103710</v>
      </c>
      <c r="H1454" t="s">
        <v>42</v>
      </c>
      <c r="I1454" t="s">
        <v>133</v>
      </c>
      <c r="J1454" s="89">
        <v>4252110</v>
      </c>
      <c r="K1454" t="s">
        <v>127</v>
      </c>
      <c r="L1454" t="s">
        <v>128</v>
      </c>
      <c r="M1454" t="s">
        <v>139</v>
      </c>
      <c r="N1454">
        <v>1</v>
      </c>
      <c r="O1454" s="89">
        <v>3111.3</v>
      </c>
      <c r="P1454" s="89">
        <v>58077.599999999999</v>
      </c>
      <c r="Q1454" t="s">
        <v>142</v>
      </c>
      <c r="R1454" t="s">
        <v>42</v>
      </c>
    </row>
    <row r="1455" spans="3:18" hidden="1" x14ac:dyDescent="0.25">
      <c r="C1455" t="s">
        <v>45</v>
      </c>
      <c r="D1455" t="s">
        <v>22</v>
      </c>
      <c r="E1455" t="s">
        <v>40</v>
      </c>
      <c r="F1455" t="s">
        <v>41</v>
      </c>
      <c r="G1455" s="89">
        <v>257215</v>
      </c>
      <c r="H1455" t="s">
        <v>42</v>
      </c>
      <c r="I1455" t="s">
        <v>141</v>
      </c>
      <c r="J1455" s="89">
        <v>2314935</v>
      </c>
      <c r="K1455" t="s">
        <v>144</v>
      </c>
      <c r="N1455">
        <v>1</v>
      </c>
      <c r="O1455" s="89">
        <v>10288.6</v>
      </c>
      <c r="P1455" s="89">
        <v>167189.75</v>
      </c>
      <c r="Q1455" t="s">
        <v>137</v>
      </c>
      <c r="R1455" t="s">
        <v>131</v>
      </c>
    </row>
    <row r="1456" spans="3:18" hidden="1" x14ac:dyDescent="0.25">
      <c r="C1456" t="s">
        <v>45</v>
      </c>
      <c r="D1456" t="s">
        <v>24</v>
      </c>
      <c r="E1456" t="s">
        <v>44</v>
      </c>
      <c r="F1456" t="s">
        <v>41</v>
      </c>
      <c r="G1456" s="89">
        <v>284214</v>
      </c>
      <c r="H1456" t="s">
        <v>42</v>
      </c>
      <c r="I1456" t="s">
        <v>126</v>
      </c>
      <c r="J1456" s="89">
        <v>4831638</v>
      </c>
      <c r="K1456" t="s">
        <v>127</v>
      </c>
      <c r="L1456" t="s">
        <v>128</v>
      </c>
      <c r="M1456" t="s">
        <v>148</v>
      </c>
      <c r="N1456">
        <v>1</v>
      </c>
      <c r="O1456" s="89">
        <v>8526.42</v>
      </c>
      <c r="P1456" s="89">
        <v>235897.62</v>
      </c>
      <c r="Q1456" t="s">
        <v>135</v>
      </c>
      <c r="R1456" t="s">
        <v>42</v>
      </c>
    </row>
    <row r="1457" spans="3:18" x14ac:dyDescent="0.25">
      <c r="C1457" t="s">
        <v>47</v>
      </c>
      <c r="D1457" t="s">
        <v>138</v>
      </c>
      <c r="E1457" t="s">
        <v>40</v>
      </c>
      <c r="F1457" t="s">
        <v>41</v>
      </c>
      <c r="G1457" s="89">
        <v>39927</v>
      </c>
      <c r="H1457" t="s">
        <v>42</v>
      </c>
      <c r="I1457" t="s">
        <v>126</v>
      </c>
      <c r="J1457" s="89">
        <v>558978</v>
      </c>
      <c r="K1457" t="s">
        <v>127</v>
      </c>
      <c r="L1457" t="s">
        <v>128</v>
      </c>
      <c r="M1457" t="s">
        <v>129</v>
      </c>
      <c r="N1457">
        <v>1</v>
      </c>
      <c r="O1457" s="89">
        <v>1197.81</v>
      </c>
      <c r="P1457" s="89">
        <v>23556.93</v>
      </c>
      <c r="Q1457" t="s">
        <v>142</v>
      </c>
      <c r="R1457" t="s">
        <v>131</v>
      </c>
    </row>
    <row r="1458" spans="3:18" hidden="1" x14ac:dyDescent="0.25">
      <c r="C1458" t="s">
        <v>45</v>
      </c>
      <c r="D1458" t="s">
        <v>138</v>
      </c>
      <c r="E1458" t="s">
        <v>43</v>
      </c>
      <c r="F1458" t="s">
        <v>41</v>
      </c>
      <c r="G1458" s="89">
        <v>170090</v>
      </c>
      <c r="H1458" t="s">
        <v>42</v>
      </c>
      <c r="I1458" t="s">
        <v>126</v>
      </c>
      <c r="J1458" s="89">
        <v>2211170</v>
      </c>
      <c r="K1458" t="s">
        <v>127</v>
      </c>
      <c r="L1458" t="s">
        <v>128</v>
      </c>
      <c r="M1458" t="s">
        <v>129</v>
      </c>
      <c r="N1458">
        <v>1</v>
      </c>
      <c r="O1458" s="89">
        <v>6803.6</v>
      </c>
      <c r="P1458" s="89">
        <v>37419.800000000003</v>
      </c>
      <c r="Q1458" t="s">
        <v>130</v>
      </c>
      <c r="R1458" t="s">
        <v>42</v>
      </c>
    </row>
    <row r="1459" spans="3:18" hidden="1" x14ac:dyDescent="0.25">
      <c r="C1459" t="s">
        <v>45</v>
      </c>
      <c r="D1459" t="s">
        <v>22</v>
      </c>
      <c r="E1459" t="s">
        <v>40</v>
      </c>
      <c r="F1459" t="s">
        <v>41</v>
      </c>
      <c r="G1459" s="89">
        <v>3408851</v>
      </c>
      <c r="H1459" t="s">
        <v>42</v>
      </c>
      <c r="I1459" t="s">
        <v>126</v>
      </c>
      <c r="J1459" s="89">
        <v>51132765</v>
      </c>
      <c r="K1459" t="s">
        <v>127</v>
      </c>
      <c r="L1459" t="s">
        <v>128</v>
      </c>
      <c r="M1459" t="s">
        <v>143</v>
      </c>
      <c r="N1459">
        <v>1</v>
      </c>
      <c r="O1459" s="89">
        <v>102265.53</v>
      </c>
      <c r="P1459" s="89">
        <v>852212.75</v>
      </c>
      <c r="Q1459" t="s">
        <v>130</v>
      </c>
      <c r="R1459" t="s">
        <v>42</v>
      </c>
    </row>
    <row r="1460" spans="3:18" hidden="1" x14ac:dyDescent="0.25">
      <c r="C1460" t="s">
        <v>45</v>
      </c>
      <c r="D1460" t="s">
        <v>23</v>
      </c>
      <c r="E1460" t="s">
        <v>43</v>
      </c>
      <c r="F1460" t="s">
        <v>41</v>
      </c>
      <c r="G1460" s="89">
        <v>287468</v>
      </c>
      <c r="H1460" t="s">
        <v>145</v>
      </c>
      <c r="I1460" t="s">
        <v>133</v>
      </c>
      <c r="J1460" s="89">
        <v>7761636</v>
      </c>
      <c r="K1460" t="s">
        <v>144</v>
      </c>
      <c r="N1460">
        <v>1</v>
      </c>
      <c r="O1460" s="89">
        <v>8624.0400000000009</v>
      </c>
      <c r="P1460" s="89">
        <v>149483.35999999999</v>
      </c>
      <c r="Q1460" t="s">
        <v>142</v>
      </c>
      <c r="R1460" t="s">
        <v>131</v>
      </c>
    </row>
    <row r="1461" spans="3:18" x14ac:dyDescent="0.25">
      <c r="C1461" t="s">
        <v>47</v>
      </c>
      <c r="D1461" t="s">
        <v>20</v>
      </c>
      <c r="E1461" t="s">
        <v>43</v>
      </c>
      <c r="F1461" t="s">
        <v>41</v>
      </c>
      <c r="G1461" s="89">
        <v>654961</v>
      </c>
      <c r="H1461" t="s">
        <v>42</v>
      </c>
      <c r="I1461" t="s">
        <v>141</v>
      </c>
      <c r="J1461" s="89">
        <v>5894649</v>
      </c>
      <c r="K1461" t="s">
        <v>127</v>
      </c>
      <c r="L1461" t="s">
        <v>128</v>
      </c>
      <c r="M1461" t="s">
        <v>139</v>
      </c>
      <c r="N1461">
        <v>1</v>
      </c>
      <c r="O1461" s="89">
        <v>13099.22</v>
      </c>
      <c r="P1461" s="89">
        <v>340579.72</v>
      </c>
      <c r="Q1461" t="s">
        <v>142</v>
      </c>
      <c r="R1461" t="s">
        <v>131</v>
      </c>
    </row>
    <row r="1462" spans="3:18" hidden="1" x14ac:dyDescent="0.25">
      <c r="C1462" t="s">
        <v>45</v>
      </c>
      <c r="D1462" t="s">
        <v>24</v>
      </c>
      <c r="E1462" t="s">
        <v>46</v>
      </c>
      <c r="F1462" t="s">
        <v>41</v>
      </c>
      <c r="G1462" s="89">
        <v>31380</v>
      </c>
      <c r="H1462" t="s">
        <v>42</v>
      </c>
      <c r="I1462" t="s">
        <v>126</v>
      </c>
      <c r="J1462" s="89">
        <v>533460</v>
      </c>
      <c r="K1462" t="s">
        <v>127</v>
      </c>
      <c r="L1462" t="s">
        <v>128</v>
      </c>
      <c r="M1462" t="s">
        <v>148</v>
      </c>
      <c r="N1462">
        <v>1</v>
      </c>
      <c r="O1462" s="89">
        <v>1569</v>
      </c>
      <c r="P1462" s="89">
        <v>18828</v>
      </c>
      <c r="Q1462" t="s">
        <v>137</v>
      </c>
      <c r="R1462" t="s">
        <v>131</v>
      </c>
    </row>
    <row r="1463" spans="3:18" hidden="1" x14ac:dyDescent="0.25">
      <c r="C1463" t="s">
        <v>45</v>
      </c>
      <c r="D1463" t="s">
        <v>24</v>
      </c>
      <c r="E1463" t="s">
        <v>44</v>
      </c>
      <c r="F1463" t="s">
        <v>41</v>
      </c>
      <c r="G1463" s="89">
        <v>45091</v>
      </c>
      <c r="H1463" t="s">
        <v>42</v>
      </c>
      <c r="I1463" t="s">
        <v>133</v>
      </c>
      <c r="J1463" s="89">
        <v>1533094</v>
      </c>
      <c r="K1463" t="s">
        <v>134</v>
      </c>
      <c r="L1463" t="s">
        <v>128</v>
      </c>
      <c r="M1463" t="s">
        <v>148</v>
      </c>
      <c r="N1463">
        <v>1</v>
      </c>
      <c r="O1463" s="89">
        <v>1803.64</v>
      </c>
      <c r="P1463" s="89">
        <v>14880.03</v>
      </c>
      <c r="Q1463" t="s">
        <v>130</v>
      </c>
      <c r="R1463" t="s">
        <v>42</v>
      </c>
    </row>
    <row r="1464" spans="3:18" hidden="1" x14ac:dyDescent="0.25">
      <c r="C1464" t="s">
        <v>45</v>
      </c>
      <c r="D1464" t="s">
        <v>23</v>
      </c>
      <c r="E1464" t="s">
        <v>48</v>
      </c>
      <c r="F1464" t="s">
        <v>41</v>
      </c>
      <c r="G1464" s="89">
        <v>9593856</v>
      </c>
      <c r="H1464" t="s">
        <v>42</v>
      </c>
      <c r="I1464" t="s">
        <v>133</v>
      </c>
      <c r="J1464" s="89">
        <v>268627968</v>
      </c>
      <c r="K1464" t="s">
        <v>127</v>
      </c>
      <c r="L1464" t="s">
        <v>128</v>
      </c>
      <c r="M1464" t="s">
        <v>152</v>
      </c>
      <c r="N1464">
        <v>1</v>
      </c>
      <c r="O1464" s="89">
        <v>287815.67999999999</v>
      </c>
      <c r="P1464" s="89">
        <v>2974095.3599999999</v>
      </c>
      <c r="Q1464" t="s">
        <v>130</v>
      </c>
      <c r="R1464" t="s">
        <v>131</v>
      </c>
    </row>
    <row r="1465" spans="3:18" hidden="1" x14ac:dyDescent="0.25">
      <c r="C1465" t="s">
        <v>45</v>
      </c>
      <c r="D1465" t="s">
        <v>149</v>
      </c>
      <c r="E1465" t="s">
        <v>43</v>
      </c>
      <c r="F1465" t="s">
        <v>41</v>
      </c>
      <c r="G1465" s="89">
        <v>1375263</v>
      </c>
      <c r="H1465" t="s">
        <v>42</v>
      </c>
      <c r="I1465" t="s">
        <v>133</v>
      </c>
      <c r="J1465" s="89">
        <v>42633153</v>
      </c>
      <c r="K1465" t="s">
        <v>127</v>
      </c>
      <c r="L1465" t="s">
        <v>128</v>
      </c>
      <c r="M1465" t="s">
        <v>143</v>
      </c>
      <c r="N1465">
        <v>1</v>
      </c>
      <c r="O1465" s="89">
        <v>41257.89</v>
      </c>
      <c r="P1465" s="89">
        <v>756394.65</v>
      </c>
      <c r="Q1465" t="s">
        <v>142</v>
      </c>
      <c r="R1465" t="s">
        <v>131</v>
      </c>
    </row>
    <row r="1466" spans="3:18" x14ac:dyDescent="0.25">
      <c r="C1466" t="s">
        <v>47</v>
      </c>
      <c r="D1466" t="s">
        <v>138</v>
      </c>
      <c r="E1466" t="s">
        <v>43</v>
      </c>
      <c r="F1466" t="s">
        <v>41</v>
      </c>
      <c r="G1466" s="89">
        <v>480818</v>
      </c>
      <c r="H1466" t="s">
        <v>42</v>
      </c>
      <c r="I1466" t="s">
        <v>147</v>
      </c>
      <c r="J1466" s="89">
        <v>1442454</v>
      </c>
      <c r="K1466" t="s">
        <v>127</v>
      </c>
      <c r="L1466" t="s">
        <v>128</v>
      </c>
      <c r="M1466" t="s">
        <v>139</v>
      </c>
      <c r="N1466">
        <v>1</v>
      </c>
      <c r="O1466" s="89">
        <v>24040.9</v>
      </c>
      <c r="P1466" s="89">
        <v>245217.18</v>
      </c>
      <c r="Q1466" t="s">
        <v>142</v>
      </c>
      <c r="R1466" t="s">
        <v>42</v>
      </c>
    </row>
    <row r="1467" spans="3:18" hidden="1" x14ac:dyDescent="0.25">
      <c r="C1467" t="s">
        <v>45</v>
      </c>
      <c r="D1467" t="s">
        <v>23</v>
      </c>
      <c r="E1467" t="s">
        <v>44</v>
      </c>
      <c r="F1467" t="s">
        <v>41</v>
      </c>
      <c r="G1467" s="89">
        <v>85312</v>
      </c>
      <c r="H1467" t="s">
        <v>42</v>
      </c>
      <c r="I1467" t="s">
        <v>133</v>
      </c>
      <c r="J1467" s="89">
        <v>1791552</v>
      </c>
      <c r="K1467" t="s">
        <v>134</v>
      </c>
      <c r="L1467" t="s">
        <v>128</v>
      </c>
      <c r="M1467" t="s">
        <v>152</v>
      </c>
      <c r="N1467">
        <v>1</v>
      </c>
      <c r="O1467" s="89">
        <v>2559.36</v>
      </c>
      <c r="P1467" s="89">
        <v>59718.400000000001</v>
      </c>
      <c r="Q1467" t="s">
        <v>137</v>
      </c>
      <c r="R1467" t="s">
        <v>42</v>
      </c>
    </row>
    <row r="1468" spans="3:18" hidden="1" x14ac:dyDescent="0.25">
      <c r="C1468" t="s">
        <v>45</v>
      </c>
      <c r="D1468" t="s">
        <v>23</v>
      </c>
      <c r="E1468" t="s">
        <v>48</v>
      </c>
      <c r="F1468" t="s">
        <v>41</v>
      </c>
      <c r="G1468" s="89">
        <v>8648370</v>
      </c>
      <c r="H1468" t="s">
        <v>140</v>
      </c>
      <c r="I1468" t="s">
        <v>126</v>
      </c>
      <c r="J1468" s="89">
        <v>147022290</v>
      </c>
      <c r="K1468" t="s">
        <v>127</v>
      </c>
      <c r="L1468" t="s">
        <v>128</v>
      </c>
      <c r="N1468">
        <v>1</v>
      </c>
      <c r="O1468" s="89">
        <v>345934.8</v>
      </c>
      <c r="P1468" s="89">
        <v>5707924.2000000002</v>
      </c>
      <c r="Q1468" t="s">
        <v>137</v>
      </c>
      <c r="R1468" t="s">
        <v>131</v>
      </c>
    </row>
    <row r="1469" spans="3:18" hidden="1" x14ac:dyDescent="0.25">
      <c r="C1469" t="s">
        <v>45</v>
      </c>
      <c r="D1469" t="s">
        <v>23</v>
      </c>
      <c r="E1469" t="s">
        <v>48</v>
      </c>
      <c r="F1469" t="s">
        <v>41</v>
      </c>
      <c r="G1469" s="89">
        <v>115580</v>
      </c>
      <c r="H1469" t="s">
        <v>42</v>
      </c>
      <c r="I1469" t="s">
        <v>133</v>
      </c>
      <c r="J1469" s="89">
        <v>3814140</v>
      </c>
      <c r="K1469" t="s">
        <v>134</v>
      </c>
      <c r="L1469" t="s">
        <v>128</v>
      </c>
      <c r="M1469" t="s">
        <v>152</v>
      </c>
      <c r="N1469">
        <v>1</v>
      </c>
      <c r="O1469" s="89">
        <v>2311.6</v>
      </c>
      <c r="P1469" s="89">
        <v>64724.800000000003</v>
      </c>
      <c r="Q1469" t="s">
        <v>142</v>
      </c>
      <c r="R1469" t="s">
        <v>42</v>
      </c>
    </row>
    <row r="1470" spans="3:18" hidden="1" x14ac:dyDescent="0.25">
      <c r="C1470" t="s">
        <v>45</v>
      </c>
      <c r="D1470" t="s">
        <v>22</v>
      </c>
      <c r="E1470" t="s">
        <v>44</v>
      </c>
      <c r="F1470" t="s">
        <v>41</v>
      </c>
      <c r="G1470" s="89">
        <v>786989</v>
      </c>
      <c r="H1470" t="s">
        <v>42</v>
      </c>
      <c r="I1470" t="s">
        <v>126</v>
      </c>
      <c r="J1470" s="89">
        <v>12591824</v>
      </c>
      <c r="K1470" t="s">
        <v>144</v>
      </c>
      <c r="N1470">
        <v>1</v>
      </c>
      <c r="O1470" s="89">
        <v>23609.67</v>
      </c>
      <c r="P1470" s="89">
        <v>220356.92</v>
      </c>
      <c r="Q1470" t="s">
        <v>130</v>
      </c>
      <c r="R1470" t="s">
        <v>42</v>
      </c>
    </row>
    <row r="1471" spans="3:18" x14ac:dyDescent="0.25">
      <c r="C1471" t="s">
        <v>47</v>
      </c>
      <c r="D1471" t="s">
        <v>138</v>
      </c>
      <c r="E1471" t="s">
        <v>48</v>
      </c>
      <c r="F1471" t="s">
        <v>41</v>
      </c>
      <c r="G1471" s="89">
        <v>206109</v>
      </c>
      <c r="H1471" t="s">
        <v>42</v>
      </c>
      <c r="I1471" t="s">
        <v>141</v>
      </c>
      <c r="J1471" s="89">
        <v>1236654</v>
      </c>
      <c r="K1471" t="s">
        <v>127</v>
      </c>
      <c r="L1471" t="s">
        <v>128</v>
      </c>
      <c r="M1471" t="s">
        <v>139</v>
      </c>
      <c r="N1471">
        <v>1</v>
      </c>
      <c r="O1471" s="89">
        <v>10305.450000000001</v>
      </c>
      <c r="P1471" s="89">
        <v>65954.880000000005</v>
      </c>
      <c r="Q1471" t="s">
        <v>130</v>
      </c>
      <c r="R1471" t="s">
        <v>131</v>
      </c>
    </row>
    <row r="1472" spans="3:18" x14ac:dyDescent="0.25">
      <c r="C1472" t="s">
        <v>47</v>
      </c>
      <c r="D1472" t="s">
        <v>21</v>
      </c>
      <c r="E1472" t="s">
        <v>40</v>
      </c>
      <c r="F1472" t="s">
        <v>41</v>
      </c>
      <c r="G1472" s="89">
        <v>307708</v>
      </c>
      <c r="H1472" t="s">
        <v>146</v>
      </c>
      <c r="I1472" t="s">
        <v>147</v>
      </c>
      <c r="J1472" s="89">
        <v>1538540</v>
      </c>
      <c r="K1472" t="s">
        <v>134</v>
      </c>
      <c r="L1472" t="s">
        <v>128</v>
      </c>
      <c r="N1472">
        <v>1</v>
      </c>
      <c r="O1472" s="89">
        <v>12308.32</v>
      </c>
      <c r="P1472" s="89">
        <v>80004.08</v>
      </c>
      <c r="Q1472" t="s">
        <v>130</v>
      </c>
      <c r="R1472" t="s">
        <v>131</v>
      </c>
    </row>
    <row r="1473" spans="3:18" hidden="1" x14ac:dyDescent="0.25">
      <c r="C1473" t="s">
        <v>45</v>
      </c>
      <c r="D1473" t="s">
        <v>23</v>
      </c>
      <c r="E1473" t="s">
        <v>40</v>
      </c>
      <c r="F1473" t="s">
        <v>41</v>
      </c>
      <c r="G1473" s="89">
        <v>46238</v>
      </c>
      <c r="H1473" t="s">
        <v>132</v>
      </c>
      <c r="I1473" t="s">
        <v>133</v>
      </c>
      <c r="J1473" s="89">
        <v>1017236</v>
      </c>
      <c r="K1473" t="s">
        <v>127</v>
      </c>
      <c r="L1473" t="s">
        <v>151</v>
      </c>
      <c r="N1473">
        <v>1</v>
      </c>
      <c r="O1473" s="89">
        <v>1387.14</v>
      </c>
      <c r="P1473" s="89">
        <v>20344.72</v>
      </c>
      <c r="Q1473" t="s">
        <v>142</v>
      </c>
      <c r="R1473" t="s">
        <v>131</v>
      </c>
    </row>
    <row r="1474" spans="3:18" hidden="1" x14ac:dyDescent="0.25">
      <c r="C1474" t="s">
        <v>45</v>
      </c>
      <c r="D1474" t="s">
        <v>19</v>
      </c>
      <c r="E1474" t="s">
        <v>43</v>
      </c>
      <c r="F1474" t="s">
        <v>41</v>
      </c>
      <c r="G1474" s="89">
        <v>48876</v>
      </c>
      <c r="H1474" t="s">
        <v>140</v>
      </c>
      <c r="I1474" t="s">
        <v>141</v>
      </c>
      <c r="J1474" s="89">
        <v>391008</v>
      </c>
      <c r="K1474" t="s">
        <v>134</v>
      </c>
      <c r="L1474" t="s">
        <v>128</v>
      </c>
      <c r="N1474">
        <v>1</v>
      </c>
      <c r="O1474" s="89">
        <v>1466.28</v>
      </c>
      <c r="P1474" s="89">
        <v>8308.92</v>
      </c>
      <c r="Q1474" t="s">
        <v>130</v>
      </c>
      <c r="R1474" t="s">
        <v>131</v>
      </c>
    </row>
    <row r="1475" spans="3:18" hidden="1" x14ac:dyDescent="0.25">
      <c r="C1475" t="s">
        <v>45</v>
      </c>
      <c r="D1475" t="s">
        <v>138</v>
      </c>
      <c r="E1475" t="s">
        <v>43</v>
      </c>
      <c r="F1475" t="s">
        <v>41</v>
      </c>
      <c r="G1475" s="89">
        <v>27506</v>
      </c>
      <c r="H1475" t="s">
        <v>146</v>
      </c>
      <c r="I1475" t="s">
        <v>147</v>
      </c>
      <c r="J1475" s="89"/>
      <c r="K1475" t="s">
        <v>127</v>
      </c>
      <c r="L1475" t="s">
        <v>128</v>
      </c>
      <c r="N1475">
        <v>0</v>
      </c>
      <c r="O1475" s="89">
        <v>275.06</v>
      </c>
      <c r="P1475" s="89">
        <v>0</v>
      </c>
      <c r="Q1475" t="s">
        <v>130</v>
      </c>
      <c r="R1475" t="s">
        <v>131</v>
      </c>
    </row>
    <row r="1476" spans="3:18" hidden="1" x14ac:dyDescent="0.25">
      <c r="C1476" t="s">
        <v>45</v>
      </c>
      <c r="D1476" t="s">
        <v>24</v>
      </c>
      <c r="E1476" t="s">
        <v>44</v>
      </c>
      <c r="F1476" t="s">
        <v>41</v>
      </c>
      <c r="G1476" s="89">
        <v>4282364</v>
      </c>
      <c r="H1476" t="s">
        <v>140</v>
      </c>
      <c r="I1476" t="s">
        <v>133</v>
      </c>
      <c r="J1476" s="89">
        <v>132753284</v>
      </c>
      <c r="K1476" t="s">
        <v>144</v>
      </c>
      <c r="N1476">
        <v>1</v>
      </c>
      <c r="O1476" s="89">
        <v>128470.92</v>
      </c>
      <c r="P1476" s="89">
        <v>2997654.8</v>
      </c>
      <c r="Q1476" t="s">
        <v>137</v>
      </c>
      <c r="R1476" t="s">
        <v>131</v>
      </c>
    </row>
    <row r="1477" spans="3:18" hidden="1" x14ac:dyDescent="0.25">
      <c r="C1477" t="s">
        <v>45</v>
      </c>
      <c r="D1477" t="s">
        <v>22</v>
      </c>
      <c r="E1477" t="s">
        <v>40</v>
      </c>
      <c r="F1477" t="s">
        <v>41</v>
      </c>
      <c r="G1477" s="89">
        <v>782850</v>
      </c>
      <c r="H1477" t="s">
        <v>146</v>
      </c>
      <c r="I1477" t="s">
        <v>126</v>
      </c>
      <c r="J1477" s="89">
        <v>13308450</v>
      </c>
      <c r="K1477" t="s">
        <v>144</v>
      </c>
      <c r="N1477">
        <v>1</v>
      </c>
      <c r="O1477" s="89">
        <v>23485.5</v>
      </c>
      <c r="P1477" s="89">
        <v>367939.5</v>
      </c>
      <c r="Q1477" t="s">
        <v>142</v>
      </c>
      <c r="R1477" t="s">
        <v>131</v>
      </c>
    </row>
    <row r="1478" spans="3:18" hidden="1" x14ac:dyDescent="0.25">
      <c r="C1478" t="s">
        <v>45</v>
      </c>
      <c r="D1478" t="s">
        <v>24</v>
      </c>
      <c r="E1478" t="s">
        <v>46</v>
      </c>
      <c r="F1478" t="s">
        <v>41</v>
      </c>
      <c r="G1478" s="89">
        <v>209910</v>
      </c>
      <c r="H1478" t="s">
        <v>140</v>
      </c>
      <c r="I1478" t="s">
        <v>133</v>
      </c>
      <c r="J1478" s="89">
        <v>6297300</v>
      </c>
      <c r="K1478" t="s">
        <v>127</v>
      </c>
      <c r="L1478" t="s">
        <v>128</v>
      </c>
      <c r="N1478">
        <v>1</v>
      </c>
      <c r="O1478" s="89">
        <v>6297.3</v>
      </c>
      <c r="P1478" s="89">
        <v>188919</v>
      </c>
      <c r="Q1478" t="s">
        <v>135</v>
      </c>
      <c r="R1478" t="s">
        <v>131</v>
      </c>
    </row>
    <row r="1479" spans="3:18" hidden="1" x14ac:dyDescent="0.25">
      <c r="C1479" t="s">
        <v>45</v>
      </c>
      <c r="D1479" t="s">
        <v>22</v>
      </c>
      <c r="E1479" t="s">
        <v>40</v>
      </c>
      <c r="F1479" t="s">
        <v>41</v>
      </c>
      <c r="G1479" s="89">
        <v>166244</v>
      </c>
      <c r="H1479" t="s">
        <v>42</v>
      </c>
      <c r="I1479" t="s">
        <v>133</v>
      </c>
      <c r="J1479" s="89">
        <v>3989856</v>
      </c>
      <c r="K1479" t="s">
        <v>127</v>
      </c>
      <c r="L1479" t="s">
        <v>128</v>
      </c>
      <c r="M1479" t="s">
        <v>152</v>
      </c>
      <c r="N1479">
        <v>1</v>
      </c>
      <c r="O1479" s="89">
        <v>4987.32</v>
      </c>
      <c r="P1479" s="89">
        <v>128007.88</v>
      </c>
      <c r="Q1479" t="s">
        <v>137</v>
      </c>
      <c r="R1479" t="s">
        <v>131</v>
      </c>
    </row>
    <row r="1480" spans="3:18" hidden="1" x14ac:dyDescent="0.25">
      <c r="C1480" t="s">
        <v>45</v>
      </c>
      <c r="D1480" t="s">
        <v>21</v>
      </c>
      <c r="E1480" t="s">
        <v>48</v>
      </c>
      <c r="F1480" t="s">
        <v>41</v>
      </c>
      <c r="G1480" s="89">
        <v>294802</v>
      </c>
      <c r="H1480" t="s">
        <v>140</v>
      </c>
      <c r="I1480" t="s">
        <v>133</v>
      </c>
      <c r="J1480" s="89">
        <v>10907674</v>
      </c>
      <c r="K1480" t="s">
        <v>144</v>
      </c>
      <c r="N1480">
        <v>1</v>
      </c>
      <c r="O1480" s="89">
        <v>8844.06</v>
      </c>
      <c r="P1480" s="89">
        <v>185725.26</v>
      </c>
      <c r="Q1480" t="s">
        <v>137</v>
      </c>
      <c r="R1480" t="s">
        <v>131</v>
      </c>
    </row>
    <row r="1481" spans="3:18" hidden="1" x14ac:dyDescent="0.25">
      <c r="C1481" t="s">
        <v>45</v>
      </c>
      <c r="D1481" t="s">
        <v>22</v>
      </c>
      <c r="E1481" t="s">
        <v>44</v>
      </c>
      <c r="F1481" t="s">
        <v>41</v>
      </c>
      <c r="G1481" s="89">
        <v>14629968</v>
      </c>
      <c r="H1481" t="s">
        <v>42</v>
      </c>
      <c r="I1481" t="s">
        <v>133</v>
      </c>
      <c r="J1481" s="89">
        <v>482788944</v>
      </c>
      <c r="K1481" t="s">
        <v>144</v>
      </c>
      <c r="N1481">
        <v>1</v>
      </c>
      <c r="O1481" s="89">
        <v>438899.04</v>
      </c>
      <c r="P1481" s="89">
        <v>7461283.6799999997</v>
      </c>
      <c r="Q1481" t="s">
        <v>142</v>
      </c>
      <c r="R1481" t="s">
        <v>42</v>
      </c>
    </row>
    <row r="1482" spans="3:18" hidden="1" x14ac:dyDescent="0.25">
      <c r="C1482" t="s">
        <v>45</v>
      </c>
      <c r="D1482" t="s">
        <v>149</v>
      </c>
      <c r="E1482" t="s">
        <v>43</v>
      </c>
      <c r="F1482" t="s">
        <v>41</v>
      </c>
      <c r="G1482" s="89">
        <v>2314724</v>
      </c>
      <c r="H1482" t="s">
        <v>42</v>
      </c>
      <c r="I1482" t="s">
        <v>141</v>
      </c>
      <c r="J1482" s="89">
        <v>16203068</v>
      </c>
      <c r="K1482" t="s">
        <v>127</v>
      </c>
      <c r="L1482" t="s">
        <v>128</v>
      </c>
      <c r="M1482" t="s">
        <v>136</v>
      </c>
      <c r="N1482">
        <v>1</v>
      </c>
      <c r="O1482" s="89">
        <v>69441.72</v>
      </c>
      <c r="P1482" s="89">
        <v>509239.28</v>
      </c>
      <c r="Q1482" t="s">
        <v>130</v>
      </c>
      <c r="R1482" t="s">
        <v>131</v>
      </c>
    </row>
    <row r="1483" spans="3:18" x14ac:dyDescent="0.25">
      <c r="C1483" t="s">
        <v>47</v>
      </c>
      <c r="D1483" t="s">
        <v>138</v>
      </c>
      <c r="E1483" t="s">
        <v>43</v>
      </c>
      <c r="F1483" t="s">
        <v>41</v>
      </c>
      <c r="G1483" s="89">
        <v>159250</v>
      </c>
      <c r="H1483" t="s">
        <v>42</v>
      </c>
      <c r="I1483" t="s">
        <v>126</v>
      </c>
      <c r="J1483" s="89">
        <v>1592500</v>
      </c>
      <c r="K1483" t="s">
        <v>127</v>
      </c>
      <c r="L1483" t="s">
        <v>128</v>
      </c>
      <c r="M1483" t="s">
        <v>139</v>
      </c>
      <c r="N1483">
        <v>1</v>
      </c>
      <c r="O1483" s="89">
        <v>6370</v>
      </c>
      <c r="P1483" s="89">
        <v>54145</v>
      </c>
      <c r="Q1483" t="s">
        <v>130</v>
      </c>
      <c r="R1483" t="s">
        <v>131</v>
      </c>
    </row>
    <row r="1484" spans="3:18" hidden="1" x14ac:dyDescent="0.25">
      <c r="C1484" t="s">
        <v>45</v>
      </c>
      <c r="D1484" t="s">
        <v>21</v>
      </c>
      <c r="E1484" t="s">
        <v>43</v>
      </c>
      <c r="F1484" t="s">
        <v>41</v>
      </c>
      <c r="G1484" s="89">
        <v>208000</v>
      </c>
      <c r="H1484" t="s">
        <v>132</v>
      </c>
      <c r="I1484" t="s">
        <v>147</v>
      </c>
      <c r="J1484" s="89">
        <v>832000</v>
      </c>
      <c r="K1484" t="s">
        <v>127</v>
      </c>
      <c r="L1484" t="s">
        <v>128</v>
      </c>
      <c r="N1484">
        <v>1</v>
      </c>
      <c r="O1484" s="89">
        <v>8320</v>
      </c>
      <c r="P1484" s="89">
        <v>224640</v>
      </c>
      <c r="Q1484" t="s">
        <v>150</v>
      </c>
      <c r="R1484" t="s">
        <v>131</v>
      </c>
    </row>
    <row r="1485" spans="3:18" hidden="1" x14ac:dyDescent="0.25">
      <c r="C1485" t="s">
        <v>45</v>
      </c>
      <c r="D1485" t="s">
        <v>24</v>
      </c>
      <c r="E1485" t="s">
        <v>40</v>
      </c>
      <c r="F1485" t="s">
        <v>41</v>
      </c>
      <c r="G1485" s="89">
        <v>696309</v>
      </c>
      <c r="H1485" t="s">
        <v>140</v>
      </c>
      <c r="I1485" t="s">
        <v>133</v>
      </c>
      <c r="J1485" s="89">
        <v>20192961</v>
      </c>
      <c r="K1485" t="s">
        <v>127</v>
      </c>
      <c r="L1485" t="s">
        <v>128</v>
      </c>
      <c r="N1485">
        <v>1</v>
      </c>
      <c r="O1485" s="89">
        <v>20889.27</v>
      </c>
      <c r="P1485" s="89">
        <v>584899.56000000006</v>
      </c>
      <c r="Q1485" t="s">
        <v>135</v>
      </c>
      <c r="R1485" t="s">
        <v>131</v>
      </c>
    </row>
    <row r="1486" spans="3:18" x14ac:dyDescent="0.25">
      <c r="C1486" t="s">
        <v>47</v>
      </c>
      <c r="D1486" t="s">
        <v>23</v>
      </c>
      <c r="E1486" t="s">
        <v>43</v>
      </c>
      <c r="F1486" t="s">
        <v>41</v>
      </c>
      <c r="G1486" s="89">
        <v>43</v>
      </c>
      <c r="H1486" t="s">
        <v>140</v>
      </c>
      <c r="I1486" t="s">
        <v>147</v>
      </c>
      <c r="J1486" s="89"/>
      <c r="K1486" t="s">
        <v>127</v>
      </c>
      <c r="L1486" t="s">
        <v>128</v>
      </c>
      <c r="N1486">
        <v>0</v>
      </c>
      <c r="O1486" s="89">
        <v>0</v>
      </c>
      <c r="P1486" s="89">
        <v>19.350000000000001</v>
      </c>
      <c r="Q1486" t="s">
        <v>142</v>
      </c>
      <c r="R1486" t="s">
        <v>131</v>
      </c>
    </row>
    <row r="1487" spans="3:18" hidden="1" x14ac:dyDescent="0.25">
      <c r="C1487" t="s">
        <v>45</v>
      </c>
      <c r="D1487" t="s">
        <v>50</v>
      </c>
      <c r="E1487" t="s">
        <v>50</v>
      </c>
      <c r="F1487" t="s">
        <v>41</v>
      </c>
      <c r="G1487" s="89">
        <v>82064</v>
      </c>
      <c r="H1487" t="s">
        <v>79</v>
      </c>
      <c r="I1487" t="s">
        <v>147</v>
      </c>
      <c r="J1487" s="89">
        <v>328256</v>
      </c>
      <c r="K1487" t="s">
        <v>127</v>
      </c>
      <c r="N1487">
        <v>1</v>
      </c>
      <c r="O1487" s="89">
        <v>3282.56</v>
      </c>
      <c r="P1487" s="89">
        <v>35287.519999999997</v>
      </c>
      <c r="Q1487" t="s">
        <v>142</v>
      </c>
      <c r="R1487" t="s">
        <v>79</v>
      </c>
    </row>
    <row r="1488" spans="3:18" hidden="1" x14ac:dyDescent="0.25">
      <c r="C1488" t="s">
        <v>45</v>
      </c>
      <c r="D1488" t="s">
        <v>23</v>
      </c>
      <c r="E1488" t="s">
        <v>43</v>
      </c>
      <c r="F1488" t="s">
        <v>41</v>
      </c>
      <c r="G1488" s="89">
        <v>186608</v>
      </c>
      <c r="H1488" t="s">
        <v>146</v>
      </c>
      <c r="I1488" t="s">
        <v>133</v>
      </c>
      <c r="J1488" s="89">
        <v>4665200</v>
      </c>
      <c r="K1488" t="s">
        <v>144</v>
      </c>
      <c r="N1488">
        <v>1</v>
      </c>
      <c r="O1488" s="89">
        <v>5598.24</v>
      </c>
      <c r="P1488" s="89">
        <v>87705.76</v>
      </c>
      <c r="Q1488" t="s">
        <v>142</v>
      </c>
      <c r="R1488" t="s">
        <v>131</v>
      </c>
    </row>
    <row r="1489" spans="3:18" hidden="1" x14ac:dyDescent="0.25">
      <c r="C1489" t="s">
        <v>45</v>
      </c>
      <c r="D1489" t="s">
        <v>22</v>
      </c>
      <c r="E1489" t="s">
        <v>40</v>
      </c>
      <c r="F1489" t="s">
        <v>53</v>
      </c>
      <c r="G1489" s="89">
        <v>807823</v>
      </c>
      <c r="H1489" t="s">
        <v>42</v>
      </c>
      <c r="I1489" t="s">
        <v>133</v>
      </c>
      <c r="J1489" s="89">
        <v>25850336</v>
      </c>
      <c r="K1489" t="s">
        <v>127</v>
      </c>
      <c r="L1489" t="s">
        <v>128</v>
      </c>
      <c r="M1489" t="s">
        <v>143</v>
      </c>
      <c r="N1489">
        <v>1</v>
      </c>
      <c r="O1489" s="89">
        <v>24234.69</v>
      </c>
      <c r="P1489" s="89">
        <v>581632.56000000006</v>
      </c>
      <c r="Q1489" t="s">
        <v>137</v>
      </c>
      <c r="R1489" t="s">
        <v>42</v>
      </c>
    </row>
    <row r="1490" spans="3:18" hidden="1" x14ac:dyDescent="0.25">
      <c r="C1490" t="s">
        <v>45</v>
      </c>
      <c r="D1490" t="s">
        <v>24</v>
      </c>
      <c r="E1490" t="s">
        <v>40</v>
      </c>
      <c r="F1490" t="s">
        <v>41</v>
      </c>
      <c r="G1490" s="89">
        <v>1071756</v>
      </c>
      <c r="H1490" t="s">
        <v>42</v>
      </c>
      <c r="I1490" t="s">
        <v>133</v>
      </c>
      <c r="J1490" s="89">
        <v>36439704</v>
      </c>
      <c r="K1490" t="s">
        <v>144</v>
      </c>
      <c r="N1490">
        <v>1</v>
      </c>
      <c r="O1490" s="89">
        <v>32152.68</v>
      </c>
      <c r="P1490" s="89">
        <v>535878</v>
      </c>
      <c r="Q1490" t="s">
        <v>142</v>
      </c>
      <c r="R1490" t="s">
        <v>131</v>
      </c>
    </row>
    <row r="1491" spans="3:18" hidden="1" x14ac:dyDescent="0.25">
      <c r="C1491" t="s">
        <v>45</v>
      </c>
      <c r="D1491" t="s">
        <v>20</v>
      </c>
      <c r="E1491" t="s">
        <v>40</v>
      </c>
      <c r="F1491" t="s">
        <v>41</v>
      </c>
      <c r="G1491" s="89">
        <v>217670</v>
      </c>
      <c r="H1491" t="s">
        <v>42</v>
      </c>
      <c r="I1491" t="s">
        <v>133</v>
      </c>
      <c r="J1491" s="89">
        <v>6965440</v>
      </c>
      <c r="K1491" t="s">
        <v>134</v>
      </c>
      <c r="L1491" t="s">
        <v>128</v>
      </c>
      <c r="M1491" t="s">
        <v>139</v>
      </c>
      <c r="N1491">
        <v>1</v>
      </c>
      <c r="O1491" s="89">
        <v>8706.7999999999993</v>
      </c>
      <c r="P1491" s="89">
        <v>180666.1</v>
      </c>
      <c r="Q1491" t="s">
        <v>135</v>
      </c>
      <c r="R1491" t="s">
        <v>42</v>
      </c>
    </row>
    <row r="1492" spans="3:18" x14ac:dyDescent="0.25">
      <c r="C1492" t="s">
        <v>47</v>
      </c>
      <c r="D1492" t="s">
        <v>20</v>
      </c>
      <c r="E1492" t="s">
        <v>43</v>
      </c>
      <c r="F1492" t="s">
        <v>41</v>
      </c>
      <c r="G1492" s="89">
        <v>107088</v>
      </c>
      <c r="H1492" t="s">
        <v>140</v>
      </c>
      <c r="I1492" t="s">
        <v>133</v>
      </c>
      <c r="J1492" s="89">
        <v>2677200</v>
      </c>
      <c r="K1492" t="s">
        <v>127</v>
      </c>
      <c r="L1492" t="s">
        <v>128</v>
      </c>
      <c r="N1492">
        <v>1</v>
      </c>
      <c r="O1492" s="89">
        <v>2141.7600000000002</v>
      </c>
      <c r="P1492" s="89">
        <v>61040.160000000003</v>
      </c>
      <c r="Q1492" t="s">
        <v>142</v>
      </c>
      <c r="R1492" t="s">
        <v>131</v>
      </c>
    </row>
    <row r="1493" spans="3:18" hidden="1" x14ac:dyDescent="0.25">
      <c r="C1493" t="s">
        <v>45</v>
      </c>
      <c r="D1493" t="s">
        <v>19</v>
      </c>
      <c r="E1493" t="s">
        <v>43</v>
      </c>
      <c r="F1493" t="s">
        <v>41</v>
      </c>
      <c r="G1493" s="89">
        <v>9822262</v>
      </c>
      <c r="H1493" t="s">
        <v>140</v>
      </c>
      <c r="I1493" t="s">
        <v>133</v>
      </c>
      <c r="J1493" s="89">
        <v>294667860</v>
      </c>
      <c r="K1493" t="s">
        <v>144</v>
      </c>
      <c r="N1493">
        <v>1</v>
      </c>
      <c r="O1493" s="89">
        <v>294667.86</v>
      </c>
      <c r="P1493" s="89">
        <v>4911131</v>
      </c>
      <c r="Q1493" t="s">
        <v>142</v>
      </c>
      <c r="R1493" t="s">
        <v>131</v>
      </c>
    </row>
    <row r="1494" spans="3:18" hidden="1" x14ac:dyDescent="0.25">
      <c r="C1494" t="s">
        <v>45</v>
      </c>
      <c r="D1494" t="s">
        <v>24</v>
      </c>
      <c r="E1494" t="s">
        <v>40</v>
      </c>
      <c r="F1494" t="s">
        <v>41</v>
      </c>
      <c r="G1494" s="89">
        <v>4096683</v>
      </c>
      <c r="H1494" t="s">
        <v>145</v>
      </c>
      <c r="I1494" t="s">
        <v>133</v>
      </c>
      <c r="J1494" s="89">
        <v>106513758</v>
      </c>
      <c r="K1494" t="s">
        <v>127</v>
      </c>
      <c r="L1494" t="s">
        <v>128</v>
      </c>
      <c r="N1494">
        <v>1</v>
      </c>
      <c r="O1494" s="89">
        <v>122900.49</v>
      </c>
      <c r="P1494" s="89">
        <v>2785744.44</v>
      </c>
      <c r="Q1494" t="s">
        <v>137</v>
      </c>
      <c r="R1494" t="s">
        <v>131</v>
      </c>
    </row>
    <row r="1495" spans="3:18" hidden="1" x14ac:dyDescent="0.25">
      <c r="C1495" t="s">
        <v>45</v>
      </c>
      <c r="D1495" t="s">
        <v>21</v>
      </c>
      <c r="E1495" t="s">
        <v>43</v>
      </c>
      <c r="F1495" t="s">
        <v>41</v>
      </c>
      <c r="G1495" s="89">
        <v>33766</v>
      </c>
      <c r="H1495" t="s">
        <v>42</v>
      </c>
      <c r="I1495" t="s">
        <v>147</v>
      </c>
      <c r="J1495" s="89">
        <v>135064</v>
      </c>
      <c r="K1495" t="s">
        <v>127</v>
      </c>
      <c r="L1495" t="s">
        <v>128</v>
      </c>
      <c r="M1495" t="s">
        <v>143</v>
      </c>
      <c r="N1495">
        <v>1</v>
      </c>
      <c r="O1495" s="89">
        <v>675.32</v>
      </c>
      <c r="P1495" s="89">
        <v>4389.58</v>
      </c>
      <c r="Q1495" t="s">
        <v>130</v>
      </c>
      <c r="R1495" t="s">
        <v>42</v>
      </c>
    </row>
    <row r="1496" spans="3:18" hidden="1" x14ac:dyDescent="0.25">
      <c r="C1496" t="s">
        <v>45</v>
      </c>
      <c r="D1496" t="s">
        <v>24</v>
      </c>
      <c r="E1496" t="s">
        <v>48</v>
      </c>
      <c r="F1496" t="s">
        <v>41</v>
      </c>
      <c r="G1496" s="89">
        <v>1562866</v>
      </c>
      <c r="H1496" t="s">
        <v>146</v>
      </c>
      <c r="I1496" t="s">
        <v>133</v>
      </c>
      <c r="J1496" s="89">
        <v>48448846</v>
      </c>
      <c r="K1496" t="s">
        <v>127</v>
      </c>
      <c r="L1496" t="s">
        <v>128</v>
      </c>
      <c r="N1496">
        <v>1</v>
      </c>
      <c r="O1496" s="89">
        <v>46885.98</v>
      </c>
      <c r="P1496" s="89">
        <v>1344064.76</v>
      </c>
      <c r="Q1496" t="s">
        <v>135</v>
      </c>
      <c r="R1496" t="s">
        <v>131</v>
      </c>
    </row>
    <row r="1497" spans="3:18" hidden="1" x14ac:dyDescent="0.25">
      <c r="C1497" t="s">
        <v>45</v>
      </c>
      <c r="D1497" t="s">
        <v>22</v>
      </c>
      <c r="E1497" t="s">
        <v>40</v>
      </c>
      <c r="F1497" t="s">
        <v>41</v>
      </c>
      <c r="G1497" s="89">
        <v>211095</v>
      </c>
      <c r="H1497" t="s">
        <v>42</v>
      </c>
      <c r="I1497" t="s">
        <v>133</v>
      </c>
      <c r="J1497" s="89">
        <v>7599420</v>
      </c>
      <c r="K1497" t="s">
        <v>127</v>
      </c>
      <c r="L1497" t="s">
        <v>151</v>
      </c>
      <c r="M1497" t="s">
        <v>156</v>
      </c>
      <c r="N1497">
        <v>1</v>
      </c>
      <c r="O1497" s="89">
        <v>6332.85</v>
      </c>
      <c r="P1497" s="89">
        <v>170986.95</v>
      </c>
      <c r="Q1497" t="s">
        <v>135</v>
      </c>
      <c r="R1497" t="s">
        <v>131</v>
      </c>
    </row>
    <row r="1498" spans="3:18" x14ac:dyDescent="0.25">
      <c r="C1498" t="s">
        <v>47</v>
      </c>
      <c r="D1498" t="s">
        <v>20</v>
      </c>
      <c r="E1498" t="s">
        <v>48</v>
      </c>
      <c r="F1498" t="s">
        <v>41</v>
      </c>
      <c r="G1498" s="89">
        <v>2246</v>
      </c>
      <c r="H1498" t="s">
        <v>42</v>
      </c>
      <c r="I1498" t="s">
        <v>147</v>
      </c>
      <c r="J1498" s="89">
        <v>6738</v>
      </c>
      <c r="K1498" t="s">
        <v>127</v>
      </c>
      <c r="L1498" t="s">
        <v>128</v>
      </c>
      <c r="M1498" t="s">
        <v>139</v>
      </c>
      <c r="N1498">
        <v>1</v>
      </c>
      <c r="O1498" s="89">
        <v>157.22</v>
      </c>
      <c r="P1498" s="89">
        <v>67.38</v>
      </c>
      <c r="Q1498" t="s">
        <v>130</v>
      </c>
      <c r="R1498" t="s">
        <v>131</v>
      </c>
    </row>
    <row r="1499" spans="3:18" hidden="1" x14ac:dyDescent="0.25">
      <c r="C1499" t="s">
        <v>45</v>
      </c>
      <c r="D1499" t="s">
        <v>19</v>
      </c>
      <c r="E1499" t="s">
        <v>43</v>
      </c>
      <c r="F1499" t="s">
        <v>41</v>
      </c>
      <c r="G1499" s="89">
        <v>599966</v>
      </c>
      <c r="H1499" t="s">
        <v>42</v>
      </c>
      <c r="I1499" t="s">
        <v>133</v>
      </c>
      <c r="J1499" s="89">
        <v>17998980</v>
      </c>
      <c r="K1499" t="s">
        <v>127</v>
      </c>
      <c r="L1499" t="s">
        <v>128</v>
      </c>
      <c r="M1499" t="s">
        <v>148</v>
      </c>
      <c r="N1499">
        <v>1</v>
      </c>
      <c r="O1499" s="89">
        <v>17998.98</v>
      </c>
      <c r="P1499" s="89">
        <v>287983.68</v>
      </c>
      <c r="Q1499" t="s">
        <v>142</v>
      </c>
      <c r="R1499" t="s">
        <v>131</v>
      </c>
    </row>
    <row r="1500" spans="3:18" hidden="1" x14ac:dyDescent="0.25">
      <c r="C1500" t="s">
        <v>45</v>
      </c>
      <c r="D1500" t="s">
        <v>21</v>
      </c>
      <c r="E1500" t="s">
        <v>40</v>
      </c>
      <c r="F1500" t="s">
        <v>41</v>
      </c>
      <c r="G1500" s="89">
        <v>76332</v>
      </c>
      <c r="H1500" t="s">
        <v>42</v>
      </c>
      <c r="I1500" t="s">
        <v>133</v>
      </c>
      <c r="J1500" s="89">
        <v>2213628</v>
      </c>
      <c r="K1500" t="s">
        <v>134</v>
      </c>
      <c r="N1500">
        <v>1</v>
      </c>
      <c r="O1500" s="89">
        <v>2289.96</v>
      </c>
      <c r="P1500" s="89">
        <v>41982.6</v>
      </c>
      <c r="Q1500" t="s">
        <v>142</v>
      </c>
      <c r="R1500" t="s">
        <v>131</v>
      </c>
    </row>
    <row r="1501" spans="3:18" hidden="1" x14ac:dyDescent="0.25">
      <c r="C1501" t="s">
        <v>45</v>
      </c>
      <c r="D1501" t="s">
        <v>22</v>
      </c>
      <c r="E1501" t="s">
        <v>40</v>
      </c>
      <c r="F1501" t="s">
        <v>41</v>
      </c>
      <c r="G1501" s="89">
        <v>73549</v>
      </c>
      <c r="H1501" t="s">
        <v>42</v>
      </c>
      <c r="I1501" t="s">
        <v>133</v>
      </c>
      <c r="J1501" s="89">
        <v>1544529</v>
      </c>
      <c r="K1501" t="s">
        <v>127</v>
      </c>
      <c r="L1501" t="s">
        <v>128</v>
      </c>
      <c r="M1501" t="s">
        <v>148</v>
      </c>
      <c r="N1501">
        <v>1</v>
      </c>
      <c r="O1501" s="89">
        <v>2206.4699999999998</v>
      </c>
      <c r="P1501" s="89">
        <v>38245.480000000003</v>
      </c>
      <c r="Q1501" t="s">
        <v>142</v>
      </c>
      <c r="R1501" t="s">
        <v>42</v>
      </c>
    </row>
    <row r="1502" spans="3:18" hidden="1" x14ac:dyDescent="0.25">
      <c r="C1502" t="s">
        <v>45</v>
      </c>
      <c r="D1502" t="s">
        <v>19</v>
      </c>
      <c r="E1502" t="s">
        <v>43</v>
      </c>
      <c r="F1502" t="s">
        <v>41</v>
      </c>
      <c r="G1502" s="89">
        <v>23512</v>
      </c>
      <c r="H1502" t="s">
        <v>132</v>
      </c>
      <c r="I1502" t="s">
        <v>141</v>
      </c>
      <c r="J1502" s="89">
        <v>141072</v>
      </c>
      <c r="K1502" t="s">
        <v>127</v>
      </c>
      <c r="L1502" t="s">
        <v>128</v>
      </c>
      <c r="N1502">
        <v>1</v>
      </c>
      <c r="O1502" s="89">
        <v>705.36</v>
      </c>
      <c r="P1502" s="89">
        <v>19044.72</v>
      </c>
      <c r="Q1502" t="s">
        <v>135</v>
      </c>
      <c r="R1502" t="s">
        <v>131</v>
      </c>
    </row>
    <row r="1503" spans="3:18" hidden="1" x14ac:dyDescent="0.25">
      <c r="C1503" t="s">
        <v>45</v>
      </c>
      <c r="D1503" t="s">
        <v>149</v>
      </c>
      <c r="E1503" t="s">
        <v>43</v>
      </c>
      <c r="F1503" t="s">
        <v>41</v>
      </c>
      <c r="G1503" s="89">
        <v>1103300</v>
      </c>
      <c r="H1503" t="s">
        <v>145</v>
      </c>
      <c r="I1503" t="s">
        <v>133</v>
      </c>
      <c r="J1503" s="89">
        <v>33099000</v>
      </c>
      <c r="K1503" t="s">
        <v>144</v>
      </c>
      <c r="N1503">
        <v>1</v>
      </c>
      <c r="O1503" s="89">
        <v>33099</v>
      </c>
      <c r="P1503" s="89">
        <v>827475</v>
      </c>
      <c r="Q1503" t="s">
        <v>137</v>
      </c>
      <c r="R1503" t="s">
        <v>131</v>
      </c>
    </row>
    <row r="1504" spans="3:18" hidden="1" x14ac:dyDescent="0.25">
      <c r="C1504" t="s">
        <v>45</v>
      </c>
      <c r="D1504" t="s">
        <v>149</v>
      </c>
      <c r="E1504" t="s">
        <v>43</v>
      </c>
      <c r="F1504" t="s">
        <v>53</v>
      </c>
      <c r="G1504" s="89">
        <v>265459</v>
      </c>
      <c r="H1504" t="s">
        <v>42</v>
      </c>
      <c r="I1504" t="s">
        <v>126</v>
      </c>
      <c r="J1504" s="89">
        <v>4512803</v>
      </c>
      <c r="K1504" t="s">
        <v>144</v>
      </c>
      <c r="N1504">
        <v>1</v>
      </c>
      <c r="O1504" s="89">
        <v>7963.77</v>
      </c>
      <c r="P1504" s="89">
        <v>217676.38</v>
      </c>
      <c r="Q1504" t="s">
        <v>135</v>
      </c>
      <c r="R1504" t="s">
        <v>42</v>
      </c>
    </row>
    <row r="1505" spans="3:18" hidden="1" x14ac:dyDescent="0.25">
      <c r="C1505" t="s">
        <v>45</v>
      </c>
      <c r="D1505" t="s">
        <v>149</v>
      </c>
      <c r="E1505" t="s">
        <v>43</v>
      </c>
      <c r="F1505" t="s">
        <v>41</v>
      </c>
      <c r="G1505" s="89">
        <v>1810</v>
      </c>
      <c r="H1505" t="s">
        <v>146</v>
      </c>
      <c r="I1505" t="s">
        <v>126</v>
      </c>
      <c r="J1505" s="89">
        <v>34390</v>
      </c>
      <c r="K1505" t="s">
        <v>127</v>
      </c>
      <c r="L1505" t="s">
        <v>128</v>
      </c>
      <c r="N1505">
        <v>1</v>
      </c>
      <c r="O1505" s="89">
        <v>72.400000000000006</v>
      </c>
      <c r="P1505" s="89">
        <v>1683.3</v>
      </c>
      <c r="Q1505" t="s">
        <v>135</v>
      </c>
      <c r="R1505" t="s">
        <v>131</v>
      </c>
    </row>
    <row r="1506" spans="3:18" hidden="1" x14ac:dyDescent="0.25">
      <c r="C1506" t="s">
        <v>45</v>
      </c>
      <c r="D1506" t="s">
        <v>22</v>
      </c>
      <c r="E1506" t="s">
        <v>40</v>
      </c>
      <c r="F1506" t="s">
        <v>41</v>
      </c>
      <c r="G1506" s="89">
        <v>963371709</v>
      </c>
      <c r="H1506" t="s">
        <v>42</v>
      </c>
      <c r="I1506" t="s">
        <v>133</v>
      </c>
      <c r="J1506" s="89">
        <v>29864522979</v>
      </c>
      <c r="K1506" t="s">
        <v>127</v>
      </c>
      <c r="L1506" t="s">
        <v>128</v>
      </c>
      <c r="M1506" t="s">
        <v>143</v>
      </c>
      <c r="N1506">
        <v>1</v>
      </c>
      <c r="O1506" s="89">
        <v>28901151.27</v>
      </c>
      <c r="P1506" s="89">
        <v>693627630.48000002</v>
      </c>
      <c r="Q1506" t="s">
        <v>137</v>
      </c>
      <c r="R1506" t="s">
        <v>131</v>
      </c>
    </row>
    <row r="1507" spans="3:18" hidden="1" x14ac:dyDescent="0.25">
      <c r="C1507" t="s">
        <v>45</v>
      </c>
      <c r="D1507" t="s">
        <v>24</v>
      </c>
      <c r="E1507" t="s">
        <v>40</v>
      </c>
      <c r="F1507" t="s">
        <v>41</v>
      </c>
      <c r="G1507" s="89">
        <v>494319</v>
      </c>
      <c r="H1507" t="s">
        <v>42</v>
      </c>
      <c r="I1507" t="s">
        <v>147</v>
      </c>
      <c r="J1507" s="89">
        <v>1482957</v>
      </c>
      <c r="K1507" t="s">
        <v>127</v>
      </c>
      <c r="L1507" t="s">
        <v>128</v>
      </c>
      <c r="M1507" t="s">
        <v>148</v>
      </c>
      <c r="N1507">
        <v>1</v>
      </c>
      <c r="O1507" s="89">
        <v>14829.57</v>
      </c>
      <c r="P1507" s="89">
        <v>54375.09</v>
      </c>
      <c r="Q1507" t="s">
        <v>130</v>
      </c>
      <c r="R1507" t="s">
        <v>131</v>
      </c>
    </row>
    <row r="1508" spans="3:18" hidden="1" x14ac:dyDescent="0.25">
      <c r="C1508" t="s">
        <v>45</v>
      </c>
      <c r="D1508" t="s">
        <v>21</v>
      </c>
      <c r="E1508" t="s">
        <v>43</v>
      </c>
      <c r="F1508" t="s">
        <v>41</v>
      </c>
      <c r="G1508" s="89">
        <v>117991</v>
      </c>
      <c r="H1508" t="s">
        <v>42</v>
      </c>
      <c r="I1508" t="s">
        <v>133</v>
      </c>
      <c r="J1508" s="89">
        <v>3185757</v>
      </c>
      <c r="K1508" t="s">
        <v>127</v>
      </c>
      <c r="L1508" t="s">
        <v>128</v>
      </c>
      <c r="M1508" t="s">
        <v>139</v>
      </c>
      <c r="N1508">
        <v>1</v>
      </c>
      <c r="O1508" s="89">
        <v>4719.6400000000003</v>
      </c>
      <c r="P1508" s="89">
        <v>62535.23</v>
      </c>
      <c r="Q1508" t="s">
        <v>142</v>
      </c>
      <c r="R1508" t="s">
        <v>131</v>
      </c>
    </row>
    <row r="1509" spans="3:18" hidden="1" x14ac:dyDescent="0.25">
      <c r="C1509" t="s">
        <v>45</v>
      </c>
      <c r="D1509" t="s">
        <v>23</v>
      </c>
      <c r="E1509" t="s">
        <v>40</v>
      </c>
      <c r="F1509" t="s">
        <v>41</v>
      </c>
      <c r="G1509" s="89">
        <v>2636574</v>
      </c>
      <c r="H1509" t="s">
        <v>140</v>
      </c>
      <c r="I1509" t="s">
        <v>141</v>
      </c>
      <c r="J1509" s="89">
        <v>21092592</v>
      </c>
      <c r="K1509" t="s">
        <v>127</v>
      </c>
      <c r="L1509" t="s">
        <v>128</v>
      </c>
      <c r="N1509">
        <v>1</v>
      </c>
      <c r="O1509" s="89">
        <v>79097.22</v>
      </c>
      <c r="P1509" s="89">
        <v>1212824.04</v>
      </c>
      <c r="Q1509" t="s">
        <v>142</v>
      </c>
      <c r="R1509" t="s">
        <v>131</v>
      </c>
    </row>
    <row r="1510" spans="3:18" hidden="1" x14ac:dyDescent="0.25">
      <c r="C1510" t="s">
        <v>45</v>
      </c>
      <c r="D1510" t="s">
        <v>24</v>
      </c>
      <c r="E1510" t="s">
        <v>48</v>
      </c>
      <c r="F1510" t="s">
        <v>41</v>
      </c>
      <c r="G1510" s="89">
        <v>1913019</v>
      </c>
      <c r="H1510" t="s">
        <v>42</v>
      </c>
      <c r="I1510" t="s">
        <v>133</v>
      </c>
      <c r="J1510" s="89">
        <v>68868684</v>
      </c>
      <c r="K1510" t="s">
        <v>127</v>
      </c>
      <c r="L1510" t="s">
        <v>128</v>
      </c>
      <c r="M1510" t="s">
        <v>148</v>
      </c>
      <c r="N1510">
        <v>1</v>
      </c>
      <c r="O1510" s="89">
        <v>57390.57</v>
      </c>
      <c r="P1510" s="89">
        <v>1587805.77</v>
      </c>
      <c r="Q1510" t="s">
        <v>135</v>
      </c>
      <c r="R1510" t="s">
        <v>42</v>
      </c>
    </row>
    <row r="1511" spans="3:18" hidden="1" x14ac:dyDescent="0.25">
      <c r="C1511" t="s">
        <v>45</v>
      </c>
      <c r="D1511" t="s">
        <v>24</v>
      </c>
      <c r="E1511" t="s">
        <v>44</v>
      </c>
      <c r="F1511" t="s">
        <v>41</v>
      </c>
      <c r="G1511" s="89">
        <v>106231</v>
      </c>
      <c r="H1511" t="s">
        <v>42</v>
      </c>
      <c r="I1511" t="s">
        <v>133</v>
      </c>
      <c r="J1511" s="89">
        <v>3505623</v>
      </c>
      <c r="K1511" t="s">
        <v>134</v>
      </c>
      <c r="L1511" t="s">
        <v>128</v>
      </c>
      <c r="M1511" t="s">
        <v>148</v>
      </c>
      <c r="N1511">
        <v>1</v>
      </c>
      <c r="O1511" s="89">
        <v>3186.93</v>
      </c>
      <c r="P1511" s="89">
        <v>73299.39</v>
      </c>
      <c r="Q1511" t="s">
        <v>137</v>
      </c>
      <c r="R1511" t="s">
        <v>131</v>
      </c>
    </row>
    <row r="1512" spans="3:18" hidden="1" x14ac:dyDescent="0.25">
      <c r="C1512" t="s">
        <v>45</v>
      </c>
      <c r="D1512" t="s">
        <v>25</v>
      </c>
      <c r="E1512" t="s">
        <v>48</v>
      </c>
      <c r="F1512" t="s">
        <v>41</v>
      </c>
      <c r="G1512" s="89">
        <v>75994</v>
      </c>
      <c r="H1512" t="s">
        <v>146</v>
      </c>
      <c r="I1512" t="s">
        <v>141</v>
      </c>
      <c r="J1512" s="89">
        <v>531958</v>
      </c>
      <c r="K1512" t="s">
        <v>134</v>
      </c>
      <c r="L1512" t="s">
        <v>128</v>
      </c>
      <c r="N1512">
        <v>1</v>
      </c>
      <c r="O1512" s="89">
        <v>2279.8200000000002</v>
      </c>
      <c r="P1512" s="89">
        <v>17478.62</v>
      </c>
      <c r="Q1512" t="s">
        <v>130</v>
      </c>
      <c r="R1512" t="s">
        <v>131</v>
      </c>
    </row>
    <row r="1513" spans="3:18" hidden="1" x14ac:dyDescent="0.25">
      <c r="C1513" t="s">
        <v>45</v>
      </c>
      <c r="D1513" t="s">
        <v>22</v>
      </c>
      <c r="E1513" t="s">
        <v>43</v>
      </c>
      <c r="F1513" t="s">
        <v>41</v>
      </c>
      <c r="G1513" s="89">
        <v>95808</v>
      </c>
      <c r="H1513" t="s">
        <v>42</v>
      </c>
      <c r="I1513" t="s">
        <v>141</v>
      </c>
      <c r="J1513" s="89">
        <v>862272</v>
      </c>
      <c r="K1513" t="s">
        <v>144</v>
      </c>
      <c r="N1513">
        <v>1</v>
      </c>
      <c r="O1513" s="89">
        <v>2874.24</v>
      </c>
      <c r="P1513" s="89">
        <v>68981.759999999995</v>
      </c>
      <c r="Q1513" t="s">
        <v>137</v>
      </c>
      <c r="R1513" t="s">
        <v>131</v>
      </c>
    </row>
    <row r="1514" spans="3:18" hidden="1" x14ac:dyDescent="0.25">
      <c r="C1514" t="s">
        <v>45</v>
      </c>
      <c r="D1514" t="s">
        <v>24</v>
      </c>
      <c r="E1514" t="s">
        <v>48</v>
      </c>
      <c r="F1514" t="s">
        <v>41</v>
      </c>
      <c r="G1514" s="89">
        <v>21660209</v>
      </c>
      <c r="H1514" t="s">
        <v>140</v>
      </c>
      <c r="I1514" t="s">
        <v>133</v>
      </c>
      <c r="J1514" s="89">
        <v>649806270</v>
      </c>
      <c r="K1514" t="s">
        <v>127</v>
      </c>
      <c r="L1514" t="s">
        <v>128</v>
      </c>
      <c r="N1514">
        <v>1</v>
      </c>
      <c r="O1514" s="89">
        <v>649806.27</v>
      </c>
      <c r="P1514" s="89">
        <v>18627779.739999998</v>
      </c>
      <c r="Q1514" t="s">
        <v>135</v>
      </c>
      <c r="R1514" t="s">
        <v>131</v>
      </c>
    </row>
    <row r="1515" spans="3:18" hidden="1" x14ac:dyDescent="0.25">
      <c r="C1515" t="s">
        <v>45</v>
      </c>
      <c r="D1515" t="s">
        <v>23</v>
      </c>
      <c r="E1515" t="s">
        <v>52</v>
      </c>
      <c r="F1515" t="s">
        <v>41</v>
      </c>
      <c r="G1515" s="89">
        <v>243027</v>
      </c>
      <c r="H1515" t="s">
        <v>42</v>
      </c>
      <c r="I1515" t="s">
        <v>133</v>
      </c>
      <c r="J1515" s="89">
        <v>7047783</v>
      </c>
      <c r="K1515" t="s">
        <v>134</v>
      </c>
      <c r="L1515" t="s">
        <v>128</v>
      </c>
      <c r="M1515" t="s">
        <v>152</v>
      </c>
      <c r="N1515">
        <v>1</v>
      </c>
      <c r="O1515" s="89">
        <v>7290.81</v>
      </c>
      <c r="P1515" s="89">
        <v>187130.79</v>
      </c>
      <c r="Q1515" t="s">
        <v>137</v>
      </c>
      <c r="R1515" t="s">
        <v>42</v>
      </c>
    </row>
    <row r="1516" spans="3:18" x14ac:dyDescent="0.25">
      <c r="C1516" t="s">
        <v>47</v>
      </c>
      <c r="D1516" t="s">
        <v>25</v>
      </c>
      <c r="E1516" t="s">
        <v>48</v>
      </c>
      <c r="F1516" t="s">
        <v>41</v>
      </c>
      <c r="G1516" s="89">
        <v>44377</v>
      </c>
      <c r="H1516" t="s">
        <v>140</v>
      </c>
      <c r="I1516" t="s">
        <v>126</v>
      </c>
      <c r="J1516" s="89">
        <v>532524</v>
      </c>
      <c r="K1516" t="s">
        <v>144</v>
      </c>
      <c r="N1516">
        <v>1</v>
      </c>
      <c r="O1516" s="89">
        <v>1775.08</v>
      </c>
      <c r="P1516" s="89">
        <v>16863.259999999998</v>
      </c>
      <c r="Q1516" t="s">
        <v>130</v>
      </c>
      <c r="R1516" t="s">
        <v>131</v>
      </c>
    </row>
    <row r="1517" spans="3:18" hidden="1" x14ac:dyDescent="0.25">
      <c r="C1517" t="s">
        <v>45</v>
      </c>
      <c r="D1517" t="s">
        <v>22</v>
      </c>
      <c r="E1517" t="s">
        <v>40</v>
      </c>
      <c r="F1517" t="s">
        <v>41</v>
      </c>
      <c r="G1517" s="89">
        <v>74819259</v>
      </c>
      <c r="H1517" t="s">
        <v>42</v>
      </c>
      <c r="I1517" t="s">
        <v>133</v>
      </c>
      <c r="J1517" s="89">
        <v>2319397029</v>
      </c>
      <c r="K1517" t="s">
        <v>127</v>
      </c>
      <c r="L1517" t="s">
        <v>128</v>
      </c>
      <c r="M1517" t="s">
        <v>143</v>
      </c>
      <c r="N1517">
        <v>1</v>
      </c>
      <c r="O1517" s="89">
        <v>2244577.77</v>
      </c>
      <c r="P1517" s="89">
        <v>53121673.890000001</v>
      </c>
      <c r="Q1517" t="s">
        <v>137</v>
      </c>
      <c r="R1517" t="s">
        <v>42</v>
      </c>
    </row>
    <row r="1518" spans="3:18" x14ac:dyDescent="0.25">
      <c r="C1518" t="s">
        <v>47</v>
      </c>
      <c r="D1518" t="s">
        <v>21</v>
      </c>
      <c r="E1518" t="s">
        <v>48</v>
      </c>
      <c r="F1518" t="s">
        <v>41</v>
      </c>
      <c r="G1518" s="89">
        <v>230008</v>
      </c>
      <c r="H1518" t="s">
        <v>145</v>
      </c>
      <c r="I1518" t="s">
        <v>147</v>
      </c>
      <c r="J1518" s="89">
        <v>690024</v>
      </c>
      <c r="K1518" t="s">
        <v>127</v>
      </c>
      <c r="L1518" t="s">
        <v>128</v>
      </c>
      <c r="N1518">
        <v>1</v>
      </c>
      <c r="O1518" s="89">
        <v>9200.32</v>
      </c>
      <c r="P1518" s="89">
        <v>66702.320000000007</v>
      </c>
      <c r="Q1518" t="s">
        <v>130</v>
      </c>
      <c r="R1518" t="s">
        <v>131</v>
      </c>
    </row>
    <row r="1519" spans="3:18" x14ac:dyDescent="0.25">
      <c r="C1519" t="s">
        <v>47</v>
      </c>
      <c r="D1519" t="s">
        <v>23</v>
      </c>
      <c r="E1519" t="s">
        <v>40</v>
      </c>
      <c r="F1519" t="s">
        <v>41</v>
      </c>
      <c r="G1519" s="89">
        <v>239812</v>
      </c>
      <c r="H1519" t="s">
        <v>140</v>
      </c>
      <c r="I1519" t="s">
        <v>141</v>
      </c>
      <c r="J1519" s="89">
        <v>1678684</v>
      </c>
      <c r="K1519" t="s">
        <v>127</v>
      </c>
      <c r="L1519" t="s">
        <v>128</v>
      </c>
      <c r="N1519">
        <v>1</v>
      </c>
      <c r="O1519" s="89">
        <v>9592.48</v>
      </c>
      <c r="P1519" s="89">
        <v>119906</v>
      </c>
      <c r="Q1519" t="s">
        <v>142</v>
      </c>
      <c r="R1519" t="s">
        <v>131</v>
      </c>
    </row>
    <row r="1520" spans="3:18" hidden="1" x14ac:dyDescent="0.25">
      <c r="C1520" t="s">
        <v>45</v>
      </c>
      <c r="D1520" t="s">
        <v>21</v>
      </c>
      <c r="E1520" t="s">
        <v>40</v>
      </c>
      <c r="F1520" t="s">
        <v>41</v>
      </c>
      <c r="G1520" s="89">
        <v>783359</v>
      </c>
      <c r="H1520" t="s">
        <v>146</v>
      </c>
      <c r="I1520" t="s">
        <v>141</v>
      </c>
      <c r="J1520" s="89">
        <v>7050231</v>
      </c>
      <c r="K1520" t="s">
        <v>127</v>
      </c>
      <c r="L1520" t="s">
        <v>128</v>
      </c>
      <c r="N1520">
        <v>1</v>
      </c>
      <c r="O1520" s="89">
        <v>31334.36</v>
      </c>
      <c r="P1520" s="89">
        <v>360345.14</v>
      </c>
      <c r="Q1520" t="s">
        <v>142</v>
      </c>
      <c r="R1520" t="s">
        <v>131</v>
      </c>
    </row>
    <row r="1521" spans="3:18" hidden="1" x14ac:dyDescent="0.25">
      <c r="C1521" t="s">
        <v>45</v>
      </c>
      <c r="D1521" t="s">
        <v>23</v>
      </c>
      <c r="E1521" t="s">
        <v>44</v>
      </c>
      <c r="F1521" t="s">
        <v>41</v>
      </c>
      <c r="G1521" s="89">
        <v>68838</v>
      </c>
      <c r="H1521" t="s">
        <v>42</v>
      </c>
      <c r="I1521" t="s">
        <v>141</v>
      </c>
      <c r="J1521" s="89">
        <v>688380</v>
      </c>
      <c r="K1521" t="s">
        <v>144</v>
      </c>
      <c r="N1521">
        <v>1</v>
      </c>
      <c r="O1521" s="89">
        <v>2065.14</v>
      </c>
      <c r="P1521" s="89">
        <v>51628.5</v>
      </c>
      <c r="Q1521" t="s">
        <v>137</v>
      </c>
      <c r="R1521" t="s">
        <v>42</v>
      </c>
    </row>
    <row r="1522" spans="3:18" hidden="1" x14ac:dyDescent="0.25">
      <c r="C1522" t="s">
        <v>45</v>
      </c>
      <c r="D1522" t="s">
        <v>22</v>
      </c>
      <c r="E1522" t="s">
        <v>40</v>
      </c>
      <c r="F1522" t="s">
        <v>53</v>
      </c>
      <c r="G1522" s="89">
        <v>225230</v>
      </c>
      <c r="H1522" t="s">
        <v>42</v>
      </c>
      <c r="I1522" t="s">
        <v>133</v>
      </c>
      <c r="J1522" s="89">
        <v>6756900</v>
      </c>
      <c r="K1522" t="s">
        <v>144</v>
      </c>
      <c r="N1522">
        <v>1</v>
      </c>
      <c r="O1522" s="89">
        <v>4504.6000000000004</v>
      </c>
      <c r="P1522" s="89">
        <v>72073.600000000006</v>
      </c>
      <c r="Q1522" t="s">
        <v>130</v>
      </c>
      <c r="R1522" t="s">
        <v>42</v>
      </c>
    </row>
    <row r="1523" spans="3:18" hidden="1" x14ac:dyDescent="0.25">
      <c r="C1523" t="s">
        <v>39</v>
      </c>
      <c r="D1523" t="s">
        <v>23</v>
      </c>
      <c r="E1523" t="s">
        <v>48</v>
      </c>
      <c r="F1523" t="s">
        <v>41</v>
      </c>
      <c r="G1523" s="89">
        <v>63814</v>
      </c>
      <c r="H1523" t="s">
        <v>132</v>
      </c>
      <c r="I1523" t="s">
        <v>133</v>
      </c>
      <c r="J1523" s="89"/>
      <c r="N1523">
        <v>0</v>
      </c>
      <c r="O1523" s="89"/>
      <c r="P1523" s="89"/>
      <c r="R1523" t="s">
        <v>131</v>
      </c>
    </row>
    <row r="1524" spans="3:18" x14ac:dyDescent="0.25">
      <c r="C1524" t="s">
        <v>47</v>
      </c>
      <c r="D1524" t="s">
        <v>19</v>
      </c>
      <c r="E1524" t="s">
        <v>43</v>
      </c>
      <c r="F1524" t="s">
        <v>41</v>
      </c>
      <c r="G1524" s="89">
        <v>450622</v>
      </c>
      <c r="H1524" t="s">
        <v>145</v>
      </c>
      <c r="I1524" t="s">
        <v>147</v>
      </c>
      <c r="J1524" s="89">
        <v>1351866</v>
      </c>
      <c r="K1524" t="s">
        <v>127</v>
      </c>
      <c r="L1524" t="s">
        <v>128</v>
      </c>
      <c r="N1524">
        <v>1</v>
      </c>
      <c r="O1524" s="89">
        <v>13518.66</v>
      </c>
      <c r="P1524" s="89">
        <v>414572.24</v>
      </c>
      <c r="Q1524" t="s">
        <v>135</v>
      </c>
      <c r="R1524" t="s">
        <v>131</v>
      </c>
    </row>
    <row r="1525" spans="3:18" hidden="1" x14ac:dyDescent="0.25">
      <c r="C1525" t="s">
        <v>45</v>
      </c>
      <c r="D1525" t="s">
        <v>149</v>
      </c>
      <c r="E1525" t="s">
        <v>43</v>
      </c>
      <c r="F1525" t="s">
        <v>41</v>
      </c>
      <c r="G1525" s="89">
        <v>5034005</v>
      </c>
      <c r="H1525" t="s">
        <v>42</v>
      </c>
      <c r="I1525" t="s">
        <v>126</v>
      </c>
      <c r="J1525" s="89">
        <v>85578085</v>
      </c>
      <c r="K1525" t="s">
        <v>127</v>
      </c>
      <c r="L1525" t="s">
        <v>128</v>
      </c>
      <c r="M1525" t="s">
        <v>136</v>
      </c>
      <c r="N1525">
        <v>1</v>
      </c>
      <c r="O1525" s="89">
        <v>151020.15</v>
      </c>
      <c r="P1525" s="89">
        <v>3423123.4</v>
      </c>
      <c r="Q1525" t="s">
        <v>137</v>
      </c>
      <c r="R1525" t="s">
        <v>131</v>
      </c>
    </row>
    <row r="1526" spans="3:18" hidden="1" x14ac:dyDescent="0.25">
      <c r="C1526" t="s">
        <v>45</v>
      </c>
      <c r="D1526" t="s">
        <v>23</v>
      </c>
      <c r="E1526" t="s">
        <v>48</v>
      </c>
      <c r="F1526" t="s">
        <v>41</v>
      </c>
      <c r="G1526" s="89">
        <v>1571211</v>
      </c>
      <c r="H1526" t="s">
        <v>145</v>
      </c>
      <c r="I1526" t="s">
        <v>126</v>
      </c>
      <c r="J1526" s="89">
        <v>26710587</v>
      </c>
      <c r="K1526" t="s">
        <v>127</v>
      </c>
      <c r="L1526" t="s">
        <v>128</v>
      </c>
      <c r="N1526">
        <v>1</v>
      </c>
      <c r="O1526" s="89">
        <v>47136.33</v>
      </c>
      <c r="P1526" s="89">
        <v>1052711.3700000001</v>
      </c>
      <c r="Q1526" t="s">
        <v>137</v>
      </c>
      <c r="R1526" t="s">
        <v>131</v>
      </c>
    </row>
    <row r="1527" spans="3:18" hidden="1" x14ac:dyDescent="0.25">
      <c r="C1527" t="s">
        <v>45</v>
      </c>
      <c r="D1527" t="s">
        <v>22</v>
      </c>
      <c r="E1527" t="s">
        <v>40</v>
      </c>
      <c r="F1527" t="s">
        <v>41</v>
      </c>
      <c r="G1527" s="89">
        <v>30108</v>
      </c>
      <c r="H1527" t="s">
        <v>140</v>
      </c>
      <c r="I1527" t="s">
        <v>153</v>
      </c>
      <c r="J1527" s="89"/>
      <c r="K1527" t="s">
        <v>127</v>
      </c>
      <c r="L1527" t="s">
        <v>128</v>
      </c>
      <c r="N1527">
        <v>0</v>
      </c>
      <c r="O1527" s="89">
        <v>2408.64</v>
      </c>
      <c r="P1527" s="89">
        <v>3612.96</v>
      </c>
      <c r="Q1527" t="s">
        <v>130</v>
      </c>
      <c r="R1527" t="s">
        <v>131</v>
      </c>
    </row>
    <row r="1528" spans="3:18" hidden="1" x14ac:dyDescent="0.25">
      <c r="C1528" t="s">
        <v>45</v>
      </c>
      <c r="D1528" t="s">
        <v>22</v>
      </c>
      <c r="E1528" t="s">
        <v>40</v>
      </c>
      <c r="F1528" t="s">
        <v>41</v>
      </c>
      <c r="G1528" s="89">
        <v>90962</v>
      </c>
      <c r="H1528" t="s">
        <v>42</v>
      </c>
      <c r="I1528" t="s">
        <v>147</v>
      </c>
      <c r="J1528" s="89">
        <v>272886</v>
      </c>
      <c r="K1528" t="s">
        <v>134</v>
      </c>
      <c r="L1528" t="s">
        <v>128</v>
      </c>
      <c r="M1528" t="s">
        <v>143</v>
      </c>
      <c r="N1528">
        <v>1</v>
      </c>
      <c r="O1528" s="89">
        <v>2728.86</v>
      </c>
      <c r="P1528" s="89">
        <v>10005.82</v>
      </c>
      <c r="Q1528" t="s">
        <v>130</v>
      </c>
      <c r="R1528" t="s">
        <v>131</v>
      </c>
    </row>
    <row r="1529" spans="3:18" x14ac:dyDescent="0.25">
      <c r="C1529" t="s">
        <v>47</v>
      </c>
      <c r="D1529" t="s">
        <v>138</v>
      </c>
      <c r="E1529" t="s">
        <v>40</v>
      </c>
      <c r="F1529" t="s">
        <v>41</v>
      </c>
      <c r="G1529" s="89">
        <v>342890</v>
      </c>
      <c r="H1529" t="s">
        <v>140</v>
      </c>
      <c r="I1529" t="s">
        <v>153</v>
      </c>
      <c r="J1529" s="89"/>
      <c r="K1529" t="s">
        <v>127</v>
      </c>
      <c r="L1529" t="s">
        <v>128</v>
      </c>
      <c r="N1529">
        <v>0</v>
      </c>
      <c r="O1529" s="89">
        <v>17144.5</v>
      </c>
      <c r="P1529" s="89">
        <v>144013.79999999999</v>
      </c>
      <c r="Q1529" t="s">
        <v>142</v>
      </c>
      <c r="R1529" t="s">
        <v>131</v>
      </c>
    </row>
    <row r="1530" spans="3:18" hidden="1" x14ac:dyDescent="0.25">
      <c r="C1530" t="s">
        <v>45</v>
      </c>
      <c r="D1530" t="s">
        <v>22</v>
      </c>
      <c r="E1530" t="s">
        <v>40</v>
      </c>
      <c r="F1530" t="s">
        <v>53</v>
      </c>
      <c r="G1530" s="89">
        <v>594564</v>
      </c>
      <c r="H1530" t="s">
        <v>42</v>
      </c>
      <c r="I1530" t="s">
        <v>133</v>
      </c>
      <c r="J1530" s="89">
        <v>13674972</v>
      </c>
      <c r="K1530" t="s">
        <v>144</v>
      </c>
      <c r="N1530">
        <v>1</v>
      </c>
      <c r="O1530" s="89">
        <v>17836.919999999998</v>
      </c>
      <c r="P1530" s="89">
        <v>332955.84000000003</v>
      </c>
      <c r="Q1530" t="s">
        <v>142</v>
      </c>
      <c r="R1530" t="s">
        <v>42</v>
      </c>
    </row>
    <row r="1531" spans="3:18" hidden="1" x14ac:dyDescent="0.25">
      <c r="C1531" t="s">
        <v>45</v>
      </c>
      <c r="D1531" t="s">
        <v>25</v>
      </c>
      <c r="E1531" t="s">
        <v>40</v>
      </c>
      <c r="F1531" t="s">
        <v>41</v>
      </c>
      <c r="G1531" s="89">
        <v>221085</v>
      </c>
      <c r="H1531" t="s">
        <v>42</v>
      </c>
      <c r="I1531" t="s">
        <v>126</v>
      </c>
      <c r="J1531" s="89">
        <v>3537360</v>
      </c>
      <c r="K1531" t="s">
        <v>127</v>
      </c>
      <c r="L1531" t="s">
        <v>128</v>
      </c>
      <c r="M1531" t="s">
        <v>155</v>
      </c>
      <c r="N1531">
        <v>1</v>
      </c>
      <c r="O1531" s="89">
        <v>8843.4</v>
      </c>
      <c r="P1531" s="89">
        <v>66325.5</v>
      </c>
      <c r="Q1531" t="s">
        <v>130</v>
      </c>
      <c r="R1531" t="s">
        <v>131</v>
      </c>
    </row>
    <row r="1532" spans="3:18" hidden="1" x14ac:dyDescent="0.25">
      <c r="C1532" t="s">
        <v>45</v>
      </c>
      <c r="D1532" t="s">
        <v>24</v>
      </c>
      <c r="E1532" t="s">
        <v>40</v>
      </c>
      <c r="F1532" t="s">
        <v>41</v>
      </c>
      <c r="G1532" s="89">
        <v>79890</v>
      </c>
      <c r="H1532" t="s">
        <v>145</v>
      </c>
      <c r="I1532" t="s">
        <v>133</v>
      </c>
      <c r="J1532" s="89">
        <v>2396700</v>
      </c>
      <c r="K1532" t="s">
        <v>144</v>
      </c>
      <c r="N1532">
        <v>1</v>
      </c>
      <c r="O1532" s="89">
        <v>2396.6999999999998</v>
      </c>
      <c r="P1532" s="89">
        <v>23967</v>
      </c>
      <c r="Q1532" t="s">
        <v>130</v>
      </c>
      <c r="R1532" t="s">
        <v>131</v>
      </c>
    </row>
    <row r="1533" spans="3:18" hidden="1" x14ac:dyDescent="0.25">
      <c r="C1533" t="s">
        <v>45</v>
      </c>
      <c r="D1533" t="s">
        <v>24</v>
      </c>
      <c r="E1533" t="s">
        <v>44</v>
      </c>
      <c r="F1533" t="s">
        <v>41</v>
      </c>
      <c r="G1533" s="89">
        <v>132897</v>
      </c>
      <c r="H1533" t="s">
        <v>146</v>
      </c>
      <c r="I1533" t="s">
        <v>133</v>
      </c>
      <c r="J1533" s="89">
        <v>4385601</v>
      </c>
      <c r="K1533" t="s">
        <v>127</v>
      </c>
      <c r="L1533" t="s">
        <v>128</v>
      </c>
      <c r="N1533">
        <v>1</v>
      </c>
      <c r="O1533" s="89">
        <v>3986.91</v>
      </c>
      <c r="P1533" s="89">
        <v>136883.91</v>
      </c>
      <c r="Q1533" t="s">
        <v>150</v>
      </c>
      <c r="R1533" t="s">
        <v>131</v>
      </c>
    </row>
    <row r="1534" spans="3:18" hidden="1" x14ac:dyDescent="0.25">
      <c r="C1534" t="s">
        <v>45</v>
      </c>
      <c r="D1534" t="s">
        <v>24</v>
      </c>
      <c r="E1534" t="s">
        <v>48</v>
      </c>
      <c r="F1534" t="s">
        <v>41</v>
      </c>
      <c r="G1534" s="89">
        <v>1009455</v>
      </c>
      <c r="H1534" t="s">
        <v>145</v>
      </c>
      <c r="I1534" t="s">
        <v>133</v>
      </c>
      <c r="J1534" s="89">
        <v>32302560</v>
      </c>
      <c r="K1534" t="s">
        <v>144</v>
      </c>
      <c r="N1534">
        <v>1</v>
      </c>
      <c r="O1534" s="89">
        <v>30283.65</v>
      </c>
      <c r="P1534" s="89">
        <v>837847.65</v>
      </c>
      <c r="Q1534" t="s">
        <v>135</v>
      </c>
      <c r="R1534" t="s">
        <v>131</v>
      </c>
    </row>
    <row r="1535" spans="3:18" hidden="1" x14ac:dyDescent="0.25">
      <c r="C1535" t="s">
        <v>45</v>
      </c>
      <c r="D1535" t="s">
        <v>22</v>
      </c>
      <c r="E1535" t="s">
        <v>40</v>
      </c>
      <c r="F1535" t="s">
        <v>41</v>
      </c>
      <c r="G1535" s="89">
        <v>741985</v>
      </c>
      <c r="H1535" t="s">
        <v>145</v>
      </c>
      <c r="I1535" t="s">
        <v>141</v>
      </c>
      <c r="J1535" s="89">
        <v>6677865</v>
      </c>
      <c r="K1535" t="s">
        <v>127</v>
      </c>
      <c r="L1535" t="s">
        <v>128</v>
      </c>
      <c r="N1535">
        <v>1</v>
      </c>
      <c r="O1535" s="89">
        <v>29679.4</v>
      </c>
      <c r="P1535" s="89">
        <v>489710.1</v>
      </c>
      <c r="Q1535" t="s">
        <v>137</v>
      </c>
      <c r="R1535" t="s">
        <v>131</v>
      </c>
    </row>
    <row r="1536" spans="3:18" x14ac:dyDescent="0.25">
      <c r="C1536" t="s">
        <v>47</v>
      </c>
      <c r="D1536" t="s">
        <v>21</v>
      </c>
      <c r="E1536" t="s">
        <v>40</v>
      </c>
      <c r="F1536" t="s">
        <v>41</v>
      </c>
      <c r="G1536" s="89">
        <v>4486013</v>
      </c>
      <c r="H1536" t="s">
        <v>145</v>
      </c>
      <c r="I1536" t="s">
        <v>141</v>
      </c>
      <c r="J1536" s="89">
        <v>31402091</v>
      </c>
      <c r="K1536" t="s">
        <v>127</v>
      </c>
      <c r="L1536" t="s">
        <v>128</v>
      </c>
      <c r="N1536">
        <v>1</v>
      </c>
      <c r="O1536" s="89">
        <v>179440.52</v>
      </c>
      <c r="P1536" s="89">
        <v>1300943.77</v>
      </c>
      <c r="Q1536" t="s">
        <v>130</v>
      </c>
      <c r="R1536" t="s">
        <v>131</v>
      </c>
    </row>
    <row r="1537" spans="3:18" hidden="1" x14ac:dyDescent="0.25">
      <c r="C1537" t="s">
        <v>45</v>
      </c>
      <c r="D1537" t="s">
        <v>22</v>
      </c>
      <c r="E1537" t="s">
        <v>40</v>
      </c>
      <c r="F1537" t="s">
        <v>41</v>
      </c>
      <c r="G1537" s="89">
        <v>71030</v>
      </c>
      <c r="H1537" t="s">
        <v>146</v>
      </c>
      <c r="I1537" t="s">
        <v>147</v>
      </c>
      <c r="J1537" s="89">
        <v>284120</v>
      </c>
      <c r="K1537" t="s">
        <v>134</v>
      </c>
      <c r="L1537" t="s">
        <v>128</v>
      </c>
      <c r="N1537">
        <v>1</v>
      </c>
      <c r="O1537" s="89">
        <v>2841.2</v>
      </c>
      <c r="P1537" s="89">
        <v>30542.9</v>
      </c>
      <c r="Q1537" t="s">
        <v>142</v>
      </c>
      <c r="R1537" t="s">
        <v>131</v>
      </c>
    </row>
    <row r="1538" spans="3:18" x14ac:dyDescent="0.25">
      <c r="C1538" t="s">
        <v>47</v>
      </c>
      <c r="D1538" t="s">
        <v>21</v>
      </c>
      <c r="E1538" t="s">
        <v>43</v>
      </c>
      <c r="F1538" t="s">
        <v>41</v>
      </c>
      <c r="G1538" s="89">
        <v>10835852</v>
      </c>
      <c r="H1538" t="s">
        <v>140</v>
      </c>
      <c r="I1538" t="s">
        <v>126</v>
      </c>
      <c r="J1538" s="89">
        <v>151701928</v>
      </c>
      <c r="K1538" t="s">
        <v>144</v>
      </c>
      <c r="N1538">
        <v>1</v>
      </c>
      <c r="O1538" s="89">
        <v>433434.08</v>
      </c>
      <c r="P1538" s="89">
        <v>7585096.4000000004</v>
      </c>
      <c r="Q1538" t="s">
        <v>137</v>
      </c>
      <c r="R1538" t="s">
        <v>131</v>
      </c>
    </row>
    <row r="1539" spans="3:18" hidden="1" x14ac:dyDescent="0.25">
      <c r="C1539" t="s">
        <v>45</v>
      </c>
      <c r="D1539" t="s">
        <v>22</v>
      </c>
      <c r="E1539" t="s">
        <v>40</v>
      </c>
      <c r="F1539" t="s">
        <v>41</v>
      </c>
      <c r="G1539" s="89">
        <v>89354</v>
      </c>
      <c r="H1539" t="s">
        <v>42</v>
      </c>
      <c r="I1539" t="s">
        <v>133</v>
      </c>
      <c r="J1539" s="89">
        <v>3216744</v>
      </c>
      <c r="K1539" t="s">
        <v>127</v>
      </c>
      <c r="L1539" t="s">
        <v>151</v>
      </c>
      <c r="M1539" t="s">
        <v>156</v>
      </c>
      <c r="N1539">
        <v>1</v>
      </c>
      <c r="O1539" s="89">
        <v>2680.62</v>
      </c>
      <c r="P1539" s="89">
        <v>63441.34</v>
      </c>
      <c r="Q1539" t="s">
        <v>137</v>
      </c>
      <c r="R1539" t="s">
        <v>131</v>
      </c>
    </row>
    <row r="1540" spans="3:18" hidden="1" x14ac:dyDescent="0.25">
      <c r="C1540" t="s">
        <v>45</v>
      </c>
      <c r="D1540" t="s">
        <v>22</v>
      </c>
      <c r="E1540" t="s">
        <v>44</v>
      </c>
      <c r="F1540" t="s">
        <v>41</v>
      </c>
      <c r="G1540" s="89">
        <v>1995351</v>
      </c>
      <c r="H1540" t="s">
        <v>42</v>
      </c>
      <c r="I1540" t="s">
        <v>126</v>
      </c>
      <c r="J1540" s="89">
        <v>31925616</v>
      </c>
      <c r="K1540" t="s">
        <v>127</v>
      </c>
      <c r="L1540" t="s">
        <v>128</v>
      </c>
      <c r="M1540" t="s">
        <v>143</v>
      </c>
      <c r="N1540">
        <v>1</v>
      </c>
      <c r="O1540" s="89">
        <v>79814.039999999994</v>
      </c>
      <c r="P1540" s="89">
        <v>977721.99</v>
      </c>
      <c r="Q1540" t="s">
        <v>142</v>
      </c>
      <c r="R1540" t="s">
        <v>42</v>
      </c>
    </row>
    <row r="1541" spans="3:18" hidden="1" x14ac:dyDescent="0.25">
      <c r="C1541" t="s">
        <v>45</v>
      </c>
      <c r="D1541" t="s">
        <v>19</v>
      </c>
      <c r="E1541" t="s">
        <v>43</v>
      </c>
      <c r="F1541" t="s">
        <v>53</v>
      </c>
      <c r="G1541" s="89">
        <v>65577</v>
      </c>
      <c r="H1541" t="s">
        <v>42</v>
      </c>
      <c r="I1541" t="s">
        <v>133</v>
      </c>
      <c r="J1541" s="89">
        <v>1705002</v>
      </c>
      <c r="K1541" t="s">
        <v>127</v>
      </c>
      <c r="L1541" t="s">
        <v>128</v>
      </c>
      <c r="M1541" t="s">
        <v>136</v>
      </c>
      <c r="N1541">
        <v>1</v>
      </c>
      <c r="O1541" s="89">
        <v>1967.31</v>
      </c>
      <c r="P1541" s="89">
        <v>20984.639999999999</v>
      </c>
      <c r="Q1541" t="s">
        <v>130</v>
      </c>
      <c r="R1541" t="s">
        <v>42</v>
      </c>
    </row>
    <row r="1542" spans="3:18" hidden="1" x14ac:dyDescent="0.25">
      <c r="C1542" t="s">
        <v>45</v>
      </c>
      <c r="D1542" t="s">
        <v>21</v>
      </c>
      <c r="E1542" t="s">
        <v>43</v>
      </c>
      <c r="F1542" t="s">
        <v>41</v>
      </c>
      <c r="G1542" s="89">
        <v>80746</v>
      </c>
      <c r="H1542" t="s">
        <v>132</v>
      </c>
      <c r="I1542" t="s">
        <v>141</v>
      </c>
      <c r="J1542" s="89">
        <v>645968</v>
      </c>
      <c r="K1542" t="s">
        <v>127</v>
      </c>
      <c r="L1542" t="s">
        <v>151</v>
      </c>
      <c r="N1542">
        <v>1</v>
      </c>
      <c r="O1542" s="89">
        <v>2422.38</v>
      </c>
      <c r="P1542" s="89">
        <v>15341.74</v>
      </c>
      <c r="Q1542" t="s">
        <v>130</v>
      </c>
      <c r="R1542" t="s">
        <v>131</v>
      </c>
    </row>
    <row r="1543" spans="3:18" hidden="1" x14ac:dyDescent="0.25">
      <c r="C1543" t="s">
        <v>45</v>
      </c>
      <c r="D1543" t="s">
        <v>24</v>
      </c>
      <c r="E1543" t="s">
        <v>48</v>
      </c>
      <c r="F1543" t="s">
        <v>41</v>
      </c>
      <c r="G1543" s="89">
        <v>5060375</v>
      </c>
      <c r="H1543" t="s">
        <v>132</v>
      </c>
      <c r="I1543" t="s">
        <v>126</v>
      </c>
      <c r="J1543" s="89">
        <v>75905625</v>
      </c>
      <c r="K1543" t="s">
        <v>127</v>
      </c>
      <c r="L1543" t="s">
        <v>128</v>
      </c>
      <c r="N1543">
        <v>1</v>
      </c>
      <c r="O1543" s="89">
        <v>151811.25</v>
      </c>
      <c r="P1543" s="89">
        <v>1416905</v>
      </c>
      <c r="Q1543" t="s">
        <v>130</v>
      </c>
      <c r="R1543" t="s">
        <v>131</v>
      </c>
    </row>
    <row r="1544" spans="3:18" hidden="1" x14ac:dyDescent="0.25">
      <c r="C1544" t="s">
        <v>45</v>
      </c>
      <c r="D1544" t="s">
        <v>23</v>
      </c>
      <c r="E1544" t="s">
        <v>40</v>
      </c>
      <c r="F1544" t="s">
        <v>41</v>
      </c>
      <c r="G1544" s="89">
        <v>1003814</v>
      </c>
      <c r="H1544" t="s">
        <v>145</v>
      </c>
      <c r="I1544" t="s">
        <v>126</v>
      </c>
      <c r="J1544" s="89">
        <v>15057210</v>
      </c>
      <c r="K1544" t="s">
        <v>144</v>
      </c>
      <c r="N1544">
        <v>1</v>
      </c>
      <c r="O1544" s="89">
        <v>30114.42</v>
      </c>
      <c r="P1544" s="89">
        <v>271029.78000000003</v>
      </c>
      <c r="Q1544" t="s">
        <v>130</v>
      </c>
      <c r="R1544" t="s">
        <v>131</v>
      </c>
    </row>
    <row r="1545" spans="3:18" hidden="1" x14ac:dyDescent="0.25">
      <c r="C1545" t="s">
        <v>39</v>
      </c>
      <c r="D1545" t="s">
        <v>21</v>
      </c>
      <c r="E1545" t="s">
        <v>40</v>
      </c>
      <c r="F1545" t="s">
        <v>41</v>
      </c>
      <c r="G1545" s="89">
        <v>67568</v>
      </c>
      <c r="H1545" t="s">
        <v>146</v>
      </c>
      <c r="I1545" t="s">
        <v>133</v>
      </c>
      <c r="J1545" s="89"/>
      <c r="N1545">
        <v>0</v>
      </c>
      <c r="O1545" s="89"/>
      <c r="P1545" s="89"/>
      <c r="R1545" t="s">
        <v>131</v>
      </c>
    </row>
    <row r="1546" spans="3:18" hidden="1" x14ac:dyDescent="0.25">
      <c r="C1546" t="s">
        <v>45</v>
      </c>
      <c r="D1546" t="s">
        <v>23</v>
      </c>
      <c r="E1546" t="s">
        <v>52</v>
      </c>
      <c r="F1546" t="s">
        <v>53</v>
      </c>
      <c r="G1546" s="89">
        <v>1257168</v>
      </c>
      <c r="H1546" t="s">
        <v>42</v>
      </c>
      <c r="I1546" t="s">
        <v>133</v>
      </c>
      <c r="J1546" s="89">
        <v>40229376</v>
      </c>
      <c r="K1546" t="s">
        <v>144</v>
      </c>
      <c r="N1546">
        <v>1</v>
      </c>
      <c r="O1546" s="89">
        <v>37715.040000000001</v>
      </c>
      <c r="P1546" s="89">
        <v>892589.28</v>
      </c>
      <c r="Q1546" t="s">
        <v>137</v>
      </c>
      <c r="R1546" t="s">
        <v>42</v>
      </c>
    </row>
    <row r="1547" spans="3:18" hidden="1" x14ac:dyDescent="0.25">
      <c r="C1547" t="s">
        <v>45</v>
      </c>
      <c r="D1547" t="s">
        <v>23</v>
      </c>
      <c r="E1547" t="s">
        <v>43</v>
      </c>
      <c r="F1547" t="s">
        <v>41</v>
      </c>
      <c r="G1547" s="89">
        <v>49676</v>
      </c>
      <c r="H1547" t="s">
        <v>140</v>
      </c>
      <c r="I1547" t="s">
        <v>126</v>
      </c>
      <c r="J1547" s="89">
        <v>645788</v>
      </c>
      <c r="K1547" t="s">
        <v>127</v>
      </c>
      <c r="L1547" t="s">
        <v>128</v>
      </c>
      <c r="N1547">
        <v>1</v>
      </c>
      <c r="O1547" s="89">
        <v>1987.04</v>
      </c>
      <c r="P1547" s="89">
        <v>33282.92</v>
      </c>
      <c r="Q1547" t="s">
        <v>137</v>
      </c>
      <c r="R1547" t="s">
        <v>131</v>
      </c>
    </row>
    <row r="1548" spans="3:18" hidden="1" x14ac:dyDescent="0.25">
      <c r="C1548" t="s">
        <v>45</v>
      </c>
      <c r="D1548" t="s">
        <v>23</v>
      </c>
      <c r="E1548" t="s">
        <v>43</v>
      </c>
      <c r="F1548" t="s">
        <v>41</v>
      </c>
      <c r="G1548" s="89">
        <v>726737</v>
      </c>
      <c r="H1548" t="s">
        <v>146</v>
      </c>
      <c r="I1548" t="s">
        <v>133</v>
      </c>
      <c r="J1548" s="89">
        <v>18895162</v>
      </c>
      <c r="K1548" t="s">
        <v>127</v>
      </c>
      <c r="L1548" t="s">
        <v>128</v>
      </c>
      <c r="N1548">
        <v>1</v>
      </c>
      <c r="O1548" s="89">
        <v>29069.48</v>
      </c>
      <c r="P1548" s="89">
        <v>152614.76999999999</v>
      </c>
      <c r="Q1548" t="s">
        <v>130</v>
      </c>
      <c r="R1548" t="s">
        <v>131</v>
      </c>
    </row>
    <row r="1549" spans="3:18" hidden="1" x14ac:dyDescent="0.25">
      <c r="C1549" t="s">
        <v>45</v>
      </c>
      <c r="D1549" t="s">
        <v>22</v>
      </c>
      <c r="E1549" t="s">
        <v>44</v>
      </c>
      <c r="F1549" t="s">
        <v>41</v>
      </c>
      <c r="G1549" s="89">
        <v>49796</v>
      </c>
      <c r="H1549" t="s">
        <v>42</v>
      </c>
      <c r="I1549" t="s">
        <v>126</v>
      </c>
      <c r="J1549" s="89">
        <v>547756</v>
      </c>
      <c r="K1549" t="s">
        <v>134</v>
      </c>
      <c r="L1549" t="s">
        <v>128</v>
      </c>
      <c r="M1549" t="s">
        <v>143</v>
      </c>
      <c r="N1549">
        <v>1</v>
      </c>
      <c r="O1549" s="89">
        <v>1991.84</v>
      </c>
      <c r="P1549" s="89">
        <v>19918.400000000001</v>
      </c>
      <c r="Q1549" t="s">
        <v>142</v>
      </c>
      <c r="R1549" t="s">
        <v>42</v>
      </c>
    </row>
    <row r="1550" spans="3:18" hidden="1" x14ac:dyDescent="0.25">
      <c r="C1550" t="s">
        <v>45</v>
      </c>
      <c r="D1550" t="s">
        <v>19</v>
      </c>
      <c r="E1550" t="s">
        <v>43</v>
      </c>
      <c r="F1550" t="s">
        <v>41</v>
      </c>
      <c r="G1550" s="89">
        <v>3251382</v>
      </c>
      <c r="H1550" t="s">
        <v>146</v>
      </c>
      <c r="I1550" t="s">
        <v>126</v>
      </c>
      <c r="J1550" s="89">
        <v>52022112</v>
      </c>
      <c r="K1550" t="s">
        <v>127</v>
      </c>
      <c r="L1550" t="s">
        <v>128</v>
      </c>
      <c r="N1550">
        <v>1</v>
      </c>
      <c r="O1550" s="89">
        <v>130055.28</v>
      </c>
      <c r="P1550" s="89">
        <v>2145912.12</v>
      </c>
      <c r="Q1550" t="s">
        <v>137</v>
      </c>
      <c r="R1550" t="s">
        <v>131</v>
      </c>
    </row>
    <row r="1551" spans="3:18" hidden="1" x14ac:dyDescent="0.25">
      <c r="C1551" t="s">
        <v>45</v>
      </c>
      <c r="D1551" t="s">
        <v>24</v>
      </c>
      <c r="E1551" t="s">
        <v>46</v>
      </c>
      <c r="F1551" t="s">
        <v>41</v>
      </c>
      <c r="G1551" s="89">
        <v>128984</v>
      </c>
      <c r="H1551" t="s">
        <v>42</v>
      </c>
      <c r="I1551" t="s">
        <v>133</v>
      </c>
      <c r="J1551" s="89">
        <v>4514440</v>
      </c>
      <c r="K1551" t="s">
        <v>127</v>
      </c>
      <c r="L1551" t="s">
        <v>128</v>
      </c>
      <c r="M1551" t="s">
        <v>136</v>
      </c>
      <c r="N1551">
        <v>1</v>
      </c>
      <c r="O1551" s="89">
        <v>3869.52</v>
      </c>
      <c r="P1551" s="89">
        <v>107056.72</v>
      </c>
      <c r="Q1551" t="s">
        <v>135</v>
      </c>
      <c r="R1551" t="s">
        <v>42</v>
      </c>
    </row>
    <row r="1552" spans="3:18" hidden="1" x14ac:dyDescent="0.25">
      <c r="C1552" t="s">
        <v>45</v>
      </c>
      <c r="D1552" t="s">
        <v>23</v>
      </c>
      <c r="E1552" t="s">
        <v>48</v>
      </c>
      <c r="F1552" t="s">
        <v>41</v>
      </c>
      <c r="G1552" s="89">
        <v>4101044</v>
      </c>
      <c r="H1552" t="s">
        <v>146</v>
      </c>
      <c r="I1552" t="s">
        <v>141</v>
      </c>
      <c r="J1552" s="89">
        <v>28707308</v>
      </c>
      <c r="K1552" t="s">
        <v>127</v>
      </c>
      <c r="L1552" t="s">
        <v>128</v>
      </c>
      <c r="N1552">
        <v>1</v>
      </c>
      <c r="O1552" s="89">
        <v>123031.32</v>
      </c>
      <c r="P1552" s="89">
        <v>943240.12</v>
      </c>
      <c r="Q1552" t="s">
        <v>130</v>
      </c>
      <c r="R1552" t="s">
        <v>131</v>
      </c>
    </row>
    <row r="1553" spans="3:18" x14ac:dyDescent="0.25">
      <c r="C1553" t="s">
        <v>47</v>
      </c>
      <c r="D1553" t="s">
        <v>23</v>
      </c>
      <c r="E1553" t="s">
        <v>43</v>
      </c>
      <c r="F1553" t="s">
        <v>41</v>
      </c>
      <c r="G1553" s="89">
        <v>467146</v>
      </c>
      <c r="H1553" t="s">
        <v>42</v>
      </c>
      <c r="I1553" t="s">
        <v>147</v>
      </c>
      <c r="J1553" s="89">
        <v>934292</v>
      </c>
      <c r="K1553" t="s">
        <v>127</v>
      </c>
      <c r="L1553" t="s">
        <v>128</v>
      </c>
      <c r="M1553" t="s">
        <v>152</v>
      </c>
      <c r="N1553">
        <v>1</v>
      </c>
      <c r="O1553" s="89">
        <v>32700.22</v>
      </c>
      <c r="P1553" s="89">
        <v>0</v>
      </c>
      <c r="Q1553" t="s">
        <v>130</v>
      </c>
      <c r="R1553" t="s">
        <v>131</v>
      </c>
    </row>
    <row r="1554" spans="3:18" hidden="1" x14ac:dyDescent="0.25">
      <c r="C1554" t="s">
        <v>45</v>
      </c>
      <c r="D1554" t="s">
        <v>19</v>
      </c>
      <c r="E1554" t="s">
        <v>43</v>
      </c>
      <c r="F1554" t="s">
        <v>41</v>
      </c>
      <c r="G1554" s="89">
        <v>755437</v>
      </c>
      <c r="H1554" t="s">
        <v>42</v>
      </c>
      <c r="I1554" t="s">
        <v>133</v>
      </c>
      <c r="J1554" s="89">
        <v>21152236</v>
      </c>
      <c r="K1554" t="s">
        <v>127</v>
      </c>
      <c r="L1554" t="s">
        <v>128</v>
      </c>
      <c r="M1554" t="s">
        <v>143</v>
      </c>
      <c r="N1554">
        <v>1</v>
      </c>
      <c r="O1554" s="89">
        <v>22663.11</v>
      </c>
      <c r="P1554" s="89">
        <v>355055.39</v>
      </c>
      <c r="Q1554" t="s">
        <v>142</v>
      </c>
      <c r="R1554" t="s">
        <v>131</v>
      </c>
    </row>
    <row r="1555" spans="3:18" hidden="1" x14ac:dyDescent="0.25">
      <c r="C1555" t="s">
        <v>45</v>
      </c>
      <c r="D1555" t="s">
        <v>20</v>
      </c>
      <c r="E1555" t="s">
        <v>48</v>
      </c>
      <c r="F1555" t="s">
        <v>41</v>
      </c>
      <c r="G1555" s="89">
        <v>469480</v>
      </c>
      <c r="H1555" t="s">
        <v>42</v>
      </c>
      <c r="I1555" t="s">
        <v>133</v>
      </c>
      <c r="J1555" s="89">
        <v>15492840</v>
      </c>
      <c r="K1555" t="s">
        <v>127</v>
      </c>
      <c r="L1555" t="s">
        <v>128</v>
      </c>
      <c r="M1555" t="s">
        <v>139</v>
      </c>
      <c r="N1555">
        <v>1</v>
      </c>
      <c r="O1555" s="89">
        <v>14084.4</v>
      </c>
      <c r="P1555" s="89">
        <v>384973.6</v>
      </c>
      <c r="Q1555" t="s">
        <v>135</v>
      </c>
      <c r="R1555" t="s">
        <v>131</v>
      </c>
    </row>
    <row r="1556" spans="3:18" x14ac:dyDescent="0.25">
      <c r="C1556" t="s">
        <v>47</v>
      </c>
      <c r="D1556" t="s">
        <v>23</v>
      </c>
      <c r="E1556" t="s">
        <v>46</v>
      </c>
      <c r="F1556" t="s">
        <v>41</v>
      </c>
      <c r="G1556" s="89">
        <v>76686</v>
      </c>
      <c r="H1556" t="s">
        <v>42</v>
      </c>
      <c r="I1556" t="s">
        <v>141</v>
      </c>
      <c r="J1556" s="89">
        <v>690174</v>
      </c>
      <c r="K1556" t="s">
        <v>127</v>
      </c>
      <c r="L1556" t="s">
        <v>128</v>
      </c>
      <c r="M1556" t="s">
        <v>152</v>
      </c>
      <c r="N1556">
        <v>1</v>
      </c>
      <c r="O1556" s="89">
        <v>2300.58</v>
      </c>
      <c r="P1556" s="89">
        <v>33741.839999999997</v>
      </c>
      <c r="Q1556" t="s">
        <v>142</v>
      </c>
      <c r="R1556" t="s">
        <v>42</v>
      </c>
    </row>
    <row r="1557" spans="3:18" hidden="1" x14ac:dyDescent="0.25">
      <c r="C1557" t="s">
        <v>45</v>
      </c>
      <c r="D1557" t="s">
        <v>138</v>
      </c>
      <c r="E1557" t="s">
        <v>43</v>
      </c>
      <c r="F1557" t="s">
        <v>41</v>
      </c>
      <c r="G1557" s="89">
        <v>3184220</v>
      </c>
      <c r="H1557" t="s">
        <v>145</v>
      </c>
      <c r="I1557" t="s">
        <v>126</v>
      </c>
      <c r="J1557" s="89">
        <v>50947520</v>
      </c>
      <c r="K1557" t="s">
        <v>127</v>
      </c>
      <c r="L1557" t="s">
        <v>128</v>
      </c>
      <c r="N1557">
        <v>1</v>
      </c>
      <c r="O1557" s="89">
        <v>95526.6</v>
      </c>
      <c r="P1557" s="89">
        <v>2101585.2000000002</v>
      </c>
      <c r="Q1557" t="s">
        <v>137</v>
      </c>
      <c r="R1557" t="s">
        <v>131</v>
      </c>
    </row>
    <row r="1558" spans="3:18" hidden="1" x14ac:dyDescent="0.25">
      <c r="C1558" t="s">
        <v>45</v>
      </c>
      <c r="D1558" t="s">
        <v>21</v>
      </c>
      <c r="E1558" t="s">
        <v>43</v>
      </c>
      <c r="F1558" t="s">
        <v>41</v>
      </c>
      <c r="G1558" s="89">
        <v>27019472</v>
      </c>
      <c r="H1558" t="s">
        <v>146</v>
      </c>
      <c r="I1558" t="s">
        <v>133</v>
      </c>
      <c r="J1558" s="89">
        <v>810584160</v>
      </c>
      <c r="K1558" t="s">
        <v>127</v>
      </c>
      <c r="L1558" t="s">
        <v>128</v>
      </c>
      <c r="N1558">
        <v>1</v>
      </c>
      <c r="O1558" s="89">
        <v>810584.16</v>
      </c>
      <c r="P1558" s="89">
        <v>23236745.920000002</v>
      </c>
      <c r="Q1558" t="s">
        <v>135</v>
      </c>
      <c r="R1558" t="s">
        <v>131</v>
      </c>
    </row>
    <row r="1559" spans="3:18" x14ac:dyDescent="0.25">
      <c r="C1559" t="s">
        <v>47</v>
      </c>
      <c r="D1559" t="s">
        <v>138</v>
      </c>
      <c r="E1559" t="s">
        <v>40</v>
      </c>
      <c r="F1559" t="s">
        <v>41</v>
      </c>
      <c r="G1559" s="89">
        <v>115067</v>
      </c>
      <c r="H1559" t="s">
        <v>132</v>
      </c>
      <c r="I1559" t="s">
        <v>126</v>
      </c>
      <c r="J1559" s="89">
        <v>1265737</v>
      </c>
      <c r="K1559" t="s">
        <v>127</v>
      </c>
      <c r="L1559" t="s">
        <v>151</v>
      </c>
      <c r="N1559">
        <v>1</v>
      </c>
      <c r="O1559" s="89">
        <v>4602.68</v>
      </c>
      <c r="P1559" s="89">
        <v>12657.37</v>
      </c>
      <c r="Q1559" t="s">
        <v>130</v>
      </c>
      <c r="R1559" t="s">
        <v>131</v>
      </c>
    </row>
    <row r="1560" spans="3:18" hidden="1" x14ac:dyDescent="0.25">
      <c r="C1560" t="s">
        <v>45</v>
      </c>
      <c r="D1560" t="s">
        <v>20</v>
      </c>
      <c r="E1560" t="s">
        <v>43</v>
      </c>
      <c r="F1560" t="s">
        <v>41</v>
      </c>
      <c r="G1560" s="89">
        <v>1828692</v>
      </c>
      <c r="H1560" t="s">
        <v>132</v>
      </c>
      <c r="I1560" t="s">
        <v>133</v>
      </c>
      <c r="J1560" s="89">
        <v>54860760</v>
      </c>
      <c r="K1560" t="s">
        <v>144</v>
      </c>
      <c r="N1560">
        <v>1</v>
      </c>
      <c r="O1560" s="89">
        <v>54860.76</v>
      </c>
      <c r="P1560" s="89">
        <v>1280084.3999999999</v>
      </c>
      <c r="Q1560" t="s">
        <v>137</v>
      </c>
      <c r="R1560" t="s">
        <v>131</v>
      </c>
    </row>
    <row r="1561" spans="3:18" hidden="1" x14ac:dyDescent="0.25">
      <c r="C1561" t="s">
        <v>45</v>
      </c>
      <c r="D1561" t="s">
        <v>138</v>
      </c>
      <c r="E1561" t="s">
        <v>43</v>
      </c>
      <c r="F1561" t="s">
        <v>41</v>
      </c>
      <c r="G1561" s="89">
        <v>70079</v>
      </c>
      <c r="H1561" t="s">
        <v>132</v>
      </c>
      <c r="I1561" t="s">
        <v>126</v>
      </c>
      <c r="J1561" s="89">
        <v>1191343</v>
      </c>
      <c r="K1561" t="s">
        <v>144</v>
      </c>
      <c r="N1561">
        <v>1</v>
      </c>
      <c r="O1561" s="89">
        <v>2102.37</v>
      </c>
      <c r="P1561" s="89">
        <v>33637.919999999998</v>
      </c>
      <c r="Q1561" t="s">
        <v>142</v>
      </c>
      <c r="R1561" t="s">
        <v>131</v>
      </c>
    </row>
    <row r="1562" spans="3:18" hidden="1" x14ac:dyDescent="0.25">
      <c r="C1562" t="s">
        <v>45</v>
      </c>
      <c r="D1562" t="s">
        <v>20</v>
      </c>
      <c r="E1562" t="s">
        <v>43</v>
      </c>
      <c r="F1562" t="s">
        <v>41</v>
      </c>
      <c r="G1562" s="89">
        <v>12631519</v>
      </c>
      <c r="H1562" t="s">
        <v>140</v>
      </c>
      <c r="I1562" t="s">
        <v>141</v>
      </c>
      <c r="J1562" s="89">
        <v>88420633</v>
      </c>
      <c r="K1562" t="s">
        <v>127</v>
      </c>
      <c r="L1562" t="s">
        <v>128</v>
      </c>
      <c r="N1562">
        <v>1</v>
      </c>
      <c r="O1562" s="89">
        <v>378945.57</v>
      </c>
      <c r="P1562" s="89">
        <v>2778934.18</v>
      </c>
      <c r="Q1562" t="s">
        <v>130</v>
      </c>
      <c r="R1562" t="s">
        <v>131</v>
      </c>
    </row>
    <row r="1563" spans="3:18" hidden="1" x14ac:dyDescent="0.25">
      <c r="C1563" t="s">
        <v>45</v>
      </c>
      <c r="D1563" t="s">
        <v>22</v>
      </c>
      <c r="E1563" t="s">
        <v>40</v>
      </c>
      <c r="F1563" t="s">
        <v>41</v>
      </c>
      <c r="G1563" s="89">
        <v>67466</v>
      </c>
      <c r="H1563" t="s">
        <v>146</v>
      </c>
      <c r="I1563" t="s">
        <v>141</v>
      </c>
      <c r="J1563" s="89">
        <v>539728</v>
      </c>
      <c r="K1563" t="s">
        <v>134</v>
      </c>
      <c r="L1563" t="s">
        <v>128</v>
      </c>
      <c r="N1563">
        <v>1</v>
      </c>
      <c r="O1563" s="89">
        <v>2698.64</v>
      </c>
      <c r="P1563" s="89">
        <v>10794.56</v>
      </c>
      <c r="Q1563" t="s">
        <v>130</v>
      </c>
      <c r="R1563" t="s">
        <v>131</v>
      </c>
    </row>
    <row r="1564" spans="3:18" hidden="1" x14ac:dyDescent="0.25">
      <c r="C1564" t="s">
        <v>45</v>
      </c>
      <c r="D1564" t="s">
        <v>22</v>
      </c>
      <c r="E1564" t="s">
        <v>48</v>
      </c>
      <c r="F1564" t="s">
        <v>41</v>
      </c>
      <c r="G1564" s="89">
        <v>60000</v>
      </c>
      <c r="H1564" t="s">
        <v>42</v>
      </c>
      <c r="I1564" t="s">
        <v>133</v>
      </c>
      <c r="J1564" s="89">
        <v>1440000</v>
      </c>
      <c r="K1564" t="s">
        <v>127</v>
      </c>
      <c r="L1564" t="s">
        <v>128</v>
      </c>
      <c r="M1564" t="s">
        <v>143</v>
      </c>
      <c r="N1564">
        <v>1</v>
      </c>
      <c r="O1564" s="89">
        <v>1800</v>
      </c>
      <c r="P1564" s="89">
        <v>88200</v>
      </c>
      <c r="Q1564" t="s">
        <v>150</v>
      </c>
      <c r="R1564" t="s">
        <v>42</v>
      </c>
    </row>
    <row r="1565" spans="3:18" hidden="1" x14ac:dyDescent="0.25">
      <c r="C1565" t="s">
        <v>45</v>
      </c>
      <c r="D1565" t="s">
        <v>138</v>
      </c>
      <c r="E1565" t="s">
        <v>40</v>
      </c>
      <c r="F1565" t="s">
        <v>41</v>
      </c>
      <c r="G1565" s="89">
        <v>12537</v>
      </c>
      <c r="H1565" t="s">
        <v>145</v>
      </c>
      <c r="I1565" t="s">
        <v>126</v>
      </c>
      <c r="J1565" s="89">
        <v>150444</v>
      </c>
      <c r="K1565" t="s">
        <v>127</v>
      </c>
      <c r="L1565" t="s">
        <v>128</v>
      </c>
      <c r="N1565">
        <v>1</v>
      </c>
      <c r="O1565" s="89">
        <v>376.11</v>
      </c>
      <c r="P1565" s="89">
        <v>4889.43</v>
      </c>
      <c r="Q1565" t="s">
        <v>130</v>
      </c>
      <c r="R1565" t="s">
        <v>131</v>
      </c>
    </row>
    <row r="1566" spans="3:18" hidden="1" x14ac:dyDescent="0.25">
      <c r="C1566" t="s">
        <v>45</v>
      </c>
      <c r="D1566" t="s">
        <v>21</v>
      </c>
      <c r="E1566" t="s">
        <v>40</v>
      </c>
      <c r="F1566" t="s">
        <v>41</v>
      </c>
      <c r="G1566" s="89">
        <v>2647486</v>
      </c>
      <c r="H1566" t="s">
        <v>42</v>
      </c>
      <c r="I1566" t="s">
        <v>141</v>
      </c>
      <c r="J1566" s="89">
        <v>21179888</v>
      </c>
      <c r="K1566" t="s">
        <v>127</v>
      </c>
      <c r="L1566" t="s">
        <v>128</v>
      </c>
      <c r="M1566" t="s">
        <v>129</v>
      </c>
      <c r="N1566">
        <v>1</v>
      </c>
      <c r="O1566" s="89">
        <v>79424.58</v>
      </c>
      <c r="P1566" s="89">
        <v>608921.78</v>
      </c>
      <c r="Q1566" t="s">
        <v>130</v>
      </c>
      <c r="R1566" t="s">
        <v>131</v>
      </c>
    </row>
    <row r="1567" spans="3:18" hidden="1" x14ac:dyDescent="0.25">
      <c r="C1567" t="s">
        <v>45</v>
      </c>
      <c r="D1567" t="s">
        <v>22</v>
      </c>
      <c r="E1567" t="s">
        <v>48</v>
      </c>
      <c r="F1567" t="s">
        <v>41</v>
      </c>
      <c r="G1567" s="89">
        <v>155441</v>
      </c>
      <c r="H1567" t="s">
        <v>42</v>
      </c>
      <c r="I1567" t="s">
        <v>133</v>
      </c>
      <c r="J1567" s="89">
        <v>4818671</v>
      </c>
      <c r="K1567" t="s">
        <v>127</v>
      </c>
      <c r="L1567" t="s">
        <v>128</v>
      </c>
      <c r="M1567" t="s">
        <v>129</v>
      </c>
      <c r="N1567">
        <v>1</v>
      </c>
      <c r="O1567" s="89">
        <v>4663.2299999999996</v>
      </c>
      <c r="P1567" s="89">
        <v>79274.91</v>
      </c>
      <c r="Q1567" t="s">
        <v>142</v>
      </c>
      <c r="R1567" t="s">
        <v>42</v>
      </c>
    </row>
    <row r="1568" spans="3:18" hidden="1" x14ac:dyDescent="0.25">
      <c r="C1568" t="s">
        <v>45</v>
      </c>
      <c r="D1568" t="s">
        <v>149</v>
      </c>
      <c r="E1568" t="s">
        <v>46</v>
      </c>
      <c r="F1568" t="s">
        <v>41</v>
      </c>
      <c r="G1568" s="89">
        <v>48662</v>
      </c>
      <c r="H1568" t="s">
        <v>42</v>
      </c>
      <c r="I1568" t="s">
        <v>133</v>
      </c>
      <c r="J1568" s="89">
        <v>1411198</v>
      </c>
      <c r="K1568" t="s">
        <v>127</v>
      </c>
      <c r="L1568" t="s">
        <v>128</v>
      </c>
      <c r="M1568" t="s">
        <v>136</v>
      </c>
      <c r="N1568">
        <v>1</v>
      </c>
      <c r="O1568" s="89">
        <v>1946.48</v>
      </c>
      <c r="P1568" s="89">
        <v>20438.04</v>
      </c>
      <c r="Q1568" t="s">
        <v>142</v>
      </c>
      <c r="R1568" t="s">
        <v>42</v>
      </c>
    </row>
    <row r="1569" spans="3:18" hidden="1" x14ac:dyDescent="0.25">
      <c r="C1569" t="s">
        <v>45</v>
      </c>
      <c r="D1569" t="s">
        <v>22</v>
      </c>
      <c r="E1569" t="s">
        <v>44</v>
      </c>
      <c r="F1569" t="s">
        <v>41</v>
      </c>
      <c r="G1569" s="89">
        <v>8470061</v>
      </c>
      <c r="H1569" t="s">
        <v>42</v>
      </c>
      <c r="I1569" t="s">
        <v>133</v>
      </c>
      <c r="J1569" s="89">
        <v>287982074</v>
      </c>
      <c r="K1569" t="s">
        <v>127</v>
      </c>
      <c r="L1569" t="s">
        <v>128</v>
      </c>
      <c r="M1569" t="s">
        <v>143</v>
      </c>
      <c r="N1569">
        <v>1</v>
      </c>
      <c r="O1569" s="89">
        <v>254101.83</v>
      </c>
      <c r="P1569" s="89">
        <v>6945450.0199999996</v>
      </c>
      <c r="Q1569" t="s">
        <v>135</v>
      </c>
      <c r="R1569" t="s">
        <v>42</v>
      </c>
    </row>
    <row r="1570" spans="3:18" hidden="1" x14ac:dyDescent="0.25">
      <c r="C1570" t="s">
        <v>45</v>
      </c>
      <c r="D1570" t="s">
        <v>149</v>
      </c>
      <c r="E1570" t="s">
        <v>43</v>
      </c>
      <c r="F1570" t="s">
        <v>41</v>
      </c>
      <c r="G1570" s="89">
        <v>123939</v>
      </c>
      <c r="H1570" t="s">
        <v>42</v>
      </c>
      <c r="I1570" t="s">
        <v>141</v>
      </c>
      <c r="J1570" s="89">
        <v>991512</v>
      </c>
      <c r="K1570" t="s">
        <v>127</v>
      </c>
      <c r="L1570" t="s">
        <v>128</v>
      </c>
      <c r="M1570" t="s">
        <v>136</v>
      </c>
      <c r="N1570">
        <v>1</v>
      </c>
      <c r="O1570" s="89">
        <v>4957.5600000000004</v>
      </c>
      <c r="P1570" s="89">
        <v>30984.75</v>
      </c>
      <c r="Q1570" t="s">
        <v>130</v>
      </c>
      <c r="R1570" t="s">
        <v>42</v>
      </c>
    </row>
    <row r="1571" spans="3:18" hidden="1" x14ac:dyDescent="0.25">
      <c r="C1571" t="s">
        <v>45</v>
      </c>
      <c r="D1571" t="s">
        <v>138</v>
      </c>
      <c r="E1571" t="s">
        <v>40</v>
      </c>
      <c r="F1571" t="s">
        <v>53</v>
      </c>
      <c r="G1571" s="89">
        <v>634750</v>
      </c>
      <c r="H1571" t="s">
        <v>42</v>
      </c>
      <c r="I1571" t="s">
        <v>133</v>
      </c>
      <c r="J1571" s="89">
        <v>23485750</v>
      </c>
      <c r="K1571" t="s">
        <v>144</v>
      </c>
      <c r="N1571">
        <v>1</v>
      </c>
      <c r="O1571" s="89">
        <v>19042.5</v>
      </c>
      <c r="P1571" s="89">
        <v>501452.5</v>
      </c>
      <c r="Q1571" t="s">
        <v>137</v>
      </c>
      <c r="R1571" t="s">
        <v>42</v>
      </c>
    </row>
    <row r="1572" spans="3:18" hidden="1" x14ac:dyDescent="0.25">
      <c r="C1572" t="s">
        <v>45</v>
      </c>
      <c r="D1572" t="s">
        <v>23</v>
      </c>
      <c r="E1572" t="s">
        <v>40</v>
      </c>
      <c r="F1572" t="s">
        <v>41</v>
      </c>
      <c r="G1572" s="89">
        <v>171952</v>
      </c>
      <c r="H1572" t="s">
        <v>132</v>
      </c>
      <c r="I1572" t="s">
        <v>133</v>
      </c>
      <c r="J1572" s="89">
        <v>4642704</v>
      </c>
      <c r="K1572" t="s">
        <v>134</v>
      </c>
      <c r="L1572" t="s">
        <v>128</v>
      </c>
      <c r="N1572">
        <v>1</v>
      </c>
      <c r="O1572" s="89">
        <v>5158.5600000000004</v>
      </c>
      <c r="P1572" s="89">
        <v>56744.160000000003</v>
      </c>
      <c r="Q1572" t="s">
        <v>130</v>
      </c>
      <c r="R1572" t="s">
        <v>131</v>
      </c>
    </row>
    <row r="1573" spans="3:18" hidden="1" x14ac:dyDescent="0.25">
      <c r="C1573" t="s">
        <v>45</v>
      </c>
      <c r="D1573" t="s">
        <v>23</v>
      </c>
      <c r="E1573" t="s">
        <v>48</v>
      </c>
      <c r="F1573" t="s">
        <v>41</v>
      </c>
      <c r="G1573" s="89">
        <v>2024573</v>
      </c>
      <c r="H1573" t="s">
        <v>140</v>
      </c>
      <c r="I1573" t="s">
        <v>126</v>
      </c>
      <c r="J1573" s="89">
        <v>32393168</v>
      </c>
      <c r="K1573" t="s">
        <v>144</v>
      </c>
      <c r="N1573">
        <v>1</v>
      </c>
      <c r="O1573" s="89">
        <v>60737.19</v>
      </c>
      <c r="P1573" s="89">
        <v>971795.04</v>
      </c>
      <c r="Q1573" t="s">
        <v>142</v>
      </c>
      <c r="R1573" t="s">
        <v>131</v>
      </c>
    </row>
    <row r="1574" spans="3:18" hidden="1" x14ac:dyDescent="0.25">
      <c r="C1574" t="s">
        <v>45</v>
      </c>
      <c r="D1574" t="s">
        <v>23</v>
      </c>
      <c r="E1574" t="s">
        <v>43</v>
      </c>
      <c r="F1574" t="s">
        <v>41</v>
      </c>
      <c r="G1574" s="89">
        <v>52010</v>
      </c>
      <c r="H1574" t="s">
        <v>132</v>
      </c>
      <c r="I1574" t="s">
        <v>126</v>
      </c>
      <c r="J1574" s="89">
        <v>832160</v>
      </c>
      <c r="K1574" t="s">
        <v>127</v>
      </c>
      <c r="L1574" t="s">
        <v>128</v>
      </c>
      <c r="N1574">
        <v>1</v>
      </c>
      <c r="O1574" s="89">
        <v>2600.5</v>
      </c>
      <c r="P1574" s="89">
        <v>35366.800000000003</v>
      </c>
      <c r="Q1574" t="s">
        <v>137</v>
      </c>
      <c r="R1574" t="s">
        <v>131</v>
      </c>
    </row>
    <row r="1575" spans="3:18" hidden="1" x14ac:dyDescent="0.25">
      <c r="C1575" t="s">
        <v>45</v>
      </c>
      <c r="D1575" t="s">
        <v>24</v>
      </c>
      <c r="E1575" t="s">
        <v>44</v>
      </c>
      <c r="F1575" t="s">
        <v>41</v>
      </c>
      <c r="G1575" s="89">
        <v>99348</v>
      </c>
      <c r="H1575" t="s">
        <v>42</v>
      </c>
      <c r="I1575" t="s">
        <v>141</v>
      </c>
      <c r="J1575" s="89">
        <v>794784</v>
      </c>
      <c r="K1575" t="s">
        <v>144</v>
      </c>
      <c r="N1575">
        <v>1</v>
      </c>
      <c r="O1575" s="89">
        <v>2980.44</v>
      </c>
      <c r="P1575" s="89">
        <v>44706.6</v>
      </c>
      <c r="Q1575" t="s">
        <v>142</v>
      </c>
      <c r="R1575" t="s">
        <v>131</v>
      </c>
    </row>
    <row r="1576" spans="3:18" hidden="1" x14ac:dyDescent="0.25">
      <c r="C1576" t="s">
        <v>45</v>
      </c>
      <c r="D1576" t="s">
        <v>24</v>
      </c>
      <c r="E1576" t="s">
        <v>48</v>
      </c>
      <c r="F1576" t="s">
        <v>41</v>
      </c>
      <c r="G1576" s="89">
        <v>157370</v>
      </c>
      <c r="H1576" t="s">
        <v>146</v>
      </c>
      <c r="I1576" t="s">
        <v>133</v>
      </c>
      <c r="J1576" s="89">
        <v>4563730</v>
      </c>
      <c r="K1576" t="s">
        <v>127</v>
      </c>
      <c r="L1576" t="s">
        <v>128</v>
      </c>
      <c r="N1576">
        <v>1</v>
      </c>
      <c r="O1576" s="89">
        <v>4721.1000000000004</v>
      </c>
      <c r="P1576" s="89">
        <v>165238.5</v>
      </c>
      <c r="Q1576" t="s">
        <v>150</v>
      </c>
      <c r="R1576" t="s">
        <v>131</v>
      </c>
    </row>
    <row r="1577" spans="3:18" hidden="1" x14ac:dyDescent="0.25">
      <c r="C1577" t="s">
        <v>45</v>
      </c>
      <c r="D1577" t="s">
        <v>23</v>
      </c>
      <c r="E1577" t="s">
        <v>48</v>
      </c>
      <c r="F1577" t="s">
        <v>41</v>
      </c>
      <c r="G1577" s="89">
        <v>145000</v>
      </c>
      <c r="H1577" t="s">
        <v>145</v>
      </c>
      <c r="I1577" t="s">
        <v>126</v>
      </c>
      <c r="J1577" s="89">
        <v>2610000</v>
      </c>
      <c r="K1577" t="s">
        <v>144</v>
      </c>
      <c r="N1577">
        <v>1</v>
      </c>
      <c r="O1577" s="89">
        <v>4350</v>
      </c>
      <c r="P1577" s="89">
        <v>69600</v>
      </c>
      <c r="Q1577" t="s">
        <v>142</v>
      </c>
      <c r="R1577" t="s">
        <v>131</v>
      </c>
    </row>
    <row r="1578" spans="3:18" hidden="1" x14ac:dyDescent="0.25">
      <c r="C1578" t="s">
        <v>45</v>
      </c>
      <c r="D1578" t="s">
        <v>20</v>
      </c>
      <c r="E1578" t="s">
        <v>43</v>
      </c>
      <c r="F1578" t="s">
        <v>41</v>
      </c>
      <c r="G1578" s="89">
        <v>116636</v>
      </c>
      <c r="H1578" t="s">
        <v>42</v>
      </c>
      <c r="I1578" t="s">
        <v>133</v>
      </c>
      <c r="J1578" s="89">
        <v>2449356</v>
      </c>
      <c r="K1578" t="s">
        <v>134</v>
      </c>
      <c r="L1578" t="s">
        <v>128</v>
      </c>
      <c r="M1578" t="s">
        <v>139</v>
      </c>
      <c r="N1578">
        <v>1</v>
      </c>
      <c r="O1578" s="89">
        <v>3499.08</v>
      </c>
      <c r="P1578" s="89">
        <v>22160.84</v>
      </c>
      <c r="Q1578" t="s">
        <v>130</v>
      </c>
      <c r="R1578" t="s">
        <v>42</v>
      </c>
    </row>
    <row r="1579" spans="3:18" hidden="1" x14ac:dyDescent="0.25">
      <c r="C1579" t="s">
        <v>45</v>
      </c>
      <c r="D1579" t="s">
        <v>19</v>
      </c>
      <c r="E1579" t="s">
        <v>43</v>
      </c>
      <c r="F1579" t="s">
        <v>41</v>
      </c>
      <c r="G1579" s="89">
        <v>216393</v>
      </c>
      <c r="H1579" t="s">
        <v>140</v>
      </c>
      <c r="I1579" t="s">
        <v>147</v>
      </c>
      <c r="J1579" s="89"/>
      <c r="K1579" t="s">
        <v>127</v>
      </c>
      <c r="L1579" t="s">
        <v>128</v>
      </c>
      <c r="N1579">
        <v>0</v>
      </c>
      <c r="O1579" s="89">
        <v>8655.7199999999993</v>
      </c>
      <c r="P1579" s="89">
        <v>15147.51</v>
      </c>
      <c r="Q1579" t="s">
        <v>130</v>
      </c>
      <c r="R1579" t="s">
        <v>131</v>
      </c>
    </row>
    <row r="1580" spans="3:18" hidden="1" x14ac:dyDescent="0.25">
      <c r="C1580" t="s">
        <v>45</v>
      </c>
      <c r="D1580" t="s">
        <v>22</v>
      </c>
      <c r="E1580" t="s">
        <v>43</v>
      </c>
      <c r="F1580" t="s">
        <v>41</v>
      </c>
      <c r="G1580" s="89">
        <v>2032976</v>
      </c>
      <c r="H1580" t="s">
        <v>140</v>
      </c>
      <c r="I1580" t="s">
        <v>141</v>
      </c>
      <c r="J1580" s="89">
        <v>16263808</v>
      </c>
      <c r="K1580" t="s">
        <v>127</v>
      </c>
      <c r="L1580" t="s">
        <v>128</v>
      </c>
      <c r="N1580">
        <v>1</v>
      </c>
      <c r="O1580" s="89">
        <v>81319.039999999994</v>
      </c>
      <c r="P1580" s="89">
        <v>975828.47999999998</v>
      </c>
      <c r="Q1580" t="s">
        <v>142</v>
      </c>
      <c r="R1580" t="s">
        <v>131</v>
      </c>
    </row>
    <row r="1581" spans="3:18" hidden="1" x14ac:dyDescent="0.25">
      <c r="C1581" t="s">
        <v>45</v>
      </c>
      <c r="D1581" t="s">
        <v>22</v>
      </c>
      <c r="E1581" t="s">
        <v>40</v>
      </c>
      <c r="F1581" t="s">
        <v>53</v>
      </c>
      <c r="G1581" s="89">
        <v>122392</v>
      </c>
      <c r="H1581" t="s">
        <v>42</v>
      </c>
      <c r="I1581" t="s">
        <v>133</v>
      </c>
      <c r="J1581" s="89">
        <v>3671760</v>
      </c>
      <c r="K1581" t="s">
        <v>144</v>
      </c>
      <c r="N1581">
        <v>1</v>
      </c>
      <c r="O1581" s="89">
        <v>3671.76</v>
      </c>
      <c r="P1581" s="89">
        <v>29374.080000000002</v>
      </c>
      <c r="Q1581" t="s">
        <v>130</v>
      </c>
      <c r="R1581" t="s">
        <v>131</v>
      </c>
    </row>
    <row r="1582" spans="3:18" x14ac:dyDescent="0.25">
      <c r="C1582" t="s">
        <v>47</v>
      </c>
      <c r="D1582" t="s">
        <v>24</v>
      </c>
      <c r="E1582" t="s">
        <v>40</v>
      </c>
      <c r="F1582" t="s">
        <v>41</v>
      </c>
      <c r="G1582" s="89">
        <v>8900</v>
      </c>
      <c r="H1582" t="s">
        <v>42</v>
      </c>
      <c r="I1582" t="s">
        <v>133</v>
      </c>
      <c r="J1582" s="89">
        <v>204700</v>
      </c>
      <c r="K1582" t="s">
        <v>127</v>
      </c>
      <c r="L1582" t="s">
        <v>128</v>
      </c>
      <c r="M1582" t="s">
        <v>148</v>
      </c>
      <c r="N1582">
        <v>1</v>
      </c>
      <c r="O1582" s="89">
        <v>267</v>
      </c>
      <c r="P1582" s="89">
        <v>4183</v>
      </c>
      <c r="Q1582" t="s">
        <v>142</v>
      </c>
      <c r="R1582" t="s">
        <v>131</v>
      </c>
    </row>
    <row r="1583" spans="3:18" hidden="1" x14ac:dyDescent="0.25">
      <c r="C1583" t="s">
        <v>45</v>
      </c>
      <c r="D1583" t="s">
        <v>24</v>
      </c>
      <c r="E1583" t="s">
        <v>52</v>
      </c>
      <c r="F1583" t="s">
        <v>53</v>
      </c>
      <c r="G1583" s="89">
        <v>370196</v>
      </c>
      <c r="H1583" t="s">
        <v>42</v>
      </c>
      <c r="I1583" t="s">
        <v>133</v>
      </c>
      <c r="J1583" s="89">
        <v>13697252</v>
      </c>
      <c r="K1583" t="s">
        <v>144</v>
      </c>
      <c r="N1583">
        <v>1</v>
      </c>
      <c r="O1583" s="89">
        <v>11105.88</v>
      </c>
      <c r="P1583" s="89">
        <v>307262.68</v>
      </c>
      <c r="Q1583" t="s">
        <v>135</v>
      </c>
      <c r="R1583" t="s">
        <v>42</v>
      </c>
    </row>
    <row r="1584" spans="3:18" hidden="1" x14ac:dyDescent="0.25">
      <c r="C1584" t="s">
        <v>45</v>
      </c>
      <c r="D1584" t="s">
        <v>19</v>
      </c>
      <c r="E1584" t="s">
        <v>43</v>
      </c>
      <c r="F1584" t="s">
        <v>41</v>
      </c>
      <c r="G1584" s="89">
        <v>60608</v>
      </c>
      <c r="H1584" t="s">
        <v>145</v>
      </c>
      <c r="I1584" t="s">
        <v>133</v>
      </c>
      <c r="J1584" s="89">
        <v>1636416</v>
      </c>
      <c r="K1584" t="s">
        <v>134</v>
      </c>
      <c r="L1584" t="s">
        <v>128</v>
      </c>
      <c r="N1584">
        <v>1</v>
      </c>
      <c r="O1584" s="89">
        <v>1818.24</v>
      </c>
      <c r="P1584" s="89">
        <v>19394.560000000001</v>
      </c>
      <c r="Q1584" t="s">
        <v>130</v>
      </c>
      <c r="R1584" t="s">
        <v>131</v>
      </c>
    </row>
    <row r="1585" spans="3:18" hidden="1" x14ac:dyDescent="0.25">
      <c r="C1585" t="s">
        <v>45</v>
      </c>
      <c r="D1585" t="s">
        <v>149</v>
      </c>
      <c r="E1585" t="s">
        <v>44</v>
      </c>
      <c r="F1585" t="s">
        <v>41</v>
      </c>
      <c r="G1585" s="89">
        <v>36822</v>
      </c>
      <c r="H1585" t="s">
        <v>42</v>
      </c>
      <c r="I1585" t="s">
        <v>126</v>
      </c>
      <c r="J1585" s="89">
        <v>478686</v>
      </c>
      <c r="K1585" t="s">
        <v>127</v>
      </c>
      <c r="L1585" t="s">
        <v>128</v>
      </c>
      <c r="M1585" t="s">
        <v>136</v>
      </c>
      <c r="N1585">
        <v>1</v>
      </c>
      <c r="O1585" s="89">
        <v>1104.6600000000001</v>
      </c>
      <c r="P1585" s="89">
        <v>14728.8</v>
      </c>
      <c r="Q1585" t="s">
        <v>130</v>
      </c>
      <c r="R1585" t="s">
        <v>131</v>
      </c>
    </row>
    <row r="1586" spans="3:18" hidden="1" x14ac:dyDescent="0.25">
      <c r="C1586" t="s">
        <v>45</v>
      </c>
      <c r="D1586" t="s">
        <v>25</v>
      </c>
      <c r="E1586" t="s">
        <v>48</v>
      </c>
      <c r="F1586" t="s">
        <v>41</v>
      </c>
      <c r="G1586" s="89">
        <v>667208</v>
      </c>
      <c r="H1586" t="s">
        <v>146</v>
      </c>
      <c r="I1586" t="s">
        <v>126</v>
      </c>
      <c r="J1586" s="89">
        <v>11342536</v>
      </c>
      <c r="K1586" t="s">
        <v>127</v>
      </c>
      <c r="L1586" t="s">
        <v>128</v>
      </c>
      <c r="N1586">
        <v>1</v>
      </c>
      <c r="O1586" s="89">
        <v>26688.32</v>
      </c>
      <c r="P1586" s="89">
        <v>453701.44</v>
      </c>
      <c r="Q1586" t="s">
        <v>137</v>
      </c>
      <c r="R1586" t="s">
        <v>131</v>
      </c>
    </row>
    <row r="1587" spans="3:18" hidden="1" x14ac:dyDescent="0.25">
      <c r="C1587" t="s">
        <v>45</v>
      </c>
      <c r="D1587" t="s">
        <v>21</v>
      </c>
      <c r="E1587" t="s">
        <v>43</v>
      </c>
      <c r="F1587" t="s">
        <v>41</v>
      </c>
      <c r="G1587" s="89">
        <v>57280275</v>
      </c>
      <c r="H1587" t="s">
        <v>42</v>
      </c>
      <c r="I1587" t="s">
        <v>126</v>
      </c>
      <c r="J1587" s="89">
        <v>859204125</v>
      </c>
      <c r="K1587" t="s">
        <v>127</v>
      </c>
      <c r="L1587" t="s">
        <v>128</v>
      </c>
      <c r="M1587" t="s">
        <v>129</v>
      </c>
      <c r="N1587">
        <v>1</v>
      </c>
      <c r="O1587" s="89">
        <v>1718408.25</v>
      </c>
      <c r="P1587" s="89">
        <v>14892871.5</v>
      </c>
      <c r="Q1587" t="s">
        <v>130</v>
      </c>
      <c r="R1587" t="s">
        <v>131</v>
      </c>
    </row>
    <row r="1588" spans="3:18" hidden="1" x14ac:dyDescent="0.25">
      <c r="C1588" t="s">
        <v>45</v>
      </c>
      <c r="D1588" t="s">
        <v>21</v>
      </c>
      <c r="E1588" t="s">
        <v>46</v>
      </c>
      <c r="F1588" t="s">
        <v>41</v>
      </c>
      <c r="G1588" s="89">
        <v>9854</v>
      </c>
      <c r="H1588" t="s">
        <v>42</v>
      </c>
      <c r="I1588" t="s">
        <v>147</v>
      </c>
      <c r="J1588" s="89">
        <v>49270</v>
      </c>
      <c r="K1588" t="s">
        <v>127</v>
      </c>
      <c r="L1588" t="s">
        <v>128</v>
      </c>
      <c r="M1588" t="s">
        <v>129</v>
      </c>
      <c r="N1588">
        <v>1</v>
      </c>
      <c r="O1588" s="89">
        <v>394.16</v>
      </c>
      <c r="P1588" s="89">
        <v>1970.8</v>
      </c>
      <c r="Q1588" t="s">
        <v>130</v>
      </c>
      <c r="R1588" t="s">
        <v>42</v>
      </c>
    </row>
    <row r="1589" spans="3:18" hidden="1" x14ac:dyDescent="0.25">
      <c r="C1589" t="s">
        <v>45</v>
      </c>
      <c r="D1589" t="s">
        <v>24</v>
      </c>
      <c r="E1589" t="s">
        <v>48</v>
      </c>
      <c r="F1589" t="s">
        <v>41</v>
      </c>
      <c r="G1589" s="89">
        <v>596171</v>
      </c>
      <c r="H1589" t="s">
        <v>42</v>
      </c>
      <c r="I1589" t="s">
        <v>126</v>
      </c>
      <c r="J1589" s="89">
        <v>10731078</v>
      </c>
      <c r="K1589" t="s">
        <v>144</v>
      </c>
      <c r="N1589">
        <v>1</v>
      </c>
      <c r="O1589" s="89">
        <v>17885.13</v>
      </c>
      <c r="P1589" s="89">
        <v>298085.5</v>
      </c>
      <c r="Q1589" t="s">
        <v>142</v>
      </c>
      <c r="R1589" t="s">
        <v>131</v>
      </c>
    </row>
    <row r="1590" spans="3:18" hidden="1" x14ac:dyDescent="0.25">
      <c r="C1590" t="s">
        <v>45</v>
      </c>
      <c r="D1590" t="s">
        <v>21</v>
      </c>
      <c r="E1590" t="s">
        <v>43</v>
      </c>
      <c r="F1590" t="s">
        <v>41</v>
      </c>
      <c r="G1590" s="89">
        <v>57557907</v>
      </c>
      <c r="H1590" t="s">
        <v>146</v>
      </c>
      <c r="I1590" t="s">
        <v>141</v>
      </c>
      <c r="J1590" s="89">
        <v>402905349</v>
      </c>
      <c r="K1590" t="s">
        <v>127</v>
      </c>
      <c r="L1590" t="s">
        <v>128</v>
      </c>
      <c r="N1590">
        <v>1</v>
      </c>
      <c r="O1590" s="89">
        <v>1726737.21</v>
      </c>
      <c r="P1590" s="89">
        <v>12087160.470000001</v>
      </c>
      <c r="Q1590" t="s">
        <v>130</v>
      </c>
      <c r="R1590" t="s">
        <v>131</v>
      </c>
    </row>
    <row r="1591" spans="3:18" x14ac:dyDescent="0.25">
      <c r="C1591" t="s">
        <v>47</v>
      </c>
      <c r="D1591" t="s">
        <v>50</v>
      </c>
      <c r="E1591" t="s">
        <v>50</v>
      </c>
      <c r="F1591" t="s">
        <v>41</v>
      </c>
      <c r="G1591" s="89">
        <v>0</v>
      </c>
      <c r="H1591" t="s">
        <v>51</v>
      </c>
      <c r="I1591" t="s">
        <v>126</v>
      </c>
      <c r="J1591" s="89">
        <v>0</v>
      </c>
      <c r="K1591" t="s">
        <v>144</v>
      </c>
      <c r="N1591">
        <v>1</v>
      </c>
      <c r="O1591" s="89">
        <v>0</v>
      </c>
      <c r="P1591" s="89">
        <v>0</v>
      </c>
      <c r="Q1591" t="s">
        <v>137</v>
      </c>
    </row>
    <row r="1592" spans="3:18" hidden="1" x14ac:dyDescent="0.25">
      <c r="C1592" t="s">
        <v>45</v>
      </c>
      <c r="D1592" t="s">
        <v>23</v>
      </c>
      <c r="E1592" t="s">
        <v>48</v>
      </c>
      <c r="F1592" t="s">
        <v>41</v>
      </c>
      <c r="G1592" s="89">
        <v>1190317</v>
      </c>
      <c r="H1592" t="s">
        <v>132</v>
      </c>
      <c r="I1592" t="s">
        <v>133</v>
      </c>
      <c r="J1592" s="89">
        <v>30948242</v>
      </c>
      <c r="K1592" t="s">
        <v>127</v>
      </c>
      <c r="L1592" t="s">
        <v>128</v>
      </c>
      <c r="N1592">
        <v>1</v>
      </c>
      <c r="O1592" s="89">
        <v>35709.51</v>
      </c>
      <c r="P1592" s="89">
        <v>380901.44</v>
      </c>
      <c r="Q1592" t="s">
        <v>130</v>
      </c>
      <c r="R1592" t="s">
        <v>131</v>
      </c>
    </row>
    <row r="1593" spans="3:18" hidden="1" x14ac:dyDescent="0.25">
      <c r="C1593" t="s">
        <v>45</v>
      </c>
      <c r="D1593" t="s">
        <v>21</v>
      </c>
      <c r="E1593" t="s">
        <v>48</v>
      </c>
      <c r="F1593" t="s">
        <v>41</v>
      </c>
      <c r="G1593" s="89">
        <v>12235</v>
      </c>
      <c r="H1593" t="s">
        <v>42</v>
      </c>
      <c r="I1593" t="s">
        <v>141</v>
      </c>
      <c r="J1593" s="89">
        <v>73410</v>
      </c>
      <c r="K1593" t="s">
        <v>127</v>
      </c>
      <c r="L1593" t="s">
        <v>128</v>
      </c>
      <c r="M1593" t="s">
        <v>143</v>
      </c>
      <c r="N1593">
        <v>1</v>
      </c>
      <c r="O1593" s="89">
        <v>489.4</v>
      </c>
      <c r="P1593" s="89">
        <v>2324.65</v>
      </c>
      <c r="Q1593" t="s">
        <v>130</v>
      </c>
      <c r="R1593" t="s">
        <v>42</v>
      </c>
    </row>
    <row r="1594" spans="3:18" hidden="1" x14ac:dyDescent="0.25">
      <c r="C1594" t="s">
        <v>45</v>
      </c>
      <c r="D1594" t="s">
        <v>19</v>
      </c>
      <c r="E1594" t="s">
        <v>43</v>
      </c>
      <c r="F1594" t="s">
        <v>41</v>
      </c>
      <c r="G1594" s="89">
        <v>517500</v>
      </c>
      <c r="H1594" t="s">
        <v>145</v>
      </c>
      <c r="I1594" t="s">
        <v>126</v>
      </c>
      <c r="J1594" s="89">
        <v>8280000</v>
      </c>
      <c r="K1594" t="s">
        <v>144</v>
      </c>
      <c r="N1594">
        <v>1</v>
      </c>
      <c r="O1594" s="89">
        <v>15525</v>
      </c>
      <c r="P1594" s="89">
        <v>139725</v>
      </c>
      <c r="Q1594" t="s">
        <v>130</v>
      </c>
      <c r="R1594" t="s">
        <v>131</v>
      </c>
    </row>
    <row r="1595" spans="3:18" hidden="1" x14ac:dyDescent="0.25">
      <c r="C1595" t="s">
        <v>45</v>
      </c>
      <c r="D1595" t="s">
        <v>23</v>
      </c>
      <c r="E1595" t="s">
        <v>44</v>
      </c>
      <c r="F1595" t="s">
        <v>41</v>
      </c>
      <c r="G1595" s="89">
        <v>167717</v>
      </c>
      <c r="H1595" t="s">
        <v>42</v>
      </c>
      <c r="I1595" t="s">
        <v>133</v>
      </c>
      <c r="J1595" s="89">
        <v>6373246</v>
      </c>
      <c r="K1595" t="s">
        <v>127</v>
      </c>
      <c r="L1595" t="s">
        <v>128</v>
      </c>
      <c r="M1595" t="s">
        <v>129</v>
      </c>
      <c r="N1595">
        <v>1</v>
      </c>
      <c r="O1595" s="89">
        <v>5031.51</v>
      </c>
      <c r="P1595" s="89">
        <v>137527.94</v>
      </c>
      <c r="Q1595" t="s">
        <v>135</v>
      </c>
      <c r="R1595" t="s">
        <v>42</v>
      </c>
    </row>
    <row r="1596" spans="3:18" hidden="1" x14ac:dyDescent="0.25">
      <c r="C1596" t="s">
        <v>45</v>
      </c>
      <c r="D1596" t="s">
        <v>19</v>
      </c>
      <c r="E1596" t="s">
        <v>43</v>
      </c>
      <c r="F1596" t="s">
        <v>41</v>
      </c>
      <c r="G1596" s="89">
        <v>175338</v>
      </c>
      <c r="H1596" t="s">
        <v>146</v>
      </c>
      <c r="I1596" t="s">
        <v>126</v>
      </c>
      <c r="J1596" s="89">
        <v>2630070</v>
      </c>
      <c r="K1596" t="s">
        <v>144</v>
      </c>
      <c r="N1596">
        <v>1</v>
      </c>
      <c r="O1596" s="89">
        <v>5260.14</v>
      </c>
      <c r="P1596" s="89">
        <v>87669</v>
      </c>
      <c r="Q1596" t="s">
        <v>142</v>
      </c>
      <c r="R1596" t="s">
        <v>131</v>
      </c>
    </row>
    <row r="1597" spans="3:18" x14ac:dyDescent="0.25">
      <c r="C1597" t="s">
        <v>47</v>
      </c>
      <c r="D1597" t="s">
        <v>23</v>
      </c>
      <c r="E1597" t="s">
        <v>40</v>
      </c>
      <c r="F1597" t="s">
        <v>41</v>
      </c>
      <c r="G1597" s="89">
        <v>18932</v>
      </c>
      <c r="H1597" t="s">
        <v>42</v>
      </c>
      <c r="I1597" t="s">
        <v>141</v>
      </c>
      <c r="J1597" s="89">
        <v>189320</v>
      </c>
      <c r="K1597" t="s">
        <v>127</v>
      </c>
      <c r="L1597" t="s">
        <v>128</v>
      </c>
      <c r="M1597" t="s">
        <v>152</v>
      </c>
      <c r="N1597">
        <v>1</v>
      </c>
      <c r="O1597" s="89">
        <v>757.28</v>
      </c>
      <c r="P1597" s="89">
        <v>7951.44</v>
      </c>
      <c r="Q1597" t="s">
        <v>142</v>
      </c>
      <c r="R1597" t="s">
        <v>131</v>
      </c>
    </row>
    <row r="1598" spans="3:18" x14ac:dyDescent="0.25">
      <c r="C1598" t="s">
        <v>47</v>
      </c>
      <c r="D1598" t="s">
        <v>21</v>
      </c>
      <c r="E1598" t="s">
        <v>40</v>
      </c>
      <c r="F1598" t="s">
        <v>41</v>
      </c>
      <c r="G1598" s="89">
        <v>141656</v>
      </c>
      <c r="H1598" t="s">
        <v>145</v>
      </c>
      <c r="I1598" t="s">
        <v>133</v>
      </c>
      <c r="J1598" s="89">
        <v>5666240</v>
      </c>
      <c r="K1598" t="s">
        <v>144</v>
      </c>
      <c r="N1598">
        <v>1</v>
      </c>
      <c r="O1598" s="89">
        <v>4249.68</v>
      </c>
      <c r="P1598" s="89">
        <v>25498.080000000002</v>
      </c>
      <c r="Q1598" t="s">
        <v>130</v>
      </c>
      <c r="R1598" t="s">
        <v>131</v>
      </c>
    </row>
    <row r="1599" spans="3:18" hidden="1" x14ac:dyDescent="0.25">
      <c r="C1599" t="s">
        <v>45</v>
      </c>
      <c r="D1599" t="s">
        <v>24</v>
      </c>
      <c r="E1599" t="s">
        <v>40</v>
      </c>
      <c r="F1599" t="s">
        <v>41</v>
      </c>
      <c r="G1599" s="89">
        <v>3517733</v>
      </c>
      <c r="H1599" t="s">
        <v>146</v>
      </c>
      <c r="I1599" t="s">
        <v>133</v>
      </c>
      <c r="J1599" s="89">
        <v>105531990</v>
      </c>
      <c r="K1599" t="s">
        <v>127</v>
      </c>
      <c r="L1599" t="s">
        <v>128</v>
      </c>
      <c r="N1599">
        <v>1</v>
      </c>
      <c r="O1599" s="89">
        <v>105531.99</v>
      </c>
      <c r="P1599" s="89">
        <v>2462413.1</v>
      </c>
      <c r="Q1599" t="s">
        <v>137</v>
      </c>
      <c r="R1599" t="s">
        <v>131</v>
      </c>
    </row>
    <row r="1600" spans="3:18" hidden="1" x14ac:dyDescent="0.25">
      <c r="C1600" t="s">
        <v>45</v>
      </c>
      <c r="D1600" t="s">
        <v>149</v>
      </c>
      <c r="E1600" t="s">
        <v>43</v>
      </c>
      <c r="F1600" t="s">
        <v>41</v>
      </c>
      <c r="G1600" s="89">
        <v>1908580</v>
      </c>
      <c r="H1600" t="s">
        <v>145</v>
      </c>
      <c r="I1600" t="s">
        <v>133</v>
      </c>
      <c r="J1600" s="89">
        <v>57257400</v>
      </c>
      <c r="K1600" t="s">
        <v>144</v>
      </c>
      <c r="N1600">
        <v>1</v>
      </c>
      <c r="O1600" s="89">
        <v>57257.4</v>
      </c>
      <c r="P1600" s="89">
        <v>954290</v>
      </c>
      <c r="Q1600" t="s">
        <v>142</v>
      </c>
      <c r="R1600" t="s">
        <v>131</v>
      </c>
    </row>
    <row r="1601" spans="3:18" hidden="1" x14ac:dyDescent="0.25">
      <c r="C1601" t="s">
        <v>45</v>
      </c>
      <c r="D1601" t="s">
        <v>23</v>
      </c>
      <c r="E1601" t="s">
        <v>40</v>
      </c>
      <c r="F1601" t="s">
        <v>41</v>
      </c>
      <c r="G1601" s="89">
        <v>672270</v>
      </c>
      <c r="H1601" t="s">
        <v>42</v>
      </c>
      <c r="I1601" t="s">
        <v>126</v>
      </c>
      <c r="J1601" s="89">
        <v>12100860</v>
      </c>
      <c r="K1601" t="s">
        <v>144</v>
      </c>
      <c r="N1601">
        <v>1</v>
      </c>
      <c r="O1601" s="89">
        <v>20168.099999999999</v>
      </c>
      <c r="P1601" s="89">
        <v>477311.7</v>
      </c>
      <c r="Q1601" t="s">
        <v>137</v>
      </c>
      <c r="R1601" t="s">
        <v>131</v>
      </c>
    </row>
    <row r="1602" spans="3:18" hidden="1" x14ac:dyDescent="0.25">
      <c r="C1602" t="s">
        <v>45</v>
      </c>
      <c r="D1602" t="s">
        <v>19</v>
      </c>
      <c r="E1602" t="s">
        <v>43</v>
      </c>
      <c r="F1602" t="s">
        <v>41</v>
      </c>
      <c r="G1602" s="89">
        <v>5433</v>
      </c>
      <c r="H1602" t="s">
        <v>140</v>
      </c>
      <c r="I1602" t="s">
        <v>147</v>
      </c>
      <c r="J1602" s="89"/>
      <c r="K1602" t="s">
        <v>127</v>
      </c>
      <c r="L1602" t="s">
        <v>151</v>
      </c>
      <c r="N1602">
        <v>0</v>
      </c>
      <c r="O1602" s="89">
        <v>217.32</v>
      </c>
      <c r="P1602" s="89">
        <v>54.33</v>
      </c>
      <c r="Q1602" t="s">
        <v>130</v>
      </c>
      <c r="R1602" t="s">
        <v>131</v>
      </c>
    </row>
    <row r="1603" spans="3:18" x14ac:dyDescent="0.25">
      <c r="C1603" t="s">
        <v>47</v>
      </c>
      <c r="D1603" t="s">
        <v>24</v>
      </c>
      <c r="E1603" t="s">
        <v>48</v>
      </c>
      <c r="F1603" t="s">
        <v>41</v>
      </c>
      <c r="G1603" s="89">
        <v>3425168</v>
      </c>
      <c r="H1603" t="s">
        <v>146</v>
      </c>
      <c r="I1603" t="s">
        <v>141</v>
      </c>
      <c r="J1603" s="89">
        <v>23976176</v>
      </c>
      <c r="K1603" t="s">
        <v>127</v>
      </c>
      <c r="L1603" t="s">
        <v>128</v>
      </c>
      <c r="N1603">
        <v>1</v>
      </c>
      <c r="O1603" s="89">
        <v>171258.4</v>
      </c>
      <c r="P1603" s="89">
        <v>2157855.84</v>
      </c>
      <c r="Q1603" t="s">
        <v>137</v>
      </c>
      <c r="R1603" t="s">
        <v>131</v>
      </c>
    </row>
    <row r="1604" spans="3:18" hidden="1" x14ac:dyDescent="0.25">
      <c r="C1604" t="s">
        <v>45</v>
      </c>
      <c r="D1604" t="s">
        <v>22</v>
      </c>
      <c r="E1604" t="s">
        <v>40</v>
      </c>
      <c r="F1604" t="s">
        <v>41</v>
      </c>
      <c r="G1604" s="89">
        <v>322821362</v>
      </c>
      <c r="H1604" t="s">
        <v>42</v>
      </c>
      <c r="I1604" t="s">
        <v>133</v>
      </c>
      <c r="J1604" s="89">
        <v>9361819498</v>
      </c>
      <c r="K1604" t="s">
        <v>127</v>
      </c>
      <c r="L1604" t="s">
        <v>128</v>
      </c>
      <c r="M1604" t="s">
        <v>143</v>
      </c>
      <c r="N1604">
        <v>1</v>
      </c>
      <c r="O1604" s="89">
        <v>9684640.8599999994</v>
      </c>
      <c r="P1604" s="89">
        <v>164638894.62</v>
      </c>
      <c r="Q1604" t="s">
        <v>142</v>
      </c>
      <c r="R1604" t="s">
        <v>131</v>
      </c>
    </row>
    <row r="1605" spans="3:18" hidden="1" x14ac:dyDescent="0.25">
      <c r="C1605" t="s">
        <v>45</v>
      </c>
      <c r="D1605" t="s">
        <v>19</v>
      </c>
      <c r="E1605" t="s">
        <v>43</v>
      </c>
      <c r="F1605" t="s">
        <v>41</v>
      </c>
      <c r="G1605" s="89">
        <v>2122167</v>
      </c>
      <c r="H1605" t="s">
        <v>140</v>
      </c>
      <c r="I1605" t="s">
        <v>141</v>
      </c>
      <c r="J1605" s="89">
        <v>16977336</v>
      </c>
      <c r="K1605" t="s">
        <v>127</v>
      </c>
      <c r="L1605" t="s">
        <v>128</v>
      </c>
      <c r="N1605">
        <v>1</v>
      </c>
      <c r="O1605" s="89">
        <v>63665.01</v>
      </c>
      <c r="P1605" s="89">
        <v>997418.49</v>
      </c>
      <c r="Q1605" t="s">
        <v>142</v>
      </c>
      <c r="R1605" t="s">
        <v>131</v>
      </c>
    </row>
    <row r="1606" spans="3:18" hidden="1" x14ac:dyDescent="0.25">
      <c r="C1606" t="s">
        <v>45</v>
      </c>
      <c r="D1606" t="s">
        <v>23</v>
      </c>
      <c r="E1606" t="s">
        <v>40</v>
      </c>
      <c r="F1606" t="s">
        <v>41</v>
      </c>
      <c r="G1606" s="89">
        <v>10302362</v>
      </c>
      <c r="H1606" t="s">
        <v>146</v>
      </c>
      <c r="I1606" t="s">
        <v>133</v>
      </c>
      <c r="J1606" s="89">
        <v>257559050</v>
      </c>
      <c r="K1606" t="s">
        <v>127</v>
      </c>
      <c r="L1606" t="s">
        <v>128</v>
      </c>
      <c r="N1606">
        <v>1</v>
      </c>
      <c r="O1606" s="89">
        <v>309070.86</v>
      </c>
      <c r="P1606" s="89">
        <v>5357228.24</v>
      </c>
      <c r="Q1606" t="s">
        <v>142</v>
      </c>
      <c r="R1606" t="s">
        <v>131</v>
      </c>
    </row>
    <row r="1607" spans="3:18" hidden="1" x14ac:dyDescent="0.25">
      <c r="C1607" t="s">
        <v>45</v>
      </c>
      <c r="D1607" t="s">
        <v>24</v>
      </c>
      <c r="E1607" t="s">
        <v>44</v>
      </c>
      <c r="F1607" t="s">
        <v>41</v>
      </c>
      <c r="G1607" s="89">
        <v>482648</v>
      </c>
      <c r="H1607" t="s">
        <v>42</v>
      </c>
      <c r="I1607" t="s">
        <v>141</v>
      </c>
      <c r="J1607" s="89">
        <v>4343832</v>
      </c>
      <c r="K1607" t="s">
        <v>127</v>
      </c>
      <c r="L1607" t="s">
        <v>128</v>
      </c>
      <c r="M1607" t="s">
        <v>148</v>
      </c>
      <c r="N1607">
        <v>1</v>
      </c>
      <c r="O1607" s="89">
        <v>14479.44</v>
      </c>
      <c r="P1607" s="89">
        <v>260629.92</v>
      </c>
      <c r="Q1607" t="s">
        <v>142</v>
      </c>
      <c r="R1607" t="s">
        <v>42</v>
      </c>
    </row>
    <row r="1608" spans="3:18" hidden="1" x14ac:dyDescent="0.25">
      <c r="C1608" t="s">
        <v>45</v>
      </c>
      <c r="D1608" t="s">
        <v>22</v>
      </c>
      <c r="E1608" t="s">
        <v>43</v>
      </c>
      <c r="F1608" t="s">
        <v>41</v>
      </c>
      <c r="G1608" s="89">
        <v>361059</v>
      </c>
      <c r="H1608" t="s">
        <v>140</v>
      </c>
      <c r="I1608" t="s">
        <v>141</v>
      </c>
      <c r="J1608" s="89">
        <v>2888472</v>
      </c>
      <c r="K1608" t="s">
        <v>144</v>
      </c>
      <c r="N1608">
        <v>1</v>
      </c>
      <c r="O1608" s="89">
        <v>10831.77</v>
      </c>
      <c r="P1608" s="89">
        <v>79432.98</v>
      </c>
      <c r="Q1608" t="s">
        <v>130</v>
      </c>
      <c r="R1608" t="s">
        <v>131</v>
      </c>
    </row>
    <row r="1609" spans="3:18" x14ac:dyDescent="0.25">
      <c r="C1609" t="s">
        <v>47</v>
      </c>
      <c r="D1609" t="s">
        <v>21</v>
      </c>
      <c r="E1609" t="s">
        <v>40</v>
      </c>
      <c r="F1609" t="s">
        <v>41</v>
      </c>
      <c r="G1609" s="89">
        <v>38017714</v>
      </c>
      <c r="H1609" t="s">
        <v>140</v>
      </c>
      <c r="I1609" t="s">
        <v>141</v>
      </c>
      <c r="J1609" s="89">
        <v>266123998</v>
      </c>
      <c r="K1609" t="s">
        <v>127</v>
      </c>
      <c r="L1609" t="s">
        <v>128</v>
      </c>
      <c r="N1609">
        <v>1</v>
      </c>
      <c r="O1609" s="89">
        <v>1520708.56</v>
      </c>
      <c r="P1609" s="89">
        <v>10644959.92</v>
      </c>
      <c r="Q1609" t="s">
        <v>130</v>
      </c>
      <c r="R1609" t="s">
        <v>131</v>
      </c>
    </row>
    <row r="1610" spans="3:18" hidden="1" x14ac:dyDescent="0.25">
      <c r="C1610" t="s">
        <v>45</v>
      </c>
      <c r="D1610" t="s">
        <v>138</v>
      </c>
      <c r="E1610" t="s">
        <v>43</v>
      </c>
      <c r="F1610" t="s">
        <v>41</v>
      </c>
      <c r="G1610" s="89">
        <v>9566403</v>
      </c>
      <c r="H1610" t="s">
        <v>132</v>
      </c>
      <c r="I1610" t="s">
        <v>126</v>
      </c>
      <c r="J1610" s="89">
        <v>143496045</v>
      </c>
      <c r="K1610" t="s">
        <v>127</v>
      </c>
      <c r="L1610" t="s">
        <v>128</v>
      </c>
      <c r="N1610">
        <v>1</v>
      </c>
      <c r="O1610" s="89">
        <v>286992.09000000003</v>
      </c>
      <c r="P1610" s="89">
        <v>2678592.84</v>
      </c>
      <c r="Q1610" t="s">
        <v>130</v>
      </c>
      <c r="R1610" t="s">
        <v>131</v>
      </c>
    </row>
    <row r="1611" spans="3:18" x14ac:dyDescent="0.25">
      <c r="C1611" t="s">
        <v>47</v>
      </c>
      <c r="D1611" t="s">
        <v>23</v>
      </c>
      <c r="E1611" t="s">
        <v>48</v>
      </c>
      <c r="F1611" t="s">
        <v>41</v>
      </c>
      <c r="G1611" s="89">
        <v>460690</v>
      </c>
      <c r="H1611" t="s">
        <v>146</v>
      </c>
      <c r="I1611" t="s">
        <v>141</v>
      </c>
      <c r="J1611" s="89">
        <v>3224830</v>
      </c>
      <c r="K1611" t="s">
        <v>127</v>
      </c>
      <c r="L1611" t="s">
        <v>128</v>
      </c>
      <c r="N1611">
        <v>1</v>
      </c>
      <c r="O1611" s="89">
        <v>18427.599999999999</v>
      </c>
      <c r="P1611" s="89">
        <v>253379.5</v>
      </c>
      <c r="Q1611" t="s">
        <v>142</v>
      </c>
      <c r="R1611" t="s">
        <v>131</v>
      </c>
    </row>
    <row r="1612" spans="3:18" x14ac:dyDescent="0.25">
      <c r="C1612" t="s">
        <v>47</v>
      </c>
      <c r="D1612" t="s">
        <v>24</v>
      </c>
      <c r="E1612" t="s">
        <v>48</v>
      </c>
      <c r="F1612" t="s">
        <v>41</v>
      </c>
      <c r="G1612" s="89">
        <v>184864</v>
      </c>
      <c r="H1612" t="s">
        <v>42</v>
      </c>
      <c r="I1612" t="s">
        <v>141</v>
      </c>
      <c r="J1612" s="89">
        <v>1478912</v>
      </c>
      <c r="K1612" t="s">
        <v>127</v>
      </c>
      <c r="L1612" t="s">
        <v>128</v>
      </c>
      <c r="M1612" t="s">
        <v>148</v>
      </c>
      <c r="N1612">
        <v>1</v>
      </c>
      <c r="O1612" s="89">
        <v>7394.56</v>
      </c>
      <c r="P1612" s="89">
        <v>123858.88</v>
      </c>
      <c r="Q1612" t="s">
        <v>137</v>
      </c>
      <c r="R1612" t="s">
        <v>131</v>
      </c>
    </row>
    <row r="1613" spans="3:18" hidden="1" x14ac:dyDescent="0.25">
      <c r="C1613" t="s">
        <v>45</v>
      </c>
      <c r="D1613" t="s">
        <v>24</v>
      </c>
      <c r="E1613" t="s">
        <v>44</v>
      </c>
      <c r="F1613" t="s">
        <v>53</v>
      </c>
      <c r="G1613" s="89">
        <v>157412</v>
      </c>
      <c r="H1613" t="s">
        <v>140</v>
      </c>
      <c r="I1613" t="s">
        <v>133</v>
      </c>
      <c r="J1613" s="89">
        <v>3620476</v>
      </c>
      <c r="K1613" t="s">
        <v>144</v>
      </c>
      <c r="N1613">
        <v>1</v>
      </c>
      <c r="O1613" s="89">
        <v>4722.3599999999997</v>
      </c>
      <c r="P1613" s="89">
        <v>47223.6</v>
      </c>
      <c r="Q1613" t="s">
        <v>130</v>
      </c>
      <c r="R1613" t="s">
        <v>131</v>
      </c>
    </row>
    <row r="1614" spans="3:18" hidden="1" x14ac:dyDescent="0.25">
      <c r="C1614" t="s">
        <v>45</v>
      </c>
      <c r="D1614" t="s">
        <v>23</v>
      </c>
      <c r="E1614" t="s">
        <v>40</v>
      </c>
      <c r="F1614" t="s">
        <v>41</v>
      </c>
      <c r="G1614" s="89">
        <v>142421</v>
      </c>
      <c r="H1614" t="s">
        <v>42</v>
      </c>
      <c r="I1614" t="s">
        <v>133</v>
      </c>
      <c r="J1614" s="89">
        <v>3133262</v>
      </c>
      <c r="K1614" t="s">
        <v>127</v>
      </c>
      <c r="L1614" t="s">
        <v>151</v>
      </c>
      <c r="M1614" t="s">
        <v>156</v>
      </c>
      <c r="N1614">
        <v>1</v>
      </c>
      <c r="O1614" s="89">
        <v>2848.42</v>
      </c>
      <c r="P1614" s="89">
        <v>21363.15</v>
      </c>
      <c r="Q1614" t="s">
        <v>130</v>
      </c>
      <c r="R1614" t="s">
        <v>131</v>
      </c>
    </row>
    <row r="1615" spans="3:18" hidden="1" x14ac:dyDescent="0.25">
      <c r="C1615" t="s">
        <v>45</v>
      </c>
      <c r="D1615" t="s">
        <v>23</v>
      </c>
      <c r="E1615" t="s">
        <v>40</v>
      </c>
      <c r="F1615" t="s">
        <v>41</v>
      </c>
      <c r="G1615" s="89">
        <v>779303</v>
      </c>
      <c r="H1615" t="s">
        <v>42</v>
      </c>
      <c r="I1615" t="s">
        <v>141</v>
      </c>
      <c r="J1615" s="89">
        <v>7013727</v>
      </c>
      <c r="K1615" t="s">
        <v>144</v>
      </c>
      <c r="N1615">
        <v>1</v>
      </c>
      <c r="O1615" s="89">
        <v>23379.09</v>
      </c>
      <c r="P1615" s="89">
        <v>568891.18999999994</v>
      </c>
      <c r="Q1615" t="s">
        <v>137</v>
      </c>
      <c r="R1615" t="s">
        <v>131</v>
      </c>
    </row>
    <row r="1616" spans="3:18" hidden="1" x14ac:dyDescent="0.25">
      <c r="C1616" t="s">
        <v>45</v>
      </c>
      <c r="D1616" t="s">
        <v>24</v>
      </c>
      <c r="E1616" t="s">
        <v>44</v>
      </c>
      <c r="F1616" t="s">
        <v>41</v>
      </c>
      <c r="G1616" s="89">
        <v>187319</v>
      </c>
      <c r="H1616" t="s">
        <v>42</v>
      </c>
      <c r="I1616" t="s">
        <v>133</v>
      </c>
      <c r="J1616" s="89">
        <v>6556165</v>
      </c>
      <c r="K1616" t="s">
        <v>127</v>
      </c>
      <c r="L1616" t="s">
        <v>128</v>
      </c>
      <c r="M1616" t="s">
        <v>139</v>
      </c>
      <c r="N1616">
        <v>1</v>
      </c>
      <c r="O1616" s="89">
        <v>5619.57</v>
      </c>
      <c r="P1616" s="89">
        <v>146108.82</v>
      </c>
      <c r="Q1616" t="s">
        <v>137</v>
      </c>
      <c r="R1616" t="s">
        <v>42</v>
      </c>
    </row>
    <row r="1617" spans="3:18" hidden="1" x14ac:dyDescent="0.25">
      <c r="C1617" t="s">
        <v>45</v>
      </c>
      <c r="D1617" t="s">
        <v>24</v>
      </c>
      <c r="E1617" t="s">
        <v>44</v>
      </c>
      <c r="F1617" t="s">
        <v>41</v>
      </c>
      <c r="G1617" s="89">
        <v>507763</v>
      </c>
      <c r="H1617" t="s">
        <v>146</v>
      </c>
      <c r="I1617" t="s">
        <v>126</v>
      </c>
      <c r="J1617" s="89">
        <v>6600919</v>
      </c>
      <c r="K1617" t="s">
        <v>127</v>
      </c>
      <c r="L1617" t="s">
        <v>128</v>
      </c>
      <c r="N1617">
        <v>1</v>
      </c>
      <c r="O1617" s="89">
        <v>20310.52</v>
      </c>
      <c r="P1617" s="89">
        <v>132018.38</v>
      </c>
      <c r="Q1617" t="s">
        <v>130</v>
      </c>
      <c r="R1617" t="s">
        <v>131</v>
      </c>
    </row>
    <row r="1618" spans="3:18" hidden="1" x14ac:dyDescent="0.25">
      <c r="C1618" t="s">
        <v>45</v>
      </c>
      <c r="D1618" t="s">
        <v>25</v>
      </c>
      <c r="E1618" t="s">
        <v>43</v>
      </c>
      <c r="F1618" t="s">
        <v>41</v>
      </c>
      <c r="G1618" s="89">
        <v>114640</v>
      </c>
      <c r="H1618" t="s">
        <v>42</v>
      </c>
      <c r="I1618" t="s">
        <v>133</v>
      </c>
      <c r="J1618" s="89">
        <v>3439200</v>
      </c>
      <c r="K1618" t="s">
        <v>127</v>
      </c>
      <c r="L1618" t="s">
        <v>128</v>
      </c>
      <c r="M1618" t="s">
        <v>155</v>
      </c>
      <c r="N1618">
        <v>1</v>
      </c>
      <c r="O1618" s="89">
        <v>4585.6000000000004</v>
      </c>
      <c r="P1618" s="89">
        <v>83687.199999999997</v>
      </c>
      <c r="Q1618" t="s">
        <v>137</v>
      </c>
      <c r="R1618" t="s">
        <v>42</v>
      </c>
    </row>
    <row r="1619" spans="3:18" x14ac:dyDescent="0.25">
      <c r="C1619" t="s">
        <v>47</v>
      </c>
      <c r="D1619" t="s">
        <v>50</v>
      </c>
      <c r="E1619" t="s">
        <v>50</v>
      </c>
      <c r="F1619" t="s">
        <v>41</v>
      </c>
      <c r="G1619" s="89">
        <v>294463</v>
      </c>
      <c r="H1619" t="s">
        <v>79</v>
      </c>
      <c r="I1619" t="s">
        <v>141</v>
      </c>
      <c r="J1619" s="89">
        <v>2355704</v>
      </c>
      <c r="K1619" t="s">
        <v>127</v>
      </c>
      <c r="N1619">
        <v>1</v>
      </c>
      <c r="O1619" s="89">
        <v>8833.89</v>
      </c>
      <c r="P1619" s="89">
        <v>185511.69</v>
      </c>
      <c r="Q1619" t="s">
        <v>137</v>
      </c>
      <c r="R1619" t="s">
        <v>79</v>
      </c>
    </row>
    <row r="1620" spans="3:18" hidden="1" x14ac:dyDescent="0.25">
      <c r="C1620" t="s">
        <v>45</v>
      </c>
      <c r="D1620" t="s">
        <v>25</v>
      </c>
      <c r="E1620" t="s">
        <v>48</v>
      </c>
      <c r="F1620" t="s">
        <v>41</v>
      </c>
      <c r="G1620" s="89">
        <v>806738</v>
      </c>
      <c r="H1620" t="s">
        <v>146</v>
      </c>
      <c r="I1620" t="s">
        <v>147</v>
      </c>
      <c r="J1620" s="89">
        <v>2420214</v>
      </c>
      <c r="K1620" t="s">
        <v>127</v>
      </c>
      <c r="L1620" t="s">
        <v>128</v>
      </c>
      <c r="N1620">
        <v>1</v>
      </c>
      <c r="O1620" s="89">
        <v>24202.14</v>
      </c>
      <c r="P1620" s="89">
        <v>80673.8</v>
      </c>
      <c r="Q1620" t="s">
        <v>130</v>
      </c>
      <c r="R1620" t="s">
        <v>131</v>
      </c>
    </row>
    <row r="1621" spans="3:18" x14ac:dyDescent="0.25">
      <c r="C1621" t="s">
        <v>47</v>
      </c>
      <c r="D1621" t="s">
        <v>24</v>
      </c>
      <c r="E1621" t="s">
        <v>40</v>
      </c>
      <c r="F1621" t="s">
        <v>41</v>
      </c>
      <c r="G1621" s="89">
        <v>195905</v>
      </c>
      <c r="H1621" t="s">
        <v>146</v>
      </c>
      <c r="I1621" t="s">
        <v>147</v>
      </c>
      <c r="J1621" s="89"/>
      <c r="K1621" t="s">
        <v>127</v>
      </c>
      <c r="L1621" t="s">
        <v>128</v>
      </c>
      <c r="N1621">
        <v>0</v>
      </c>
      <c r="O1621" s="89">
        <v>7836.2</v>
      </c>
      <c r="P1621" s="89">
        <v>9795.25</v>
      </c>
      <c r="Q1621" t="s">
        <v>130</v>
      </c>
      <c r="R1621" t="s">
        <v>131</v>
      </c>
    </row>
    <row r="1622" spans="3:18" hidden="1" x14ac:dyDescent="0.25">
      <c r="C1622" t="s">
        <v>45</v>
      </c>
      <c r="D1622" t="s">
        <v>22</v>
      </c>
      <c r="E1622" t="s">
        <v>52</v>
      </c>
      <c r="F1622" t="s">
        <v>53</v>
      </c>
      <c r="G1622" s="89">
        <v>47616</v>
      </c>
      <c r="H1622" t="s">
        <v>42</v>
      </c>
      <c r="I1622" t="s">
        <v>133</v>
      </c>
      <c r="J1622" s="89">
        <v>1714176</v>
      </c>
      <c r="K1622" t="s">
        <v>144</v>
      </c>
      <c r="N1622">
        <v>1</v>
      </c>
      <c r="O1622" s="89">
        <v>1428.48</v>
      </c>
      <c r="P1622" s="89">
        <v>33331.199999999997</v>
      </c>
      <c r="Q1622" t="s">
        <v>137</v>
      </c>
      <c r="R1622" t="s">
        <v>42</v>
      </c>
    </row>
    <row r="1623" spans="3:18" x14ac:dyDescent="0.25">
      <c r="C1623" t="s">
        <v>47</v>
      </c>
      <c r="D1623" t="s">
        <v>21</v>
      </c>
      <c r="E1623" t="s">
        <v>40</v>
      </c>
      <c r="F1623" t="s">
        <v>41</v>
      </c>
      <c r="G1623" s="89">
        <v>1066884</v>
      </c>
      <c r="H1623" t="s">
        <v>140</v>
      </c>
      <c r="I1623" t="s">
        <v>147</v>
      </c>
      <c r="J1623" s="89"/>
      <c r="K1623" t="s">
        <v>127</v>
      </c>
      <c r="L1623" t="s">
        <v>128</v>
      </c>
      <c r="N1623">
        <v>0</v>
      </c>
      <c r="O1623" s="89">
        <v>32006.52</v>
      </c>
      <c r="P1623" s="89">
        <v>32006.52</v>
      </c>
      <c r="Q1623" t="s">
        <v>130</v>
      </c>
      <c r="R1623" t="s">
        <v>131</v>
      </c>
    </row>
    <row r="1624" spans="3:18" x14ac:dyDescent="0.25">
      <c r="C1624" t="s">
        <v>47</v>
      </c>
      <c r="D1624" t="s">
        <v>50</v>
      </c>
      <c r="E1624" t="s">
        <v>50</v>
      </c>
      <c r="F1624" t="s">
        <v>41</v>
      </c>
      <c r="G1624" s="89">
        <v>113513</v>
      </c>
      <c r="H1624" t="s">
        <v>51</v>
      </c>
      <c r="I1624" t="s">
        <v>141</v>
      </c>
      <c r="J1624" s="89">
        <v>794591</v>
      </c>
      <c r="K1624" t="s">
        <v>127</v>
      </c>
      <c r="N1624">
        <v>1</v>
      </c>
      <c r="O1624" s="89">
        <v>4540.5200000000004</v>
      </c>
      <c r="P1624" s="89">
        <v>96486.05</v>
      </c>
      <c r="Q1624" t="s">
        <v>135</v>
      </c>
    </row>
    <row r="1625" spans="3:18" hidden="1" x14ac:dyDescent="0.25">
      <c r="C1625" t="s">
        <v>45</v>
      </c>
      <c r="D1625" t="s">
        <v>22</v>
      </c>
      <c r="E1625" t="s">
        <v>43</v>
      </c>
      <c r="F1625" t="s">
        <v>41</v>
      </c>
      <c r="G1625" s="89">
        <v>1003491</v>
      </c>
      <c r="H1625" t="s">
        <v>140</v>
      </c>
      <c r="I1625" t="s">
        <v>126</v>
      </c>
      <c r="J1625" s="89">
        <v>17059347</v>
      </c>
      <c r="K1625" t="s">
        <v>144</v>
      </c>
      <c r="N1625">
        <v>1</v>
      </c>
      <c r="O1625" s="89">
        <v>30104.73</v>
      </c>
      <c r="P1625" s="89">
        <v>291012.39</v>
      </c>
      <c r="Q1625" t="s">
        <v>130</v>
      </c>
      <c r="R1625" t="s">
        <v>131</v>
      </c>
    </row>
    <row r="1626" spans="3:18" hidden="1" x14ac:dyDescent="0.25">
      <c r="C1626" t="s">
        <v>45</v>
      </c>
      <c r="D1626" t="s">
        <v>24</v>
      </c>
      <c r="E1626" t="s">
        <v>48</v>
      </c>
      <c r="F1626" t="s">
        <v>41</v>
      </c>
      <c r="G1626" s="89">
        <v>3555493</v>
      </c>
      <c r="H1626" t="s">
        <v>145</v>
      </c>
      <c r="I1626" t="s">
        <v>126</v>
      </c>
      <c r="J1626" s="89">
        <v>60443381</v>
      </c>
      <c r="K1626" t="s">
        <v>127</v>
      </c>
      <c r="L1626" t="s">
        <v>128</v>
      </c>
      <c r="N1626">
        <v>1</v>
      </c>
      <c r="O1626" s="89">
        <v>106664.79</v>
      </c>
      <c r="P1626" s="89">
        <v>2382180.31</v>
      </c>
      <c r="Q1626" t="s">
        <v>137</v>
      </c>
      <c r="R1626" t="s">
        <v>131</v>
      </c>
    </row>
    <row r="1627" spans="3:18" hidden="1" x14ac:dyDescent="0.25">
      <c r="C1627" t="s">
        <v>45</v>
      </c>
      <c r="D1627" t="s">
        <v>23</v>
      </c>
      <c r="E1627" t="s">
        <v>48</v>
      </c>
      <c r="F1627" t="s">
        <v>41</v>
      </c>
      <c r="G1627" s="89">
        <v>1338678</v>
      </c>
      <c r="H1627" t="s">
        <v>132</v>
      </c>
      <c r="I1627" t="s">
        <v>126</v>
      </c>
      <c r="J1627" s="89">
        <v>21418848</v>
      </c>
      <c r="K1627" t="s">
        <v>127</v>
      </c>
      <c r="L1627" t="s">
        <v>128</v>
      </c>
      <c r="N1627">
        <v>1</v>
      </c>
      <c r="O1627" s="89">
        <v>53547.12</v>
      </c>
      <c r="P1627" s="89">
        <v>883527.48</v>
      </c>
      <c r="Q1627" t="s">
        <v>137</v>
      </c>
      <c r="R1627" t="s">
        <v>131</v>
      </c>
    </row>
    <row r="1628" spans="3:18" hidden="1" x14ac:dyDescent="0.25">
      <c r="C1628" t="s">
        <v>45</v>
      </c>
      <c r="D1628" t="s">
        <v>22</v>
      </c>
      <c r="E1628" t="s">
        <v>43</v>
      </c>
      <c r="F1628" t="s">
        <v>41</v>
      </c>
      <c r="G1628" s="89">
        <v>3782343</v>
      </c>
      <c r="H1628" t="s">
        <v>42</v>
      </c>
      <c r="I1628" t="s">
        <v>133</v>
      </c>
      <c r="J1628" s="89">
        <v>105905604</v>
      </c>
      <c r="K1628" t="s">
        <v>127</v>
      </c>
      <c r="L1628" t="s">
        <v>128</v>
      </c>
      <c r="M1628" t="s">
        <v>143</v>
      </c>
      <c r="N1628">
        <v>1</v>
      </c>
      <c r="O1628" s="89">
        <v>113470.29</v>
      </c>
      <c r="P1628" s="89">
        <v>1928994.93</v>
      </c>
      <c r="Q1628" t="s">
        <v>142</v>
      </c>
      <c r="R1628" t="s">
        <v>42</v>
      </c>
    </row>
    <row r="1629" spans="3:18" hidden="1" x14ac:dyDescent="0.25">
      <c r="C1629" t="s">
        <v>45</v>
      </c>
      <c r="D1629" t="s">
        <v>138</v>
      </c>
      <c r="E1629" t="s">
        <v>43</v>
      </c>
      <c r="F1629" t="s">
        <v>41</v>
      </c>
      <c r="G1629" s="89">
        <v>372497</v>
      </c>
      <c r="H1629" t="s">
        <v>42</v>
      </c>
      <c r="I1629" t="s">
        <v>141</v>
      </c>
      <c r="J1629" s="89">
        <v>2979976</v>
      </c>
      <c r="K1629" t="s">
        <v>127</v>
      </c>
      <c r="L1629" t="s">
        <v>128</v>
      </c>
      <c r="M1629" t="s">
        <v>139</v>
      </c>
      <c r="N1629">
        <v>1</v>
      </c>
      <c r="O1629" s="89">
        <v>14899.88</v>
      </c>
      <c r="P1629" s="89">
        <v>234673.11</v>
      </c>
      <c r="Q1629" t="s">
        <v>137</v>
      </c>
      <c r="R1629" t="s">
        <v>131</v>
      </c>
    </row>
    <row r="1630" spans="3:18" hidden="1" x14ac:dyDescent="0.25">
      <c r="C1630" t="s">
        <v>45</v>
      </c>
      <c r="D1630" t="s">
        <v>20</v>
      </c>
      <c r="E1630" t="s">
        <v>43</v>
      </c>
      <c r="F1630" t="s">
        <v>41</v>
      </c>
      <c r="G1630" s="89">
        <v>935919</v>
      </c>
      <c r="H1630" t="s">
        <v>42</v>
      </c>
      <c r="I1630" t="s">
        <v>133</v>
      </c>
      <c r="J1630" s="89">
        <v>31821246</v>
      </c>
      <c r="K1630" t="s">
        <v>144</v>
      </c>
      <c r="N1630">
        <v>1</v>
      </c>
      <c r="O1630" s="89">
        <v>18718.38</v>
      </c>
      <c r="P1630" s="89">
        <v>1057588.47</v>
      </c>
      <c r="Q1630" t="s">
        <v>150</v>
      </c>
      <c r="R1630" t="s">
        <v>42</v>
      </c>
    </row>
    <row r="1631" spans="3:18" hidden="1" x14ac:dyDescent="0.25">
      <c r="C1631" t="s">
        <v>45</v>
      </c>
      <c r="D1631" t="s">
        <v>138</v>
      </c>
      <c r="E1631" t="s">
        <v>43</v>
      </c>
      <c r="F1631" t="s">
        <v>41</v>
      </c>
      <c r="G1631" s="89">
        <v>3506037</v>
      </c>
      <c r="H1631" t="s">
        <v>146</v>
      </c>
      <c r="I1631" t="s">
        <v>126</v>
      </c>
      <c r="J1631" s="89">
        <v>56096592</v>
      </c>
      <c r="K1631" t="s">
        <v>127</v>
      </c>
      <c r="L1631" t="s">
        <v>128</v>
      </c>
      <c r="N1631">
        <v>1</v>
      </c>
      <c r="O1631" s="89">
        <v>105181.11</v>
      </c>
      <c r="P1631" s="89">
        <v>1682897.76</v>
      </c>
      <c r="Q1631" t="s">
        <v>142</v>
      </c>
      <c r="R1631" t="s">
        <v>131</v>
      </c>
    </row>
    <row r="1632" spans="3:18" hidden="1" x14ac:dyDescent="0.25">
      <c r="C1632" t="s">
        <v>45</v>
      </c>
      <c r="D1632" t="s">
        <v>25</v>
      </c>
      <c r="E1632" t="s">
        <v>48</v>
      </c>
      <c r="F1632" t="s">
        <v>41</v>
      </c>
      <c r="G1632" s="89">
        <v>61135</v>
      </c>
      <c r="H1632" t="s">
        <v>42</v>
      </c>
      <c r="I1632" t="s">
        <v>126</v>
      </c>
      <c r="J1632" s="89">
        <v>611350</v>
      </c>
      <c r="K1632" t="s">
        <v>127</v>
      </c>
      <c r="L1632" t="s">
        <v>128</v>
      </c>
      <c r="M1632" t="s">
        <v>155</v>
      </c>
      <c r="N1632">
        <v>1</v>
      </c>
      <c r="O1632" s="89">
        <v>1222.7</v>
      </c>
      <c r="P1632" s="89">
        <v>21397.25</v>
      </c>
      <c r="Q1632" t="s">
        <v>130</v>
      </c>
      <c r="R1632" t="s">
        <v>131</v>
      </c>
    </row>
    <row r="1633" spans="3:18" hidden="1" x14ac:dyDescent="0.25">
      <c r="C1633" t="s">
        <v>45</v>
      </c>
      <c r="D1633" t="s">
        <v>23</v>
      </c>
      <c r="E1633" t="s">
        <v>43</v>
      </c>
      <c r="F1633" t="s">
        <v>41</v>
      </c>
      <c r="G1633" s="89">
        <v>137337</v>
      </c>
      <c r="H1633" t="s">
        <v>132</v>
      </c>
      <c r="I1633" t="s">
        <v>147</v>
      </c>
      <c r="J1633" s="89">
        <v>412011</v>
      </c>
      <c r="K1633" t="s">
        <v>127</v>
      </c>
      <c r="L1633" t="s">
        <v>128</v>
      </c>
      <c r="N1633">
        <v>1</v>
      </c>
      <c r="O1633" s="89">
        <v>4120.1099999999997</v>
      </c>
      <c r="P1633" s="89">
        <v>13733.7</v>
      </c>
      <c r="Q1633" t="s">
        <v>130</v>
      </c>
      <c r="R1633" t="s">
        <v>131</v>
      </c>
    </row>
    <row r="1634" spans="3:18" hidden="1" x14ac:dyDescent="0.25">
      <c r="C1634" t="s">
        <v>45</v>
      </c>
      <c r="D1634" t="s">
        <v>25</v>
      </c>
      <c r="E1634" t="s">
        <v>48</v>
      </c>
      <c r="F1634" t="s">
        <v>41</v>
      </c>
      <c r="G1634" s="89">
        <v>2722127</v>
      </c>
      <c r="H1634" t="s">
        <v>140</v>
      </c>
      <c r="I1634" t="s">
        <v>133</v>
      </c>
      <c r="J1634" s="89">
        <v>73497429</v>
      </c>
      <c r="K1634" t="s">
        <v>127</v>
      </c>
      <c r="L1634" t="s">
        <v>128</v>
      </c>
      <c r="N1634">
        <v>1</v>
      </c>
      <c r="O1634" s="89">
        <v>81663.81</v>
      </c>
      <c r="P1634" s="89">
        <v>1823825.09</v>
      </c>
      <c r="Q1634" t="s">
        <v>137</v>
      </c>
      <c r="R1634" t="s">
        <v>131</v>
      </c>
    </row>
    <row r="1635" spans="3:18" hidden="1" x14ac:dyDescent="0.25">
      <c r="C1635" t="s">
        <v>45</v>
      </c>
      <c r="D1635" t="s">
        <v>21</v>
      </c>
      <c r="E1635" t="s">
        <v>40</v>
      </c>
      <c r="F1635" t="s">
        <v>41</v>
      </c>
      <c r="G1635" s="89">
        <v>30444</v>
      </c>
      <c r="H1635" t="s">
        <v>146</v>
      </c>
      <c r="I1635" t="s">
        <v>126</v>
      </c>
      <c r="J1635" s="89">
        <v>608880</v>
      </c>
      <c r="K1635" t="s">
        <v>127</v>
      </c>
      <c r="L1635" t="s">
        <v>128</v>
      </c>
      <c r="N1635">
        <v>1</v>
      </c>
      <c r="O1635" s="89">
        <v>913.32</v>
      </c>
      <c r="P1635" s="89">
        <v>36837.24</v>
      </c>
      <c r="Q1635" t="s">
        <v>150</v>
      </c>
      <c r="R1635" t="s">
        <v>131</v>
      </c>
    </row>
    <row r="1636" spans="3:18" x14ac:dyDescent="0.25">
      <c r="C1636" t="s">
        <v>47</v>
      </c>
      <c r="D1636" t="s">
        <v>19</v>
      </c>
      <c r="E1636" t="s">
        <v>43</v>
      </c>
      <c r="F1636" t="s">
        <v>41</v>
      </c>
      <c r="G1636" s="89">
        <v>5699</v>
      </c>
      <c r="H1636" t="s">
        <v>140</v>
      </c>
      <c r="I1636" t="s">
        <v>126</v>
      </c>
      <c r="J1636" s="89">
        <v>79786</v>
      </c>
      <c r="K1636" t="s">
        <v>127</v>
      </c>
      <c r="L1636" t="s">
        <v>128</v>
      </c>
      <c r="N1636">
        <v>1</v>
      </c>
      <c r="O1636" s="89">
        <v>170.97</v>
      </c>
      <c r="P1636" s="89">
        <v>4901.1400000000003</v>
      </c>
      <c r="Q1636" t="s">
        <v>135</v>
      </c>
      <c r="R1636" t="s">
        <v>131</v>
      </c>
    </row>
    <row r="1637" spans="3:18" hidden="1" x14ac:dyDescent="0.25">
      <c r="C1637" t="s">
        <v>45</v>
      </c>
      <c r="D1637" t="s">
        <v>24</v>
      </c>
      <c r="E1637" t="s">
        <v>44</v>
      </c>
      <c r="F1637" t="s">
        <v>41</v>
      </c>
      <c r="G1637" s="89">
        <v>4035336</v>
      </c>
      <c r="H1637" t="s">
        <v>140</v>
      </c>
      <c r="I1637" t="s">
        <v>133</v>
      </c>
      <c r="J1637" s="89">
        <v>125095416</v>
      </c>
      <c r="K1637" t="s">
        <v>144</v>
      </c>
      <c r="N1637">
        <v>1</v>
      </c>
      <c r="O1637" s="89">
        <v>121060.08</v>
      </c>
      <c r="P1637" s="89">
        <v>2058021.36</v>
      </c>
      <c r="Q1637" t="s">
        <v>142</v>
      </c>
      <c r="R1637" t="s">
        <v>131</v>
      </c>
    </row>
    <row r="1638" spans="3:18" hidden="1" x14ac:dyDescent="0.25">
      <c r="C1638" t="s">
        <v>45</v>
      </c>
      <c r="D1638" t="s">
        <v>50</v>
      </c>
      <c r="E1638" t="s">
        <v>50</v>
      </c>
      <c r="F1638" t="s">
        <v>41</v>
      </c>
      <c r="G1638" s="89">
        <v>12946</v>
      </c>
      <c r="H1638" t="s">
        <v>51</v>
      </c>
      <c r="I1638" t="s">
        <v>126</v>
      </c>
      <c r="J1638" s="89">
        <v>142406</v>
      </c>
      <c r="K1638" t="s">
        <v>127</v>
      </c>
      <c r="N1638">
        <v>1</v>
      </c>
      <c r="O1638" s="89">
        <v>388.38</v>
      </c>
      <c r="P1638" s="89">
        <v>4790.0200000000004</v>
      </c>
      <c r="Q1638" t="s">
        <v>130</v>
      </c>
    </row>
    <row r="1639" spans="3:18" hidden="1" x14ac:dyDescent="0.25">
      <c r="C1639" t="s">
        <v>45</v>
      </c>
      <c r="D1639" t="s">
        <v>22</v>
      </c>
      <c r="E1639" t="s">
        <v>40</v>
      </c>
      <c r="F1639" t="s">
        <v>41</v>
      </c>
      <c r="G1639" s="89">
        <v>249507</v>
      </c>
      <c r="H1639" t="s">
        <v>146</v>
      </c>
      <c r="I1639" t="s">
        <v>126</v>
      </c>
      <c r="J1639" s="89">
        <v>4491126</v>
      </c>
      <c r="K1639" t="s">
        <v>144</v>
      </c>
      <c r="N1639">
        <v>1</v>
      </c>
      <c r="O1639" s="89">
        <v>7485.21</v>
      </c>
      <c r="P1639" s="89">
        <v>194615.46</v>
      </c>
      <c r="Q1639" t="s">
        <v>137</v>
      </c>
      <c r="R1639" t="s">
        <v>131</v>
      </c>
    </row>
    <row r="1640" spans="3:18" hidden="1" x14ac:dyDescent="0.25">
      <c r="C1640" t="s">
        <v>45</v>
      </c>
      <c r="D1640" t="s">
        <v>22</v>
      </c>
      <c r="E1640" t="s">
        <v>40</v>
      </c>
      <c r="F1640" t="s">
        <v>41</v>
      </c>
      <c r="G1640" s="89">
        <v>46132</v>
      </c>
      <c r="H1640" t="s">
        <v>154</v>
      </c>
      <c r="I1640" t="s">
        <v>126</v>
      </c>
      <c r="J1640" s="89">
        <v>599716</v>
      </c>
      <c r="K1640" t="s">
        <v>127</v>
      </c>
      <c r="L1640" t="s">
        <v>128</v>
      </c>
      <c r="N1640">
        <v>1</v>
      </c>
      <c r="O1640" s="89">
        <v>1383.96</v>
      </c>
      <c r="P1640" s="89">
        <v>14300.92</v>
      </c>
      <c r="Q1640" t="s">
        <v>130</v>
      </c>
      <c r="R1640" t="s">
        <v>131</v>
      </c>
    </row>
    <row r="1641" spans="3:18" x14ac:dyDescent="0.25">
      <c r="C1641" t="s">
        <v>47</v>
      </c>
      <c r="D1641" t="s">
        <v>21</v>
      </c>
      <c r="E1641" t="s">
        <v>43</v>
      </c>
      <c r="F1641" t="s">
        <v>41</v>
      </c>
      <c r="G1641" s="89">
        <v>31390207</v>
      </c>
      <c r="H1641" t="s">
        <v>42</v>
      </c>
      <c r="I1641" t="s">
        <v>126</v>
      </c>
      <c r="J1641" s="89">
        <v>408072691</v>
      </c>
      <c r="K1641" t="s">
        <v>127</v>
      </c>
      <c r="L1641" t="s">
        <v>128</v>
      </c>
      <c r="M1641" t="s">
        <v>129</v>
      </c>
      <c r="N1641">
        <v>1</v>
      </c>
      <c r="O1641" s="89">
        <v>941706.21</v>
      </c>
      <c r="P1641" s="89">
        <v>18206320.059999999</v>
      </c>
      <c r="Q1641" t="s">
        <v>142</v>
      </c>
      <c r="R1641" t="s">
        <v>131</v>
      </c>
    </row>
    <row r="1642" spans="3:18" hidden="1" x14ac:dyDescent="0.25">
      <c r="C1642" t="s">
        <v>45</v>
      </c>
      <c r="D1642" t="s">
        <v>22</v>
      </c>
      <c r="E1642" t="s">
        <v>52</v>
      </c>
      <c r="F1642" t="s">
        <v>41</v>
      </c>
      <c r="G1642" s="89">
        <v>395698</v>
      </c>
      <c r="H1642" t="s">
        <v>42</v>
      </c>
      <c r="I1642" t="s">
        <v>133</v>
      </c>
      <c r="J1642" s="89">
        <v>12266638</v>
      </c>
      <c r="K1642" t="s">
        <v>144</v>
      </c>
      <c r="N1642">
        <v>1</v>
      </c>
      <c r="O1642" s="89">
        <v>11870.94</v>
      </c>
      <c r="P1642" s="89">
        <v>197849</v>
      </c>
      <c r="Q1642" t="s">
        <v>142</v>
      </c>
      <c r="R1642" t="s">
        <v>42</v>
      </c>
    </row>
    <row r="1643" spans="3:18" hidden="1" x14ac:dyDescent="0.25">
      <c r="C1643" t="s">
        <v>45</v>
      </c>
      <c r="D1643" t="s">
        <v>23</v>
      </c>
      <c r="E1643" t="s">
        <v>43</v>
      </c>
      <c r="F1643" t="s">
        <v>41</v>
      </c>
      <c r="G1643" s="89">
        <v>922366</v>
      </c>
      <c r="H1643" t="s">
        <v>42</v>
      </c>
      <c r="I1643" t="s">
        <v>141</v>
      </c>
      <c r="J1643" s="89">
        <v>7378928</v>
      </c>
      <c r="K1643" t="s">
        <v>127</v>
      </c>
      <c r="L1643" t="s">
        <v>128</v>
      </c>
      <c r="M1643" t="s">
        <v>152</v>
      </c>
      <c r="N1643">
        <v>1</v>
      </c>
      <c r="O1643" s="89">
        <v>27670.98</v>
      </c>
      <c r="P1643" s="89">
        <v>405841.04</v>
      </c>
      <c r="Q1643" t="s">
        <v>142</v>
      </c>
      <c r="R1643" t="s">
        <v>131</v>
      </c>
    </row>
    <row r="1644" spans="3:18" x14ac:dyDescent="0.25">
      <c r="C1644" t="s">
        <v>47</v>
      </c>
      <c r="D1644" t="s">
        <v>19</v>
      </c>
      <c r="E1644" t="s">
        <v>43</v>
      </c>
      <c r="F1644" t="s">
        <v>41</v>
      </c>
      <c r="G1644" s="89">
        <v>209523</v>
      </c>
      <c r="H1644" t="s">
        <v>146</v>
      </c>
      <c r="I1644" t="s">
        <v>147</v>
      </c>
      <c r="J1644" s="89">
        <v>628569</v>
      </c>
      <c r="K1644" t="s">
        <v>127</v>
      </c>
      <c r="L1644" t="s">
        <v>128</v>
      </c>
      <c r="N1644">
        <v>1</v>
      </c>
      <c r="O1644" s="89">
        <v>12571.38</v>
      </c>
      <c r="P1644" s="89">
        <v>96380.58</v>
      </c>
      <c r="Q1644" t="s">
        <v>142</v>
      </c>
      <c r="R1644" t="s">
        <v>131</v>
      </c>
    </row>
    <row r="1645" spans="3:18" x14ac:dyDescent="0.25">
      <c r="C1645" t="s">
        <v>47</v>
      </c>
      <c r="D1645" t="s">
        <v>23</v>
      </c>
      <c r="E1645" t="s">
        <v>40</v>
      </c>
      <c r="F1645" t="s">
        <v>41</v>
      </c>
      <c r="G1645" s="89">
        <v>601944</v>
      </c>
      <c r="H1645" t="s">
        <v>132</v>
      </c>
      <c r="I1645" t="s">
        <v>141</v>
      </c>
      <c r="J1645" s="89">
        <v>6019440</v>
      </c>
      <c r="K1645" t="s">
        <v>144</v>
      </c>
      <c r="N1645">
        <v>1</v>
      </c>
      <c r="O1645" s="89">
        <v>30097.200000000001</v>
      </c>
      <c r="P1645" s="89">
        <v>66213.84</v>
      </c>
      <c r="Q1645" t="s">
        <v>130</v>
      </c>
      <c r="R1645" t="s">
        <v>131</v>
      </c>
    </row>
    <row r="1646" spans="3:18" hidden="1" x14ac:dyDescent="0.25">
      <c r="C1646" t="s">
        <v>45</v>
      </c>
      <c r="D1646" t="s">
        <v>25</v>
      </c>
      <c r="E1646" t="s">
        <v>48</v>
      </c>
      <c r="F1646" t="s">
        <v>41</v>
      </c>
      <c r="G1646" s="89">
        <v>1936442</v>
      </c>
      <c r="H1646" t="s">
        <v>146</v>
      </c>
      <c r="I1646" t="s">
        <v>133</v>
      </c>
      <c r="J1646" s="89">
        <v>48411050</v>
      </c>
      <c r="K1646" t="s">
        <v>127</v>
      </c>
      <c r="L1646" t="s">
        <v>128</v>
      </c>
      <c r="N1646">
        <v>1</v>
      </c>
      <c r="O1646" s="89">
        <v>58093.26</v>
      </c>
      <c r="P1646" s="89">
        <v>561568.18000000005</v>
      </c>
      <c r="Q1646" t="s">
        <v>130</v>
      </c>
      <c r="R1646" t="s">
        <v>131</v>
      </c>
    </row>
    <row r="1647" spans="3:18" hidden="1" x14ac:dyDescent="0.25">
      <c r="C1647" t="s">
        <v>45</v>
      </c>
      <c r="D1647" t="s">
        <v>138</v>
      </c>
      <c r="E1647" t="s">
        <v>43</v>
      </c>
      <c r="F1647" t="s">
        <v>41</v>
      </c>
      <c r="G1647" s="89">
        <v>141499</v>
      </c>
      <c r="H1647" t="s">
        <v>42</v>
      </c>
      <c r="I1647" t="s">
        <v>126</v>
      </c>
      <c r="J1647" s="89">
        <v>2405483</v>
      </c>
      <c r="K1647" t="s">
        <v>127</v>
      </c>
      <c r="L1647" t="s">
        <v>128</v>
      </c>
      <c r="M1647" t="s">
        <v>152</v>
      </c>
      <c r="N1647">
        <v>1</v>
      </c>
      <c r="O1647" s="89">
        <v>4244.97</v>
      </c>
      <c r="P1647" s="89">
        <v>72164.490000000005</v>
      </c>
      <c r="Q1647" t="s">
        <v>142</v>
      </c>
      <c r="R1647" t="s">
        <v>42</v>
      </c>
    </row>
    <row r="1648" spans="3:18" hidden="1" x14ac:dyDescent="0.25">
      <c r="C1648" t="s">
        <v>45</v>
      </c>
      <c r="D1648" t="s">
        <v>23</v>
      </c>
      <c r="E1648" t="s">
        <v>44</v>
      </c>
      <c r="F1648" t="s">
        <v>41</v>
      </c>
      <c r="G1648" s="89">
        <v>73722</v>
      </c>
      <c r="H1648" t="s">
        <v>42</v>
      </c>
      <c r="I1648" t="s">
        <v>126</v>
      </c>
      <c r="J1648" s="89">
        <v>1326996</v>
      </c>
      <c r="K1648" t="s">
        <v>127</v>
      </c>
      <c r="L1648" t="s">
        <v>128</v>
      </c>
      <c r="M1648" t="s">
        <v>152</v>
      </c>
      <c r="N1648">
        <v>1</v>
      </c>
      <c r="O1648" s="89">
        <v>2211.66</v>
      </c>
      <c r="P1648" s="89">
        <v>49393.74</v>
      </c>
      <c r="Q1648" t="s">
        <v>137</v>
      </c>
      <c r="R1648" t="s">
        <v>131</v>
      </c>
    </row>
    <row r="1649" spans="3:18" hidden="1" x14ac:dyDescent="0.25">
      <c r="C1649" t="s">
        <v>45</v>
      </c>
      <c r="D1649" t="s">
        <v>149</v>
      </c>
      <c r="E1649" t="s">
        <v>43</v>
      </c>
      <c r="F1649" t="s">
        <v>41</v>
      </c>
      <c r="G1649" s="89">
        <v>229244</v>
      </c>
      <c r="H1649" t="s">
        <v>42</v>
      </c>
      <c r="I1649" t="s">
        <v>133</v>
      </c>
      <c r="J1649" s="89">
        <v>8023540</v>
      </c>
      <c r="K1649" t="s">
        <v>134</v>
      </c>
      <c r="L1649" t="s">
        <v>128</v>
      </c>
      <c r="M1649" t="s">
        <v>139</v>
      </c>
      <c r="N1649">
        <v>1</v>
      </c>
      <c r="O1649" s="89">
        <v>6877.32</v>
      </c>
      <c r="P1649" s="89">
        <v>206319.6</v>
      </c>
      <c r="Q1649" t="s">
        <v>135</v>
      </c>
      <c r="R1649" t="s">
        <v>131</v>
      </c>
    </row>
    <row r="1650" spans="3:18" hidden="1" x14ac:dyDescent="0.25">
      <c r="C1650" t="s">
        <v>45</v>
      </c>
      <c r="D1650" t="s">
        <v>22</v>
      </c>
      <c r="E1650" t="s">
        <v>43</v>
      </c>
      <c r="F1650" t="s">
        <v>41</v>
      </c>
      <c r="G1650" s="89">
        <v>3991392</v>
      </c>
      <c r="H1650" t="s">
        <v>42</v>
      </c>
      <c r="I1650" t="s">
        <v>133</v>
      </c>
      <c r="J1650" s="89">
        <v>119741760</v>
      </c>
      <c r="K1650" t="s">
        <v>144</v>
      </c>
      <c r="N1650">
        <v>1</v>
      </c>
      <c r="O1650" s="89">
        <v>119741.75999999999</v>
      </c>
      <c r="P1650" s="89">
        <v>2035609.92</v>
      </c>
      <c r="Q1650" t="s">
        <v>142</v>
      </c>
      <c r="R1650" t="s">
        <v>42</v>
      </c>
    </row>
    <row r="1651" spans="3:18" hidden="1" x14ac:dyDescent="0.25">
      <c r="C1651" t="s">
        <v>45</v>
      </c>
      <c r="D1651" t="s">
        <v>20</v>
      </c>
      <c r="E1651" t="s">
        <v>43</v>
      </c>
      <c r="F1651" t="s">
        <v>41</v>
      </c>
      <c r="G1651" s="89">
        <v>16796604</v>
      </c>
      <c r="H1651" t="s">
        <v>132</v>
      </c>
      <c r="I1651" t="s">
        <v>133</v>
      </c>
      <c r="J1651" s="89">
        <v>453508308</v>
      </c>
      <c r="K1651" t="s">
        <v>127</v>
      </c>
      <c r="L1651" t="s">
        <v>128</v>
      </c>
      <c r="N1651">
        <v>1</v>
      </c>
      <c r="O1651" s="89">
        <v>503898.12</v>
      </c>
      <c r="P1651" s="89">
        <v>8566268.0399999991</v>
      </c>
      <c r="Q1651" t="s">
        <v>142</v>
      </c>
      <c r="R1651" t="s">
        <v>131</v>
      </c>
    </row>
    <row r="1652" spans="3:18" hidden="1" x14ac:dyDescent="0.25">
      <c r="C1652" t="s">
        <v>45</v>
      </c>
      <c r="D1652" t="s">
        <v>23</v>
      </c>
      <c r="E1652" t="s">
        <v>48</v>
      </c>
      <c r="F1652" t="s">
        <v>41</v>
      </c>
      <c r="G1652" s="89">
        <v>275152</v>
      </c>
      <c r="H1652" t="s">
        <v>146</v>
      </c>
      <c r="I1652" t="s">
        <v>126</v>
      </c>
      <c r="J1652" s="89">
        <v>3576976</v>
      </c>
      <c r="K1652" t="s">
        <v>144</v>
      </c>
      <c r="N1652">
        <v>1</v>
      </c>
      <c r="O1652" s="89">
        <v>8254.56</v>
      </c>
      <c r="P1652" s="89">
        <v>137576</v>
      </c>
      <c r="Q1652" t="s">
        <v>142</v>
      </c>
      <c r="R1652" t="s">
        <v>131</v>
      </c>
    </row>
    <row r="1653" spans="3:18" hidden="1" x14ac:dyDescent="0.25">
      <c r="C1653" t="s">
        <v>45</v>
      </c>
      <c r="D1653" t="s">
        <v>22</v>
      </c>
      <c r="E1653" t="s">
        <v>52</v>
      </c>
      <c r="F1653" t="s">
        <v>41</v>
      </c>
      <c r="G1653" s="89">
        <v>107049</v>
      </c>
      <c r="H1653" t="s">
        <v>42</v>
      </c>
      <c r="I1653" t="s">
        <v>133</v>
      </c>
      <c r="J1653" s="89">
        <v>3853764</v>
      </c>
      <c r="K1653" t="s">
        <v>144</v>
      </c>
      <c r="N1653">
        <v>1</v>
      </c>
      <c r="O1653" s="89">
        <v>3211.47</v>
      </c>
      <c r="P1653" s="89">
        <v>38537.64</v>
      </c>
      <c r="Q1653" t="s">
        <v>130</v>
      </c>
      <c r="R1653" t="s">
        <v>42</v>
      </c>
    </row>
    <row r="1654" spans="3:18" x14ac:dyDescent="0.25">
      <c r="C1654" t="s">
        <v>47</v>
      </c>
      <c r="D1654" t="s">
        <v>19</v>
      </c>
      <c r="E1654" t="s">
        <v>43</v>
      </c>
      <c r="F1654" t="s">
        <v>41</v>
      </c>
      <c r="G1654" s="89">
        <v>24026295</v>
      </c>
      <c r="H1654" t="s">
        <v>132</v>
      </c>
      <c r="I1654" t="s">
        <v>147</v>
      </c>
      <c r="J1654" s="89">
        <v>120131475</v>
      </c>
      <c r="K1654" t="s">
        <v>144</v>
      </c>
      <c r="N1654">
        <v>1</v>
      </c>
      <c r="O1654" s="89">
        <v>961051.8</v>
      </c>
      <c r="P1654" s="89">
        <v>9850780.9499999993</v>
      </c>
      <c r="Q1654" t="s">
        <v>142</v>
      </c>
      <c r="R1654" t="s">
        <v>131</v>
      </c>
    </row>
    <row r="1655" spans="3:18" hidden="1" x14ac:dyDescent="0.25">
      <c r="C1655" t="s">
        <v>45</v>
      </c>
      <c r="D1655" t="s">
        <v>22</v>
      </c>
      <c r="E1655" t="s">
        <v>40</v>
      </c>
      <c r="F1655" t="s">
        <v>41</v>
      </c>
      <c r="G1655" s="89">
        <v>384654</v>
      </c>
      <c r="H1655" t="s">
        <v>145</v>
      </c>
      <c r="I1655" t="s">
        <v>133</v>
      </c>
      <c r="J1655" s="89">
        <v>12308928</v>
      </c>
      <c r="K1655" t="s">
        <v>134</v>
      </c>
      <c r="L1655" t="s">
        <v>128</v>
      </c>
      <c r="N1655">
        <v>1</v>
      </c>
      <c r="O1655" s="89">
        <v>11539.62</v>
      </c>
      <c r="P1655" s="89">
        <v>338495.52</v>
      </c>
      <c r="Q1655" t="s">
        <v>135</v>
      </c>
      <c r="R1655" t="s">
        <v>131</v>
      </c>
    </row>
    <row r="1656" spans="3:18" hidden="1" x14ac:dyDescent="0.25">
      <c r="C1656" t="s">
        <v>45</v>
      </c>
      <c r="D1656" t="s">
        <v>138</v>
      </c>
      <c r="E1656" t="s">
        <v>40</v>
      </c>
      <c r="F1656" t="s">
        <v>41</v>
      </c>
      <c r="G1656" s="89">
        <v>599029</v>
      </c>
      <c r="H1656" t="s">
        <v>140</v>
      </c>
      <c r="I1656" t="s">
        <v>133</v>
      </c>
      <c r="J1656" s="89">
        <v>16772812</v>
      </c>
      <c r="K1656" t="s">
        <v>127</v>
      </c>
      <c r="L1656" t="s">
        <v>128</v>
      </c>
      <c r="N1656">
        <v>1</v>
      </c>
      <c r="O1656" s="89">
        <v>17970.87</v>
      </c>
      <c r="P1656" s="89">
        <v>173718.41</v>
      </c>
      <c r="Q1656" t="s">
        <v>130</v>
      </c>
      <c r="R1656" t="s">
        <v>131</v>
      </c>
    </row>
    <row r="1657" spans="3:18" hidden="1" x14ac:dyDescent="0.25">
      <c r="C1657" t="s">
        <v>45</v>
      </c>
      <c r="D1657" t="s">
        <v>22</v>
      </c>
      <c r="E1657" t="s">
        <v>43</v>
      </c>
      <c r="F1657" t="s">
        <v>41</v>
      </c>
      <c r="G1657" s="89">
        <v>256208</v>
      </c>
      <c r="H1657" t="s">
        <v>42</v>
      </c>
      <c r="I1657" t="s">
        <v>126</v>
      </c>
      <c r="J1657" s="89">
        <v>4355536</v>
      </c>
      <c r="K1657" t="s">
        <v>127</v>
      </c>
      <c r="L1657" t="s">
        <v>128</v>
      </c>
      <c r="M1657" t="s">
        <v>143</v>
      </c>
      <c r="N1657">
        <v>1</v>
      </c>
      <c r="O1657" s="89">
        <v>7686.24</v>
      </c>
      <c r="P1657" s="89">
        <v>210090.56</v>
      </c>
      <c r="Q1657" t="s">
        <v>135</v>
      </c>
      <c r="R1657" t="s">
        <v>42</v>
      </c>
    </row>
    <row r="1658" spans="3:18" hidden="1" x14ac:dyDescent="0.25">
      <c r="C1658" t="s">
        <v>45</v>
      </c>
      <c r="D1658" t="s">
        <v>19</v>
      </c>
      <c r="E1658" t="s">
        <v>43</v>
      </c>
      <c r="F1658" t="s">
        <v>41</v>
      </c>
      <c r="G1658" s="89">
        <v>108394</v>
      </c>
      <c r="H1658" t="s">
        <v>146</v>
      </c>
      <c r="I1658" t="s">
        <v>147</v>
      </c>
      <c r="J1658" s="89">
        <v>433576</v>
      </c>
      <c r="K1658" t="s">
        <v>144</v>
      </c>
      <c r="N1658">
        <v>1</v>
      </c>
      <c r="O1658" s="89">
        <v>4335.76</v>
      </c>
      <c r="P1658" s="89">
        <v>76959.740000000005</v>
      </c>
      <c r="Q1658" t="s">
        <v>137</v>
      </c>
      <c r="R1658" t="s">
        <v>131</v>
      </c>
    </row>
    <row r="1659" spans="3:18" hidden="1" x14ac:dyDescent="0.25">
      <c r="C1659" t="s">
        <v>45</v>
      </c>
      <c r="D1659" t="s">
        <v>22</v>
      </c>
      <c r="E1659" t="s">
        <v>43</v>
      </c>
      <c r="F1659" t="s">
        <v>41</v>
      </c>
      <c r="G1659" s="89">
        <v>70850</v>
      </c>
      <c r="H1659" t="s">
        <v>145</v>
      </c>
      <c r="I1659" t="s">
        <v>133</v>
      </c>
      <c r="J1659" s="89">
        <v>1912950</v>
      </c>
      <c r="K1659" t="s">
        <v>144</v>
      </c>
      <c r="N1659">
        <v>1</v>
      </c>
      <c r="O1659" s="89">
        <v>2834</v>
      </c>
      <c r="P1659" s="89">
        <v>36133.5</v>
      </c>
      <c r="Q1659" t="s">
        <v>142</v>
      </c>
      <c r="R1659" t="s">
        <v>131</v>
      </c>
    </row>
    <row r="1660" spans="3:18" hidden="1" x14ac:dyDescent="0.25">
      <c r="C1660" t="s">
        <v>45</v>
      </c>
      <c r="D1660" t="s">
        <v>24</v>
      </c>
      <c r="E1660" t="s">
        <v>52</v>
      </c>
      <c r="F1660" t="s">
        <v>41</v>
      </c>
      <c r="G1660" s="89">
        <v>1027944</v>
      </c>
      <c r="H1660" t="s">
        <v>42</v>
      </c>
      <c r="I1660" t="s">
        <v>141</v>
      </c>
      <c r="J1660" s="89">
        <v>8223552</v>
      </c>
      <c r="K1660" t="s">
        <v>127</v>
      </c>
      <c r="L1660" t="s">
        <v>128</v>
      </c>
      <c r="M1660" t="s">
        <v>148</v>
      </c>
      <c r="N1660">
        <v>1</v>
      </c>
      <c r="O1660" s="89">
        <v>41117.760000000002</v>
      </c>
      <c r="P1660" s="89">
        <v>226147.68</v>
      </c>
      <c r="Q1660" t="s">
        <v>130</v>
      </c>
      <c r="R1660" t="s">
        <v>42</v>
      </c>
    </row>
    <row r="1661" spans="3:18" hidden="1" x14ac:dyDescent="0.25">
      <c r="C1661" t="s">
        <v>39</v>
      </c>
      <c r="D1661" t="s">
        <v>21</v>
      </c>
      <c r="E1661" t="s">
        <v>40</v>
      </c>
      <c r="F1661" t="s">
        <v>41</v>
      </c>
      <c r="G1661" s="89">
        <v>161707</v>
      </c>
      <c r="H1661" t="s">
        <v>42</v>
      </c>
      <c r="I1661" t="s">
        <v>133</v>
      </c>
      <c r="J1661" s="89"/>
      <c r="N1661">
        <v>0</v>
      </c>
      <c r="O1661" s="89"/>
      <c r="P1661" s="89"/>
      <c r="R1661" t="s">
        <v>131</v>
      </c>
    </row>
    <row r="1662" spans="3:18" x14ac:dyDescent="0.25">
      <c r="C1662" t="s">
        <v>47</v>
      </c>
      <c r="D1662" t="s">
        <v>21</v>
      </c>
      <c r="E1662" t="s">
        <v>40</v>
      </c>
      <c r="F1662" t="s">
        <v>41</v>
      </c>
      <c r="G1662" s="89">
        <v>56564</v>
      </c>
      <c r="H1662" t="s">
        <v>145</v>
      </c>
      <c r="I1662" t="s">
        <v>153</v>
      </c>
      <c r="J1662" s="89"/>
      <c r="K1662" t="s">
        <v>127</v>
      </c>
      <c r="L1662" t="s">
        <v>128</v>
      </c>
      <c r="N1662">
        <v>0</v>
      </c>
      <c r="O1662" s="89">
        <v>2828.2</v>
      </c>
      <c r="P1662" s="89">
        <v>10181.52</v>
      </c>
      <c r="Q1662" t="s">
        <v>130</v>
      </c>
      <c r="R1662" t="s">
        <v>131</v>
      </c>
    </row>
    <row r="1663" spans="3:18" hidden="1" x14ac:dyDescent="0.25">
      <c r="C1663" t="s">
        <v>39</v>
      </c>
      <c r="D1663" t="s">
        <v>24</v>
      </c>
      <c r="E1663" t="s">
        <v>40</v>
      </c>
      <c r="F1663" t="s">
        <v>41</v>
      </c>
      <c r="G1663" s="89">
        <v>238812</v>
      </c>
      <c r="H1663" t="s">
        <v>42</v>
      </c>
      <c r="I1663" t="s">
        <v>133</v>
      </c>
      <c r="J1663" s="89"/>
      <c r="N1663">
        <v>0</v>
      </c>
      <c r="O1663" s="89"/>
      <c r="P1663" s="89"/>
      <c r="R1663" t="s">
        <v>131</v>
      </c>
    </row>
    <row r="1664" spans="3:18" x14ac:dyDescent="0.25">
      <c r="C1664" t="s">
        <v>47</v>
      </c>
      <c r="D1664" t="s">
        <v>22</v>
      </c>
      <c r="E1664" t="s">
        <v>40</v>
      </c>
      <c r="F1664" t="s">
        <v>41</v>
      </c>
      <c r="G1664" s="89">
        <v>253250</v>
      </c>
      <c r="H1664" t="s">
        <v>42</v>
      </c>
      <c r="I1664" t="s">
        <v>126</v>
      </c>
      <c r="J1664" s="89">
        <v>2785750</v>
      </c>
      <c r="K1664" t="s">
        <v>144</v>
      </c>
      <c r="N1664">
        <v>1</v>
      </c>
      <c r="O1664" s="89">
        <v>10130</v>
      </c>
      <c r="P1664" s="89">
        <v>177275</v>
      </c>
      <c r="Q1664" t="s">
        <v>137</v>
      </c>
      <c r="R1664" t="s">
        <v>131</v>
      </c>
    </row>
    <row r="1665" spans="3:18" hidden="1" x14ac:dyDescent="0.25">
      <c r="C1665" t="s">
        <v>45</v>
      </c>
      <c r="D1665" t="s">
        <v>21</v>
      </c>
      <c r="E1665" t="s">
        <v>40</v>
      </c>
      <c r="F1665" t="s">
        <v>41</v>
      </c>
      <c r="G1665" s="89">
        <v>5423500</v>
      </c>
      <c r="H1665" t="s">
        <v>140</v>
      </c>
      <c r="I1665" t="s">
        <v>133</v>
      </c>
      <c r="J1665" s="89">
        <v>141011000</v>
      </c>
      <c r="K1665" t="s">
        <v>127</v>
      </c>
      <c r="L1665" t="s">
        <v>128</v>
      </c>
      <c r="N1665">
        <v>1</v>
      </c>
      <c r="O1665" s="89">
        <v>162705</v>
      </c>
      <c r="P1665" s="89">
        <v>1518580</v>
      </c>
      <c r="Q1665" t="s">
        <v>130</v>
      </c>
      <c r="R1665" t="s">
        <v>131</v>
      </c>
    </row>
    <row r="1666" spans="3:18" hidden="1" x14ac:dyDescent="0.25">
      <c r="C1666" t="s">
        <v>45</v>
      </c>
      <c r="D1666" t="s">
        <v>21</v>
      </c>
      <c r="E1666" t="s">
        <v>40</v>
      </c>
      <c r="F1666" t="s">
        <v>41</v>
      </c>
      <c r="G1666" s="89">
        <v>2371</v>
      </c>
      <c r="H1666" t="s">
        <v>132</v>
      </c>
      <c r="I1666" t="s">
        <v>147</v>
      </c>
      <c r="J1666" s="89">
        <v>7113</v>
      </c>
      <c r="K1666" t="s">
        <v>127</v>
      </c>
      <c r="L1666" t="s">
        <v>128</v>
      </c>
      <c r="N1666">
        <v>1</v>
      </c>
      <c r="O1666" s="89">
        <v>118.55</v>
      </c>
      <c r="P1666" s="89">
        <v>995.82</v>
      </c>
      <c r="Q1666" t="s">
        <v>142</v>
      </c>
      <c r="R1666" t="s">
        <v>131</v>
      </c>
    </row>
    <row r="1667" spans="3:18" hidden="1" x14ac:dyDescent="0.25">
      <c r="C1667" t="s">
        <v>45</v>
      </c>
      <c r="D1667" t="s">
        <v>24</v>
      </c>
      <c r="E1667" t="s">
        <v>46</v>
      </c>
      <c r="F1667" t="s">
        <v>41</v>
      </c>
      <c r="G1667" s="89">
        <v>13976154</v>
      </c>
      <c r="H1667" t="s">
        <v>42</v>
      </c>
      <c r="I1667" t="s">
        <v>133</v>
      </c>
      <c r="J1667" s="89">
        <v>475189236</v>
      </c>
      <c r="K1667" t="s">
        <v>144</v>
      </c>
      <c r="N1667">
        <v>1</v>
      </c>
      <c r="O1667" s="89">
        <v>419284.62</v>
      </c>
      <c r="P1667" s="89">
        <v>9923069.3399999999</v>
      </c>
      <c r="Q1667" t="s">
        <v>137</v>
      </c>
      <c r="R1667" t="s">
        <v>42</v>
      </c>
    </row>
    <row r="1668" spans="3:18" hidden="1" x14ac:dyDescent="0.25">
      <c r="C1668" t="s">
        <v>45</v>
      </c>
      <c r="D1668" t="s">
        <v>21</v>
      </c>
      <c r="E1668" t="s">
        <v>43</v>
      </c>
      <c r="F1668" t="s">
        <v>41</v>
      </c>
      <c r="G1668" s="89">
        <v>189986</v>
      </c>
      <c r="H1668" t="s">
        <v>146</v>
      </c>
      <c r="I1668" t="s">
        <v>153</v>
      </c>
      <c r="J1668" s="89"/>
      <c r="K1668" t="s">
        <v>127</v>
      </c>
      <c r="L1668" t="s">
        <v>128</v>
      </c>
      <c r="N1668">
        <v>0</v>
      </c>
      <c r="O1668" s="89">
        <v>7599.44</v>
      </c>
      <c r="P1668" s="89">
        <v>106392.16</v>
      </c>
      <c r="Q1668" t="s">
        <v>142</v>
      </c>
      <c r="R1668" t="s">
        <v>131</v>
      </c>
    </row>
    <row r="1669" spans="3:18" hidden="1" x14ac:dyDescent="0.25">
      <c r="C1669" t="s">
        <v>45</v>
      </c>
      <c r="D1669" t="s">
        <v>21</v>
      </c>
      <c r="E1669" t="s">
        <v>40</v>
      </c>
      <c r="F1669" t="s">
        <v>41</v>
      </c>
      <c r="G1669" s="89">
        <v>83386</v>
      </c>
      <c r="H1669" t="s">
        <v>145</v>
      </c>
      <c r="I1669" t="s">
        <v>133</v>
      </c>
      <c r="J1669" s="89">
        <v>2001264</v>
      </c>
      <c r="K1669" t="s">
        <v>134</v>
      </c>
      <c r="L1669" t="s">
        <v>128</v>
      </c>
      <c r="N1669">
        <v>1</v>
      </c>
      <c r="O1669" s="89">
        <v>2501.58</v>
      </c>
      <c r="P1669" s="89">
        <v>51699.32</v>
      </c>
      <c r="Q1669" t="s">
        <v>137</v>
      </c>
      <c r="R1669" t="s">
        <v>131</v>
      </c>
    </row>
    <row r="1670" spans="3:18" hidden="1" x14ac:dyDescent="0.25">
      <c r="C1670" t="s">
        <v>45</v>
      </c>
      <c r="D1670" t="s">
        <v>138</v>
      </c>
      <c r="E1670" t="s">
        <v>40</v>
      </c>
      <c r="F1670" t="s">
        <v>41</v>
      </c>
      <c r="G1670" s="89">
        <v>22746044</v>
      </c>
      <c r="H1670" t="s">
        <v>42</v>
      </c>
      <c r="I1670" t="s">
        <v>133</v>
      </c>
      <c r="J1670" s="89">
        <v>705127364</v>
      </c>
      <c r="K1670" t="s">
        <v>127</v>
      </c>
      <c r="L1670" t="s">
        <v>128</v>
      </c>
      <c r="M1670" t="s">
        <v>139</v>
      </c>
      <c r="N1670">
        <v>1</v>
      </c>
      <c r="O1670" s="89">
        <v>682381.32</v>
      </c>
      <c r="P1670" s="89">
        <v>15922230.800000001</v>
      </c>
      <c r="Q1670" t="s">
        <v>137</v>
      </c>
      <c r="R1670" t="s">
        <v>131</v>
      </c>
    </row>
    <row r="1671" spans="3:18" hidden="1" x14ac:dyDescent="0.25">
      <c r="C1671" t="s">
        <v>45</v>
      </c>
      <c r="D1671" t="s">
        <v>22</v>
      </c>
      <c r="E1671" t="s">
        <v>48</v>
      </c>
      <c r="F1671" t="s">
        <v>41</v>
      </c>
      <c r="G1671" s="89">
        <v>42571</v>
      </c>
      <c r="H1671" t="s">
        <v>140</v>
      </c>
      <c r="I1671" t="s">
        <v>126</v>
      </c>
      <c r="J1671" s="89">
        <v>425710</v>
      </c>
      <c r="K1671" t="s">
        <v>144</v>
      </c>
      <c r="N1671">
        <v>1</v>
      </c>
      <c r="O1671" s="89">
        <v>2128.5500000000002</v>
      </c>
      <c r="P1671" s="89">
        <v>34056.800000000003</v>
      </c>
      <c r="Q1671" t="s">
        <v>135</v>
      </c>
      <c r="R1671" t="s">
        <v>131</v>
      </c>
    </row>
    <row r="1672" spans="3:18" hidden="1" x14ac:dyDescent="0.25">
      <c r="C1672" t="s">
        <v>45</v>
      </c>
      <c r="D1672" t="s">
        <v>21</v>
      </c>
      <c r="E1672" t="s">
        <v>40</v>
      </c>
      <c r="F1672" t="s">
        <v>41</v>
      </c>
      <c r="G1672" s="89">
        <v>177</v>
      </c>
      <c r="H1672" t="s">
        <v>140</v>
      </c>
      <c r="I1672" t="s">
        <v>147</v>
      </c>
      <c r="J1672" s="89"/>
      <c r="K1672" t="s">
        <v>127</v>
      </c>
      <c r="L1672" t="s">
        <v>151</v>
      </c>
      <c r="N1672">
        <v>0</v>
      </c>
      <c r="O1672" s="89">
        <v>12.39</v>
      </c>
      <c r="P1672" s="89">
        <v>0</v>
      </c>
      <c r="Q1672" t="s">
        <v>130</v>
      </c>
      <c r="R1672" t="s">
        <v>131</v>
      </c>
    </row>
    <row r="1673" spans="3:18" x14ac:dyDescent="0.25">
      <c r="C1673" t="s">
        <v>47</v>
      </c>
      <c r="D1673" t="s">
        <v>25</v>
      </c>
      <c r="E1673" t="s">
        <v>44</v>
      </c>
      <c r="F1673" t="s">
        <v>41</v>
      </c>
      <c r="G1673" s="89">
        <v>38</v>
      </c>
      <c r="H1673" t="s">
        <v>146</v>
      </c>
      <c r="I1673" t="s">
        <v>147</v>
      </c>
      <c r="J1673" s="89"/>
      <c r="K1673" t="s">
        <v>127</v>
      </c>
      <c r="L1673" t="s">
        <v>128</v>
      </c>
      <c r="N1673">
        <v>0</v>
      </c>
      <c r="O1673" s="89">
        <v>0</v>
      </c>
      <c r="P1673" s="89">
        <v>0</v>
      </c>
      <c r="Q1673" t="s">
        <v>130</v>
      </c>
      <c r="R1673" t="s">
        <v>131</v>
      </c>
    </row>
    <row r="1674" spans="3:18" x14ac:dyDescent="0.25">
      <c r="C1674" t="s">
        <v>47</v>
      </c>
      <c r="D1674" t="s">
        <v>138</v>
      </c>
      <c r="E1674" t="s">
        <v>43</v>
      </c>
      <c r="F1674" t="s">
        <v>41</v>
      </c>
      <c r="G1674" s="89">
        <v>3309537</v>
      </c>
      <c r="H1674" t="s">
        <v>145</v>
      </c>
      <c r="I1674" t="s">
        <v>147</v>
      </c>
      <c r="J1674" s="89">
        <v>13238148</v>
      </c>
      <c r="K1674" t="s">
        <v>144</v>
      </c>
      <c r="N1674">
        <v>1</v>
      </c>
      <c r="O1674" s="89">
        <v>99286.11</v>
      </c>
      <c r="P1674" s="89">
        <v>1423100.91</v>
      </c>
      <c r="Q1674" t="s">
        <v>142</v>
      </c>
      <c r="R1674" t="s">
        <v>131</v>
      </c>
    </row>
    <row r="1675" spans="3:18" x14ac:dyDescent="0.25">
      <c r="C1675" t="s">
        <v>47</v>
      </c>
      <c r="D1675" t="s">
        <v>21</v>
      </c>
      <c r="E1675" t="s">
        <v>40</v>
      </c>
      <c r="F1675" t="s">
        <v>41</v>
      </c>
      <c r="G1675" s="89">
        <v>332987</v>
      </c>
      <c r="H1675" t="s">
        <v>146</v>
      </c>
      <c r="I1675" t="s">
        <v>126</v>
      </c>
      <c r="J1675" s="89">
        <v>3995844</v>
      </c>
      <c r="K1675" t="s">
        <v>144</v>
      </c>
      <c r="N1675">
        <v>1</v>
      </c>
      <c r="O1675" s="89">
        <v>13319.48</v>
      </c>
      <c r="P1675" s="89">
        <v>169823.37</v>
      </c>
      <c r="Q1675" t="s">
        <v>142</v>
      </c>
      <c r="R1675" t="s">
        <v>131</v>
      </c>
    </row>
    <row r="1676" spans="3:18" hidden="1" x14ac:dyDescent="0.25">
      <c r="C1676" t="s">
        <v>45</v>
      </c>
      <c r="D1676" t="s">
        <v>25</v>
      </c>
      <c r="E1676" t="s">
        <v>44</v>
      </c>
      <c r="F1676" t="s">
        <v>41</v>
      </c>
      <c r="G1676" s="89">
        <v>560787</v>
      </c>
      <c r="H1676" t="s">
        <v>146</v>
      </c>
      <c r="I1676" t="s">
        <v>126</v>
      </c>
      <c r="J1676" s="89">
        <v>7290231</v>
      </c>
      <c r="K1676" t="s">
        <v>127</v>
      </c>
      <c r="L1676" t="s">
        <v>128</v>
      </c>
      <c r="N1676">
        <v>1</v>
      </c>
      <c r="O1676" s="89">
        <v>16823.61</v>
      </c>
      <c r="P1676" s="89">
        <v>173843.97</v>
      </c>
      <c r="Q1676" t="s">
        <v>130</v>
      </c>
      <c r="R1676" t="s">
        <v>131</v>
      </c>
    </row>
    <row r="1677" spans="3:18" hidden="1" x14ac:dyDescent="0.25">
      <c r="C1677" t="s">
        <v>45</v>
      </c>
      <c r="D1677" t="s">
        <v>23</v>
      </c>
      <c r="E1677" t="s">
        <v>40</v>
      </c>
      <c r="F1677" t="s">
        <v>41</v>
      </c>
      <c r="G1677" s="89">
        <v>13569702</v>
      </c>
      <c r="H1677" t="s">
        <v>140</v>
      </c>
      <c r="I1677" t="s">
        <v>133</v>
      </c>
      <c r="J1677" s="89">
        <v>393521358</v>
      </c>
      <c r="K1677" t="s">
        <v>127</v>
      </c>
      <c r="L1677" t="s">
        <v>128</v>
      </c>
      <c r="N1677">
        <v>1</v>
      </c>
      <c r="O1677" s="89">
        <v>407091.06</v>
      </c>
      <c r="P1677" s="89">
        <v>11669943.720000001</v>
      </c>
      <c r="Q1677" t="s">
        <v>135</v>
      </c>
      <c r="R1677" t="s">
        <v>131</v>
      </c>
    </row>
    <row r="1678" spans="3:18" hidden="1" x14ac:dyDescent="0.25">
      <c r="C1678" t="s">
        <v>45</v>
      </c>
      <c r="D1678" t="s">
        <v>20</v>
      </c>
      <c r="E1678" t="s">
        <v>43</v>
      </c>
      <c r="F1678" t="s">
        <v>41</v>
      </c>
      <c r="G1678" s="89">
        <v>521754</v>
      </c>
      <c r="H1678" t="s">
        <v>42</v>
      </c>
      <c r="I1678" t="s">
        <v>126</v>
      </c>
      <c r="J1678" s="89">
        <v>8869818</v>
      </c>
      <c r="K1678" t="s">
        <v>127</v>
      </c>
      <c r="L1678" t="s">
        <v>128</v>
      </c>
      <c r="M1678" t="s">
        <v>129</v>
      </c>
      <c r="N1678">
        <v>1</v>
      </c>
      <c r="O1678" s="89">
        <v>15652.62</v>
      </c>
      <c r="P1678" s="89">
        <v>260877</v>
      </c>
      <c r="Q1678" t="s">
        <v>142</v>
      </c>
      <c r="R1678" t="s">
        <v>42</v>
      </c>
    </row>
    <row r="1679" spans="3:18" hidden="1" x14ac:dyDescent="0.25">
      <c r="C1679" t="s">
        <v>45</v>
      </c>
      <c r="D1679" t="s">
        <v>22</v>
      </c>
      <c r="E1679" t="s">
        <v>44</v>
      </c>
      <c r="F1679" t="s">
        <v>53</v>
      </c>
      <c r="G1679" s="89">
        <v>121153</v>
      </c>
      <c r="H1679" t="s">
        <v>42</v>
      </c>
      <c r="I1679" t="s">
        <v>133</v>
      </c>
      <c r="J1679" s="89">
        <v>4724967</v>
      </c>
      <c r="K1679" t="s">
        <v>127</v>
      </c>
      <c r="L1679" t="s">
        <v>128</v>
      </c>
      <c r="M1679" t="s">
        <v>143</v>
      </c>
      <c r="N1679">
        <v>1</v>
      </c>
      <c r="O1679" s="89">
        <v>3634.59</v>
      </c>
      <c r="P1679" s="89">
        <v>99345.46</v>
      </c>
      <c r="Q1679" t="s">
        <v>135</v>
      </c>
      <c r="R1679" t="s">
        <v>42</v>
      </c>
    </row>
    <row r="1680" spans="3:18" hidden="1" x14ac:dyDescent="0.25">
      <c r="C1680" t="s">
        <v>45</v>
      </c>
      <c r="D1680" t="s">
        <v>20</v>
      </c>
      <c r="E1680" t="s">
        <v>43</v>
      </c>
      <c r="F1680" t="s">
        <v>41</v>
      </c>
      <c r="G1680" s="89">
        <v>12473820</v>
      </c>
      <c r="H1680" t="s">
        <v>145</v>
      </c>
      <c r="I1680" t="s">
        <v>133</v>
      </c>
      <c r="J1680" s="89">
        <v>336793140</v>
      </c>
      <c r="K1680" t="s">
        <v>127</v>
      </c>
      <c r="L1680" t="s">
        <v>128</v>
      </c>
      <c r="N1680">
        <v>1</v>
      </c>
      <c r="O1680" s="89">
        <v>374214.6</v>
      </c>
      <c r="P1680" s="89">
        <v>3617407.8</v>
      </c>
      <c r="Q1680" t="s">
        <v>130</v>
      </c>
      <c r="R1680" t="s">
        <v>131</v>
      </c>
    </row>
    <row r="1681" spans="3:18" hidden="1" x14ac:dyDescent="0.25">
      <c r="C1681" t="s">
        <v>45</v>
      </c>
      <c r="D1681" t="s">
        <v>24</v>
      </c>
      <c r="E1681" t="s">
        <v>48</v>
      </c>
      <c r="F1681" t="s">
        <v>41</v>
      </c>
      <c r="G1681" s="89">
        <v>4050</v>
      </c>
      <c r="H1681" t="s">
        <v>140</v>
      </c>
      <c r="I1681" t="s">
        <v>147</v>
      </c>
      <c r="J1681" s="89">
        <v>12150</v>
      </c>
      <c r="K1681" t="s">
        <v>127</v>
      </c>
      <c r="L1681" t="s">
        <v>151</v>
      </c>
      <c r="N1681">
        <v>1</v>
      </c>
      <c r="O1681" s="89">
        <v>121.5</v>
      </c>
      <c r="P1681" s="89">
        <v>1377</v>
      </c>
      <c r="Q1681" t="s">
        <v>130</v>
      </c>
      <c r="R1681" t="s">
        <v>131</v>
      </c>
    </row>
    <row r="1682" spans="3:18" hidden="1" x14ac:dyDescent="0.25">
      <c r="C1682" t="s">
        <v>45</v>
      </c>
      <c r="D1682" t="s">
        <v>21</v>
      </c>
      <c r="E1682" t="s">
        <v>48</v>
      </c>
      <c r="F1682" t="s">
        <v>41</v>
      </c>
      <c r="G1682" s="89">
        <v>3877091</v>
      </c>
      <c r="H1682" t="s">
        <v>42</v>
      </c>
      <c r="I1682" t="s">
        <v>133</v>
      </c>
      <c r="J1682" s="89">
        <v>112435639</v>
      </c>
      <c r="K1682" t="s">
        <v>127</v>
      </c>
      <c r="L1682" t="s">
        <v>128</v>
      </c>
      <c r="M1682" t="s">
        <v>129</v>
      </c>
      <c r="N1682">
        <v>1</v>
      </c>
      <c r="O1682" s="89">
        <v>116312.73</v>
      </c>
      <c r="P1682" s="89">
        <v>1977316.41</v>
      </c>
      <c r="Q1682" t="s">
        <v>142</v>
      </c>
      <c r="R1682" t="s">
        <v>131</v>
      </c>
    </row>
    <row r="1683" spans="3:18" x14ac:dyDescent="0.25">
      <c r="C1683" t="s">
        <v>47</v>
      </c>
      <c r="D1683" t="s">
        <v>20</v>
      </c>
      <c r="E1683" t="s">
        <v>40</v>
      </c>
      <c r="F1683" t="s">
        <v>41</v>
      </c>
      <c r="G1683" s="89">
        <v>1777920</v>
      </c>
      <c r="H1683" t="s">
        <v>140</v>
      </c>
      <c r="I1683" t="s">
        <v>126</v>
      </c>
      <c r="J1683" s="89">
        <v>21335040</v>
      </c>
      <c r="K1683" t="s">
        <v>127</v>
      </c>
      <c r="L1683" t="s">
        <v>128</v>
      </c>
      <c r="N1683">
        <v>1</v>
      </c>
      <c r="O1683" s="89">
        <v>71116.800000000003</v>
      </c>
      <c r="P1683" s="89">
        <v>888960</v>
      </c>
      <c r="Q1683" t="s">
        <v>142</v>
      </c>
      <c r="R1683" t="s">
        <v>131</v>
      </c>
    </row>
    <row r="1684" spans="3:18" hidden="1" x14ac:dyDescent="0.25">
      <c r="C1684" t="s">
        <v>45</v>
      </c>
      <c r="D1684" t="s">
        <v>22</v>
      </c>
      <c r="E1684" t="s">
        <v>40</v>
      </c>
      <c r="F1684" t="s">
        <v>41</v>
      </c>
      <c r="G1684" s="89">
        <v>13232392</v>
      </c>
      <c r="H1684" t="s">
        <v>132</v>
      </c>
      <c r="I1684" t="s">
        <v>147</v>
      </c>
      <c r="J1684" s="89">
        <v>39697176</v>
      </c>
      <c r="K1684" t="s">
        <v>127</v>
      </c>
      <c r="L1684" t="s">
        <v>128</v>
      </c>
      <c r="N1684">
        <v>1</v>
      </c>
      <c r="O1684" s="89">
        <v>396971.76</v>
      </c>
      <c r="P1684" s="89">
        <v>1720210.96</v>
      </c>
      <c r="Q1684" t="s">
        <v>130</v>
      </c>
      <c r="R1684" t="s">
        <v>131</v>
      </c>
    </row>
    <row r="1685" spans="3:18" x14ac:dyDescent="0.25">
      <c r="C1685" t="s">
        <v>47</v>
      </c>
      <c r="D1685" t="s">
        <v>138</v>
      </c>
      <c r="E1685" t="s">
        <v>40</v>
      </c>
      <c r="F1685" t="s">
        <v>41</v>
      </c>
      <c r="G1685" s="89">
        <v>2100317</v>
      </c>
      <c r="H1685" t="s">
        <v>140</v>
      </c>
      <c r="I1685" t="s">
        <v>126</v>
      </c>
      <c r="J1685" s="89">
        <v>23103487</v>
      </c>
      <c r="K1685" t="s">
        <v>127</v>
      </c>
      <c r="L1685" t="s">
        <v>128</v>
      </c>
      <c r="N1685">
        <v>1</v>
      </c>
      <c r="O1685" s="89">
        <v>63009.51</v>
      </c>
      <c r="P1685" s="89">
        <v>1344202.88</v>
      </c>
      <c r="Q1685" t="s">
        <v>137</v>
      </c>
      <c r="R1685" t="s">
        <v>131</v>
      </c>
    </row>
    <row r="1686" spans="3:18" hidden="1" x14ac:dyDescent="0.25">
      <c r="C1686" t="s">
        <v>45</v>
      </c>
      <c r="D1686" t="s">
        <v>22</v>
      </c>
      <c r="E1686" t="s">
        <v>40</v>
      </c>
      <c r="F1686" t="s">
        <v>41</v>
      </c>
      <c r="G1686" s="89">
        <v>60449</v>
      </c>
      <c r="H1686" t="s">
        <v>42</v>
      </c>
      <c r="I1686" t="s">
        <v>133</v>
      </c>
      <c r="J1686" s="89">
        <v>1632123</v>
      </c>
      <c r="K1686" t="s">
        <v>127</v>
      </c>
      <c r="L1686" t="s">
        <v>151</v>
      </c>
      <c r="M1686" t="s">
        <v>156</v>
      </c>
      <c r="N1686">
        <v>1</v>
      </c>
      <c r="O1686" s="89">
        <v>1813.47</v>
      </c>
      <c r="P1686" s="89">
        <v>16321.23</v>
      </c>
      <c r="Q1686" t="s">
        <v>130</v>
      </c>
      <c r="R1686" t="s">
        <v>131</v>
      </c>
    </row>
    <row r="1687" spans="3:18" hidden="1" x14ac:dyDescent="0.25">
      <c r="C1687" t="s">
        <v>45</v>
      </c>
      <c r="D1687" t="s">
        <v>149</v>
      </c>
      <c r="E1687" t="s">
        <v>43</v>
      </c>
      <c r="F1687" t="s">
        <v>41</v>
      </c>
      <c r="G1687" s="89">
        <v>328404</v>
      </c>
      <c r="H1687" t="s">
        <v>140</v>
      </c>
      <c r="I1687" t="s">
        <v>133</v>
      </c>
      <c r="J1687" s="89">
        <v>9195312</v>
      </c>
      <c r="K1687" t="s">
        <v>134</v>
      </c>
      <c r="L1687" t="s">
        <v>128</v>
      </c>
      <c r="N1687">
        <v>1</v>
      </c>
      <c r="O1687" s="89">
        <v>9852.1200000000008</v>
      </c>
      <c r="P1687" s="89">
        <v>311983.8</v>
      </c>
      <c r="Q1687" t="s">
        <v>135</v>
      </c>
      <c r="R1687" t="s">
        <v>131</v>
      </c>
    </row>
    <row r="1688" spans="3:18" hidden="1" x14ac:dyDescent="0.25">
      <c r="C1688" t="s">
        <v>45</v>
      </c>
      <c r="D1688" t="s">
        <v>19</v>
      </c>
      <c r="E1688" t="s">
        <v>43</v>
      </c>
      <c r="F1688" t="s">
        <v>41</v>
      </c>
      <c r="G1688" s="89">
        <v>2510371</v>
      </c>
      <c r="H1688" t="s">
        <v>145</v>
      </c>
      <c r="I1688" t="s">
        <v>133</v>
      </c>
      <c r="J1688" s="89">
        <v>80331872</v>
      </c>
      <c r="K1688" t="s">
        <v>144</v>
      </c>
      <c r="N1688">
        <v>1</v>
      </c>
      <c r="O1688" s="89">
        <v>75311.13</v>
      </c>
      <c r="P1688" s="89">
        <v>627592.75</v>
      </c>
      <c r="Q1688" t="s">
        <v>130</v>
      </c>
      <c r="R1688" t="s">
        <v>131</v>
      </c>
    </row>
    <row r="1689" spans="3:18" hidden="1" x14ac:dyDescent="0.25">
      <c r="C1689" t="s">
        <v>45</v>
      </c>
      <c r="D1689" t="s">
        <v>24</v>
      </c>
      <c r="E1689" t="s">
        <v>52</v>
      </c>
      <c r="F1689" t="s">
        <v>41</v>
      </c>
      <c r="G1689" s="89">
        <v>20200879</v>
      </c>
      <c r="H1689" t="s">
        <v>42</v>
      </c>
      <c r="I1689" t="s">
        <v>133</v>
      </c>
      <c r="J1689" s="89">
        <v>646428128</v>
      </c>
      <c r="K1689" t="s">
        <v>127</v>
      </c>
      <c r="L1689" t="s">
        <v>128</v>
      </c>
      <c r="M1689" t="s">
        <v>148</v>
      </c>
      <c r="N1689">
        <v>1</v>
      </c>
      <c r="O1689" s="89">
        <v>606026.37</v>
      </c>
      <c r="P1689" s="89">
        <v>14342624.09</v>
      </c>
      <c r="Q1689" t="s">
        <v>137</v>
      </c>
      <c r="R1689" t="s">
        <v>42</v>
      </c>
    </row>
    <row r="1690" spans="3:18" hidden="1" x14ac:dyDescent="0.25">
      <c r="C1690" t="s">
        <v>45</v>
      </c>
      <c r="D1690" t="s">
        <v>19</v>
      </c>
      <c r="E1690" t="s">
        <v>43</v>
      </c>
      <c r="F1690" t="s">
        <v>41</v>
      </c>
      <c r="G1690" s="89">
        <v>13524685</v>
      </c>
      <c r="H1690" t="s">
        <v>132</v>
      </c>
      <c r="I1690" t="s">
        <v>133</v>
      </c>
      <c r="J1690" s="89">
        <v>392215865</v>
      </c>
      <c r="K1690" t="s">
        <v>127</v>
      </c>
      <c r="L1690" t="s">
        <v>128</v>
      </c>
      <c r="N1690">
        <v>1</v>
      </c>
      <c r="O1690" s="89">
        <v>405740.55</v>
      </c>
      <c r="P1690" s="89">
        <v>6897589.3499999996</v>
      </c>
      <c r="Q1690" t="s">
        <v>142</v>
      </c>
      <c r="R1690" t="s">
        <v>131</v>
      </c>
    </row>
    <row r="1691" spans="3:18" hidden="1" x14ac:dyDescent="0.25">
      <c r="C1691" t="s">
        <v>45</v>
      </c>
      <c r="D1691" t="s">
        <v>138</v>
      </c>
      <c r="E1691" t="s">
        <v>43</v>
      </c>
      <c r="F1691" t="s">
        <v>41</v>
      </c>
      <c r="G1691" s="89">
        <v>492467</v>
      </c>
      <c r="H1691" t="s">
        <v>42</v>
      </c>
      <c r="I1691" t="s">
        <v>126</v>
      </c>
      <c r="J1691" s="89">
        <v>9356873</v>
      </c>
      <c r="K1691" t="s">
        <v>144</v>
      </c>
      <c r="N1691">
        <v>1</v>
      </c>
      <c r="O1691" s="89">
        <v>14774.01</v>
      </c>
      <c r="P1691" s="89">
        <v>393973.6</v>
      </c>
      <c r="Q1691" t="s">
        <v>135</v>
      </c>
      <c r="R1691" t="s">
        <v>42</v>
      </c>
    </row>
    <row r="1692" spans="3:18" hidden="1" x14ac:dyDescent="0.25">
      <c r="C1692" t="s">
        <v>45</v>
      </c>
      <c r="D1692" t="s">
        <v>19</v>
      </c>
      <c r="E1692" t="s">
        <v>43</v>
      </c>
      <c r="F1692" t="s">
        <v>41</v>
      </c>
      <c r="G1692" s="89">
        <v>2667666</v>
      </c>
      <c r="H1692" t="s">
        <v>132</v>
      </c>
      <c r="I1692" t="s">
        <v>141</v>
      </c>
      <c r="J1692" s="89">
        <v>21341328</v>
      </c>
      <c r="K1692" t="s">
        <v>127</v>
      </c>
      <c r="L1692" t="s">
        <v>128</v>
      </c>
      <c r="N1692">
        <v>1</v>
      </c>
      <c r="O1692" s="89">
        <v>80029.98</v>
      </c>
      <c r="P1692" s="89">
        <v>613563.18000000005</v>
      </c>
      <c r="Q1692" t="s">
        <v>130</v>
      </c>
      <c r="R1692" t="s">
        <v>131</v>
      </c>
    </row>
    <row r="1693" spans="3:18" hidden="1" x14ac:dyDescent="0.25">
      <c r="C1693" t="s">
        <v>45</v>
      </c>
      <c r="D1693" t="s">
        <v>19</v>
      </c>
      <c r="E1693" t="s">
        <v>43</v>
      </c>
      <c r="F1693" t="s">
        <v>41</v>
      </c>
      <c r="G1693" s="89">
        <v>79151</v>
      </c>
      <c r="H1693" t="s">
        <v>42</v>
      </c>
      <c r="I1693" t="s">
        <v>126</v>
      </c>
      <c r="J1693" s="89">
        <v>1345567</v>
      </c>
      <c r="K1693" t="s">
        <v>127</v>
      </c>
      <c r="L1693" t="s">
        <v>128</v>
      </c>
      <c r="M1693" t="s">
        <v>139</v>
      </c>
      <c r="N1693">
        <v>1</v>
      </c>
      <c r="O1693" s="89">
        <v>3166.04</v>
      </c>
      <c r="P1693" s="89">
        <v>15038.69</v>
      </c>
      <c r="Q1693" t="s">
        <v>130</v>
      </c>
      <c r="R1693" t="s">
        <v>131</v>
      </c>
    </row>
    <row r="1694" spans="3:18" hidden="1" x14ac:dyDescent="0.25">
      <c r="C1694" t="s">
        <v>45</v>
      </c>
      <c r="D1694" t="s">
        <v>23</v>
      </c>
      <c r="E1694" t="s">
        <v>48</v>
      </c>
      <c r="F1694" t="s">
        <v>41</v>
      </c>
      <c r="G1694" s="89">
        <v>499715</v>
      </c>
      <c r="H1694" t="s">
        <v>145</v>
      </c>
      <c r="I1694" t="s">
        <v>147</v>
      </c>
      <c r="J1694" s="89">
        <v>0</v>
      </c>
      <c r="K1694" t="s">
        <v>134</v>
      </c>
      <c r="L1694" t="s">
        <v>128</v>
      </c>
      <c r="N1694">
        <v>1</v>
      </c>
      <c r="O1694" s="89">
        <v>19988.599999999999</v>
      </c>
      <c r="P1694" s="89">
        <v>194888.85</v>
      </c>
      <c r="Q1694" t="s">
        <v>130</v>
      </c>
      <c r="R1694" t="s">
        <v>131</v>
      </c>
    </row>
    <row r="1695" spans="3:18" hidden="1" x14ac:dyDescent="0.25">
      <c r="C1695" t="s">
        <v>45</v>
      </c>
      <c r="D1695" t="s">
        <v>24</v>
      </c>
      <c r="E1695" t="s">
        <v>40</v>
      </c>
      <c r="F1695" t="s">
        <v>41</v>
      </c>
      <c r="G1695" s="89">
        <v>30067</v>
      </c>
      <c r="H1695" t="s">
        <v>145</v>
      </c>
      <c r="I1695" t="s">
        <v>133</v>
      </c>
      <c r="J1695" s="89">
        <v>871943</v>
      </c>
      <c r="K1695" t="s">
        <v>144</v>
      </c>
      <c r="N1695">
        <v>1</v>
      </c>
      <c r="O1695" s="89">
        <v>902.01</v>
      </c>
      <c r="P1695" s="89">
        <v>24053.599999999999</v>
      </c>
      <c r="Q1695" t="s">
        <v>137</v>
      </c>
      <c r="R1695" t="s">
        <v>131</v>
      </c>
    </row>
    <row r="1696" spans="3:18" hidden="1" x14ac:dyDescent="0.25">
      <c r="C1696" t="s">
        <v>45</v>
      </c>
      <c r="D1696" t="s">
        <v>138</v>
      </c>
      <c r="E1696" t="s">
        <v>43</v>
      </c>
      <c r="F1696" t="s">
        <v>41</v>
      </c>
      <c r="G1696" s="89">
        <v>430216</v>
      </c>
      <c r="H1696" t="s">
        <v>42</v>
      </c>
      <c r="I1696" t="s">
        <v>133</v>
      </c>
      <c r="J1696" s="89">
        <v>11185616</v>
      </c>
      <c r="K1696" t="s">
        <v>127</v>
      </c>
      <c r="L1696" t="s">
        <v>128</v>
      </c>
      <c r="M1696" t="s">
        <v>129</v>
      </c>
      <c r="N1696">
        <v>1</v>
      </c>
      <c r="O1696" s="89">
        <v>12906.48</v>
      </c>
      <c r="P1696" s="89">
        <v>141971.28</v>
      </c>
      <c r="Q1696" t="s">
        <v>130</v>
      </c>
      <c r="R1696" t="s">
        <v>42</v>
      </c>
    </row>
    <row r="1697" spans="3:18" hidden="1" x14ac:dyDescent="0.25">
      <c r="C1697" t="s">
        <v>45</v>
      </c>
      <c r="D1697" t="s">
        <v>24</v>
      </c>
      <c r="E1697" t="s">
        <v>48</v>
      </c>
      <c r="F1697" t="s">
        <v>41</v>
      </c>
      <c r="G1697" s="89">
        <v>176413847</v>
      </c>
      <c r="H1697" t="s">
        <v>42</v>
      </c>
      <c r="I1697" t="s">
        <v>133</v>
      </c>
      <c r="J1697" s="89">
        <v>5468829257</v>
      </c>
      <c r="K1697" t="s">
        <v>127</v>
      </c>
      <c r="L1697" t="s">
        <v>128</v>
      </c>
      <c r="M1697" t="s">
        <v>148</v>
      </c>
      <c r="N1697">
        <v>1</v>
      </c>
      <c r="O1697" s="89">
        <v>5292415.41</v>
      </c>
      <c r="P1697" s="89">
        <v>125253831.37</v>
      </c>
      <c r="Q1697" t="s">
        <v>137</v>
      </c>
      <c r="R1697" t="s">
        <v>131</v>
      </c>
    </row>
    <row r="1698" spans="3:18" hidden="1" x14ac:dyDescent="0.25">
      <c r="C1698" t="s">
        <v>45</v>
      </c>
      <c r="D1698" t="s">
        <v>20</v>
      </c>
      <c r="E1698" t="s">
        <v>43</v>
      </c>
      <c r="F1698" t="s">
        <v>41</v>
      </c>
      <c r="G1698" s="89">
        <v>426629</v>
      </c>
      <c r="H1698" t="s">
        <v>145</v>
      </c>
      <c r="I1698" t="s">
        <v>126</v>
      </c>
      <c r="J1698" s="89">
        <v>7679322</v>
      </c>
      <c r="K1698" t="s">
        <v>144</v>
      </c>
      <c r="N1698">
        <v>1</v>
      </c>
      <c r="O1698" s="89">
        <v>12798.87</v>
      </c>
      <c r="P1698" s="89">
        <v>115189.83</v>
      </c>
      <c r="Q1698" t="s">
        <v>130</v>
      </c>
      <c r="R1698" t="s">
        <v>131</v>
      </c>
    </row>
    <row r="1699" spans="3:18" hidden="1" x14ac:dyDescent="0.25">
      <c r="C1699" t="s">
        <v>45</v>
      </c>
      <c r="D1699" t="s">
        <v>22</v>
      </c>
      <c r="E1699" t="s">
        <v>43</v>
      </c>
      <c r="F1699" t="s">
        <v>41</v>
      </c>
      <c r="G1699" s="89">
        <v>1426727</v>
      </c>
      <c r="H1699" t="s">
        <v>140</v>
      </c>
      <c r="I1699" t="s">
        <v>133</v>
      </c>
      <c r="J1699" s="89">
        <v>37094902</v>
      </c>
      <c r="K1699" t="s">
        <v>127</v>
      </c>
      <c r="L1699" t="s">
        <v>128</v>
      </c>
      <c r="N1699">
        <v>1</v>
      </c>
      <c r="O1699" s="89">
        <v>42801.81</v>
      </c>
      <c r="P1699" s="89">
        <v>2025952.34</v>
      </c>
      <c r="Q1699" t="s">
        <v>150</v>
      </c>
      <c r="R1699" t="s">
        <v>131</v>
      </c>
    </row>
    <row r="1700" spans="3:18" x14ac:dyDescent="0.25">
      <c r="C1700" t="s">
        <v>47</v>
      </c>
      <c r="D1700" t="s">
        <v>138</v>
      </c>
      <c r="E1700" t="s">
        <v>40</v>
      </c>
      <c r="F1700" t="s">
        <v>41</v>
      </c>
      <c r="G1700" s="89">
        <v>131518</v>
      </c>
      <c r="H1700" t="s">
        <v>132</v>
      </c>
      <c r="I1700" t="s">
        <v>147</v>
      </c>
      <c r="J1700" s="89">
        <v>657590</v>
      </c>
      <c r="K1700" t="s">
        <v>144</v>
      </c>
      <c r="N1700">
        <v>1</v>
      </c>
      <c r="O1700" s="89">
        <v>5260.72</v>
      </c>
      <c r="P1700" s="89">
        <v>18412.52</v>
      </c>
      <c r="Q1700" t="s">
        <v>130</v>
      </c>
      <c r="R1700" t="s">
        <v>131</v>
      </c>
    </row>
    <row r="1701" spans="3:18" x14ac:dyDescent="0.25">
      <c r="C1701" t="s">
        <v>47</v>
      </c>
      <c r="D1701" t="s">
        <v>22</v>
      </c>
      <c r="E1701" t="s">
        <v>40</v>
      </c>
      <c r="F1701" t="s">
        <v>41</v>
      </c>
      <c r="G1701" s="89">
        <v>283191</v>
      </c>
      <c r="H1701" t="s">
        <v>42</v>
      </c>
      <c r="I1701" t="s">
        <v>141</v>
      </c>
      <c r="J1701" s="89">
        <v>1982337</v>
      </c>
      <c r="K1701" t="s">
        <v>127</v>
      </c>
      <c r="L1701" t="s">
        <v>128</v>
      </c>
      <c r="M1701" t="s">
        <v>143</v>
      </c>
      <c r="N1701">
        <v>1</v>
      </c>
      <c r="O1701" s="89">
        <v>11327.64</v>
      </c>
      <c r="P1701" s="89">
        <v>133099.76999999999</v>
      </c>
      <c r="Q1701" t="s">
        <v>142</v>
      </c>
      <c r="R1701" t="s">
        <v>131</v>
      </c>
    </row>
    <row r="1702" spans="3:18" hidden="1" x14ac:dyDescent="0.25">
      <c r="C1702" t="s">
        <v>45</v>
      </c>
      <c r="D1702" t="s">
        <v>20</v>
      </c>
      <c r="E1702" t="s">
        <v>43</v>
      </c>
      <c r="F1702" t="s">
        <v>41</v>
      </c>
      <c r="G1702" s="89">
        <v>91305</v>
      </c>
      <c r="H1702" t="s">
        <v>42</v>
      </c>
      <c r="I1702" t="s">
        <v>126</v>
      </c>
      <c r="J1702" s="89">
        <v>1460880</v>
      </c>
      <c r="K1702" t="s">
        <v>134</v>
      </c>
      <c r="L1702" t="s">
        <v>128</v>
      </c>
      <c r="M1702" t="s">
        <v>129</v>
      </c>
      <c r="N1702">
        <v>1</v>
      </c>
      <c r="O1702" s="89">
        <v>2739.15</v>
      </c>
      <c r="P1702" s="89">
        <v>44739.45</v>
      </c>
      <c r="Q1702" t="s">
        <v>142</v>
      </c>
      <c r="R1702" t="s">
        <v>42</v>
      </c>
    </row>
    <row r="1703" spans="3:18" hidden="1" x14ac:dyDescent="0.25">
      <c r="C1703" t="s">
        <v>45</v>
      </c>
      <c r="D1703" t="s">
        <v>23</v>
      </c>
      <c r="E1703" t="s">
        <v>46</v>
      </c>
      <c r="F1703" t="s">
        <v>41</v>
      </c>
      <c r="G1703" s="89">
        <v>2762400</v>
      </c>
      <c r="H1703" t="s">
        <v>42</v>
      </c>
      <c r="I1703" t="s">
        <v>133</v>
      </c>
      <c r="J1703" s="89">
        <v>104971200</v>
      </c>
      <c r="K1703" t="s">
        <v>144</v>
      </c>
      <c r="N1703">
        <v>1</v>
      </c>
      <c r="O1703" s="89">
        <v>82872</v>
      </c>
      <c r="P1703" s="89">
        <v>2762400</v>
      </c>
      <c r="Q1703" t="s">
        <v>150</v>
      </c>
      <c r="R1703" t="s">
        <v>42</v>
      </c>
    </row>
    <row r="1704" spans="3:18" hidden="1" x14ac:dyDescent="0.25">
      <c r="C1704" t="s">
        <v>45</v>
      </c>
      <c r="D1704" t="s">
        <v>20</v>
      </c>
      <c r="E1704" t="s">
        <v>43</v>
      </c>
      <c r="F1704" t="s">
        <v>41</v>
      </c>
      <c r="G1704" s="89">
        <v>5997</v>
      </c>
      <c r="H1704" t="s">
        <v>42</v>
      </c>
      <c r="I1704" t="s">
        <v>141</v>
      </c>
      <c r="J1704" s="89">
        <v>53973</v>
      </c>
      <c r="K1704" t="s">
        <v>127</v>
      </c>
      <c r="L1704" t="s">
        <v>128</v>
      </c>
      <c r="M1704" t="s">
        <v>139</v>
      </c>
      <c r="N1704">
        <v>1</v>
      </c>
      <c r="O1704" s="89">
        <v>299.85000000000002</v>
      </c>
      <c r="P1704" s="89">
        <v>5277.36</v>
      </c>
      <c r="Q1704" t="s">
        <v>135</v>
      </c>
      <c r="R1704" t="s">
        <v>131</v>
      </c>
    </row>
    <row r="1705" spans="3:18" hidden="1" x14ac:dyDescent="0.25">
      <c r="C1705" t="s">
        <v>45</v>
      </c>
      <c r="D1705" t="s">
        <v>20</v>
      </c>
      <c r="E1705" t="s">
        <v>43</v>
      </c>
      <c r="F1705" t="s">
        <v>41</v>
      </c>
      <c r="G1705" s="89">
        <v>98054</v>
      </c>
      <c r="H1705" t="s">
        <v>145</v>
      </c>
      <c r="I1705" t="s">
        <v>133</v>
      </c>
      <c r="J1705" s="89">
        <v>3431890</v>
      </c>
      <c r="K1705" t="s">
        <v>127</v>
      </c>
      <c r="L1705" t="s">
        <v>151</v>
      </c>
      <c r="N1705">
        <v>1</v>
      </c>
      <c r="O1705" s="89">
        <v>2941.62</v>
      </c>
      <c r="P1705" s="89">
        <v>38241.06</v>
      </c>
      <c r="Q1705" t="s">
        <v>130</v>
      </c>
      <c r="R1705" t="s">
        <v>131</v>
      </c>
    </row>
    <row r="1706" spans="3:18" hidden="1" x14ac:dyDescent="0.25">
      <c r="C1706" t="s">
        <v>45</v>
      </c>
      <c r="D1706" t="s">
        <v>24</v>
      </c>
      <c r="E1706" t="s">
        <v>48</v>
      </c>
      <c r="F1706" t="s">
        <v>41</v>
      </c>
      <c r="G1706" s="89">
        <v>562658</v>
      </c>
      <c r="H1706" t="s">
        <v>140</v>
      </c>
      <c r="I1706" t="s">
        <v>126</v>
      </c>
      <c r="J1706" s="89">
        <v>7314554</v>
      </c>
      <c r="K1706" t="s">
        <v>134</v>
      </c>
      <c r="L1706" t="s">
        <v>128</v>
      </c>
      <c r="N1706">
        <v>1</v>
      </c>
      <c r="O1706" s="89">
        <v>16879.740000000002</v>
      </c>
      <c r="P1706" s="89">
        <v>168797.4</v>
      </c>
      <c r="Q1706" t="s">
        <v>130</v>
      </c>
      <c r="R1706" t="s">
        <v>131</v>
      </c>
    </row>
    <row r="1707" spans="3:18" hidden="1" x14ac:dyDescent="0.25">
      <c r="C1707" t="s">
        <v>45</v>
      </c>
      <c r="D1707" t="s">
        <v>22</v>
      </c>
      <c r="E1707" t="s">
        <v>40</v>
      </c>
      <c r="F1707" t="s">
        <v>41</v>
      </c>
      <c r="G1707" s="89">
        <v>103226</v>
      </c>
      <c r="H1707" t="s">
        <v>145</v>
      </c>
      <c r="I1707" t="s">
        <v>147</v>
      </c>
      <c r="J1707" s="89">
        <v>412904</v>
      </c>
      <c r="K1707" t="s">
        <v>127</v>
      </c>
      <c r="L1707" t="s">
        <v>128</v>
      </c>
      <c r="N1707">
        <v>1</v>
      </c>
      <c r="O1707" s="89">
        <v>4129.04</v>
      </c>
      <c r="P1707" s="89">
        <v>46451.7</v>
      </c>
      <c r="Q1707" t="s">
        <v>142</v>
      </c>
      <c r="R1707" t="s">
        <v>131</v>
      </c>
    </row>
    <row r="1708" spans="3:18" x14ac:dyDescent="0.25">
      <c r="C1708" t="s">
        <v>47</v>
      </c>
      <c r="D1708" t="s">
        <v>22</v>
      </c>
      <c r="E1708" t="s">
        <v>43</v>
      </c>
      <c r="F1708" t="s">
        <v>41</v>
      </c>
      <c r="G1708" s="89">
        <v>2742564</v>
      </c>
      <c r="H1708" t="s">
        <v>140</v>
      </c>
      <c r="I1708" t="s">
        <v>141</v>
      </c>
      <c r="J1708" s="89">
        <v>19197948</v>
      </c>
      <c r="K1708" t="s">
        <v>127</v>
      </c>
      <c r="L1708" t="s">
        <v>128</v>
      </c>
      <c r="N1708">
        <v>1</v>
      </c>
      <c r="O1708" s="89">
        <v>137128.20000000001</v>
      </c>
      <c r="P1708" s="89">
        <v>603364.07999999996</v>
      </c>
      <c r="Q1708" t="s">
        <v>130</v>
      </c>
      <c r="R1708" t="s">
        <v>131</v>
      </c>
    </row>
    <row r="1709" spans="3:18" hidden="1" x14ac:dyDescent="0.25">
      <c r="C1709" t="s">
        <v>45</v>
      </c>
      <c r="D1709" t="s">
        <v>20</v>
      </c>
      <c r="E1709" t="s">
        <v>43</v>
      </c>
      <c r="F1709" t="s">
        <v>41</v>
      </c>
      <c r="G1709" s="89">
        <v>1425067</v>
      </c>
      <c r="H1709" t="s">
        <v>42</v>
      </c>
      <c r="I1709" t="s">
        <v>133</v>
      </c>
      <c r="J1709" s="89">
        <v>41326943</v>
      </c>
      <c r="K1709" t="s">
        <v>127</v>
      </c>
      <c r="L1709" t="s">
        <v>128</v>
      </c>
      <c r="M1709" t="s">
        <v>143</v>
      </c>
      <c r="N1709">
        <v>1</v>
      </c>
      <c r="O1709" s="89">
        <v>42752.01</v>
      </c>
      <c r="P1709" s="89">
        <v>954794.89</v>
      </c>
      <c r="Q1709" t="s">
        <v>137</v>
      </c>
      <c r="R1709" t="s">
        <v>42</v>
      </c>
    </row>
    <row r="1710" spans="3:18" hidden="1" x14ac:dyDescent="0.25">
      <c r="C1710" t="s">
        <v>45</v>
      </c>
      <c r="D1710" t="s">
        <v>21</v>
      </c>
      <c r="E1710" t="s">
        <v>43</v>
      </c>
      <c r="F1710" t="s">
        <v>41</v>
      </c>
      <c r="G1710" s="89">
        <v>0</v>
      </c>
      <c r="H1710" t="s">
        <v>146</v>
      </c>
      <c r="I1710" t="s">
        <v>141</v>
      </c>
      <c r="J1710" s="89">
        <v>0</v>
      </c>
      <c r="K1710" t="s">
        <v>127</v>
      </c>
      <c r="L1710" t="s">
        <v>128</v>
      </c>
      <c r="N1710">
        <v>1</v>
      </c>
      <c r="O1710" s="89">
        <v>0</v>
      </c>
      <c r="P1710" s="89">
        <v>0</v>
      </c>
      <c r="Q1710" t="s">
        <v>150</v>
      </c>
      <c r="R1710" t="s">
        <v>131</v>
      </c>
    </row>
    <row r="1711" spans="3:18" hidden="1" x14ac:dyDescent="0.25">
      <c r="C1711" t="s">
        <v>45</v>
      </c>
      <c r="D1711" t="s">
        <v>21</v>
      </c>
      <c r="E1711" t="s">
        <v>43</v>
      </c>
      <c r="F1711" t="s">
        <v>41</v>
      </c>
      <c r="G1711" s="89">
        <v>2221910</v>
      </c>
      <c r="H1711" t="s">
        <v>140</v>
      </c>
      <c r="I1711" t="s">
        <v>126</v>
      </c>
      <c r="J1711" s="89">
        <v>35550560</v>
      </c>
      <c r="K1711" t="s">
        <v>127</v>
      </c>
      <c r="L1711" t="s">
        <v>128</v>
      </c>
      <c r="N1711">
        <v>1</v>
      </c>
      <c r="O1711" s="89">
        <v>66657.3</v>
      </c>
      <c r="P1711" s="89">
        <v>1933061.7</v>
      </c>
      <c r="Q1711" t="s">
        <v>135</v>
      </c>
      <c r="R1711" t="s">
        <v>131</v>
      </c>
    </row>
    <row r="1712" spans="3:18" hidden="1" x14ac:dyDescent="0.25">
      <c r="C1712" t="s">
        <v>45</v>
      </c>
      <c r="D1712" t="s">
        <v>138</v>
      </c>
      <c r="E1712" t="s">
        <v>43</v>
      </c>
      <c r="F1712" t="s">
        <v>41</v>
      </c>
      <c r="G1712" s="89">
        <v>568785</v>
      </c>
      <c r="H1712" t="s">
        <v>42</v>
      </c>
      <c r="I1712" t="s">
        <v>126</v>
      </c>
      <c r="J1712" s="89">
        <v>9100560</v>
      </c>
      <c r="K1712" t="s">
        <v>144</v>
      </c>
      <c r="N1712">
        <v>1</v>
      </c>
      <c r="O1712" s="89">
        <v>17063.55</v>
      </c>
      <c r="P1712" s="89">
        <v>136508.4</v>
      </c>
      <c r="Q1712" t="s">
        <v>130</v>
      </c>
      <c r="R1712" t="s">
        <v>131</v>
      </c>
    </row>
    <row r="1713" spans="3:18" hidden="1" x14ac:dyDescent="0.25">
      <c r="C1713" t="s">
        <v>45</v>
      </c>
      <c r="D1713" t="s">
        <v>50</v>
      </c>
      <c r="E1713" t="s">
        <v>50</v>
      </c>
      <c r="F1713" t="s">
        <v>53</v>
      </c>
      <c r="G1713" s="89">
        <v>57516</v>
      </c>
      <c r="H1713" t="s">
        <v>79</v>
      </c>
      <c r="I1713" t="s">
        <v>126</v>
      </c>
      <c r="J1713" s="89">
        <v>977772</v>
      </c>
      <c r="K1713" t="s">
        <v>127</v>
      </c>
      <c r="N1713">
        <v>1</v>
      </c>
      <c r="O1713" s="89">
        <v>2300.64</v>
      </c>
      <c r="P1713" s="89">
        <v>68444.039999999994</v>
      </c>
      <c r="Q1713" t="s">
        <v>150</v>
      </c>
      <c r="R1713" t="s">
        <v>79</v>
      </c>
    </row>
    <row r="1714" spans="3:18" hidden="1" x14ac:dyDescent="0.25">
      <c r="C1714" t="s">
        <v>45</v>
      </c>
      <c r="D1714" t="s">
        <v>24</v>
      </c>
      <c r="E1714" t="s">
        <v>40</v>
      </c>
      <c r="F1714" t="s">
        <v>41</v>
      </c>
      <c r="G1714" s="89">
        <v>2132911</v>
      </c>
      <c r="H1714" t="s">
        <v>140</v>
      </c>
      <c r="I1714" t="s">
        <v>133</v>
      </c>
      <c r="J1714" s="89">
        <v>55455686</v>
      </c>
      <c r="K1714" t="s">
        <v>127</v>
      </c>
      <c r="L1714" t="s">
        <v>128</v>
      </c>
      <c r="N1714">
        <v>1</v>
      </c>
      <c r="O1714" s="89">
        <v>63987.33</v>
      </c>
      <c r="P1714" s="89">
        <v>554556.86</v>
      </c>
      <c r="Q1714" t="s">
        <v>130</v>
      </c>
      <c r="R1714" t="s">
        <v>131</v>
      </c>
    </row>
    <row r="1715" spans="3:18" x14ac:dyDescent="0.25">
      <c r="C1715" t="s">
        <v>47</v>
      </c>
      <c r="D1715" t="s">
        <v>21</v>
      </c>
      <c r="E1715" t="s">
        <v>40</v>
      </c>
      <c r="F1715" t="s">
        <v>41</v>
      </c>
      <c r="G1715" s="89">
        <v>5564240</v>
      </c>
      <c r="H1715" t="s">
        <v>132</v>
      </c>
      <c r="I1715" t="s">
        <v>141</v>
      </c>
      <c r="J1715" s="89">
        <v>44513920</v>
      </c>
      <c r="K1715" t="s">
        <v>127</v>
      </c>
      <c r="L1715" t="s">
        <v>128</v>
      </c>
      <c r="N1715">
        <v>1</v>
      </c>
      <c r="O1715" s="89">
        <v>222569.60000000001</v>
      </c>
      <c r="P1715" s="89">
        <v>2726477.6</v>
      </c>
      <c r="Q1715" t="s">
        <v>142</v>
      </c>
      <c r="R1715" t="s">
        <v>131</v>
      </c>
    </row>
    <row r="1716" spans="3:18" hidden="1" x14ac:dyDescent="0.25">
      <c r="C1716" t="s">
        <v>45</v>
      </c>
      <c r="D1716" t="s">
        <v>22</v>
      </c>
      <c r="E1716" t="s">
        <v>48</v>
      </c>
      <c r="F1716" t="s">
        <v>41</v>
      </c>
      <c r="G1716" s="89">
        <v>24847</v>
      </c>
      <c r="H1716" t="s">
        <v>145</v>
      </c>
      <c r="I1716" t="s">
        <v>133</v>
      </c>
      <c r="J1716" s="89">
        <v>844798</v>
      </c>
      <c r="K1716" t="s">
        <v>144</v>
      </c>
      <c r="N1716">
        <v>1</v>
      </c>
      <c r="O1716" s="89">
        <v>745.41</v>
      </c>
      <c r="P1716" s="89">
        <v>15405.14</v>
      </c>
      <c r="Q1716" t="s">
        <v>137</v>
      </c>
      <c r="R1716" t="s">
        <v>131</v>
      </c>
    </row>
    <row r="1717" spans="3:18" hidden="1" x14ac:dyDescent="0.25">
      <c r="C1717" t="s">
        <v>45</v>
      </c>
      <c r="D1717" t="s">
        <v>21</v>
      </c>
      <c r="E1717" t="s">
        <v>43</v>
      </c>
      <c r="F1717" t="s">
        <v>41</v>
      </c>
      <c r="G1717" s="89">
        <v>909657</v>
      </c>
      <c r="H1717" t="s">
        <v>140</v>
      </c>
      <c r="I1717" t="s">
        <v>126</v>
      </c>
      <c r="J1717" s="89">
        <v>13644855</v>
      </c>
      <c r="K1717" t="s">
        <v>144</v>
      </c>
      <c r="N1717">
        <v>1</v>
      </c>
      <c r="O1717" s="89">
        <v>27289.71</v>
      </c>
      <c r="P1717" s="89">
        <v>745918.74</v>
      </c>
      <c r="Q1717" t="s">
        <v>135</v>
      </c>
      <c r="R1717" t="s">
        <v>131</v>
      </c>
    </row>
    <row r="1718" spans="3:18" hidden="1" x14ac:dyDescent="0.25">
      <c r="C1718" t="s">
        <v>45</v>
      </c>
      <c r="D1718" t="s">
        <v>149</v>
      </c>
      <c r="E1718" t="s">
        <v>43</v>
      </c>
      <c r="F1718" t="s">
        <v>41</v>
      </c>
      <c r="G1718" s="89">
        <v>321689</v>
      </c>
      <c r="H1718" t="s">
        <v>42</v>
      </c>
      <c r="I1718" t="s">
        <v>141</v>
      </c>
      <c r="J1718" s="89">
        <v>2895201</v>
      </c>
      <c r="K1718" t="s">
        <v>127</v>
      </c>
      <c r="L1718" t="s">
        <v>128</v>
      </c>
      <c r="M1718" t="s">
        <v>136</v>
      </c>
      <c r="N1718">
        <v>1</v>
      </c>
      <c r="O1718" s="89">
        <v>9650.67</v>
      </c>
      <c r="P1718" s="89">
        <v>231616.08</v>
      </c>
      <c r="Q1718" t="s">
        <v>137</v>
      </c>
      <c r="R1718" t="s">
        <v>131</v>
      </c>
    </row>
    <row r="1719" spans="3:18" hidden="1" x14ac:dyDescent="0.25">
      <c r="C1719" t="s">
        <v>39</v>
      </c>
      <c r="D1719" t="s">
        <v>23</v>
      </c>
      <c r="E1719" t="s">
        <v>48</v>
      </c>
      <c r="F1719" t="s">
        <v>41</v>
      </c>
      <c r="G1719" s="89">
        <v>55379</v>
      </c>
      <c r="H1719" t="s">
        <v>42</v>
      </c>
      <c r="I1719" t="s">
        <v>133</v>
      </c>
      <c r="J1719" s="89"/>
      <c r="N1719">
        <v>0</v>
      </c>
      <c r="O1719" s="89"/>
      <c r="P1719" s="89"/>
      <c r="R1719" t="s">
        <v>131</v>
      </c>
    </row>
    <row r="1720" spans="3:18" hidden="1" x14ac:dyDescent="0.25">
      <c r="C1720" t="s">
        <v>45</v>
      </c>
      <c r="D1720" t="s">
        <v>23</v>
      </c>
      <c r="E1720" t="s">
        <v>40</v>
      </c>
      <c r="F1720" t="s">
        <v>41</v>
      </c>
      <c r="G1720" s="89">
        <v>1834586</v>
      </c>
      <c r="H1720" t="s">
        <v>146</v>
      </c>
      <c r="I1720" t="s">
        <v>147</v>
      </c>
      <c r="J1720" s="89">
        <v>5503758</v>
      </c>
      <c r="K1720" t="s">
        <v>127</v>
      </c>
      <c r="L1720" t="s">
        <v>128</v>
      </c>
      <c r="N1720">
        <v>1</v>
      </c>
      <c r="O1720" s="89">
        <v>55037.58</v>
      </c>
      <c r="P1720" s="89">
        <v>201804.46</v>
      </c>
      <c r="Q1720" t="s">
        <v>130</v>
      </c>
      <c r="R1720" t="s">
        <v>131</v>
      </c>
    </row>
    <row r="1721" spans="3:18" hidden="1" x14ac:dyDescent="0.25">
      <c r="C1721" t="s">
        <v>45</v>
      </c>
      <c r="D1721" t="s">
        <v>23</v>
      </c>
      <c r="E1721" t="s">
        <v>40</v>
      </c>
      <c r="F1721" t="s">
        <v>41</v>
      </c>
      <c r="G1721" s="89">
        <v>7203</v>
      </c>
      <c r="H1721" t="s">
        <v>145</v>
      </c>
      <c r="I1721" t="s">
        <v>126</v>
      </c>
      <c r="J1721" s="89">
        <v>100842</v>
      </c>
      <c r="K1721" t="s">
        <v>127</v>
      </c>
      <c r="L1721" t="s">
        <v>128</v>
      </c>
      <c r="N1721">
        <v>1</v>
      </c>
      <c r="O1721" s="89">
        <v>360.15</v>
      </c>
      <c r="P1721" s="89">
        <v>8931.7199999999993</v>
      </c>
      <c r="Q1721" t="s">
        <v>150</v>
      </c>
      <c r="R1721" t="s">
        <v>131</v>
      </c>
    </row>
    <row r="1722" spans="3:18" hidden="1" x14ac:dyDescent="0.25">
      <c r="C1722" t="s">
        <v>45</v>
      </c>
      <c r="D1722" t="s">
        <v>19</v>
      </c>
      <c r="E1722" t="s">
        <v>43</v>
      </c>
      <c r="F1722" t="s">
        <v>41</v>
      </c>
      <c r="G1722" s="89">
        <v>177570</v>
      </c>
      <c r="H1722" t="s">
        <v>145</v>
      </c>
      <c r="I1722" t="s">
        <v>133</v>
      </c>
      <c r="J1722" s="89">
        <v>6392520</v>
      </c>
      <c r="K1722" t="s">
        <v>134</v>
      </c>
      <c r="L1722" t="s">
        <v>128</v>
      </c>
      <c r="N1722">
        <v>1</v>
      </c>
      <c r="O1722" s="89">
        <v>5327.1</v>
      </c>
      <c r="P1722" s="89">
        <v>92336.4</v>
      </c>
      <c r="Q1722" t="s">
        <v>142</v>
      </c>
      <c r="R1722" t="s">
        <v>131</v>
      </c>
    </row>
    <row r="1723" spans="3:18" hidden="1" x14ac:dyDescent="0.25">
      <c r="C1723" t="s">
        <v>45</v>
      </c>
      <c r="D1723" t="s">
        <v>22</v>
      </c>
      <c r="E1723" t="s">
        <v>48</v>
      </c>
      <c r="F1723" t="s">
        <v>41</v>
      </c>
      <c r="G1723" s="89">
        <v>24331</v>
      </c>
      <c r="H1723" t="s">
        <v>146</v>
      </c>
      <c r="I1723" t="s">
        <v>126</v>
      </c>
      <c r="J1723" s="89">
        <v>340634</v>
      </c>
      <c r="K1723" t="s">
        <v>144</v>
      </c>
      <c r="N1723">
        <v>1</v>
      </c>
      <c r="O1723" s="89">
        <v>973.24</v>
      </c>
      <c r="P1723" s="89">
        <v>13382.05</v>
      </c>
      <c r="Q1723" t="s">
        <v>142</v>
      </c>
      <c r="R1723" t="s">
        <v>131</v>
      </c>
    </row>
    <row r="1724" spans="3:18" hidden="1" x14ac:dyDescent="0.25">
      <c r="C1724" t="s">
        <v>45</v>
      </c>
      <c r="D1724" t="s">
        <v>20</v>
      </c>
      <c r="E1724" t="s">
        <v>43</v>
      </c>
      <c r="F1724" t="s">
        <v>41</v>
      </c>
      <c r="G1724" s="89">
        <v>3110144</v>
      </c>
      <c r="H1724" t="s">
        <v>145</v>
      </c>
      <c r="I1724" t="s">
        <v>133</v>
      </c>
      <c r="J1724" s="89">
        <v>99524608</v>
      </c>
      <c r="K1724" t="s">
        <v>144</v>
      </c>
      <c r="N1724">
        <v>1</v>
      </c>
      <c r="O1724" s="89">
        <v>93304.320000000007</v>
      </c>
      <c r="P1724" s="89">
        <v>1523970.56</v>
      </c>
      <c r="Q1724" t="s">
        <v>142</v>
      </c>
      <c r="R1724" t="s">
        <v>131</v>
      </c>
    </row>
    <row r="1725" spans="3:18" hidden="1" x14ac:dyDescent="0.25">
      <c r="C1725" t="s">
        <v>45</v>
      </c>
      <c r="D1725" t="s">
        <v>23</v>
      </c>
      <c r="E1725" t="s">
        <v>40</v>
      </c>
      <c r="F1725" t="s">
        <v>41</v>
      </c>
      <c r="G1725" s="89">
        <v>235677</v>
      </c>
      <c r="H1725" t="s">
        <v>140</v>
      </c>
      <c r="I1725" t="s">
        <v>133</v>
      </c>
      <c r="J1725" s="89">
        <v>7305987</v>
      </c>
      <c r="K1725" t="s">
        <v>144</v>
      </c>
      <c r="N1725">
        <v>1</v>
      </c>
      <c r="O1725" s="89">
        <v>7070.31</v>
      </c>
      <c r="P1725" s="89">
        <v>195611.91</v>
      </c>
      <c r="Q1725" t="s">
        <v>135</v>
      </c>
      <c r="R1725" t="s">
        <v>131</v>
      </c>
    </row>
    <row r="1726" spans="3:18" hidden="1" x14ac:dyDescent="0.25">
      <c r="C1726" t="s">
        <v>45</v>
      </c>
      <c r="D1726" t="s">
        <v>138</v>
      </c>
      <c r="E1726" t="s">
        <v>43</v>
      </c>
      <c r="F1726" t="s">
        <v>41</v>
      </c>
      <c r="G1726" s="89">
        <v>1205</v>
      </c>
      <c r="H1726" t="s">
        <v>132</v>
      </c>
      <c r="I1726" t="s">
        <v>147</v>
      </c>
      <c r="J1726" s="89"/>
      <c r="K1726" t="s">
        <v>127</v>
      </c>
      <c r="L1726" t="s">
        <v>128</v>
      </c>
      <c r="N1726">
        <v>0</v>
      </c>
      <c r="O1726" s="89">
        <v>72.3</v>
      </c>
      <c r="P1726" s="89">
        <v>36.15</v>
      </c>
      <c r="Q1726" t="s">
        <v>130</v>
      </c>
      <c r="R1726" t="s">
        <v>131</v>
      </c>
    </row>
    <row r="1727" spans="3:18" x14ac:dyDescent="0.25">
      <c r="C1727" t="s">
        <v>47</v>
      </c>
      <c r="D1727" t="s">
        <v>21</v>
      </c>
      <c r="E1727" t="s">
        <v>40</v>
      </c>
      <c r="F1727" t="s">
        <v>41</v>
      </c>
      <c r="G1727" s="89">
        <v>3271630</v>
      </c>
      <c r="H1727" t="s">
        <v>42</v>
      </c>
      <c r="I1727" t="s">
        <v>126</v>
      </c>
      <c r="J1727" s="89">
        <v>32716300</v>
      </c>
      <c r="K1727" t="s">
        <v>144</v>
      </c>
      <c r="N1727">
        <v>1</v>
      </c>
      <c r="O1727" s="89">
        <v>98148.9</v>
      </c>
      <c r="P1727" s="89">
        <v>1603098.7</v>
      </c>
      <c r="Q1727" t="s">
        <v>142</v>
      </c>
      <c r="R1727" t="s">
        <v>131</v>
      </c>
    </row>
    <row r="1728" spans="3:18" hidden="1" x14ac:dyDescent="0.25">
      <c r="C1728" t="s">
        <v>45</v>
      </c>
      <c r="D1728" t="s">
        <v>22</v>
      </c>
      <c r="E1728" t="s">
        <v>43</v>
      </c>
      <c r="F1728" t="s">
        <v>41</v>
      </c>
      <c r="G1728" s="89">
        <v>4882028</v>
      </c>
      <c r="H1728" t="s">
        <v>146</v>
      </c>
      <c r="I1728" t="s">
        <v>126</v>
      </c>
      <c r="J1728" s="89">
        <v>82994476</v>
      </c>
      <c r="K1728" t="s">
        <v>127</v>
      </c>
      <c r="L1728" t="s">
        <v>128</v>
      </c>
      <c r="N1728">
        <v>1</v>
      </c>
      <c r="O1728" s="89">
        <v>146460.84</v>
      </c>
      <c r="P1728" s="89">
        <v>2392193.7200000002</v>
      </c>
      <c r="Q1728" t="s">
        <v>142</v>
      </c>
      <c r="R1728" t="s">
        <v>131</v>
      </c>
    </row>
    <row r="1729" spans="3:18" hidden="1" x14ac:dyDescent="0.25">
      <c r="C1729" t="s">
        <v>45</v>
      </c>
      <c r="D1729" t="s">
        <v>23</v>
      </c>
      <c r="E1729" t="s">
        <v>40</v>
      </c>
      <c r="F1729" t="s">
        <v>41</v>
      </c>
      <c r="G1729" s="89">
        <v>180071</v>
      </c>
      <c r="H1729" t="s">
        <v>132</v>
      </c>
      <c r="I1729" t="s">
        <v>133</v>
      </c>
      <c r="J1729" s="89">
        <v>4501775</v>
      </c>
      <c r="K1729" t="s">
        <v>134</v>
      </c>
      <c r="L1729" t="s">
        <v>128</v>
      </c>
      <c r="N1729">
        <v>1</v>
      </c>
      <c r="O1729" s="89">
        <v>5402.13</v>
      </c>
      <c r="P1729" s="89">
        <v>84633.37</v>
      </c>
      <c r="Q1729" t="s">
        <v>142</v>
      </c>
      <c r="R1729" t="s">
        <v>131</v>
      </c>
    </row>
    <row r="1730" spans="3:18" hidden="1" x14ac:dyDescent="0.25">
      <c r="C1730" t="s">
        <v>45</v>
      </c>
      <c r="D1730" t="s">
        <v>23</v>
      </c>
      <c r="E1730" t="s">
        <v>40</v>
      </c>
      <c r="F1730" t="s">
        <v>41</v>
      </c>
      <c r="G1730" s="89">
        <v>102059</v>
      </c>
      <c r="H1730" t="s">
        <v>42</v>
      </c>
      <c r="I1730" t="s">
        <v>141</v>
      </c>
      <c r="J1730" s="89">
        <v>918531</v>
      </c>
      <c r="K1730" t="s">
        <v>127</v>
      </c>
      <c r="L1730" t="s">
        <v>128</v>
      </c>
      <c r="M1730" t="s">
        <v>143</v>
      </c>
      <c r="N1730">
        <v>1</v>
      </c>
      <c r="O1730" s="89">
        <v>3061.77</v>
      </c>
      <c r="P1730" s="89">
        <v>46947.14</v>
      </c>
      <c r="Q1730" t="s">
        <v>142</v>
      </c>
      <c r="R1730" t="s">
        <v>131</v>
      </c>
    </row>
    <row r="1731" spans="3:18" hidden="1" x14ac:dyDescent="0.25">
      <c r="C1731" t="s">
        <v>45</v>
      </c>
      <c r="D1731" t="s">
        <v>23</v>
      </c>
      <c r="E1731" t="s">
        <v>40</v>
      </c>
      <c r="F1731" t="s">
        <v>41</v>
      </c>
      <c r="G1731" s="89">
        <v>74743</v>
      </c>
      <c r="H1731" t="s">
        <v>140</v>
      </c>
      <c r="I1731" t="s">
        <v>133</v>
      </c>
      <c r="J1731" s="89">
        <v>1569603</v>
      </c>
      <c r="K1731" t="s">
        <v>127</v>
      </c>
      <c r="L1731" t="s">
        <v>151</v>
      </c>
      <c r="N1731">
        <v>1</v>
      </c>
      <c r="O1731" s="89">
        <v>2242.29</v>
      </c>
      <c r="P1731" s="89">
        <v>52320.1</v>
      </c>
      <c r="Q1731" t="s">
        <v>137</v>
      </c>
      <c r="R1731" t="s">
        <v>131</v>
      </c>
    </row>
    <row r="1732" spans="3:18" x14ac:dyDescent="0.25">
      <c r="C1732" t="s">
        <v>47</v>
      </c>
      <c r="D1732" t="s">
        <v>50</v>
      </c>
      <c r="E1732" t="s">
        <v>50</v>
      </c>
      <c r="F1732" t="s">
        <v>41</v>
      </c>
      <c r="G1732" s="89">
        <v>3116485</v>
      </c>
      <c r="H1732" t="s">
        <v>79</v>
      </c>
      <c r="I1732" t="s">
        <v>147</v>
      </c>
      <c r="J1732" s="89">
        <v>6232970</v>
      </c>
      <c r="K1732" t="s">
        <v>127</v>
      </c>
      <c r="N1732">
        <v>1</v>
      </c>
      <c r="O1732" s="89">
        <v>93494.55</v>
      </c>
      <c r="P1732" s="89">
        <v>124659.4</v>
      </c>
      <c r="Q1732" t="s">
        <v>130</v>
      </c>
      <c r="R1732" t="s">
        <v>79</v>
      </c>
    </row>
    <row r="1733" spans="3:18" x14ac:dyDescent="0.25">
      <c r="C1733" t="s">
        <v>47</v>
      </c>
      <c r="D1733" t="s">
        <v>149</v>
      </c>
      <c r="E1733" t="s">
        <v>40</v>
      </c>
      <c r="F1733" t="s">
        <v>41</v>
      </c>
      <c r="G1733" s="89">
        <v>132385</v>
      </c>
      <c r="H1733" t="s">
        <v>140</v>
      </c>
      <c r="I1733" t="s">
        <v>141</v>
      </c>
      <c r="J1733" s="89">
        <v>794310</v>
      </c>
      <c r="K1733" t="s">
        <v>127</v>
      </c>
      <c r="L1733" t="s">
        <v>128</v>
      </c>
      <c r="N1733">
        <v>1</v>
      </c>
      <c r="O1733" s="89">
        <v>6619.25</v>
      </c>
      <c r="P1733" s="89">
        <v>50306.3</v>
      </c>
      <c r="Q1733" t="s">
        <v>130</v>
      </c>
      <c r="R1733" t="s">
        <v>131</v>
      </c>
    </row>
    <row r="1734" spans="3:18" x14ac:dyDescent="0.25">
      <c r="C1734" t="s">
        <v>47</v>
      </c>
      <c r="D1734" t="s">
        <v>138</v>
      </c>
      <c r="E1734" t="s">
        <v>43</v>
      </c>
      <c r="F1734" t="s">
        <v>41</v>
      </c>
      <c r="G1734" s="89">
        <v>204298</v>
      </c>
      <c r="H1734" t="s">
        <v>145</v>
      </c>
      <c r="I1734" t="s">
        <v>147</v>
      </c>
      <c r="J1734" s="89">
        <v>204298</v>
      </c>
      <c r="K1734" t="s">
        <v>127</v>
      </c>
      <c r="L1734" t="s">
        <v>128</v>
      </c>
      <c r="N1734">
        <v>1</v>
      </c>
      <c r="O1734" s="89">
        <v>4085.96</v>
      </c>
      <c r="P1734" s="89">
        <v>46988.54</v>
      </c>
      <c r="Q1734" t="s">
        <v>130</v>
      </c>
      <c r="R1734" t="s">
        <v>131</v>
      </c>
    </row>
    <row r="1735" spans="3:18" hidden="1" x14ac:dyDescent="0.25">
      <c r="C1735" t="s">
        <v>45</v>
      </c>
      <c r="D1735" t="s">
        <v>23</v>
      </c>
      <c r="E1735" t="s">
        <v>40</v>
      </c>
      <c r="F1735" t="s">
        <v>41</v>
      </c>
      <c r="G1735" s="89">
        <v>68762</v>
      </c>
      <c r="H1735" t="s">
        <v>146</v>
      </c>
      <c r="I1735" t="s">
        <v>126</v>
      </c>
      <c r="J1735" s="89">
        <v>1031430</v>
      </c>
      <c r="K1735" t="s">
        <v>134</v>
      </c>
      <c r="L1735" t="s">
        <v>128</v>
      </c>
      <c r="N1735">
        <v>1</v>
      </c>
      <c r="O1735" s="89">
        <v>2062.86</v>
      </c>
      <c r="P1735" s="89">
        <v>21316.22</v>
      </c>
      <c r="Q1735" t="s">
        <v>130</v>
      </c>
      <c r="R1735" t="s">
        <v>131</v>
      </c>
    </row>
    <row r="1736" spans="3:18" hidden="1" x14ac:dyDescent="0.25">
      <c r="C1736" t="s">
        <v>45</v>
      </c>
      <c r="D1736" t="s">
        <v>24</v>
      </c>
      <c r="E1736" t="s">
        <v>46</v>
      </c>
      <c r="F1736" t="s">
        <v>41</v>
      </c>
      <c r="G1736" s="89">
        <v>113388</v>
      </c>
      <c r="H1736" t="s">
        <v>42</v>
      </c>
      <c r="I1736" t="s">
        <v>133</v>
      </c>
      <c r="J1736" s="89">
        <v>3855192</v>
      </c>
      <c r="K1736" t="s">
        <v>127</v>
      </c>
      <c r="L1736" t="s">
        <v>128</v>
      </c>
      <c r="M1736" t="s">
        <v>148</v>
      </c>
      <c r="N1736">
        <v>1</v>
      </c>
      <c r="O1736" s="89">
        <v>3401.64</v>
      </c>
      <c r="P1736" s="89">
        <v>78237.72</v>
      </c>
      <c r="Q1736" t="s">
        <v>137</v>
      </c>
      <c r="R1736" t="s">
        <v>131</v>
      </c>
    </row>
    <row r="1737" spans="3:18" hidden="1" x14ac:dyDescent="0.25">
      <c r="C1737" t="s">
        <v>45</v>
      </c>
      <c r="D1737" t="s">
        <v>22</v>
      </c>
      <c r="E1737" t="s">
        <v>43</v>
      </c>
      <c r="F1737" t="s">
        <v>41</v>
      </c>
      <c r="G1737" s="89">
        <v>27725892</v>
      </c>
      <c r="H1737" t="s">
        <v>140</v>
      </c>
      <c r="I1737" t="s">
        <v>133</v>
      </c>
      <c r="J1737" s="89">
        <v>720873192</v>
      </c>
      <c r="K1737" t="s">
        <v>127</v>
      </c>
      <c r="L1737" t="s">
        <v>128</v>
      </c>
      <c r="N1737">
        <v>1</v>
      </c>
      <c r="O1737" s="89">
        <v>831776.76</v>
      </c>
      <c r="P1737" s="89">
        <v>14140204.92</v>
      </c>
      <c r="Q1737" t="s">
        <v>142</v>
      </c>
      <c r="R1737" t="s">
        <v>131</v>
      </c>
    </row>
    <row r="1738" spans="3:18" hidden="1" x14ac:dyDescent="0.25">
      <c r="C1738" t="s">
        <v>45</v>
      </c>
      <c r="D1738" t="s">
        <v>24</v>
      </c>
      <c r="E1738" t="s">
        <v>48</v>
      </c>
      <c r="F1738" t="s">
        <v>41</v>
      </c>
      <c r="G1738" s="89">
        <v>53740</v>
      </c>
      <c r="H1738" t="s">
        <v>42</v>
      </c>
      <c r="I1738" t="s">
        <v>133</v>
      </c>
      <c r="J1738" s="89">
        <v>1719680</v>
      </c>
      <c r="K1738" t="s">
        <v>144</v>
      </c>
      <c r="N1738">
        <v>1</v>
      </c>
      <c r="O1738" s="89">
        <v>1612.2</v>
      </c>
      <c r="P1738" s="89">
        <v>80610</v>
      </c>
      <c r="Q1738" t="s">
        <v>150</v>
      </c>
      <c r="R1738" t="s">
        <v>131</v>
      </c>
    </row>
    <row r="1739" spans="3:18" hidden="1" x14ac:dyDescent="0.25">
      <c r="C1739" t="s">
        <v>45</v>
      </c>
      <c r="D1739" t="s">
        <v>20</v>
      </c>
      <c r="E1739" t="s">
        <v>40</v>
      </c>
      <c r="F1739" t="s">
        <v>41</v>
      </c>
      <c r="G1739" s="89">
        <v>205953</v>
      </c>
      <c r="H1739" t="s">
        <v>145</v>
      </c>
      <c r="I1739" t="s">
        <v>133</v>
      </c>
      <c r="J1739" s="89">
        <v>7002402</v>
      </c>
      <c r="K1739" t="s">
        <v>127</v>
      </c>
      <c r="L1739" t="s">
        <v>128</v>
      </c>
      <c r="N1739">
        <v>1</v>
      </c>
      <c r="O1739" s="89">
        <v>6178.59</v>
      </c>
      <c r="P1739" s="89">
        <v>168881.46</v>
      </c>
      <c r="Q1739" t="s">
        <v>135</v>
      </c>
      <c r="R1739" t="s">
        <v>131</v>
      </c>
    </row>
    <row r="1740" spans="3:18" x14ac:dyDescent="0.25">
      <c r="C1740" t="s">
        <v>47</v>
      </c>
      <c r="D1740" t="s">
        <v>50</v>
      </c>
      <c r="E1740" t="s">
        <v>50</v>
      </c>
      <c r="F1740" t="s">
        <v>41</v>
      </c>
      <c r="G1740" s="89">
        <v>-2359</v>
      </c>
      <c r="H1740" t="s">
        <v>79</v>
      </c>
      <c r="I1740" t="s">
        <v>147</v>
      </c>
      <c r="J1740" s="89"/>
      <c r="K1740" t="s">
        <v>127</v>
      </c>
      <c r="N1740">
        <v>0</v>
      </c>
      <c r="O1740" s="89">
        <v>0</v>
      </c>
      <c r="P1740" s="89">
        <v>0</v>
      </c>
      <c r="Q1740" t="s">
        <v>150</v>
      </c>
      <c r="R1740" t="s">
        <v>79</v>
      </c>
    </row>
    <row r="1741" spans="3:18" x14ac:dyDescent="0.25">
      <c r="C1741" t="s">
        <v>47</v>
      </c>
      <c r="D1741" t="s">
        <v>21</v>
      </c>
      <c r="E1741" t="s">
        <v>40</v>
      </c>
      <c r="F1741" t="s">
        <v>41</v>
      </c>
      <c r="G1741" s="89">
        <v>49427</v>
      </c>
      <c r="H1741" t="s">
        <v>132</v>
      </c>
      <c r="I1741" t="s">
        <v>147</v>
      </c>
      <c r="J1741" s="89"/>
      <c r="K1741" t="s">
        <v>127</v>
      </c>
      <c r="L1741" t="s">
        <v>128</v>
      </c>
      <c r="N1741">
        <v>0</v>
      </c>
      <c r="O1741" s="89">
        <v>2471.35</v>
      </c>
      <c r="P1741" s="89">
        <v>988.54</v>
      </c>
      <c r="Q1741" t="s">
        <v>130</v>
      </c>
      <c r="R1741" t="s">
        <v>131</v>
      </c>
    </row>
    <row r="1742" spans="3:18" hidden="1" x14ac:dyDescent="0.25">
      <c r="C1742" t="s">
        <v>45</v>
      </c>
      <c r="D1742" t="s">
        <v>149</v>
      </c>
      <c r="E1742" t="s">
        <v>43</v>
      </c>
      <c r="F1742" t="s">
        <v>41</v>
      </c>
      <c r="G1742" s="89">
        <v>1063034</v>
      </c>
      <c r="H1742" t="s">
        <v>140</v>
      </c>
      <c r="I1742" t="s">
        <v>133</v>
      </c>
      <c r="J1742" s="89">
        <v>35080122</v>
      </c>
      <c r="K1742" t="s">
        <v>134</v>
      </c>
      <c r="L1742" t="s">
        <v>128</v>
      </c>
      <c r="N1742">
        <v>1</v>
      </c>
      <c r="O1742" s="89">
        <v>31891.02</v>
      </c>
      <c r="P1742" s="89">
        <v>744123.8</v>
      </c>
      <c r="Q1742" t="s">
        <v>137</v>
      </c>
      <c r="R1742" t="s">
        <v>131</v>
      </c>
    </row>
    <row r="1743" spans="3:18" hidden="1" x14ac:dyDescent="0.25">
      <c r="C1743" t="s">
        <v>45</v>
      </c>
      <c r="D1743" t="s">
        <v>24</v>
      </c>
      <c r="E1743" t="s">
        <v>44</v>
      </c>
      <c r="F1743" t="s">
        <v>53</v>
      </c>
      <c r="G1743" s="89">
        <v>87003</v>
      </c>
      <c r="H1743" t="s">
        <v>42</v>
      </c>
      <c r="I1743" t="s">
        <v>133</v>
      </c>
      <c r="J1743" s="89">
        <v>3132108</v>
      </c>
      <c r="K1743" t="s">
        <v>127</v>
      </c>
      <c r="L1743" t="s">
        <v>128</v>
      </c>
      <c r="M1743" t="s">
        <v>148</v>
      </c>
      <c r="N1743">
        <v>1</v>
      </c>
      <c r="O1743" s="89">
        <v>2610.09</v>
      </c>
      <c r="P1743" s="89">
        <v>53941.86</v>
      </c>
      <c r="Q1743" t="s">
        <v>137</v>
      </c>
      <c r="R1743" t="s">
        <v>42</v>
      </c>
    </row>
    <row r="1744" spans="3:18" hidden="1" x14ac:dyDescent="0.25">
      <c r="C1744" t="s">
        <v>45</v>
      </c>
      <c r="D1744" t="s">
        <v>21</v>
      </c>
      <c r="E1744" t="s">
        <v>40</v>
      </c>
      <c r="F1744" t="s">
        <v>41</v>
      </c>
      <c r="G1744" s="89">
        <v>32952</v>
      </c>
      <c r="H1744" t="s">
        <v>42</v>
      </c>
      <c r="I1744" t="s">
        <v>133</v>
      </c>
      <c r="J1744" s="89">
        <v>856752</v>
      </c>
      <c r="K1744" t="s">
        <v>127</v>
      </c>
      <c r="L1744" t="s">
        <v>128</v>
      </c>
      <c r="M1744" t="s">
        <v>129</v>
      </c>
      <c r="N1744">
        <v>1</v>
      </c>
      <c r="O1744" s="89">
        <v>988.56</v>
      </c>
      <c r="P1744" s="89">
        <v>37565.279999999999</v>
      </c>
      <c r="Q1744" t="s">
        <v>150</v>
      </c>
      <c r="R1744" t="s">
        <v>42</v>
      </c>
    </row>
    <row r="1745" spans="3:18" hidden="1" x14ac:dyDescent="0.25">
      <c r="C1745" t="s">
        <v>39</v>
      </c>
      <c r="D1745" t="s">
        <v>138</v>
      </c>
      <c r="E1745" t="s">
        <v>40</v>
      </c>
      <c r="F1745" t="s">
        <v>41</v>
      </c>
      <c r="G1745" s="89">
        <v>518591</v>
      </c>
      <c r="H1745" t="s">
        <v>140</v>
      </c>
      <c r="I1745" t="s">
        <v>133</v>
      </c>
      <c r="J1745" s="89"/>
      <c r="N1745">
        <v>0</v>
      </c>
      <c r="O1745" s="89"/>
      <c r="P1745" s="89"/>
      <c r="R1745" t="s">
        <v>131</v>
      </c>
    </row>
    <row r="1746" spans="3:18" x14ac:dyDescent="0.25">
      <c r="C1746" t="s">
        <v>47</v>
      </c>
      <c r="D1746" t="s">
        <v>24</v>
      </c>
      <c r="E1746" t="s">
        <v>44</v>
      </c>
      <c r="F1746" t="s">
        <v>41</v>
      </c>
      <c r="G1746" s="89">
        <v>40826</v>
      </c>
      <c r="H1746" t="s">
        <v>140</v>
      </c>
      <c r="I1746" t="s">
        <v>126</v>
      </c>
      <c r="J1746" s="89">
        <v>612390</v>
      </c>
      <c r="K1746" t="s">
        <v>127</v>
      </c>
      <c r="L1746" t="s">
        <v>128</v>
      </c>
      <c r="N1746">
        <v>1</v>
      </c>
      <c r="O1746" s="89">
        <v>2041.3</v>
      </c>
      <c r="P1746" s="89">
        <v>27761.68</v>
      </c>
      <c r="Q1746" t="s">
        <v>137</v>
      </c>
      <c r="R1746" t="s">
        <v>131</v>
      </c>
    </row>
    <row r="1747" spans="3:18" hidden="1" x14ac:dyDescent="0.25">
      <c r="C1747" t="s">
        <v>45</v>
      </c>
      <c r="D1747" t="s">
        <v>21</v>
      </c>
      <c r="E1747" t="s">
        <v>46</v>
      </c>
      <c r="F1747" t="s">
        <v>41</v>
      </c>
      <c r="G1747" s="89">
        <v>106439</v>
      </c>
      <c r="H1747" t="s">
        <v>42</v>
      </c>
      <c r="I1747" t="s">
        <v>133</v>
      </c>
      <c r="J1747" s="89">
        <v>3086731</v>
      </c>
      <c r="K1747" t="s">
        <v>127</v>
      </c>
      <c r="L1747" t="s">
        <v>128</v>
      </c>
      <c r="M1747" t="s">
        <v>129</v>
      </c>
      <c r="N1747">
        <v>1</v>
      </c>
      <c r="O1747" s="89">
        <v>5321.95</v>
      </c>
      <c r="P1747" s="89">
        <v>87279.98</v>
      </c>
      <c r="Q1747" t="s">
        <v>135</v>
      </c>
      <c r="R1747" t="s">
        <v>42</v>
      </c>
    </row>
    <row r="1748" spans="3:18" hidden="1" x14ac:dyDescent="0.25">
      <c r="C1748" t="s">
        <v>45</v>
      </c>
      <c r="D1748" t="s">
        <v>24</v>
      </c>
      <c r="E1748" t="s">
        <v>44</v>
      </c>
      <c r="F1748" t="s">
        <v>41</v>
      </c>
      <c r="G1748" s="89">
        <v>11280</v>
      </c>
      <c r="H1748" t="s">
        <v>42</v>
      </c>
      <c r="I1748" t="s">
        <v>133</v>
      </c>
      <c r="J1748" s="89">
        <v>417360</v>
      </c>
      <c r="K1748" t="s">
        <v>134</v>
      </c>
      <c r="L1748" t="s">
        <v>128</v>
      </c>
      <c r="M1748" t="s">
        <v>148</v>
      </c>
      <c r="N1748">
        <v>1</v>
      </c>
      <c r="O1748" s="89">
        <v>338.4</v>
      </c>
      <c r="P1748" s="89">
        <v>2256</v>
      </c>
      <c r="Q1748" t="s">
        <v>130</v>
      </c>
      <c r="R1748" t="s">
        <v>131</v>
      </c>
    </row>
    <row r="1749" spans="3:18" hidden="1" x14ac:dyDescent="0.25">
      <c r="C1749" t="s">
        <v>45</v>
      </c>
      <c r="D1749" t="s">
        <v>23</v>
      </c>
      <c r="E1749" t="s">
        <v>48</v>
      </c>
      <c r="F1749" t="s">
        <v>41</v>
      </c>
      <c r="G1749" s="89">
        <v>722992</v>
      </c>
      <c r="H1749" t="s">
        <v>42</v>
      </c>
      <c r="I1749" t="s">
        <v>133</v>
      </c>
      <c r="J1749" s="89">
        <v>23858736</v>
      </c>
      <c r="K1749" t="s">
        <v>144</v>
      </c>
      <c r="N1749">
        <v>1</v>
      </c>
      <c r="O1749" s="89">
        <v>21689.759999999998</v>
      </c>
      <c r="P1749" s="89">
        <v>159058.23999999999</v>
      </c>
      <c r="Q1749" t="s">
        <v>130</v>
      </c>
      <c r="R1749" t="s">
        <v>131</v>
      </c>
    </row>
    <row r="1750" spans="3:18" hidden="1" x14ac:dyDescent="0.25">
      <c r="C1750" t="s">
        <v>45</v>
      </c>
      <c r="D1750" t="s">
        <v>19</v>
      </c>
      <c r="E1750" t="s">
        <v>43</v>
      </c>
      <c r="F1750" t="s">
        <v>53</v>
      </c>
      <c r="G1750" s="89">
        <v>1460826</v>
      </c>
      <c r="H1750" t="s">
        <v>42</v>
      </c>
      <c r="I1750" t="s">
        <v>126</v>
      </c>
      <c r="J1750" s="89">
        <v>24834042</v>
      </c>
      <c r="K1750" t="s">
        <v>144</v>
      </c>
      <c r="N1750">
        <v>1</v>
      </c>
      <c r="O1750" s="89">
        <v>43824.78</v>
      </c>
      <c r="P1750" s="89">
        <v>467464.32</v>
      </c>
      <c r="Q1750" t="s">
        <v>130</v>
      </c>
      <c r="R1750" t="s">
        <v>42</v>
      </c>
    </row>
    <row r="1751" spans="3:18" x14ac:dyDescent="0.25">
      <c r="C1751" t="s">
        <v>47</v>
      </c>
      <c r="D1751" t="s">
        <v>24</v>
      </c>
      <c r="E1751" t="s">
        <v>40</v>
      </c>
      <c r="F1751" t="s">
        <v>41</v>
      </c>
      <c r="G1751" s="89">
        <v>33343</v>
      </c>
      <c r="H1751" t="s">
        <v>140</v>
      </c>
      <c r="I1751" t="s">
        <v>147</v>
      </c>
      <c r="J1751" s="89">
        <v>66686</v>
      </c>
      <c r="K1751" t="s">
        <v>127</v>
      </c>
      <c r="L1751" t="s">
        <v>128</v>
      </c>
      <c r="N1751">
        <v>1</v>
      </c>
      <c r="O1751" s="89">
        <v>1667.15</v>
      </c>
      <c r="P1751" s="89">
        <v>3334.3</v>
      </c>
      <c r="Q1751" t="s">
        <v>130</v>
      </c>
      <c r="R1751" t="s">
        <v>131</v>
      </c>
    </row>
    <row r="1752" spans="3:18" hidden="1" x14ac:dyDescent="0.25">
      <c r="C1752" t="s">
        <v>45</v>
      </c>
      <c r="D1752" t="s">
        <v>21</v>
      </c>
      <c r="E1752" t="s">
        <v>43</v>
      </c>
      <c r="F1752" t="s">
        <v>41</v>
      </c>
      <c r="G1752" s="89">
        <v>559048</v>
      </c>
      <c r="H1752" t="s">
        <v>42</v>
      </c>
      <c r="I1752" t="s">
        <v>133</v>
      </c>
      <c r="J1752" s="89">
        <v>17330488</v>
      </c>
      <c r="K1752" t="s">
        <v>134</v>
      </c>
      <c r="L1752" t="s">
        <v>128</v>
      </c>
      <c r="M1752" t="s">
        <v>129</v>
      </c>
      <c r="N1752">
        <v>1</v>
      </c>
      <c r="O1752" s="89">
        <v>16771.439999999999</v>
      </c>
      <c r="P1752" s="89">
        <v>469600.32</v>
      </c>
      <c r="Q1752" t="s">
        <v>135</v>
      </c>
      <c r="R1752" t="s">
        <v>131</v>
      </c>
    </row>
    <row r="1753" spans="3:18" hidden="1" x14ac:dyDescent="0.25">
      <c r="C1753" t="s">
        <v>45</v>
      </c>
      <c r="D1753" t="s">
        <v>22</v>
      </c>
      <c r="E1753" t="s">
        <v>48</v>
      </c>
      <c r="F1753" t="s">
        <v>41</v>
      </c>
      <c r="G1753" s="89">
        <v>297670</v>
      </c>
      <c r="H1753" t="s">
        <v>140</v>
      </c>
      <c r="I1753" t="s">
        <v>126</v>
      </c>
      <c r="J1753" s="89">
        <v>5655730</v>
      </c>
      <c r="K1753" t="s">
        <v>144</v>
      </c>
      <c r="N1753">
        <v>1</v>
      </c>
      <c r="O1753" s="89">
        <v>8930.1</v>
      </c>
      <c r="P1753" s="89">
        <v>208369</v>
      </c>
      <c r="Q1753" t="s">
        <v>137</v>
      </c>
      <c r="R1753" t="s">
        <v>131</v>
      </c>
    </row>
    <row r="1754" spans="3:18" x14ac:dyDescent="0.25">
      <c r="C1754" t="s">
        <v>47</v>
      </c>
      <c r="D1754" t="s">
        <v>20</v>
      </c>
      <c r="E1754" t="s">
        <v>43</v>
      </c>
      <c r="F1754" t="s">
        <v>41</v>
      </c>
      <c r="G1754" s="89">
        <v>1513400</v>
      </c>
      <c r="H1754" t="s">
        <v>146</v>
      </c>
      <c r="I1754" t="s">
        <v>141</v>
      </c>
      <c r="J1754" s="89">
        <v>10593800</v>
      </c>
      <c r="K1754" t="s">
        <v>144</v>
      </c>
      <c r="N1754">
        <v>1</v>
      </c>
      <c r="O1754" s="89">
        <v>60536</v>
      </c>
      <c r="P1754" s="89">
        <v>136206</v>
      </c>
      <c r="Q1754" t="s">
        <v>130</v>
      </c>
      <c r="R1754" t="s">
        <v>131</v>
      </c>
    </row>
    <row r="1755" spans="3:18" hidden="1" x14ac:dyDescent="0.25">
      <c r="C1755" t="s">
        <v>45</v>
      </c>
      <c r="D1755" t="s">
        <v>24</v>
      </c>
      <c r="E1755" t="s">
        <v>48</v>
      </c>
      <c r="F1755" t="s">
        <v>41</v>
      </c>
      <c r="G1755" s="89">
        <v>21645</v>
      </c>
      <c r="H1755" t="s">
        <v>140</v>
      </c>
      <c r="I1755" t="s">
        <v>141</v>
      </c>
      <c r="J1755" s="89">
        <v>129870</v>
      </c>
      <c r="K1755" t="s">
        <v>127</v>
      </c>
      <c r="L1755" t="s">
        <v>128</v>
      </c>
      <c r="N1755">
        <v>1</v>
      </c>
      <c r="O1755" s="89">
        <v>649.35</v>
      </c>
      <c r="P1755" s="89">
        <v>25108.2</v>
      </c>
      <c r="Q1755" t="s">
        <v>150</v>
      </c>
      <c r="R1755" t="s">
        <v>131</v>
      </c>
    </row>
    <row r="1756" spans="3:18" x14ac:dyDescent="0.25">
      <c r="C1756" t="s">
        <v>47</v>
      </c>
      <c r="D1756" t="s">
        <v>25</v>
      </c>
      <c r="E1756" t="s">
        <v>48</v>
      </c>
      <c r="F1756" t="s">
        <v>41</v>
      </c>
      <c r="G1756" s="89">
        <v>1566719</v>
      </c>
      <c r="H1756" t="s">
        <v>140</v>
      </c>
      <c r="I1756" t="s">
        <v>126</v>
      </c>
      <c r="J1756" s="89">
        <v>23500785</v>
      </c>
      <c r="K1756" t="s">
        <v>144</v>
      </c>
      <c r="N1756">
        <v>1</v>
      </c>
      <c r="O1756" s="89">
        <v>62668.76</v>
      </c>
      <c r="P1756" s="89">
        <v>1128037.68</v>
      </c>
      <c r="Q1756" t="s">
        <v>137</v>
      </c>
      <c r="R1756" t="s">
        <v>131</v>
      </c>
    </row>
    <row r="1757" spans="3:18" hidden="1" x14ac:dyDescent="0.25">
      <c r="C1757" t="s">
        <v>45</v>
      </c>
      <c r="D1757" t="s">
        <v>138</v>
      </c>
      <c r="E1757" t="s">
        <v>40</v>
      </c>
      <c r="F1757" t="s">
        <v>41</v>
      </c>
      <c r="G1757" s="89">
        <v>3177236</v>
      </c>
      <c r="H1757" t="s">
        <v>42</v>
      </c>
      <c r="I1757" t="s">
        <v>133</v>
      </c>
      <c r="J1757" s="89">
        <v>108026024</v>
      </c>
      <c r="K1757" t="s">
        <v>127</v>
      </c>
      <c r="L1757" t="s">
        <v>128</v>
      </c>
      <c r="M1757" t="s">
        <v>139</v>
      </c>
      <c r="N1757">
        <v>1</v>
      </c>
      <c r="O1757" s="89">
        <v>95317.08</v>
      </c>
      <c r="P1757" s="89">
        <v>2637105.88</v>
      </c>
      <c r="Q1757" t="s">
        <v>135</v>
      </c>
      <c r="R1757" t="s">
        <v>131</v>
      </c>
    </row>
    <row r="1758" spans="3:18" hidden="1" x14ac:dyDescent="0.25">
      <c r="C1758" t="s">
        <v>45</v>
      </c>
      <c r="D1758" t="s">
        <v>19</v>
      </c>
      <c r="E1758" t="s">
        <v>43</v>
      </c>
      <c r="F1758" t="s">
        <v>41</v>
      </c>
      <c r="G1758" s="89">
        <v>1903599</v>
      </c>
      <c r="H1758" t="s">
        <v>42</v>
      </c>
      <c r="I1758" t="s">
        <v>133</v>
      </c>
      <c r="J1758" s="89">
        <v>59011569</v>
      </c>
      <c r="K1758" t="s">
        <v>127</v>
      </c>
      <c r="L1758" t="s">
        <v>128</v>
      </c>
      <c r="M1758" t="s">
        <v>136</v>
      </c>
      <c r="N1758">
        <v>1</v>
      </c>
      <c r="O1758" s="89">
        <v>57107.97</v>
      </c>
      <c r="P1758" s="89">
        <v>2265282.81</v>
      </c>
      <c r="Q1758" t="s">
        <v>150</v>
      </c>
      <c r="R1758" t="s">
        <v>131</v>
      </c>
    </row>
    <row r="1759" spans="3:18" hidden="1" x14ac:dyDescent="0.25">
      <c r="C1759" t="s">
        <v>45</v>
      </c>
      <c r="D1759" t="s">
        <v>138</v>
      </c>
      <c r="E1759" t="s">
        <v>43</v>
      </c>
      <c r="F1759" t="s">
        <v>41</v>
      </c>
      <c r="G1759" s="89">
        <v>222989</v>
      </c>
      <c r="H1759" t="s">
        <v>132</v>
      </c>
      <c r="I1759" t="s">
        <v>126</v>
      </c>
      <c r="J1759" s="89">
        <v>4236791</v>
      </c>
      <c r="K1759" t="s">
        <v>127</v>
      </c>
      <c r="L1759" t="s">
        <v>128</v>
      </c>
      <c r="N1759">
        <v>1</v>
      </c>
      <c r="O1759" s="89">
        <v>8919.56</v>
      </c>
      <c r="P1759" s="89">
        <v>194000.43</v>
      </c>
      <c r="Q1759" t="s">
        <v>135</v>
      </c>
      <c r="R1759" t="s">
        <v>131</v>
      </c>
    </row>
    <row r="1760" spans="3:18" hidden="1" x14ac:dyDescent="0.25">
      <c r="C1760" t="s">
        <v>45</v>
      </c>
      <c r="D1760" t="s">
        <v>24</v>
      </c>
      <c r="E1760" t="s">
        <v>48</v>
      </c>
      <c r="F1760" t="s">
        <v>41</v>
      </c>
      <c r="G1760" s="89">
        <v>5404595</v>
      </c>
      <c r="H1760" t="s">
        <v>145</v>
      </c>
      <c r="I1760" t="s">
        <v>133</v>
      </c>
      <c r="J1760" s="89">
        <v>167542445</v>
      </c>
      <c r="K1760" t="s">
        <v>127</v>
      </c>
      <c r="L1760" t="s">
        <v>128</v>
      </c>
      <c r="N1760">
        <v>1</v>
      </c>
      <c r="O1760" s="89">
        <v>162137.85</v>
      </c>
      <c r="P1760" s="89">
        <v>4539859.8</v>
      </c>
      <c r="Q1760" t="s">
        <v>135</v>
      </c>
      <c r="R1760" t="s">
        <v>131</v>
      </c>
    </row>
    <row r="1761" spans="3:18" hidden="1" x14ac:dyDescent="0.25">
      <c r="C1761" t="s">
        <v>45</v>
      </c>
      <c r="D1761" t="s">
        <v>22</v>
      </c>
      <c r="E1761" t="s">
        <v>44</v>
      </c>
      <c r="F1761" t="s">
        <v>41</v>
      </c>
      <c r="G1761" s="89">
        <v>75790</v>
      </c>
      <c r="H1761" t="s">
        <v>42</v>
      </c>
      <c r="I1761" t="s">
        <v>147</v>
      </c>
      <c r="J1761" s="89">
        <v>151580</v>
      </c>
      <c r="K1761" t="s">
        <v>127</v>
      </c>
      <c r="L1761" t="s">
        <v>128</v>
      </c>
      <c r="M1761" t="s">
        <v>143</v>
      </c>
      <c r="N1761">
        <v>1</v>
      </c>
      <c r="O1761" s="89">
        <v>3789.5</v>
      </c>
      <c r="P1761" s="89">
        <v>10610.6</v>
      </c>
      <c r="Q1761" t="s">
        <v>130</v>
      </c>
      <c r="R1761" t="s">
        <v>42</v>
      </c>
    </row>
    <row r="1762" spans="3:18" x14ac:dyDescent="0.25">
      <c r="C1762" t="s">
        <v>47</v>
      </c>
      <c r="D1762" t="s">
        <v>149</v>
      </c>
      <c r="E1762" t="s">
        <v>43</v>
      </c>
      <c r="F1762" t="s">
        <v>41</v>
      </c>
      <c r="G1762" s="89">
        <v>1868563</v>
      </c>
      <c r="H1762" t="s">
        <v>140</v>
      </c>
      <c r="I1762" t="s">
        <v>126</v>
      </c>
      <c r="J1762" s="89">
        <v>26159882</v>
      </c>
      <c r="K1762" t="s">
        <v>127</v>
      </c>
      <c r="L1762" t="s">
        <v>128</v>
      </c>
      <c r="N1762">
        <v>1</v>
      </c>
      <c r="O1762" s="89">
        <v>56056.89</v>
      </c>
      <c r="P1762" s="89">
        <v>448455.12</v>
      </c>
      <c r="Q1762" t="s">
        <v>130</v>
      </c>
      <c r="R1762" t="s">
        <v>131</v>
      </c>
    </row>
    <row r="1763" spans="3:18" hidden="1" x14ac:dyDescent="0.25">
      <c r="C1763" t="s">
        <v>39</v>
      </c>
      <c r="D1763" t="s">
        <v>138</v>
      </c>
      <c r="E1763" t="s">
        <v>40</v>
      </c>
      <c r="F1763" t="s">
        <v>41</v>
      </c>
      <c r="G1763" s="89">
        <v>77249</v>
      </c>
      <c r="H1763" t="s">
        <v>42</v>
      </c>
      <c r="I1763" t="s">
        <v>133</v>
      </c>
      <c r="J1763" s="89"/>
      <c r="N1763">
        <v>0</v>
      </c>
      <c r="O1763" s="89"/>
      <c r="P1763" s="89"/>
      <c r="R1763" t="s">
        <v>131</v>
      </c>
    </row>
    <row r="1764" spans="3:18" hidden="1" x14ac:dyDescent="0.25">
      <c r="C1764" t="s">
        <v>45</v>
      </c>
      <c r="D1764" t="s">
        <v>23</v>
      </c>
      <c r="E1764" t="s">
        <v>48</v>
      </c>
      <c r="F1764" t="s">
        <v>41</v>
      </c>
      <c r="G1764" s="89">
        <v>610828</v>
      </c>
      <c r="H1764" t="s">
        <v>42</v>
      </c>
      <c r="I1764" t="s">
        <v>141</v>
      </c>
      <c r="J1764" s="89">
        <v>4886624</v>
      </c>
      <c r="K1764" t="s">
        <v>127</v>
      </c>
      <c r="L1764" t="s">
        <v>128</v>
      </c>
      <c r="M1764" t="s">
        <v>152</v>
      </c>
      <c r="N1764">
        <v>1</v>
      </c>
      <c r="O1764" s="89">
        <v>24433.119999999999</v>
      </c>
      <c r="P1764" s="89">
        <v>287089.15999999997</v>
      </c>
      <c r="Q1764" t="s">
        <v>142</v>
      </c>
      <c r="R1764" t="s">
        <v>131</v>
      </c>
    </row>
    <row r="1765" spans="3:18" hidden="1" x14ac:dyDescent="0.25">
      <c r="C1765" t="s">
        <v>45</v>
      </c>
      <c r="D1765" t="s">
        <v>20</v>
      </c>
      <c r="E1765" t="s">
        <v>43</v>
      </c>
      <c r="F1765" t="s">
        <v>41</v>
      </c>
      <c r="G1765" s="89">
        <v>4962648</v>
      </c>
      <c r="H1765" t="s">
        <v>140</v>
      </c>
      <c r="I1765" t="s">
        <v>147</v>
      </c>
      <c r="J1765" s="89">
        <v>14887944</v>
      </c>
      <c r="K1765" t="s">
        <v>127</v>
      </c>
      <c r="L1765" t="s">
        <v>128</v>
      </c>
      <c r="N1765">
        <v>1</v>
      </c>
      <c r="O1765" s="89">
        <v>148879.44</v>
      </c>
      <c r="P1765" s="89">
        <v>545891.28</v>
      </c>
      <c r="Q1765" t="s">
        <v>130</v>
      </c>
      <c r="R1765" t="s">
        <v>131</v>
      </c>
    </row>
    <row r="1766" spans="3:18" hidden="1" x14ac:dyDescent="0.25">
      <c r="C1766" t="s">
        <v>45</v>
      </c>
      <c r="D1766" t="s">
        <v>138</v>
      </c>
      <c r="E1766" t="s">
        <v>43</v>
      </c>
      <c r="F1766" t="s">
        <v>41</v>
      </c>
      <c r="G1766" s="89">
        <v>2009127</v>
      </c>
      <c r="H1766" t="s">
        <v>42</v>
      </c>
      <c r="I1766" t="s">
        <v>126</v>
      </c>
      <c r="J1766" s="89">
        <v>34155159</v>
      </c>
      <c r="K1766" t="s">
        <v>127</v>
      </c>
      <c r="L1766" t="s">
        <v>128</v>
      </c>
      <c r="M1766" t="s">
        <v>139</v>
      </c>
      <c r="N1766">
        <v>1</v>
      </c>
      <c r="O1766" s="89">
        <v>60273.81</v>
      </c>
      <c r="P1766" s="89">
        <v>1326023.82</v>
      </c>
      <c r="Q1766" t="s">
        <v>137</v>
      </c>
      <c r="R1766" t="s">
        <v>42</v>
      </c>
    </row>
    <row r="1767" spans="3:18" hidden="1" x14ac:dyDescent="0.25">
      <c r="C1767" t="s">
        <v>45</v>
      </c>
      <c r="D1767" t="s">
        <v>138</v>
      </c>
      <c r="E1767" t="s">
        <v>43</v>
      </c>
      <c r="F1767" t="s">
        <v>41</v>
      </c>
      <c r="G1767" s="89">
        <v>29960</v>
      </c>
      <c r="H1767" t="s">
        <v>42</v>
      </c>
      <c r="I1767" t="s">
        <v>147</v>
      </c>
      <c r="J1767" s="89">
        <v>119840</v>
      </c>
      <c r="K1767" t="s">
        <v>144</v>
      </c>
      <c r="N1767">
        <v>1</v>
      </c>
      <c r="O1767" s="89">
        <v>898.8</v>
      </c>
      <c r="P1767" s="89">
        <v>17676.400000000001</v>
      </c>
      <c r="Q1767" t="s">
        <v>142</v>
      </c>
      <c r="R1767" t="s">
        <v>42</v>
      </c>
    </row>
    <row r="1768" spans="3:18" hidden="1" x14ac:dyDescent="0.25">
      <c r="C1768" t="s">
        <v>45</v>
      </c>
      <c r="D1768" t="s">
        <v>21</v>
      </c>
      <c r="E1768" t="s">
        <v>40</v>
      </c>
      <c r="F1768" t="s">
        <v>41</v>
      </c>
      <c r="G1768" s="89">
        <v>412703</v>
      </c>
      <c r="H1768" t="s">
        <v>42</v>
      </c>
      <c r="I1768" t="s">
        <v>147</v>
      </c>
      <c r="J1768" s="89">
        <v>1238109</v>
      </c>
      <c r="K1768" t="s">
        <v>127</v>
      </c>
      <c r="L1768" t="s">
        <v>128</v>
      </c>
      <c r="M1768" t="s">
        <v>129</v>
      </c>
      <c r="N1768">
        <v>1</v>
      </c>
      <c r="O1768" s="89">
        <v>12381.09</v>
      </c>
      <c r="P1768" s="89">
        <v>53651.39</v>
      </c>
      <c r="Q1768" t="s">
        <v>130</v>
      </c>
      <c r="R1768" t="s">
        <v>42</v>
      </c>
    </row>
    <row r="1769" spans="3:18" hidden="1" x14ac:dyDescent="0.25">
      <c r="C1769" t="s">
        <v>45</v>
      </c>
      <c r="D1769" t="s">
        <v>22</v>
      </c>
      <c r="E1769" t="s">
        <v>43</v>
      </c>
      <c r="F1769" t="s">
        <v>41</v>
      </c>
      <c r="G1769" s="89">
        <v>17660080</v>
      </c>
      <c r="H1769" t="s">
        <v>132</v>
      </c>
      <c r="I1769" t="s">
        <v>133</v>
      </c>
      <c r="J1769" s="89">
        <v>441502000</v>
      </c>
      <c r="K1769" t="s">
        <v>127</v>
      </c>
      <c r="L1769" t="s">
        <v>128</v>
      </c>
      <c r="N1769">
        <v>1</v>
      </c>
      <c r="O1769" s="89">
        <v>529802.4</v>
      </c>
      <c r="P1769" s="89">
        <v>9183241.5999999996</v>
      </c>
      <c r="Q1769" t="s">
        <v>142</v>
      </c>
      <c r="R1769" t="s">
        <v>131</v>
      </c>
    </row>
    <row r="1770" spans="3:18" x14ac:dyDescent="0.25">
      <c r="C1770" t="s">
        <v>47</v>
      </c>
      <c r="D1770" t="s">
        <v>138</v>
      </c>
      <c r="E1770" t="s">
        <v>40</v>
      </c>
      <c r="F1770" t="s">
        <v>41</v>
      </c>
      <c r="G1770" s="89">
        <v>482005</v>
      </c>
      <c r="H1770" t="s">
        <v>132</v>
      </c>
      <c r="I1770" t="s">
        <v>126</v>
      </c>
      <c r="J1770" s="89">
        <v>5302055</v>
      </c>
      <c r="K1770" t="s">
        <v>127</v>
      </c>
      <c r="L1770" t="s">
        <v>128</v>
      </c>
      <c r="N1770">
        <v>1</v>
      </c>
      <c r="O1770" s="89">
        <v>24100.25</v>
      </c>
      <c r="P1770" s="89">
        <v>245822.55</v>
      </c>
      <c r="Q1770" t="s">
        <v>142</v>
      </c>
      <c r="R1770" t="s">
        <v>131</v>
      </c>
    </row>
    <row r="1771" spans="3:18" hidden="1" x14ac:dyDescent="0.25">
      <c r="C1771" t="s">
        <v>45</v>
      </c>
      <c r="D1771" t="s">
        <v>23</v>
      </c>
      <c r="E1771" t="s">
        <v>48</v>
      </c>
      <c r="F1771" t="s">
        <v>41</v>
      </c>
      <c r="G1771" s="89">
        <v>21664</v>
      </c>
      <c r="H1771" t="s">
        <v>140</v>
      </c>
      <c r="I1771" t="s">
        <v>147</v>
      </c>
      <c r="J1771" s="89">
        <v>86656</v>
      </c>
      <c r="K1771" t="s">
        <v>127</v>
      </c>
      <c r="L1771" t="s">
        <v>128</v>
      </c>
      <c r="N1771">
        <v>1</v>
      </c>
      <c r="O1771" s="89">
        <v>1299.8399999999999</v>
      </c>
      <c r="P1771" s="89">
        <v>24047.040000000001</v>
      </c>
      <c r="Q1771" t="s">
        <v>150</v>
      </c>
      <c r="R1771" t="s">
        <v>131</v>
      </c>
    </row>
    <row r="1772" spans="3:18" x14ac:dyDescent="0.25">
      <c r="C1772" t="s">
        <v>47</v>
      </c>
      <c r="D1772" t="s">
        <v>19</v>
      </c>
      <c r="E1772" t="s">
        <v>43</v>
      </c>
      <c r="F1772" t="s">
        <v>41</v>
      </c>
      <c r="G1772" s="89">
        <v>702288</v>
      </c>
      <c r="H1772" t="s">
        <v>146</v>
      </c>
      <c r="I1772" t="s">
        <v>147</v>
      </c>
      <c r="J1772" s="89">
        <v>3511440</v>
      </c>
      <c r="K1772" t="s">
        <v>134</v>
      </c>
      <c r="L1772" t="s">
        <v>128</v>
      </c>
      <c r="N1772">
        <v>1</v>
      </c>
      <c r="O1772" s="89">
        <v>35114.400000000001</v>
      </c>
      <c r="P1772" s="89">
        <v>863814.24</v>
      </c>
      <c r="Q1772" t="s">
        <v>150</v>
      </c>
      <c r="R1772" t="s">
        <v>131</v>
      </c>
    </row>
    <row r="1773" spans="3:18" x14ac:dyDescent="0.25">
      <c r="C1773" t="s">
        <v>47</v>
      </c>
      <c r="D1773" t="s">
        <v>22</v>
      </c>
      <c r="E1773" t="s">
        <v>43</v>
      </c>
      <c r="F1773" t="s">
        <v>41</v>
      </c>
      <c r="G1773" s="89">
        <v>350073</v>
      </c>
      <c r="H1773" t="s">
        <v>146</v>
      </c>
      <c r="I1773" t="s">
        <v>126</v>
      </c>
      <c r="J1773" s="89">
        <v>6301314</v>
      </c>
      <c r="K1773" t="s">
        <v>127</v>
      </c>
      <c r="L1773" t="s">
        <v>128</v>
      </c>
      <c r="N1773">
        <v>1</v>
      </c>
      <c r="O1773" s="89">
        <v>14002.92</v>
      </c>
      <c r="P1773" s="89">
        <v>35007.300000000003</v>
      </c>
      <c r="Q1773" t="s">
        <v>130</v>
      </c>
      <c r="R1773" t="s">
        <v>131</v>
      </c>
    </row>
    <row r="1774" spans="3:18" hidden="1" x14ac:dyDescent="0.25">
      <c r="C1774" t="s">
        <v>45</v>
      </c>
      <c r="D1774" t="s">
        <v>20</v>
      </c>
      <c r="E1774" t="s">
        <v>43</v>
      </c>
      <c r="F1774" t="s">
        <v>53</v>
      </c>
      <c r="G1774" s="89">
        <v>296713</v>
      </c>
      <c r="H1774" t="s">
        <v>42</v>
      </c>
      <c r="I1774" t="s">
        <v>133</v>
      </c>
      <c r="J1774" s="89">
        <v>8307964</v>
      </c>
      <c r="K1774" t="s">
        <v>144</v>
      </c>
      <c r="N1774">
        <v>1</v>
      </c>
      <c r="O1774" s="89">
        <v>8901.39</v>
      </c>
      <c r="P1774" s="89">
        <v>100882.42</v>
      </c>
      <c r="Q1774" t="s">
        <v>130</v>
      </c>
      <c r="R1774" t="s">
        <v>42</v>
      </c>
    </row>
    <row r="1775" spans="3:18" hidden="1" x14ac:dyDescent="0.25">
      <c r="C1775" t="s">
        <v>45</v>
      </c>
      <c r="D1775" t="s">
        <v>19</v>
      </c>
      <c r="E1775" t="s">
        <v>43</v>
      </c>
      <c r="F1775" t="s">
        <v>41</v>
      </c>
      <c r="G1775" s="89">
        <v>4170400</v>
      </c>
      <c r="H1775" t="s">
        <v>42</v>
      </c>
      <c r="I1775" t="s">
        <v>133</v>
      </c>
      <c r="J1775" s="89">
        <v>162645600</v>
      </c>
      <c r="K1775" t="s">
        <v>144</v>
      </c>
      <c r="N1775">
        <v>1</v>
      </c>
      <c r="O1775" s="89">
        <v>125112</v>
      </c>
      <c r="P1775" s="89">
        <v>4170400</v>
      </c>
      <c r="Q1775" t="s">
        <v>150</v>
      </c>
      <c r="R1775" t="s">
        <v>42</v>
      </c>
    </row>
    <row r="1776" spans="3:18" hidden="1" x14ac:dyDescent="0.25">
      <c r="C1776" t="s">
        <v>45</v>
      </c>
      <c r="D1776" t="s">
        <v>19</v>
      </c>
      <c r="E1776" t="s">
        <v>43</v>
      </c>
      <c r="F1776" t="s">
        <v>41</v>
      </c>
      <c r="G1776" s="89">
        <v>224439</v>
      </c>
      <c r="H1776" t="s">
        <v>42</v>
      </c>
      <c r="I1776" t="s">
        <v>133</v>
      </c>
      <c r="J1776" s="89">
        <v>6284292</v>
      </c>
      <c r="K1776" t="s">
        <v>127</v>
      </c>
      <c r="L1776" t="s">
        <v>128</v>
      </c>
      <c r="M1776" t="s">
        <v>129</v>
      </c>
      <c r="N1776">
        <v>1</v>
      </c>
      <c r="O1776" s="89">
        <v>8977.56</v>
      </c>
      <c r="P1776" s="89">
        <v>157107.29999999999</v>
      </c>
      <c r="Q1776" t="s">
        <v>137</v>
      </c>
      <c r="R1776" t="s">
        <v>42</v>
      </c>
    </row>
    <row r="1777" spans="3:18" hidden="1" x14ac:dyDescent="0.25">
      <c r="C1777" t="s">
        <v>45</v>
      </c>
      <c r="D1777" t="s">
        <v>19</v>
      </c>
      <c r="E1777" t="s">
        <v>43</v>
      </c>
      <c r="F1777" t="s">
        <v>41</v>
      </c>
      <c r="G1777" s="89">
        <v>525805</v>
      </c>
      <c r="H1777" t="s">
        <v>140</v>
      </c>
      <c r="I1777" t="s">
        <v>126</v>
      </c>
      <c r="J1777" s="89">
        <v>8938685</v>
      </c>
      <c r="K1777" t="s">
        <v>144</v>
      </c>
      <c r="N1777">
        <v>1</v>
      </c>
      <c r="O1777" s="89">
        <v>15774.15</v>
      </c>
      <c r="P1777" s="89">
        <v>257644.45</v>
      </c>
      <c r="Q1777" t="s">
        <v>142</v>
      </c>
      <c r="R1777" t="s">
        <v>131</v>
      </c>
    </row>
    <row r="1778" spans="3:18" hidden="1" x14ac:dyDescent="0.25">
      <c r="C1778" t="s">
        <v>45</v>
      </c>
      <c r="D1778" t="s">
        <v>21</v>
      </c>
      <c r="E1778" t="s">
        <v>40</v>
      </c>
      <c r="F1778" t="s">
        <v>41</v>
      </c>
      <c r="G1778" s="89">
        <v>1897957</v>
      </c>
      <c r="H1778" t="s">
        <v>145</v>
      </c>
      <c r="I1778" t="s">
        <v>126</v>
      </c>
      <c r="J1778" s="89">
        <v>30367312</v>
      </c>
      <c r="K1778" t="s">
        <v>127</v>
      </c>
      <c r="L1778" t="s">
        <v>128</v>
      </c>
      <c r="N1778">
        <v>1</v>
      </c>
      <c r="O1778" s="89">
        <v>56938.71</v>
      </c>
      <c r="P1778" s="89">
        <v>948978.5</v>
      </c>
      <c r="Q1778" t="s">
        <v>142</v>
      </c>
      <c r="R1778" t="s">
        <v>131</v>
      </c>
    </row>
    <row r="1779" spans="3:18" hidden="1" x14ac:dyDescent="0.25">
      <c r="C1779" t="s">
        <v>45</v>
      </c>
      <c r="D1779" t="s">
        <v>23</v>
      </c>
      <c r="E1779" t="s">
        <v>48</v>
      </c>
      <c r="F1779" t="s">
        <v>41</v>
      </c>
      <c r="G1779" s="89">
        <v>2203664</v>
      </c>
      <c r="H1779" t="s">
        <v>145</v>
      </c>
      <c r="I1779" t="s">
        <v>133</v>
      </c>
      <c r="J1779" s="89">
        <v>68313584</v>
      </c>
      <c r="K1779" t="s">
        <v>144</v>
      </c>
      <c r="N1779">
        <v>1</v>
      </c>
      <c r="O1779" s="89">
        <v>66109.919999999998</v>
      </c>
      <c r="P1779" s="89">
        <v>1564601.44</v>
      </c>
      <c r="Q1779" t="s">
        <v>137</v>
      </c>
      <c r="R1779" t="s">
        <v>131</v>
      </c>
    </row>
    <row r="1780" spans="3:18" hidden="1" x14ac:dyDescent="0.25">
      <c r="C1780" t="s">
        <v>45</v>
      </c>
      <c r="D1780" t="s">
        <v>21</v>
      </c>
      <c r="E1780" t="s">
        <v>40</v>
      </c>
      <c r="F1780" t="s">
        <v>41</v>
      </c>
      <c r="G1780" s="89">
        <v>31559</v>
      </c>
      <c r="H1780" t="s">
        <v>146</v>
      </c>
      <c r="I1780" t="s">
        <v>126</v>
      </c>
      <c r="J1780" s="89">
        <v>631180</v>
      </c>
      <c r="K1780" t="s">
        <v>134</v>
      </c>
      <c r="L1780" t="s">
        <v>128</v>
      </c>
      <c r="N1780">
        <v>1</v>
      </c>
      <c r="O1780" s="89">
        <v>946.77</v>
      </c>
      <c r="P1780" s="89">
        <v>14832.73</v>
      </c>
      <c r="Q1780" t="s">
        <v>142</v>
      </c>
      <c r="R1780" t="s">
        <v>131</v>
      </c>
    </row>
    <row r="1781" spans="3:18" hidden="1" x14ac:dyDescent="0.25">
      <c r="C1781" t="s">
        <v>45</v>
      </c>
      <c r="D1781" t="s">
        <v>22</v>
      </c>
      <c r="E1781" t="s">
        <v>40</v>
      </c>
      <c r="F1781" t="s">
        <v>41</v>
      </c>
      <c r="G1781" s="89">
        <v>78163</v>
      </c>
      <c r="H1781" t="s">
        <v>146</v>
      </c>
      <c r="I1781" t="s">
        <v>141</v>
      </c>
      <c r="J1781" s="89">
        <v>781630</v>
      </c>
      <c r="K1781" t="s">
        <v>134</v>
      </c>
      <c r="L1781" t="s">
        <v>128</v>
      </c>
      <c r="N1781">
        <v>1</v>
      </c>
      <c r="O1781" s="89">
        <v>2344.89</v>
      </c>
      <c r="P1781" s="89">
        <v>39863.129999999997</v>
      </c>
      <c r="Q1781" t="s">
        <v>142</v>
      </c>
      <c r="R1781" t="s">
        <v>131</v>
      </c>
    </row>
    <row r="1782" spans="3:18" hidden="1" x14ac:dyDescent="0.25">
      <c r="C1782" t="s">
        <v>45</v>
      </c>
      <c r="D1782" t="s">
        <v>23</v>
      </c>
      <c r="E1782" t="s">
        <v>44</v>
      </c>
      <c r="F1782" t="s">
        <v>41</v>
      </c>
      <c r="G1782" s="89">
        <v>121258</v>
      </c>
      <c r="H1782" t="s">
        <v>42</v>
      </c>
      <c r="I1782" t="s">
        <v>141</v>
      </c>
      <c r="J1782" s="89">
        <v>970064</v>
      </c>
      <c r="K1782" t="s">
        <v>127</v>
      </c>
      <c r="L1782" t="s">
        <v>128</v>
      </c>
      <c r="M1782" t="s">
        <v>152</v>
      </c>
      <c r="N1782">
        <v>1</v>
      </c>
      <c r="O1782" s="89">
        <v>4850.32</v>
      </c>
      <c r="P1782" s="89">
        <v>55778.68</v>
      </c>
      <c r="Q1782" t="s">
        <v>142</v>
      </c>
      <c r="R1782" t="s">
        <v>42</v>
      </c>
    </row>
    <row r="1783" spans="3:18" hidden="1" x14ac:dyDescent="0.25">
      <c r="C1783" t="s">
        <v>45</v>
      </c>
      <c r="D1783" t="s">
        <v>149</v>
      </c>
      <c r="E1783" t="s">
        <v>40</v>
      </c>
      <c r="F1783" t="s">
        <v>41</v>
      </c>
      <c r="G1783" s="89">
        <v>389948</v>
      </c>
      <c r="H1783" t="s">
        <v>42</v>
      </c>
      <c r="I1783" t="s">
        <v>126</v>
      </c>
      <c r="J1783" s="89">
        <v>7019064</v>
      </c>
      <c r="K1783" t="s">
        <v>127</v>
      </c>
      <c r="L1783" t="s">
        <v>128</v>
      </c>
      <c r="M1783" t="s">
        <v>136</v>
      </c>
      <c r="N1783">
        <v>1</v>
      </c>
      <c r="O1783" s="89">
        <v>11698.44</v>
      </c>
      <c r="P1783" s="89">
        <v>265164.64</v>
      </c>
      <c r="Q1783" t="s">
        <v>137</v>
      </c>
      <c r="R1783" t="s">
        <v>131</v>
      </c>
    </row>
    <row r="1784" spans="3:18" x14ac:dyDescent="0.25">
      <c r="C1784" t="s">
        <v>47</v>
      </c>
      <c r="D1784" t="s">
        <v>21</v>
      </c>
      <c r="E1784" t="s">
        <v>40</v>
      </c>
      <c r="F1784" t="s">
        <v>41</v>
      </c>
      <c r="G1784" s="89">
        <v>325416</v>
      </c>
      <c r="H1784" t="s">
        <v>146</v>
      </c>
      <c r="I1784" t="s">
        <v>141</v>
      </c>
      <c r="J1784" s="89">
        <v>2603328</v>
      </c>
      <c r="K1784" t="s">
        <v>127</v>
      </c>
      <c r="L1784" t="s">
        <v>128</v>
      </c>
      <c r="N1784">
        <v>1</v>
      </c>
      <c r="O1784" s="89">
        <v>19524.96</v>
      </c>
      <c r="P1784" s="89">
        <v>286366.08000000002</v>
      </c>
      <c r="Q1784" t="s">
        <v>135</v>
      </c>
      <c r="R1784" t="s">
        <v>131</v>
      </c>
    </row>
    <row r="1785" spans="3:18" hidden="1" x14ac:dyDescent="0.25">
      <c r="C1785" t="s">
        <v>45</v>
      </c>
      <c r="D1785" t="s">
        <v>19</v>
      </c>
      <c r="E1785" t="s">
        <v>43</v>
      </c>
      <c r="F1785" t="s">
        <v>41</v>
      </c>
      <c r="G1785" s="89">
        <v>10780321</v>
      </c>
      <c r="H1785" t="s">
        <v>42</v>
      </c>
      <c r="I1785" t="s">
        <v>133</v>
      </c>
      <c r="J1785" s="89">
        <v>312629309</v>
      </c>
      <c r="K1785" t="s">
        <v>127</v>
      </c>
      <c r="L1785" t="s">
        <v>128</v>
      </c>
      <c r="M1785" t="s">
        <v>136</v>
      </c>
      <c r="N1785">
        <v>1</v>
      </c>
      <c r="O1785" s="89">
        <v>323409.63</v>
      </c>
      <c r="P1785" s="89">
        <v>3018489.88</v>
      </c>
      <c r="Q1785" t="s">
        <v>130</v>
      </c>
      <c r="R1785" t="s">
        <v>42</v>
      </c>
    </row>
    <row r="1786" spans="3:18" hidden="1" x14ac:dyDescent="0.25">
      <c r="C1786" t="s">
        <v>45</v>
      </c>
      <c r="D1786" t="s">
        <v>21</v>
      </c>
      <c r="E1786" t="s">
        <v>43</v>
      </c>
      <c r="F1786" t="s">
        <v>41</v>
      </c>
      <c r="G1786" s="89">
        <v>0</v>
      </c>
      <c r="H1786" t="s">
        <v>145</v>
      </c>
      <c r="I1786" t="s">
        <v>133</v>
      </c>
      <c r="J1786" s="89">
        <v>0</v>
      </c>
      <c r="K1786" t="s">
        <v>144</v>
      </c>
      <c r="N1786">
        <v>1</v>
      </c>
      <c r="O1786" s="89">
        <v>0</v>
      </c>
      <c r="P1786" s="89">
        <v>0</v>
      </c>
      <c r="Q1786" t="s">
        <v>150</v>
      </c>
      <c r="R1786" t="s">
        <v>131</v>
      </c>
    </row>
    <row r="1787" spans="3:18" x14ac:dyDescent="0.25">
      <c r="C1787" t="s">
        <v>47</v>
      </c>
      <c r="D1787" t="s">
        <v>21</v>
      </c>
      <c r="E1787" t="s">
        <v>48</v>
      </c>
      <c r="F1787" t="s">
        <v>41</v>
      </c>
      <c r="G1787" s="89">
        <v>27597</v>
      </c>
      <c r="H1787" t="s">
        <v>42</v>
      </c>
      <c r="I1787" t="s">
        <v>147</v>
      </c>
      <c r="J1787" s="89">
        <v>110388</v>
      </c>
      <c r="K1787" t="s">
        <v>127</v>
      </c>
      <c r="L1787" t="s">
        <v>128</v>
      </c>
      <c r="M1787" t="s">
        <v>129</v>
      </c>
      <c r="N1787">
        <v>1</v>
      </c>
      <c r="O1787" s="89">
        <v>1379.85</v>
      </c>
      <c r="P1787" s="89">
        <v>5243.43</v>
      </c>
      <c r="Q1787" t="s">
        <v>130</v>
      </c>
      <c r="R1787" t="s">
        <v>131</v>
      </c>
    </row>
    <row r="1788" spans="3:18" hidden="1" x14ac:dyDescent="0.25">
      <c r="C1788" t="s">
        <v>45</v>
      </c>
      <c r="D1788" t="s">
        <v>23</v>
      </c>
      <c r="E1788" t="s">
        <v>48</v>
      </c>
      <c r="F1788" t="s">
        <v>41</v>
      </c>
      <c r="G1788" s="89">
        <v>4527791</v>
      </c>
      <c r="H1788" t="s">
        <v>140</v>
      </c>
      <c r="I1788" t="s">
        <v>133</v>
      </c>
      <c r="J1788" s="89">
        <v>144889312</v>
      </c>
      <c r="K1788" t="s">
        <v>127</v>
      </c>
      <c r="L1788" t="s">
        <v>128</v>
      </c>
      <c r="N1788">
        <v>1</v>
      </c>
      <c r="O1788" s="89">
        <v>135833.73000000001</v>
      </c>
      <c r="P1788" s="89">
        <v>5886128.2999999998</v>
      </c>
      <c r="Q1788" t="s">
        <v>150</v>
      </c>
      <c r="R1788" t="s">
        <v>131</v>
      </c>
    </row>
    <row r="1789" spans="3:18" hidden="1" x14ac:dyDescent="0.25">
      <c r="C1789" t="s">
        <v>45</v>
      </c>
      <c r="D1789" t="s">
        <v>22</v>
      </c>
      <c r="E1789" t="s">
        <v>43</v>
      </c>
      <c r="F1789" t="s">
        <v>41</v>
      </c>
      <c r="G1789" s="89">
        <v>2989339</v>
      </c>
      <c r="H1789" t="s">
        <v>42</v>
      </c>
      <c r="I1789" t="s">
        <v>133</v>
      </c>
      <c r="J1789" s="89">
        <v>101637526</v>
      </c>
      <c r="K1789" t="s">
        <v>127</v>
      </c>
      <c r="L1789" t="s">
        <v>128</v>
      </c>
      <c r="M1789" t="s">
        <v>143</v>
      </c>
      <c r="N1789">
        <v>1</v>
      </c>
      <c r="O1789" s="89">
        <v>89680.17</v>
      </c>
      <c r="P1789" s="89">
        <v>2481151.37</v>
      </c>
      <c r="Q1789" t="s">
        <v>135</v>
      </c>
      <c r="R1789" t="s">
        <v>42</v>
      </c>
    </row>
    <row r="1790" spans="3:18" hidden="1" x14ac:dyDescent="0.25">
      <c r="C1790" t="s">
        <v>45</v>
      </c>
      <c r="D1790" t="s">
        <v>138</v>
      </c>
      <c r="E1790" t="s">
        <v>43</v>
      </c>
      <c r="F1790" t="s">
        <v>41</v>
      </c>
      <c r="G1790" s="89">
        <v>108667</v>
      </c>
      <c r="H1790" t="s">
        <v>42</v>
      </c>
      <c r="I1790" t="s">
        <v>133</v>
      </c>
      <c r="J1790" s="89">
        <v>2825342</v>
      </c>
      <c r="K1790" t="s">
        <v>127</v>
      </c>
      <c r="L1790" t="s">
        <v>128</v>
      </c>
      <c r="M1790" t="s">
        <v>152</v>
      </c>
      <c r="N1790">
        <v>1</v>
      </c>
      <c r="O1790" s="89">
        <v>3260.01</v>
      </c>
      <c r="P1790" s="89">
        <v>40206.79</v>
      </c>
      <c r="Q1790" t="s">
        <v>130</v>
      </c>
      <c r="R1790" t="s">
        <v>42</v>
      </c>
    </row>
    <row r="1791" spans="3:18" x14ac:dyDescent="0.25">
      <c r="C1791" t="s">
        <v>47</v>
      </c>
      <c r="D1791" t="s">
        <v>19</v>
      </c>
      <c r="E1791" t="s">
        <v>43</v>
      </c>
      <c r="F1791" t="s">
        <v>41</v>
      </c>
      <c r="G1791" s="89">
        <v>1002704</v>
      </c>
      <c r="H1791" t="s">
        <v>145</v>
      </c>
      <c r="I1791" t="s">
        <v>141</v>
      </c>
      <c r="J1791" s="89">
        <v>7018928</v>
      </c>
      <c r="K1791" t="s">
        <v>127</v>
      </c>
      <c r="L1791" t="s">
        <v>128</v>
      </c>
      <c r="N1791">
        <v>1</v>
      </c>
      <c r="O1791" s="89">
        <v>40108.160000000003</v>
      </c>
      <c r="P1791" s="89">
        <v>922487.68</v>
      </c>
      <c r="Q1791" t="s">
        <v>135</v>
      </c>
      <c r="R1791" t="s">
        <v>131</v>
      </c>
    </row>
    <row r="1792" spans="3:18" hidden="1" x14ac:dyDescent="0.25">
      <c r="C1792" t="s">
        <v>45</v>
      </c>
      <c r="D1792" t="s">
        <v>21</v>
      </c>
      <c r="E1792" t="s">
        <v>43</v>
      </c>
      <c r="F1792" t="s">
        <v>41</v>
      </c>
      <c r="G1792" s="89">
        <v>458954</v>
      </c>
      <c r="H1792" t="s">
        <v>132</v>
      </c>
      <c r="I1792" t="s">
        <v>126</v>
      </c>
      <c r="J1792" s="89">
        <v>6425356</v>
      </c>
      <c r="K1792" t="s">
        <v>134</v>
      </c>
      <c r="L1792" t="s">
        <v>128</v>
      </c>
      <c r="N1792">
        <v>1</v>
      </c>
      <c r="O1792" s="89">
        <v>13768.62</v>
      </c>
      <c r="P1792" s="89">
        <v>128507.12</v>
      </c>
      <c r="Q1792" t="s">
        <v>130</v>
      </c>
      <c r="R1792" t="s">
        <v>131</v>
      </c>
    </row>
    <row r="1793" spans="3:18" hidden="1" x14ac:dyDescent="0.25">
      <c r="C1793" t="s">
        <v>45</v>
      </c>
      <c r="D1793" t="s">
        <v>22</v>
      </c>
      <c r="E1793" t="s">
        <v>40</v>
      </c>
      <c r="F1793" t="s">
        <v>41</v>
      </c>
      <c r="G1793" s="89">
        <v>343110</v>
      </c>
      <c r="H1793" t="s">
        <v>42</v>
      </c>
      <c r="I1793" t="s">
        <v>126</v>
      </c>
      <c r="J1793" s="89">
        <v>5489760</v>
      </c>
      <c r="K1793" t="s">
        <v>134</v>
      </c>
      <c r="L1793" t="s">
        <v>128</v>
      </c>
      <c r="M1793" t="s">
        <v>143</v>
      </c>
      <c r="N1793">
        <v>1</v>
      </c>
      <c r="O1793" s="89">
        <v>10293.299999999999</v>
      </c>
      <c r="P1793" s="89">
        <v>92639.7</v>
      </c>
      <c r="Q1793" t="s">
        <v>130</v>
      </c>
      <c r="R1793" t="s">
        <v>131</v>
      </c>
    </row>
    <row r="1794" spans="3:18" hidden="1" x14ac:dyDescent="0.25">
      <c r="C1794" t="s">
        <v>45</v>
      </c>
      <c r="D1794" t="s">
        <v>21</v>
      </c>
      <c r="E1794" t="s">
        <v>43</v>
      </c>
      <c r="F1794" t="s">
        <v>41</v>
      </c>
      <c r="G1794" s="89">
        <v>84108</v>
      </c>
      <c r="H1794" t="s">
        <v>146</v>
      </c>
      <c r="I1794" t="s">
        <v>126</v>
      </c>
      <c r="J1794" s="89">
        <v>841080</v>
      </c>
      <c r="K1794" t="s">
        <v>134</v>
      </c>
      <c r="L1794" t="s">
        <v>128</v>
      </c>
      <c r="N1794">
        <v>1</v>
      </c>
      <c r="O1794" s="89">
        <v>2523.2399999999998</v>
      </c>
      <c r="P1794" s="89">
        <v>69809.64</v>
      </c>
      <c r="Q1794" t="s">
        <v>135</v>
      </c>
      <c r="R1794" t="s">
        <v>131</v>
      </c>
    </row>
    <row r="1795" spans="3:18" x14ac:dyDescent="0.25">
      <c r="C1795" t="s">
        <v>47</v>
      </c>
      <c r="D1795" t="s">
        <v>22</v>
      </c>
      <c r="E1795" t="s">
        <v>40</v>
      </c>
      <c r="F1795" t="s">
        <v>41</v>
      </c>
      <c r="G1795" s="89">
        <v>1242350</v>
      </c>
      <c r="H1795" t="s">
        <v>140</v>
      </c>
      <c r="I1795" t="s">
        <v>126</v>
      </c>
      <c r="J1795" s="89">
        <v>17392900</v>
      </c>
      <c r="K1795" t="s">
        <v>127</v>
      </c>
      <c r="L1795" t="s">
        <v>128</v>
      </c>
      <c r="N1795">
        <v>1</v>
      </c>
      <c r="O1795" s="89">
        <v>37270.5</v>
      </c>
      <c r="P1795" s="89">
        <v>1577784.5</v>
      </c>
      <c r="Q1795" t="s">
        <v>150</v>
      </c>
      <c r="R1795" t="s">
        <v>131</v>
      </c>
    </row>
    <row r="1796" spans="3:18" hidden="1" x14ac:dyDescent="0.25">
      <c r="C1796" t="s">
        <v>45</v>
      </c>
      <c r="D1796" t="s">
        <v>21</v>
      </c>
      <c r="E1796" t="s">
        <v>40</v>
      </c>
      <c r="F1796" t="s">
        <v>41</v>
      </c>
      <c r="G1796" s="89">
        <v>7798757</v>
      </c>
      <c r="H1796" t="s">
        <v>42</v>
      </c>
      <c r="I1796" t="s">
        <v>126</v>
      </c>
      <c r="J1796" s="89">
        <v>124780112</v>
      </c>
      <c r="K1796" t="s">
        <v>127</v>
      </c>
      <c r="L1796" t="s">
        <v>128</v>
      </c>
      <c r="M1796" t="s">
        <v>129</v>
      </c>
      <c r="N1796">
        <v>1</v>
      </c>
      <c r="O1796" s="89">
        <v>233962.71</v>
      </c>
      <c r="P1796" s="89">
        <v>3899378.5</v>
      </c>
      <c r="Q1796" t="s">
        <v>142</v>
      </c>
      <c r="R1796" t="s">
        <v>42</v>
      </c>
    </row>
    <row r="1797" spans="3:18" x14ac:dyDescent="0.25">
      <c r="C1797" t="s">
        <v>47</v>
      </c>
      <c r="D1797" t="s">
        <v>23</v>
      </c>
      <c r="E1797" t="s">
        <v>40</v>
      </c>
      <c r="F1797" t="s">
        <v>41</v>
      </c>
      <c r="G1797" s="89">
        <v>2019939</v>
      </c>
      <c r="H1797" t="s">
        <v>146</v>
      </c>
      <c r="I1797" t="s">
        <v>147</v>
      </c>
      <c r="J1797" s="89">
        <v>6059817</v>
      </c>
      <c r="K1797" t="s">
        <v>127</v>
      </c>
      <c r="L1797" t="s">
        <v>128</v>
      </c>
      <c r="N1797">
        <v>1</v>
      </c>
      <c r="O1797" s="89">
        <v>100996.95</v>
      </c>
      <c r="P1797" s="89">
        <v>363589.02</v>
      </c>
      <c r="Q1797" t="s">
        <v>130</v>
      </c>
      <c r="R1797" t="s">
        <v>131</v>
      </c>
    </row>
    <row r="1798" spans="3:18" x14ac:dyDescent="0.25">
      <c r="C1798" t="s">
        <v>47</v>
      </c>
      <c r="D1798" t="s">
        <v>23</v>
      </c>
      <c r="E1798" t="s">
        <v>48</v>
      </c>
      <c r="F1798" t="s">
        <v>41</v>
      </c>
      <c r="G1798" s="89">
        <v>988</v>
      </c>
      <c r="H1798" t="s">
        <v>146</v>
      </c>
      <c r="I1798" t="s">
        <v>153</v>
      </c>
      <c r="J1798" s="89"/>
      <c r="K1798" t="s">
        <v>127</v>
      </c>
      <c r="L1798" t="s">
        <v>128</v>
      </c>
      <c r="N1798">
        <v>0</v>
      </c>
      <c r="O1798" s="89">
        <v>29.64</v>
      </c>
      <c r="P1798" s="89">
        <v>9.8800000000000008</v>
      </c>
      <c r="Q1798" t="s">
        <v>130</v>
      </c>
      <c r="R1798" t="s">
        <v>131</v>
      </c>
    </row>
    <row r="1799" spans="3:18" hidden="1" x14ac:dyDescent="0.25">
      <c r="C1799" t="s">
        <v>45</v>
      </c>
      <c r="D1799" t="s">
        <v>20</v>
      </c>
      <c r="E1799" t="s">
        <v>43</v>
      </c>
      <c r="F1799" t="s">
        <v>41</v>
      </c>
      <c r="G1799" s="89">
        <v>182422</v>
      </c>
      <c r="I1799" t="s">
        <v>126</v>
      </c>
      <c r="J1799" s="89">
        <v>2918752</v>
      </c>
      <c r="K1799" t="s">
        <v>127</v>
      </c>
      <c r="L1799" t="s">
        <v>128</v>
      </c>
      <c r="N1799">
        <v>1</v>
      </c>
      <c r="O1799" s="89">
        <v>3648.44</v>
      </c>
      <c r="P1799" s="89">
        <v>41957.06</v>
      </c>
      <c r="Q1799" t="s">
        <v>130</v>
      </c>
      <c r="R1799" t="s">
        <v>131</v>
      </c>
    </row>
    <row r="1800" spans="3:18" hidden="1" x14ac:dyDescent="0.25">
      <c r="C1800" t="s">
        <v>45</v>
      </c>
      <c r="D1800" t="s">
        <v>22</v>
      </c>
      <c r="E1800" t="s">
        <v>44</v>
      </c>
      <c r="F1800" t="s">
        <v>41</v>
      </c>
      <c r="G1800" s="89">
        <v>129046</v>
      </c>
      <c r="H1800" t="s">
        <v>42</v>
      </c>
      <c r="I1800" t="s">
        <v>133</v>
      </c>
      <c r="J1800" s="89">
        <v>5032794</v>
      </c>
      <c r="K1800" t="s">
        <v>134</v>
      </c>
      <c r="L1800" t="s">
        <v>128</v>
      </c>
      <c r="M1800" t="s">
        <v>143</v>
      </c>
      <c r="N1800">
        <v>1</v>
      </c>
      <c r="O1800" s="89">
        <v>3871.38</v>
      </c>
      <c r="P1800" s="89">
        <v>104527.26</v>
      </c>
      <c r="Q1800" t="s">
        <v>135</v>
      </c>
      <c r="R1800" t="s">
        <v>42</v>
      </c>
    </row>
    <row r="1801" spans="3:18" hidden="1" x14ac:dyDescent="0.25">
      <c r="C1801" t="s">
        <v>45</v>
      </c>
      <c r="D1801" t="s">
        <v>22</v>
      </c>
      <c r="E1801" t="s">
        <v>43</v>
      </c>
      <c r="F1801" t="s">
        <v>41</v>
      </c>
      <c r="G1801" s="89">
        <v>3133737</v>
      </c>
      <c r="H1801" t="s">
        <v>132</v>
      </c>
      <c r="I1801" t="s">
        <v>133</v>
      </c>
      <c r="J1801" s="89">
        <v>78343425</v>
      </c>
      <c r="K1801" t="s">
        <v>127</v>
      </c>
      <c r="L1801" t="s">
        <v>128</v>
      </c>
      <c r="N1801">
        <v>1</v>
      </c>
      <c r="O1801" s="89">
        <v>94012.11</v>
      </c>
      <c r="P1801" s="89">
        <v>940121.1</v>
      </c>
      <c r="Q1801" t="s">
        <v>130</v>
      </c>
      <c r="R1801" t="s">
        <v>131</v>
      </c>
    </row>
    <row r="1802" spans="3:18" x14ac:dyDescent="0.25">
      <c r="C1802" t="s">
        <v>47</v>
      </c>
      <c r="D1802" t="s">
        <v>21</v>
      </c>
      <c r="E1802" t="s">
        <v>40</v>
      </c>
      <c r="F1802" t="s">
        <v>41</v>
      </c>
      <c r="G1802" s="89">
        <v>1901608</v>
      </c>
      <c r="H1802" t="s">
        <v>140</v>
      </c>
      <c r="I1802" t="s">
        <v>141</v>
      </c>
      <c r="J1802" s="89">
        <v>17114472</v>
      </c>
      <c r="K1802" t="s">
        <v>144</v>
      </c>
      <c r="N1802">
        <v>1</v>
      </c>
      <c r="O1802" s="89">
        <v>76064.320000000007</v>
      </c>
      <c r="P1802" s="89">
        <v>1312109.52</v>
      </c>
      <c r="Q1802" t="s">
        <v>137</v>
      </c>
      <c r="R1802" t="s">
        <v>131</v>
      </c>
    </row>
    <row r="1803" spans="3:18" hidden="1" x14ac:dyDescent="0.25">
      <c r="C1803" t="s">
        <v>45</v>
      </c>
      <c r="D1803" t="s">
        <v>24</v>
      </c>
      <c r="E1803" t="s">
        <v>43</v>
      </c>
      <c r="F1803" t="s">
        <v>41</v>
      </c>
      <c r="G1803" s="89">
        <v>144061</v>
      </c>
      <c r="H1803" t="s">
        <v>42</v>
      </c>
      <c r="I1803" t="s">
        <v>133</v>
      </c>
      <c r="J1803" s="89">
        <v>4898074</v>
      </c>
      <c r="K1803" t="s">
        <v>127</v>
      </c>
      <c r="L1803" t="s">
        <v>128</v>
      </c>
      <c r="M1803" t="s">
        <v>152</v>
      </c>
      <c r="N1803">
        <v>1</v>
      </c>
      <c r="O1803" s="89">
        <v>7203.05</v>
      </c>
      <c r="P1803" s="89">
        <v>102283.31</v>
      </c>
      <c r="Q1803" t="s">
        <v>137</v>
      </c>
      <c r="R1803" t="s">
        <v>131</v>
      </c>
    </row>
    <row r="1804" spans="3:18" hidden="1" x14ac:dyDescent="0.25">
      <c r="C1804" t="s">
        <v>45</v>
      </c>
      <c r="D1804" t="s">
        <v>24</v>
      </c>
      <c r="E1804" t="s">
        <v>40</v>
      </c>
      <c r="F1804" t="s">
        <v>41</v>
      </c>
      <c r="G1804" s="89">
        <v>261866</v>
      </c>
      <c r="H1804" t="s">
        <v>42</v>
      </c>
      <c r="I1804" t="s">
        <v>133</v>
      </c>
      <c r="J1804" s="89">
        <v>7855980</v>
      </c>
      <c r="K1804" t="s">
        <v>134</v>
      </c>
      <c r="L1804" t="s">
        <v>128</v>
      </c>
      <c r="M1804" t="s">
        <v>148</v>
      </c>
      <c r="N1804">
        <v>1</v>
      </c>
      <c r="O1804" s="89">
        <v>7855.98</v>
      </c>
      <c r="P1804" s="89">
        <v>185924.86</v>
      </c>
      <c r="Q1804" t="s">
        <v>137</v>
      </c>
      <c r="R1804" t="s">
        <v>131</v>
      </c>
    </row>
    <row r="1805" spans="3:18" hidden="1" x14ac:dyDescent="0.25">
      <c r="C1805" t="s">
        <v>45</v>
      </c>
      <c r="D1805" t="s">
        <v>22</v>
      </c>
      <c r="E1805" t="s">
        <v>40</v>
      </c>
      <c r="F1805" t="s">
        <v>41</v>
      </c>
      <c r="G1805" s="89">
        <v>3840219</v>
      </c>
      <c r="H1805" t="s">
        <v>140</v>
      </c>
      <c r="I1805" t="s">
        <v>147</v>
      </c>
      <c r="J1805" s="89">
        <v>0</v>
      </c>
      <c r="K1805" t="s">
        <v>134</v>
      </c>
      <c r="L1805" t="s">
        <v>128</v>
      </c>
      <c r="N1805">
        <v>1</v>
      </c>
      <c r="O1805" s="89">
        <v>192010.95</v>
      </c>
      <c r="P1805" s="89">
        <v>1651294.17</v>
      </c>
      <c r="Q1805" t="s">
        <v>142</v>
      </c>
      <c r="R1805" t="s">
        <v>131</v>
      </c>
    </row>
    <row r="1806" spans="3:18" hidden="1" x14ac:dyDescent="0.25">
      <c r="C1806" t="s">
        <v>45</v>
      </c>
      <c r="D1806" t="s">
        <v>21</v>
      </c>
      <c r="E1806" t="s">
        <v>43</v>
      </c>
      <c r="F1806" t="s">
        <v>41</v>
      </c>
      <c r="G1806" s="89">
        <v>411356</v>
      </c>
      <c r="H1806" t="s">
        <v>42</v>
      </c>
      <c r="I1806" t="s">
        <v>133</v>
      </c>
      <c r="J1806" s="89">
        <v>11929324</v>
      </c>
      <c r="K1806" t="s">
        <v>134</v>
      </c>
      <c r="L1806" t="s">
        <v>128</v>
      </c>
      <c r="M1806" t="s">
        <v>129</v>
      </c>
      <c r="N1806">
        <v>1</v>
      </c>
      <c r="O1806" s="89">
        <v>12340.68</v>
      </c>
      <c r="P1806" s="89">
        <v>111066.12</v>
      </c>
      <c r="Q1806" t="s">
        <v>130</v>
      </c>
      <c r="R1806" t="s">
        <v>131</v>
      </c>
    </row>
    <row r="1807" spans="3:18" hidden="1" x14ac:dyDescent="0.25">
      <c r="C1807" t="s">
        <v>45</v>
      </c>
      <c r="D1807" t="s">
        <v>21</v>
      </c>
      <c r="E1807" t="s">
        <v>40</v>
      </c>
      <c r="F1807" t="s">
        <v>41</v>
      </c>
      <c r="G1807" s="89">
        <v>1614</v>
      </c>
      <c r="H1807" t="s">
        <v>146</v>
      </c>
      <c r="I1807" t="s">
        <v>147</v>
      </c>
      <c r="J1807" s="89">
        <v>0</v>
      </c>
      <c r="K1807" t="s">
        <v>127</v>
      </c>
      <c r="L1807" t="s">
        <v>151</v>
      </c>
      <c r="N1807">
        <v>1</v>
      </c>
      <c r="O1807" s="89">
        <v>48.42</v>
      </c>
      <c r="P1807" s="89">
        <v>32.28</v>
      </c>
      <c r="Q1807" t="s">
        <v>130</v>
      </c>
      <c r="R1807" t="s">
        <v>131</v>
      </c>
    </row>
    <row r="1808" spans="3:18" hidden="1" x14ac:dyDescent="0.25">
      <c r="C1808" t="s">
        <v>45</v>
      </c>
      <c r="D1808" t="s">
        <v>20</v>
      </c>
      <c r="E1808" t="s">
        <v>43</v>
      </c>
      <c r="F1808" t="s">
        <v>41</v>
      </c>
      <c r="G1808" s="89">
        <v>32266153</v>
      </c>
      <c r="H1808" t="s">
        <v>145</v>
      </c>
      <c r="I1808" t="s">
        <v>133</v>
      </c>
      <c r="J1808" s="89">
        <v>935718437</v>
      </c>
      <c r="K1808" t="s">
        <v>127</v>
      </c>
      <c r="L1808" t="s">
        <v>128</v>
      </c>
      <c r="N1808">
        <v>1</v>
      </c>
      <c r="O1808" s="89">
        <v>967984.59</v>
      </c>
      <c r="P1808" s="89">
        <v>22263645.57</v>
      </c>
      <c r="Q1808" t="s">
        <v>137</v>
      </c>
      <c r="R1808" t="s">
        <v>131</v>
      </c>
    </row>
    <row r="1809" spans="3:18" hidden="1" x14ac:dyDescent="0.25">
      <c r="C1809" t="s">
        <v>45</v>
      </c>
      <c r="D1809" t="s">
        <v>22</v>
      </c>
      <c r="E1809" t="s">
        <v>40</v>
      </c>
      <c r="F1809" t="s">
        <v>41</v>
      </c>
      <c r="G1809" s="89">
        <v>350618531</v>
      </c>
      <c r="H1809" t="s">
        <v>42</v>
      </c>
      <c r="I1809" t="s">
        <v>133</v>
      </c>
      <c r="J1809" s="89">
        <v>11921030054</v>
      </c>
      <c r="K1809" t="s">
        <v>127</v>
      </c>
      <c r="L1809" t="s">
        <v>128</v>
      </c>
      <c r="M1809" t="s">
        <v>143</v>
      </c>
      <c r="N1809">
        <v>1</v>
      </c>
      <c r="O1809" s="89">
        <v>10518555.93</v>
      </c>
      <c r="P1809" s="89">
        <v>287507195.42000002</v>
      </c>
      <c r="Q1809" t="s">
        <v>135</v>
      </c>
      <c r="R1809" t="s">
        <v>131</v>
      </c>
    </row>
    <row r="1810" spans="3:18" hidden="1" x14ac:dyDescent="0.25">
      <c r="C1810" t="s">
        <v>45</v>
      </c>
      <c r="D1810" t="s">
        <v>138</v>
      </c>
      <c r="E1810" t="s">
        <v>43</v>
      </c>
      <c r="F1810" t="s">
        <v>41</v>
      </c>
      <c r="G1810" s="89">
        <v>105975</v>
      </c>
      <c r="H1810" t="s">
        <v>140</v>
      </c>
      <c r="I1810" t="s">
        <v>141</v>
      </c>
      <c r="J1810" s="89">
        <v>1059750</v>
      </c>
      <c r="K1810" t="s">
        <v>144</v>
      </c>
      <c r="N1810">
        <v>1</v>
      </c>
      <c r="O1810" s="89">
        <v>3179.25</v>
      </c>
      <c r="P1810" s="89">
        <v>27553.5</v>
      </c>
      <c r="Q1810" t="s">
        <v>130</v>
      </c>
      <c r="R1810" t="s">
        <v>131</v>
      </c>
    </row>
    <row r="1811" spans="3:18" x14ac:dyDescent="0.25">
      <c r="C1811" t="s">
        <v>47</v>
      </c>
      <c r="D1811" t="s">
        <v>20</v>
      </c>
      <c r="E1811" t="s">
        <v>40</v>
      </c>
      <c r="F1811" t="s">
        <v>41</v>
      </c>
      <c r="G1811" s="89">
        <v>112534</v>
      </c>
      <c r="H1811" t="s">
        <v>140</v>
      </c>
      <c r="I1811" t="s">
        <v>147</v>
      </c>
      <c r="J1811" s="89"/>
      <c r="K1811" t="s">
        <v>127</v>
      </c>
      <c r="L1811" t="s">
        <v>128</v>
      </c>
      <c r="N1811">
        <v>0</v>
      </c>
      <c r="O1811" s="89">
        <v>5626.7</v>
      </c>
      <c r="P1811" s="89">
        <v>0</v>
      </c>
      <c r="Q1811" t="s">
        <v>130</v>
      </c>
      <c r="R1811" t="s">
        <v>131</v>
      </c>
    </row>
    <row r="1812" spans="3:18" hidden="1" x14ac:dyDescent="0.25">
      <c r="C1812" t="s">
        <v>45</v>
      </c>
      <c r="D1812" t="s">
        <v>22</v>
      </c>
      <c r="E1812" t="s">
        <v>43</v>
      </c>
      <c r="F1812" t="s">
        <v>41</v>
      </c>
      <c r="G1812" s="89">
        <v>2846531</v>
      </c>
      <c r="H1812" t="s">
        <v>145</v>
      </c>
      <c r="I1812" t="s">
        <v>141</v>
      </c>
      <c r="J1812" s="89">
        <v>19925717</v>
      </c>
      <c r="K1812" t="s">
        <v>127</v>
      </c>
      <c r="L1812" t="s">
        <v>128</v>
      </c>
      <c r="N1812">
        <v>1</v>
      </c>
      <c r="O1812" s="89">
        <v>85395.93</v>
      </c>
      <c r="P1812" s="89">
        <v>654702.13</v>
      </c>
      <c r="Q1812" t="s">
        <v>130</v>
      </c>
      <c r="R1812" t="s">
        <v>131</v>
      </c>
    </row>
    <row r="1813" spans="3:18" hidden="1" x14ac:dyDescent="0.25">
      <c r="C1813" t="s">
        <v>45</v>
      </c>
      <c r="D1813" t="s">
        <v>22</v>
      </c>
      <c r="E1813" t="s">
        <v>48</v>
      </c>
      <c r="F1813" t="s">
        <v>41</v>
      </c>
      <c r="G1813" s="89">
        <v>3132690</v>
      </c>
      <c r="H1813" t="s">
        <v>42</v>
      </c>
      <c r="I1813" t="s">
        <v>126</v>
      </c>
      <c r="J1813" s="89">
        <v>56388420</v>
      </c>
      <c r="K1813" t="s">
        <v>127</v>
      </c>
      <c r="L1813" t="s">
        <v>128</v>
      </c>
      <c r="M1813" t="s">
        <v>143</v>
      </c>
      <c r="N1813">
        <v>1</v>
      </c>
      <c r="O1813" s="89">
        <v>125307.6</v>
      </c>
      <c r="P1813" s="89">
        <v>2067575.4</v>
      </c>
      <c r="Q1813" t="s">
        <v>137</v>
      </c>
      <c r="R1813" t="s">
        <v>42</v>
      </c>
    </row>
    <row r="1814" spans="3:18" hidden="1" x14ac:dyDescent="0.25">
      <c r="C1814" t="s">
        <v>45</v>
      </c>
      <c r="D1814" t="s">
        <v>21</v>
      </c>
      <c r="E1814" t="s">
        <v>43</v>
      </c>
      <c r="F1814" t="s">
        <v>53</v>
      </c>
      <c r="G1814" s="89">
        <v>558194</v>
      </c>
      <c r="H1814" t="s">
        <v>42</v>
      </c>
      <c r="I1814" t="s">
        <v>126</v>
      </c>
      <c r="J1814" s="89">
        <v>10047492</v>
      </c>
      <c r="K1814" t="s">
        <v>144</v>
      </c>
      <c r="N1814">
        <v>1</v>
      </c>
      <c r="O1814" s="89">
        <v>16745.82</v>
      </c>
      <c r="P1814" s="89">
        <v>368408.04</v>
      </c>
      <c r="Q1814" t="s">
        <v>137</v>
      </c>
      <c r="R1814" t="s">
        <v>42</v>
      </c>
    </row>
    <row r="1815" spans="3:18" hidden="1" x14ac:dyDescent="0.25">
      <c r="C1815" t="s">
        <v>45</v>
      </c>
      <c r="D1815" t="s">
        <v>20</v>
      </c>
      <c r="E1815" t="s">
        <v>43</v>
      </c>
      <c r="F1815" t="s">
        <v>41</v>
      </c>
      <c r="G1815" s="89">
        <v>74291</v>
      </c>
      <c r="H1815" t="s">
        <v>146</v>
      </c>
      <c r="I1815" t="s">
        <v>126</v>
      </c>
      <c r="J1815" s="89">
        <v>1114365</v>
      </c>
      <c r="K1815" t="s">
        <v>127</v>
      </c>
      <c r="L1815" t="s">
        <v>151</v>
      </c>
      <c r="N1815">
        <v>1</v>
      </c>
      <c r="O1815" s="89">
        <v>1485.82</v>
      </c>
      <c r="P1815" s="89">
        <v>37888.410000000003</v>
      </c>
      <c r="Q1815" t="s">
        <v>142</v>
      </c>
      <c r="R1815" t="s">
        <v>131</v>
      </c>
    </row>
    <row r="1816" spans="3:18" hidden="1" x14ac:dyDescent="0.25">
      <c r="C1816" t="s">
        <v>45</v>
      </c>
      <c r="D1816" t="s">
        <v>24</v>
      </c>
      <c r="E1816" t="s">
        <v>44</v>
      </c>
      <c r="F1816" t="s">
        <v>41</v>
      </c>
      <c r="G1816" s="89">
        <v>15518</v>
      </c>
      <c r="H1816" t="s">
        <v>140</v>
      </c>
      <c r="I1816" t="s">
        <v>147</v>
      </c>
      <c r="J1816" s="89">
        <v>62072</v>
      </c>
      <c r="K1816" t="s">
        <v>134</v>
      </c>
      <c r="L1816" t="s">
        <v>128</v>
      </c>
      <c r="N1816">
        <v>1</v>
      </c>
      <c r="O1816" s="89">
        <v>620.72</v>
      </c>
      <c r="P1816" s="89">
        <v>1086.26</v>
      </c>
      <c r="Q1816" t="s">
        <v>130</v>
      </c>
      <c r="R1816" t="s">
        <v>131</v>
      </c>
    </row>
    <row r="1817" spans="3:18" x14ac:dyDescent="0.25">
      <c r="C1817" t="s">
        <v>47</v>
      </c>
      <c r="D1817" t="s">
        <v>22</v>
      </c>
      <c r="E1817" t="s">
        <v>44</v>
      </c>
      <c r="F1817" t="s">
        <v>41</v>
      </c>
      <c r="G1817" s="89">
        <v>365689</v>
      </c>
      <c r="H1817" t="s">
        <v>42</v>
      </c>
      <c r="I1817" t="s">
        <v>126</v>
      </c>
      <c r="J1817" s="89">
        <v>4753957</v>
      </c>
      <c r="K1817" t="s">
        <v>127</v>
      </c>
      <c r="L1817" t="s">
        <v>128</v>
      </c>
      <c r="M1817" t="s">
        <v>143</v>
      </c>
      <c r="N1817">
        <v>1</v>
      </c>
      <c r="O1817" s="89">
        <v>10970.67</v>
      </c>
      <c r="P1817" s="89">
        <v>201128.95</v>
      </c>
      <c r="Q1817" t="s">
        <v>142</v>
      </c>
      <c r="R1817" t="s">
        <v>131</v>
      </c>
    </row>
    <row r="1818" spans="3:18" hidden="1" x14ac:dyDescent="0.25">
      <c r="C1818" t="s">
        <v>45</v>
      </c>
      <c r="D1818" t="s">
        <v>24</v>
      </c>
      <c r="E1818" t="s">
        <v>40</v>
      </c>
      <c r="F1818" t="s">
        <v>41</v>
      </c>
      <c r="G1818" s="89">
        <v>343159</v>
      </c>
      <c r="H1818" t="s">
        <v>145</v>
      </c>
      <c r="I1818" t="s">
        <v>133</v>
      </c>
      <c r="J1818" s="89">
        <v>10294770</v>
      </c>
      <c r="K1818" t="s">
        <v>127</v>
      </c>
      <c r="L1818" t="s">
        <v>128</v>
      </c>
      <c r="N1818">
        <v>1</v>
      </c>
      <c r="O1818" s="89">
        <v>13726.36</v>
      </c>
      <c r="P1818" s="89">
        <v>281390.38</v>
      </c>
      <c r="Q1818" t="s">
        <v>135</v>
      </c>
      <c r="R1818" t="s">
        <v>131</v>
      </c>
    </row>
    <row r="1819" spans="3:18" hidden="1" x14ac:dyDescent="0.25">
      <c r="C1819" t="s">
        <v>45</v>
      </c>
      <c r="D1819" t="s">
        <v>20</v>
      </c>
      <c r="E1819" t="s">
        <v>43</v>
      </c>
      <c r="F1819" t="s">
        <v>41</v>
      </c>
      <c r="G1819" s="89">
        <v>11049666</v>
      </c>
      <c r="H1819" t="s">
        <v>146</v>
      </c>
      <c r="I1819" t="s">
        <v>126</v>
      </c>
      <c r="J1819" s="89">
        <v>187844322</v>
      </c>
      <c r="K1819" t="s">
        <v>127</v>
      </c>
      <c r="L1819" t="s">
        <v>128</v>
      </c>
      <c r="N1819">
        <v>1</v>
      </c>
      <c r="O1819" s="89">
        <v>331489.98</v>
      </c>
      <c r="P1819" s="89">
        <v>5414336.3399999999</v>
      </c>
      <c r="Q1819" t="s">
        <v>142</v>
      </c>
      <c r="R1819" t="s">
        <v>131</v>
      </c>
    </row>
    <row r="1820" spans="3:18" hidden="1" x14ac:dyDescent="0.25">
      <c r="C1820" t="s">
        <v>45</v>
      </c>
      <c r="D1820" t="s">
        <v>24</v>
      </c>
      <c r="E1820" t="s">
        <v>46</v>
      </c>
      <c r="F1820" t="s">
        <v>41</v>
      </c>
      <c r="G1820" s="89">
        <v>68858</v>
      </c>
      <c r="H1820" t="s">
        <v>146</v>
      </c>
      <c r="I1820" t="s">
        <v>133</v>
      </c>
      <c r="J1820" s="89">
        <v>2341172</v>
      </c>
      <c r="K1820" t="s">
        <v>127</v>
      </c>
      <c r="L1820" t="s">
        <v>128</v>
      </c>
      <c r="N1820">
        <v>1</v>
      </c>
      <c r="O1820" s="89">
        <v>2754.32</v>
      </c>
      <c r="P1820" s="89">
        <v>47512.02</v>
      </c>
      <c r="Q1820" t="s">
        <v>137</v>
      </c>
      <c r="R1820" t="s">
        <v>131</v>
      </c>
    </row>
    <row r="1821" spans="3:18" hidden="1" x14ac:dyDescent="0.25">
      <c r="C1821" t="s">
        <v>45</v>
      </c>
      <c r="D1821" t="s">
        <v>149</v>
      </c>
      <c r="E1821" t="s">
        <v>48</v>
      </c>
      <c r="F1821" t="s">
        <v>41</v>
      </c>
      <c r="G1821" s="89">
        <v>56781</v>
      </c>
      <c r="H1821" t="s">
        <v>42</v>
      </c>
      <c r="I1821" t="s">
        <v>133</v>
      </c>
      <c r="J1821" s="89">
        <v>1816992</v>
      </c>
      <c r="K1821" t="s">
        <v>127</v>
      </c>
      <c r="L1821" t="s">
        <v>128</v>
      </c>
      <c r="M1821" t="s">
        <v>136</v>
      </c>
      <c r="N1821">
        <v>1</v>
      </c>
      <c r="O1821" s="89">
        <v>1703.43</v>
      </c>
      <c r="P1821" s="89">
        <v>46560.42</v>
      </c>
      <c r="Q1821" t="s">
        <v>135</v>
      </c>
      <c r="R1821" t="s">
        <v>131</v>
      </c>
    </row>
    <row r="1822" spans="3:18" hidden="1" x14ac:dyDescent="0.25">
      <c r="C1822" t="s">
        <v>45</v>
      </c>
      <c r="D1822" t="s">
        <v>24</v>
      </c>
      <c r="E1822" t="s">
        <v>40</v>
      </c>
      <c r="F1822" t="s">
        <v>41</v>
      </c>
      <c r="G1822" s="89">
        <v>975839</v>
      </c>
      <c r="H1822" t="s">
        <v>42</v>
      </c>
      <c r="I1822" t="s">
        <v>133</v>
      </c>
      <c r="J1822" s="89">
        <v>25371814</v>
      </c>
      <c r="K1822" t="s">
        <v>127</v>
      </c>
      <c r="L1822" t="s">
        <v>128</v>
      </c>
      <c r="M1822" t="s">
        <v>148</v>
      </c>
      <c r="N1822">
        <v>1</v>
      </c>
      <c r="O1822" s="89">
        <v>29275.17</v>
      </c>
      <c r="P1822" s="89">
        <v>536711.44999999995</v>
      </c>
      <c r="Q1822" t="s">
        <v>142</v>
      </c>
      <c r="R1822" t="s">
        <v>42</v>
      </c>
    </row>
    <row r="1823" spans="3:18" hidden="1" x14ac:dyDescent="0.25">
      <c r="C1823" t="s">
        <v>45</v>
      </c>
      <c r="D1823" t="s">
        <v>21</v>
      </c>
      <c r="E1823" t="s">
        <v>40</v>
      </c>
      <c r="F1823" t="s">
        <v>41</v>
      </c>
      <c r="G1823" s="89">
        <v>2871</v>
      </c>
      <c r="H1823" t="s">
        <v>140</v>
      </c>
      <c r="I1823" t="s">
        <v>147</v>
      </c>
      <c r="J1823" s="89">
        <v>14355</v>
      </c>
      <c r="K1823" t="s">
        <v>127</v>
      </c>
      <c r="L1823" t="s">
        <v>128</v>
      </c>
      <c r="N1823">
        <v>1</v>
      </c>
      <c r="O1823" s="89">
        <v>114.84</v>
      </c>
      <c r="P1823" s="89">
        <v>1837.44</v>
      </c>
      <c r="Q1823" t="s">
        <v>137</v>
      </c>
      <c r="R1823" t="s">
        <v>131</v>
      </c>
    </row>
    <row r="1824" spans="3:18" x14ac:dyDescent="0.25">
      <c r="C1824" t="s">
        <v>47</v>
      </c>
      <c r="D1824" t="s">
        <v>25</v>
      </c>
      <c r="E1824" t="s">
        <v>48</v>
      </c>
      <c r="F1824" t="s">
        <v>41</v>
      </c>
      <c r="G1824" s="89">
        <v>44</v>
      </c>
      <c r="H1824" t="s">
        <v>140</v>
      </c>
      <c r="I1824" t="s">
        <v>147</v>
      </c>
      <c r="J1824" s="89"/>
      <c r="K1824" t="s">
        <v>127</v>
      </c>
      <c r="L1824" t="s">
        <v>151</v>
      </c>
      <c r="N1824">
        <v>0</v>
      </c>
      <c r="O1824" s="89">
        <v>0</v>
      </c>
      <c r="P1824" s="89">
        <v>0</v>
      </c>
      <c r="Q1824" t="s">
        <v>130</v>
      </c>
      <c r="R1824" t="s">
        <v>131</v>
      </c>
    </row>
    <row r="1825" spans="3:18" x14ac:dyDescent="0.25">
      <c r="C1825" t="s">
        <v>47</v>
      </c>
      <c r="D1825" t="s">
        <v>21</v>
      </c>
      <c r="E1825" t="s">
        <v>40</v>
      </c>
      <c r="F1825" t="s">
        <v>41</v>
      </c>
      <c r="G1825" s="89">
        <v>3042742</v>
      </c>
      <c r="H1825" t="s">
        <v>140</v>
      </c>
      <c r="I1825" t="s">
        <v>147</v>
      </c>
      <c r="J1825" s="89">
        <v>9128226</v>
      </c>
      <c r="K1825" t="s">
        <v>144</v>
      </c>
      <c r="N1825">
        <v>1</v>
      </c>
      <c r="O1825" s="89">
        <v>121709.68</v>
      </c>
      <c r="P1825" s="89">
        <v>1643080.68</v>
      </c>
      <c r="Q1825" t="s">
        <v>142</v>
      </c>
      <c r="R1825" t="s">
        <v>131</v>
      </c>
    </row>
    <row r="1826" spans="3:18" x14ac:dyDescent="0.25">
      <c r="C1826" t="s">
        <v>47</v>
      </c>
      <c r="D1826" t="s">
        <v>20</v>
      </c>
      <c r="E1826" t="s">
        <v>40</v>
      </c>
      <c r="F1826" t="s">
        <v>41</v>
      </c>
      <c r="G1826" s="89">
        <v>140060</v>
      </c>
      <c r="H1826" t="s">
        <v>146</v>
      </c>
      <c r="I1826" t="s">
        <v>126</v>
      </c>
      <c r="J1826" s="89">
        <v>1680720</v>
      </c>
      <c r="K1826" t="s">
        <v>127</v>
      </c>
      <c r="L1826" t="s">
        <v>128</v>
      </c>
      <c r="N1826">
        <v>1</v>
      </c>
      <c r="O1826" s="89">
        <v>7003</v>
      </c>
      <c r="P1826" s="89">
        <v>67228.800000000003</v>
      </c>
      <c r="Q1826" t="s">
        <v>142</v>
      </c>
      <c r="R1826" t="s">
        <v>131</v>
      </c>
    </row>
    <row r="1827" spans="3:18" hidden="1" x14ac:dyDescent="0.25">
      <c r="C1827" t="s">
        <v>45</v>
      </c>
      <c r="D1827" t="s">
        <v>21</v>
      </c>
      <c r="E1827" t="s">
        <v>43</v>
      </c>
      <c r="F1827" t="s">
        <v>41</v>
      </c>
      <c r="G1827" s="89">
        <v>90413</v>
      </c>
      <c r="H1827" t="s">
        <v>42</v>
      </c>
      <c r="I1827" t="s">
        <v>133</v>
      </c>
      <c r="J1827" s="89">
        <v>2260325</v>
      </c>
      <c r="K1827" t="s">
        <v>127</v>
      </c>
      <c r="L1827" t="s">
        <v>128</v>
      </c>
      <c r="M1827" t="s">
        <v>152</v>
      </c>
      <c r="N1827">
        <v>1</v>
      </c>
      <c r="O1827" s="89">
        <v>2712.39</v>
      </c>
      <c r="P1827" s="89">
        <v>25315.64</v>
      </c>
      <c r="Q1827" t="s">
        <v>130</v>
      </c>
      <c r="R1827" t="s">
        <v>42</v>
      </c>
    </row>
    <row r="1828" spans="3:18" hidden="1" x14ac:dyDescent="0.25">
      <c r="C1828" t="s">
        <v>45</v>
      </c>
      <c r="D1828" t="s">
        <v>21</v>
      </c>
      <c r="E1828" t="s">
        <v>40</v>
      </c>
      <c r="F1828" t="s">
        <v>41</v>
      </c>
      <c r="G1828" s="89">
        <v>13811</v>
      </c>
      <c r="H1828" t="s">
        <v>132</v>
      </c>
      <c r="I1828" t="s">
        <v>141</v>
      </c>
      <c r="J1828" s="89">
        <v>82866</v>
      </c>
      <c r="K1828" t="s">
        <v>127</v>
      </c>
      <c r="L1828" t="s">
        <v>128</v>
      </c>
      <c r="N1828">
        <v>1</v>
      </c>
      <c r="O1828" s="89">
        <v>552.44000000000005</v>
      </c>
      <c r="P1828" s="89">
        <v>9253.3700000000008</v>
      </c>
      <c r="Q1828" t="s">
        <v>137</v>
      </c>
      <c r="R1828" t="s">
        <v>131</v>
      </c>
    </row>
    <row r="1829" spans="3:18" hidden="1" x14ac:dyDescent="0.25">
      <c r="C1829" t="s">
        <v>45</v>
      </c>
      <c r="D1829" t="s">
        <v>24</v>
      </c>
      <c r="E1829" t="s">
        <v>40</v>
      </c>
      <c r="F1829" t="s">
        <v>41</v>
      </c>
      <c r="G1829" s="89">
        <v>1143241</v>
      </c>
      <c r="H1829" t="s">
        <v>132</v>
      </c>
      <c r="I1829" t="s">
        <v>133</v>
      </c>
      <c r="J1829" s="89">
        <v>29724266</v>
      </c>
      <c r="K1829" t="s">
        <v>127</v>
      </c>
      <c r="L1829" t="s">
        <v>128</v>
      </c>
      <c r="N1829">
        <v>1</v>
      </c>
      <c r="O1829" s="89">
        <v>34297.230000000003</v>
      </c>
      <c r="P1829" s="89">
        <v>342972.3</v>
      </c>
      <c r="Q1829" t="s">
        <v>130</v>
      </c>
      <c r="R1829" t="s">
        <v>131</v>
      </c>
    </row>
    <row r="1830" spans="3:18" hidden="1" x14ac:dyDescent="0.25">
      <c r="C1830" t="s">
        <v>45</v>
      </c>
      <c r="D1830" t="s">
        <v>19</v>
      </c>
      <c r="E1830" t="s">
        <v>43</v>
      </c>
      <c r="F1830" t="s">
        <v>41</v>
      </c>
      <c r="G1830" s="89">
        <v>1758199</v>
      </c>
      <c r="H1830" t="s">
        <v>140</v>
      </c>
      <c r="I1830" t="s">
        <v>126</v>
      </c>
      <c r="J1830" s="89">
        <v>28131184</v>
      </c>
      <c r="K1830" t="s">
        <v>144</v>
      </c>
      <c r="N1830">
        <v>1</v>
      </c>
      <c r="O1830" s="89">
        <v>52745.97</v>
      </c>
      <c r="P1830" s="89">
        <v>386803.78</v>
      </c>
      <c r="Q1830" t="s">
        <v>130</v>
      </c>
      <c r="R1830" t="s">
        <v>131</v>
      </c>
    </row>
    <row r="1831" spans="3:18" hidden="1" x14ac:dyDescent="0.25">
      <c r="C1831" t="s">
        <v>45</v>
      </c>
      <c r="D1831" t="s">
        <v>22</v>
      </c>
      <c r="E1831" t="s">
        <v>40</v>
      </c>
      <c r="F1831" t="s">
        <v>41</v>
      </c>
      <c r="G1831" s="89">
        <v>149736032</v>
      </c>
      <c r="H1831" t="s">
        <v>132</v>
      </c>
      <c r="I1831" t="s">
        <v>133</v>
      </c>
      <c r="J1831" s="89">
        <v>4192608896</v>
      </c>
      <c r="K1831" t="s">
        <v>127</v>
      </c>
      <c r="L1831" t="s">
        <v>128</v>
      </c>
      <c r="N1831">
        <v>1</v>
      </c>
      <c r="O1831" s="89">
        <v>4492080.96</v>
      </c>
      <c r="P1831" s="89">
        <v>103317862.08</v>
      </c>
      <c r="Q1831" t="s">
        <v>137</v>
      </c>
      <c r="R1831" t="s">
        <v>131</v>
      </c>
    </row>
    <row r="1832" spans="3:18" x14ac:dyDescent="0.25">
      <c r="C1832" t="s">
        <v>47</v>
      </c>
      <c r="D1832" t="s">
        <v>24</v>
      </c>
      <c r="E1832" t="s">
        <v>52</v>
      </c>
      <c r="F1832" t="s">
        <v>41</v>
      </c>
      <c r="G1832" s="89">
        <v>516907</v>
      </c>
      <c r="H1832" t="s">
        <v>42</v>
      </c>
      <c r="I1832" t="s">
        <v>147</v>
      </c>
      <c r="J1832" s="89">
        <v>2067628</v>
      </c>
      <c r="K1832" t="s">
        <v>127</v>
      </c>
      <c r="L1832" t="s">
        <v>128</v>
      </c>
      <c r="M1832" t="s">
        <v>148</v>
      </c>
      <c r="N1832">
        <v>1</v>
      </c>
      <c r="O1832" s="89">
        <v>20676.28</v>
      </c>
      <c r="P1832" s="89">
        <v>77536.05</v>
      </c>
      <c r="Q1832" t="s">
        <v>130</v>
      </c>
      <c r="R1832" t="s">
        <v>42</v>
      </c>
    </row>
    <row r="1833" spans="3:18" x14ac:dyDescent="0.25">
      <c r="C1833" t="s">
        <v>47</v>
      </c>
      <c r="D1833" t="s">
        <v>25</v>
      </c>
      <c r="E1833" t="s">
        <v>48</v>
      </c>
      <c r="F1833" t="s">
        <v>41</v>
      </c>
      <c r="G1833" s="89">
        <v>20477</v>
      </c>
      <c r="H1833" t="s">
        <v>42</v>
      </c>
      <c r="I1833" t="s">
        <v>141</v>
      </c>
      <c r="J1833" s="89">
        <v>163816</v>
      </c>
      <c r="K1833" t="s">
        <v>127</v>
      </c>
      <c r="L1833" t="s">
        <v>128</v>
      </c>
      <c r="M1833" t="s">
        <v>155</v>
      </c>
      <c r="N1833">
        <v>1</v>
      </c>
      <c r="O1833" s="89">
        <v>1228.6199999999999</v>
      </c>
      <c r="P1833" s="89">
        <v>6962.18</v>
      </c>
      <c r="Q1833" t="s">
        <v>130</v>
      </c>
      <c r="R1833" t="s">
        <v>131</v>
      </c>
    </row>
    <row r="1834" spans="3:18" hidden="1" x14ac:dyDescent="0.25">
      <c r="C1834" t="s">
        <v>45</v>
      </c>
      <c r="D1834" t="s">
        <v>21</v>
      </c>
      <c r="E1834" t="s">
        <v>40</v>
      </c>
      <c r="F1834" t="s">
        <v>41</v>
      </c>
      <c r="G1834" s="89">
        <v>2891</v>
      </c>
      <c r="H1834" t="s">
        <v>146</v>
      </c>
      <c r="I1834" t="s">
        <v>126</v>
      </c>
      <c r="J1834" s="89">
        <v>57820</v>
      </c>
      <c r="K1834" t="s">
        <v>134</v>
      </c>
      <c r="L1834" t="s">
        <v>128</v>
      </c>
      <c r="N1834">
        <v>1</v>
      </c>
      <c r="O1834" s="89">
        <v>86.73</v>
      </c>
      <c r="P1834" s="89">
        <v>115.64</v>
      </c>
      <c r="Q1834" t="s">
        <v>130</v>
      </c>
      <c r="R1834" t="s">
        <v>131</v>
      </c>
    </row>
    <row r="1835" spans="3:18" hidden="1" x14ac:dyDescent="0.25">
      <c r="C1835" t="s">
        <v>45</v>
      </c>
      <c r="D1835" t="s">
        <v>23</v>
      </c>
      <c r="E1835" t="s">
        <v>43</v>
      </c>
      <c r="F1835" t="s">
        <v>41</v>
      </c>
      <c r="G1835" s="89">
        <v>48918</v>
      </c>
      <c r="H1835" t="s">
        <v>146</v>
      </c>
      <c r="I1835" t="s">
        <v>126</v>
      </c>
      <c r="J1835" s="89">
        <v>782688</v>
      </c>
      <c r="K1835" t="s">
        <v>144</v>
      </c>
      <c r="N1835">
        <v>1</v>
      </c>
      <c r="O1835" s="89">
        <v>1467.54</v>
      </c>
      <c r="P1835" s="89">
        <v>17121.3</v>
      </c>
      <c r="Q1835" t="s">
        <v>130</v>
      </c>
      <c r="R1835" t="s">
        <v>131</v>
      </c>
    </row>
    <row r="1836" spans="3:18" hidden="1" x14ac:dyDescent="0.25">
      <c r="C1836" t="s">
        <v>45</v>
      </c>
      <c r="D1836" t="s">
        <v>138</v>
      </c>
      <c r="E1836" t="s">
        <v>43</v>
      </c>
      <c r="F1836" t="s">
        <v>41</v>
      </c>
      <c r="G1836" s="89">
        <v>362844</v>
      </c>
      <c r="H1836" t="s">
        <v>42</v>
      </c>
      <c r="I1836" t="s">
        <v>141</v>
      </c>
      <c r="J1836" s="89">
        <v>2902752</v>
      </c>
      <c r="K1836" t="s">
        <v>134</v>
      </c>
      <c r="L1836" t="s">
        <v>128</v>
      </c>
      <c r="M1836" t="s">
        <v>139</v>
      </c>
      <c r="N1836">
        <v>1</v>
      </c>
      <c r="O1836" s="89">
        <v>10885.32</v>
      </c>
      <c r="P1836" s="89">
        <v>76197.240000000005</v>
      </c>
      <c r="Q1836" t="s">
        <v>130</v>
      </c>
      <c r="R1836" t="s">
        <v>131</v>
      </c>
    </row>
    <row r="1837" spans="3:18" hidden="1" x14ac:dyDescent="0.25">
      <c r="C1837" t="s">
        <v>45</v>
      </c>
      <c r="D1837" t="s">
        <v>20</v>
      </c>
      <c r="E1837" t="s">
        <v>43</v>
      </c>
      <c r="F1837" t="s">
        <v>41</v>
      </c>
      <c r="G1837" s="89">
        <v>129456</v>
      </c>
      <c r="H1837" t="s">
        <v>42</v>
      </c>
      <c r="I1837" t="s">
        <v>133</v>
      </c>
      <c r="J1837" s="89">
        <v>2977488</v>
      </c>
      <c r="K1837" t="s">
        <v>127</v>
      </c>
      <c r="L1837" t="s">
        <v>128</v>
      </c>
      <c r="M1837" t="s">
        <v>143</v>
      </c>
      <c r="N1837">
        <v>1</v>
      </c>
      <c r="O1837" s="89">
        <v>3883.68</v>
      </c>
      <c r="P1837" s="89">
        <v>59549.760000000002</v>
      </c>
      <c r="Q1837" t="s">
        <v>142</v>
      </c>
      <c r="R1837" t="s">
        <v>131</v>
      </c>
    </row>
    <row r="1838" spans="3:18" hidden="1" x14ac:dyDescent="0.25">
      <c r="C1838" t="s">
        <v>45</v>
      </c>
      <c r="D1838" t="s">
        <v>21</v>
      </c>
      <c r="E1838" t="s">
        <v>40</v>
      </c>
      <c r="F1838" t="s">
        <v>41</v>
      </c>
      <c r="G1838" s="89">
        <v>444053</v>
      </c>
      <c r="H1838" t="s">
        <v>140</v>
      </c>
      <c r="I1838" t="s">
        <v>133</v>
      </c>
      <c r="J1838" s="89">
        <v>15097802</v>
      </c>
      <c r="K1838" t="s">
        <v>127</v>
      </c>
      <c r="L1838" t="s">
        <v>151</v>
      </c>
      <c r="N1838">
        <v>1</v>
      </c>
      <c r="O1838" s="89">
        <v>13321.59</v>
      </c>
      <c r="P1838" s="89">
        <v>306396.57</v>
      </c>
      <c r="Q1838" t="s">
        <v>137</v>
      </c>
      <c r="R1838" t="s">
        <v>131</v>
      </c>
    </row>
    <row r="1839" spans="3:18" hidden="1" x14ac:dyDescent="0.25">
      <c r="C1839" t="s">
        <v>45</v>
      </c>
      <c r="D1839" t="s">
        <v>21</v>
      </c>
      <c r="E1839" t="s">
        <v>43</v>
      </c>
      <c r="F1839" t="s">
        <v>41</v>
      </c>
      <c r="G1839" s="89">
        <v>2260068</v>
      </c>
      <c r="H1839" t="s">
        <v>42</v>
      </c>
      <c r="I1839" t="s">
        <v>126</v>
      </c>
      <c r="J1839" s="89">
        <v>36161088</v>
      </c>
      <c r="K1839" t="s">
        <v>144</v>
      </c>
      <c r="N1839">
        <v>1</v>
      </c>
      <c r="O1839" s="89">
        <v>67802.039999999994</v>
      </c>
      <c r="P1839" s="89">
        <v>655419.72</v>
      </c>
      <c r="Q1839" t="s">
        <v>130</v>
      </c>
      <c r="R1839" t="s">
        <v>42</v>
      </c>
    </row>
    <row r="1840" spans="3:18" x14ac:dyDescent="0.25">
      <c r="C1840" t="s">
        <v>47</v>
      </c>
      <c r="D1840" t="s">
        <v>23</v>
      </c>
      <c r="E1840" t="s">
        <v>48</v>
      </c>
      <c r="F1840" t="s">
        <v>41</v>
      </c>
      <c r="G1840" s="89">
        <v>113400</v>
      </c>
      <c r="H1840" t="s">
        <v>140</v>
      </c>
      <c r="I1840" t="s">
        <v>126</v>
      </c>
      <c r="J1840" s="89">
        <v>1360800</v>
      </c>
      <c r="K1840" t="s">
        <v>127</v>
      </c>
      <c r="L1840" t="s">
        <v>128</v>
      </c>
      <c r="N1840">
        <v>1</v>
      </c>
      <c r="O1840" s="89">
        <v>5670</v>
      </c>
      <c r="P1840" s="89">
        <v>82782</v>
      </c>
      <c r="Q1840" t="s">
        <v>137</v>
      </c>
      <c r="R1840" t="s">
        <v>131</v>
      </c>
    </row>
    <row r="1841" spans="3:18" x14ac:dyDescent="0.25">
      <c r="C1841" t="s">
        <v>47</v>
      </c>
      <c r="D1841" t="s">
        <v>138</v>
      </c>
      <c r="E1841" t="s">
        <v>40</v>
      </c>
      <c r="F1841" t="s">
        <v>41</v>
      </c>
      <c r="G1841" s="89">
        <v>2716139</v>
      </c>
      <c r="H1841" t="s">
        <v>140</v>
      </c>
      <c r="I1841" t="s">
        <v>147</v>
      </c>
      <c r="J1841" s="89">
        <v>8148417</v>
      </c>
      <c r="K1841" t="s">
        <v>127</v>
      </c>
      <c r="L1841" t="s">
        <v>128</v>
      </c>
      <c r="N1841">
        <v>1</v>
      </c>
      <c r="O1841" s="89">
        <v>81484.17</v>
      </c>
      <c r="P1841" s="89">
        <v>2009942.86</v>
      </c>
      <c r="Q1841" t="s">
        <v>137</v>
      </c>
      <c r="R1841" t="s">
        <v>131</v>
      </c>
    </row>
    <row r="1842" spans="3:18" x14ac:dyDescent="0.25">
      <c r="C1842" t="s">
        <v>47</v>
      </c>
      <c r="D1842" t="s">
        <v>21</v>
      </c>
      <c r="E1842" t="s">
        <v>40</v>
      </c>
      <c r="F1842" t="s">
        <v>41</v>
      </c>
      <c r="G1842" s="89">
        <v>2960155</v>
      </c>
      <c r="H1842" t="s">
        <v>42</v>
      </c>
      <c r="I1842" t="s">
        <v>141</v>
      </c>
      <c r="J1842" s="89">
        <v>23681240</v>
      </c>
      <c r="K1842" t="s">
        <v>127</v>
      </c>
      <c r="L1842" t="s">
        <v>128</v>
      </c>
      <c r="M1842" t="s">
        <v>129</v>
      </c>
      <c r="N1842">
        <v>1</v>
      </c>
      <c r="O1842" s="89">
        <v>118406.2</v>
      </c>
      <c r="P1842" s="89">
        <v>1450475.95</v>
      </c>
      <c r="Q1842" t="s">
        <v>142</v>
      </c>
      <c r="R1842" t="s">
        <v>131</v>
      </c>
    </row>
    <row r="1843" spans="3:18" hidden="1" x14ac:dyDescent="0.25">
      <c r="C1843" t="s">
        <v>45</v>
      </c>
      <c r="D1843" t="s">
        <v>23</v>
      </c>
      <c r="E1843" t="s">
        <v>40</v>
      </c>
      <c r="F1843" t="s">
        <v>41</v>
      </c>
      <c r="G1843" s="89">
        <v>484</v>
      </c>
      <c r="H1843" t="s">
        <v>132</v>
      </c>
      <c r="I1843" t="s">
        <v>147</v>
      </c>
      <c r="J1843" s="89"/>
      <c r="K1843" t="s">
        <v>127</v>
      </c>
      <c r="L1843" t="s">
        <v>128</v>
      </c>
      <c r="N1843">
        <v>0</v>
      </c>
      <c r="O1843" s="89">
        <v>4.84</v>
      </c>
      <c r="P1843" s="89">
        <v>0</v>
      </c>
      <c r="Q1843" t="s">
        <v>130</v>
      </c>
      <c r="R1843" t="s">
        <v>131</v>
      </c>
    </row>
    <row r="1844" spans="3:18" hidden="1" x14ac:dyDescent="0.25">
      <c r="C1844" t="s">
        <v>45</v>
      </c>
      <c r="D1844" t="s">
        <v>24</v>
      </c>
      <c r="E1844" t="s">
        <v>44</v>
      </c>
      <c r="F1844" t="s">
        <v>41</v>
      </c>
      <c r="G1844" s="89">
        <v>407149</v>
      </c>
      <c r="H1844" t="s">
        <v>145</v>
      </c>
      <c r="I1844" t="s">
        <v>126</v>
      </c>
      <c r="J1844" s="89">
        <v>6514384</v>
      </c>
      <c r="K1844" t="s">
        <v>127</v>
      </c>
      <c r="L1844" t="s">
        <v>128</v>
      </c>
      <c r="N1844">
        <v>1</v>
      </c>
      <c r="O1844" s="89">
        <v>12214.47</v>
      </c>
      <c r="P1844" s="89">
        <v>195431.52</v>
      </c>
      <c r="Q1844" t="s">
        <v>142</v>
      </c>
      <c r="R1844" t="s">
        <v>131</v>
      </c>
    </row>
    <row r="1845" spans="3:18" hidden="1" x14ac:dyDescent="0.25">
      <c r="C1845" t="s">
        <v>45</v>
      </c>
      <c r="D1845" t="s">
        <v>19</v>
      </c>
      <c r="E1845" t="s">
        <v>43</v>
      </c>
      <c r="F1845" t="s">
        <v>41</v>
      </c>
      <c r="G1845" s="89">
        <v>318510</v>
      </c>
      <c r="H1845" t="s">
        <v>42</v>
      </c>
      <c r="I1845" t="s">
        <v>141</v>
      </c>
      <c r="J1845" s="89">
        <v>3185100</v>
      </c>
      <c r="K1845" t="s">
        <v>144</v>
      </c>
      <c r="N1845">
        <v>1</v>
      </c>
      <c r="O1845" s="89">
        <v>12740.4</v>
      </c>
      <c r="P1845" s="89">
        <v>213401.7</v>
      </c>
      <c r="Q1845" t="s">
        <v>137</v>
      </c>
      <c r="R1845" t="s">
        <v>131</v>
      </c>
    </row>
    <row r="1846" spans="3:18" x14ac:dyDescent="0.25">
      <c r="C1846" t="s">
        <v>47</v>
      </c>
      <c r="D1846" t="s">
        <v>20</v>
      </c>
      <c r="E1846" t="s">
        <v>43</v>
      </c>
      <c r="F1846" t="s">
        <v>41</v>
      </c>
      <c r="G1846" s="89">
        <v>538861</v>
      </c>
      <c r="H1846" t="s">
        <v>145</v>
      </c>
      <c r="I1846" t="s">
        <v>141</v>
      </c>
      <c r="J1846" s="89">
        <v>3233166</v>
      </c>
      <c r="K1846" t="s">
        <v>127</v>
      </c>
      <c r="L1846" t="s">
        <v>128</v>
      </c>
      <c r="N1846">
        <v>1</v>
      </c>
      <c r="O1846" s="89">
        <v>21554.44</v>
      </c>
      <c r="P1846" s="89">
        <v>177824.13</v>
      </c>
      <c r="Q1846" t="s">
        <v>130</v>
      </c>
      <c r="R1846" t="s">
        <v>131</v>
      </c>
    </row>
    <row r="1847" spans="3:18" hidden="1" x14ac:dyDescent="0.25">
      <c r="C1847" t="s">
        <v>45</v>
      </c>
      <c r="D1847" t="s">
        <v>24</v>
      </c>
      <c r="E1847" t="s">
        <v>48</v>
      </c>
      <c r="F1847" t="s">
        <v>41</v>
      </c>
      <c r="G1847" s="89">
        <v>263959</v>
      </c>
      <c r="H1847" t="s">
        <v>140</v>
      </c>
      <c r="I1847" t="s">
        <v>126</v>
      </c>
      <c r="J1847" s="89">
        <v>3695426</v>
      </c>
      <c r="K1847" t="s">
        <v>127</v>
      </c>
      <c r="L1847" t="s">
        <v>151</v>
      </c>
      <c r="N1847">
        <v>1</v>
      </c>
      <c r="O1847" s="89">
        <v>7918.77</v>
      </c>
      <c r="P1847" s="89">
        <v>58070.98</v>
      </c>
      <c r="Q1847" t="s">
        <v>130</v>
      </c>
      <c r="R1847" t="s">
        <v>131</v>
      </c>
    </row>
    <row r="1848" spans="3:18" x14ac:dyDescent="0.25">
      <c r="C1848" t="s">
        <v>47</v>
      </c>
      <c r="D1848" t="s">
        <v>21</v>
      </c>
      <c r="E1848" t="s">
        <v>43</v>
      </c>
      <c r="F1848" t="s">
        <v>41</v>
      </c>
      <c r="G1848" s="89">
        <v>5813642</v>
      </c>
      <c r="H1848" t="s">
        <v>140</v>
      </c>
      <c r="I1848" t="s">
        <v>147</v>
      </c>
      <c r="J1848" s="89">
        <v>29068210</v>
      </c>
      <c r="K1848" t="s">
        <v>144</v>
      </c>
      <c r="N1848">
        <v>1</v>
      </c>
      <c r="O1848" s="89">
        <v>232545.68</v>
      </c>
      <c r="P1848" s="89">
        <v>3430048.78</v>
      </c>
      <c r="Q1848" t="s">
        <v>142</v>
      </c>
      <c r="R1848" t="s">
        <v>131</v>
      </c>
    </row>
    <row r="1849" spans="3:18" hidden="1" x14ac:dyDescent="0.25">
      <c r="C1849" t="s">
        <v>45</v>
      </c>
      <c r="D1849" t="s">
        <v>23</v>
      </c>
      <c r="E1849" t="s">
        <v>43</v>
      </c>
      <c r="F1849" t="s">
        <v>41</v>
      </c>
      <c r="G1849" s="89">
        <v>148863</v>
      </c>
      <c r="H1849" t="s">
        <v>140</v>
      </c>
      <c r="I1849" t="s">
        <v>141</v>
      </c>
      <c r="J1849" s="89">
        <v>1339767</v>
      </c>
      <c r="K1849" t="s">
        <v>127</v>
      </c>
      <c r="L1849" t="s">
        <v>128</v>
      </c>
      <c r="N1849">
        <v>1</v>
      </c>
      <c r="O1849" s="89">
        <v>4465.8900000000003</v>
      </c>
      <c r="P1849" s="89">
        <v>68476.98</v>
      </c>
      <c r="Q1849" t="s">
        <v>142</v>
      </c>
      <c r="R1849" t="s">
        <v>131</v>
      </c>
    </row>
    <row r="1850" spans="3:18" x14ac:dyDescent="0.25">
      <c r="C1850" t="s">
        <v>47</v>
      </c>
      <c r="D1850" t="s">
        <v>24</v>
      </c>
      <c r="E1850" t="s">
        <v>44</v>
      </c>
      <c r="F1850" t="s">
        <v>41</v>
      </c>
      <c r="G1850" s="89">
        <v>882092</v>
      </c>
      <c r="H1850" t="s">
        <v>146</v>
      </c>
      <c r="I1850" t="s">
        <v>126</v>
      </c>
      <c r="J1850" s="89">
        <v>9703012</v>
      </c>
      <c r="K1850" t="s">
        <v>127</v>
      </c>
      <c r="L1850" t="s">
        <v>128</v>
      </c>
      <c r="N1850">
        <v>1</v>
      </c>
      <c r="O1850" s="89">
        <v>44104.6</v>
      </c>
      <c r="P1850" s="89">
        <v>405762.32</v>
      </c>
      <c r="Q1850" t="s">
        <v>142</v>
      </c>
      <c r="R1850" t="s">
        <v>131</v>
      </c>
    </row>
    <row r="1851" spans="3:18" x14ac:dyDescent="0.25">
      <c r="C1851" t="s">
        <v>47</v>
      </c>
      <c r="D1851" t="s">
        <v>138</v>
      </c>
      <c r="E1851" t="s">
        <v>40</v>
      </c>
      <c r="F1851" t="s">
        <v>41</v>
      </c>
      <c r="G1851" s="89">
        <v>501844</v>
      </c>
      <c r="H1851" t="s">
        <v>42</v>
      </c>
      <c r="I1851" t="s">
        <v>153</v>
      </c>
      <c r="J1851" s="89"/>
      <c r="K1851" t="s">
        <v>127</v>
      </c>
      <c r="L1851" t="s">
        <v>128</v>
      </c>
      <c r="M1851" t="s">
        <v>139</v>
      </c>
      <c r="N1851">
        <v>0</v>
      </c>
      <c r="O1851" s="89">
        <v>20073.759999999998</v>
      </c>
      <c r="P1851" s="89">
        <v>321180.15999999997</v>
      </c>
      <c r="Q1851" t="s">
        <v>137</v>
      </c>
      <c r="R1851" t="s">
        <v>131</v>
      </c>
    </row>
    <row r="1852" spans="3:18" hidden="1" x14ac:dyDescent="0.25">
      <c r="C1852" t="s">
        <v>45</v>
      </c>
      <c r="D1852" t="s">
        <v>21</v>
      </c>
      <c r="E1852" t="s">
        <v>43</v>
      </c>
      <c r="F1852" t="s">
        <v>41</v>
      </c>
      <c r="G1852" s="89">
        <v>1326156</v>
      </c>
      <c r="H1852" t="s">
        <v>42</v>
      </c>
      <c r="I1852" t="s">
        <v>126</v>
      </c>
      <c r="J1852" s="89">
        <v>23870808</v>
      </c>
      <c r="K1852" t="s">
        <v>144</v>
      </c>
      <c r="N1852">
        <v>1</v>
      </c>
      <c r="O1852" s="89">
        <v>39784.68</v>
      </c>
      <c r="P1852" s="89">
        <v>663078</v>
      </c>
      <c r="Q1852" t="s">
        <v>142</v>
      </c>
      <c r="R1852" t="s">
        <v>42</v>
      </c>
    </row>
    <row r="1853" spans="3:18" hidden="1" x14ac:dyDescent="0.25">
      <c r="C1853" t="s">
        <v>45</v>
      </c>
      <c r="D1853" t="s">
        <v>138</v>
      </c>
      <c r="E1853" t="s">
        <v>48</v>
      </c>
      <c r="F1853" t="s">
        <v>41</v>
      </c>
      <c r="G1853" s="89">
        <v>139182</v>
      </c>
      <c r="H1853" t="s">
        <v>42</v>
      </c>
      <c r="I1853" t="s">
        <v>126</v>
      </c>
      <c r="J1853" s="89">
        <v>1809366</v>
      </c>
      <c r="K1853" t="s">
        <v>134</v>
      </c>
      <c r="L1853" t="s">
        <v>128</v>
      </c>
      <c r="M1853" t="s">
        <v>139</v>
      </c>
      <c r="N1853">
        <v>1</v>
      </c>
      <c r="O1853" s="89">
        <v>4175.46</v>
      </c>
      <c r="P1853" s="89">
        <v>52889.16</v>
      </c>
      <c r="Q1853" t="s">
        <v>130</v>
      </c>
      <c r="R1853" t="s">
        <v>131</v>
      </c>
    </row>
    <row r="1854" spans="3:18" hidden="1" x14ac:dyDescent="0.25">
      <c r="C1854" t="s">
        <v>45</v>
      </c>
      <c r="D1854" t="s">
        <v>19</v>
      </c>
      <c r="E1854" t="s">
        <v>43</v>
      </c>
      <c r="F1854" t="s">
        <v>53</v>
      </c>
      <c r="G1854" s="89">
        <v>89428</v>
      </c>
      <c r="H1854" t="s">
        <v>140</v>
      </c>
      <c r="I1854" t="s">
        <v>126</v>
      </c>
      <c r="J1854" s="89">
        <v>1162564</v>
      </c>
      <c r="K1854" t="s">
        <v>144</v>
      </c>
      <c r="N1854">
        <v>1</v>
      </c>
      <c r="O1854" s="89">
        <v>2682.84</v>
      </c>
      <c r="P1854" s="89">
        <v>42925.440000000002</v>
      </c>
      <c r="Q1854" t="s">
        <v>142</v>
      </c>
      <c r="R1854" t="s">
        <v>131</v>
      </c>
    </row>
    <row r="1855" spans="3:18" hidden="1" x14ac:dyDescent="0.25">
      <c r="C1855" t="s">
        <v>45</v>
      </c>
      <c r="D1855" t="s">
        <v>138</v>
      </c>
      <c r="E1855" t="s">
        <v>43</v>
      </c>
      <c r="F1855" t="s">
        <v>53</v>
      </c>
      <c r="G1855" s="89">
        <v>123012</v>
      </c>
      <c r="H1855" t="s">
        <v>42</v>
      </c>
      <c r="I1855" t="s">
        <v>126</v>
      </c>
      <c r="J1855" s="89">
        <v>2214216</v>
      </c>
      <c r="K1855" t="s">
        <v>144</v>
      </c>
      <c r="N1855">
        <v>1</v>
      </c>
      <c r="O1855" s="89">
        <v>3690.36</v>
      </c>
      <c r="P1855" s="89">
        <v>79957.8</v>
      </c>
      <c r="Q1855" t="s">
        <v>137</v>
      </c>
      <c r="R1855" t="s">
        <v>131</v>
      </c>
    </row>
    <row r="1856" spans="3:18" hidden="1" x14ac:dyDescent="0.25">
      <c r="C1856" t="s">
        <v>45</v>
      </c>
      <c r="D1856" t="s">
        <v>19</v>
      </c>
      <c r="E1856" t="s">
        <v>43</v>
      </c>
      <c r="F1856" t="s">
        <v>41</v>
      </c>
      <c r="G1856" s="89">
        <v>1460378</v>
      </c>
      <c r="H1856" t="s">
        <v>146</v>
      </c>
      <c r="I1856" t="s">
        <v>141</v>
      </c>
      <c r="J1856" s="89">
        <v>11683024</v>
      </c>
      <c r="K1856" t="s">
        <v>127</v>
      </c>
      <c r="L1856" t="s">
        <v>128</v>
      </c>
      <c r="N1856">
        <v>1</v>
      </c>
      <c r="O1856" s="89">
        <v>58415.12</v>
      </c>
      <c r="P1856" s="89">
        <v>700981.44</v>
      </c>
      <c r="Q1856" t="s">
        <v>142</v>
      </c>
      <c r="R1856" t="s">
        <v>131</v>
      </c>
    </row>
    <row r="1857" spans="3:18" hidden="1" x14ac:dyDescent="0.25">
      <c r="C1857" t="s">
        <v>45</v>
      </c>
      <c r="D1857" t="s">
        <v>21</v>
      </c>
      <c r="E1857" t="s">
        <v>43</v>
      </c>
      <c r="F1857" t="s">
        <v>41</v>
      </c>
      <c r="G1857" s="89">
        <v>43731</v>
      </c>
      <c r="H1857" t="s">
        <v>146</v>
      </c>
      <c r="I1857" t="s">
        <v>141</v>
      </c>
      <c r="J1857" s="89">
        <v>393579</v>
      </c>
      <c r="K1857" t="s">
        <v>144</v>
      </c>
      <c r="N1857">
        <v>1</v>
      </c>
      <c r="O1857" s="89">
        <v>1311.93</v>
      </c>
      <c r="P1857" s="89">
        <v>27987.84</v>
      </c>
      <c r="Q1857" t="s">
        <v>137</v>
      </c>
      <c r="R1857" t="s">
        <v>131</v>
      </c>
    </row>
    <row r="1858" spans="3:18" hidden="1" x14ac:dyDescent="0.25">
      <c r="C1858" t="s">
        <v>45</v>
      </c>
      <c r="D1858" t="s">
        <v>22</v>
      </c>
      <c r="E1858" t="s">
        <v>46</v>
      </c>
      <c r="F1858" t="s">
        <v>41</v>
      </c>
      <c r="G1858" s="89">
        <v>193778</v>
      </c>
      <c r="H1858" t="s">
        <v>42</v>
      </c>
      <c r="I1858" t="s">
        <v>141</v>
      </c>
      <c r="J1858" s="89">
        <v>1744002</v>
      </c>
      <c r="K1858" t="s">
        <v>144</v>
      </c>
      <c r="N1858">
        <v>1</v>
      </c>
      <c r="O1858" s="89">
        <v>5813.34</v>
      </c>
      <c r="P1858" s="89">
        <v>71697.86</v>
      </c>
      <c r="Q1858" t="s">
        <v>130</v>
      </c>
      <c r="R1858" t="s">
        <v>42</v>
      </c>
    </row>
    <row r="1859" spans="3:18" hidden="1" x14ac:dyDescent="0.25">
      <c r="C1859" t="s">
        <v>45</v>
      </c>
      <c r="D1859" t="s">
        <v>22</v>
      </c>
      <c r="E1859" t="s">
        <v>40</v>
      </c>
      <c r="F1859" t="s">
        <v>41</v>
      </c>
      <c r="G1859" s="89">
        <v>165589</v>
      </c>
      <c r="H1859" t="s">
        <v>145</v>
      </c>
      <c r="I1859" t="s">
        <v>141</v>
      </c>
      <c r="J1859" s="89">
        <v>1324712</v>
      </c>
      <c r="K1859" t="s">
        <v>134</v>
      </c>
      <c r="L1859" t="s">
        <v>128</v>
      </c>
      <c r="N1859">
        <v>1</v>
      </c>
      <c r="O1859" s="89">
        <v>4967.67</v>
      </c>
      <c r="P1859" s="89">
        <v>36429.58</v>
      </c>
      <c r="Q1859" t="s">
        <v>130</v>
      </c>
      <c r="R1859" t="s">
        <v>131</v>
      </c>
    </row>
    <row r="1860" spans="3:18" hidden="1" x14ac:dyDescent="0.25">
      <c r="C1860" t="s">
        <v>45</v>
      </c>
      <c r="D1860" t="s">
        <v>149</v>
      </c>
      <c r="E1860" t="s">
        <v>43</v>
      </c>
      <c r="F1860" t="s">
        <v>41</v>
      </c>
      <c r="G1860" s="89">
        <v>313207</v>
      </c>
      <c r="H1860" t="s">
        <v>42</v>
      </c>
      <c r="I1860" t="s">
        <v>141</v>
      </c>
      <c r="J1860" s="89">
        <v>3132070</v>
      </c>
      <c r="K1860" t="s">
        <v>144</v>
      </c>
      <c r="N1860">
        <v>1</v>
      </c>
      <c r="O1860" s="89">
        <v>9396.2099999999991</v>
      </c>
      <c r="P1860" s="89">
        <v>259961.81</v>
      </c>
      <c r="Q1860" t="s">
        <v>135</v>
      </c>
      <c r="R1860" t="s">
        <v>42</v>
      </c>
    </row>
    <row r="1861" spans="3:18" hidden="1" x14ac:dyDescent="0.25">
      <c r="C1861" t="s">
        <v>45</v>
      </c>
      <c r="D1861" t="s">
        <v>22</v>
      </c>
      <c r="E1861" t="s">
        <v>52</v>
      </c>
      <c r="F1861" t="s">
        <v>41</v>
      </c>
      <c r="G1861" s="89">
        <v>21824</v>
      </c>
      <c r="H1861" t="s">
        <v>42</v>
      </c>
      <c r="I1861" t="s">
        <v>126</v>
      </c>
      <c r="J1861" s="89">
        <v>349184</v>
      </c>
      <c r="K1861" t="s">
        <v>127</v>
      </c>
      <c r="L1861" t="s">
        <v>128</v>
      </c>
      <c r="M1861" t="s">
        <v>143</v>
      </c>
      <c r="N1861">
        <v>1</v>
      </c>
      <c r="O1861" s="89">
        <v>1091.2</v>
      </c>
      <c r="P1861" s="89">
        <v>8293.1200000000008</v>
      </c>
      <c r="Q1861" t="s">
        <v>130</v>
      </c>
      <c r="R1861" t="s">
        <v>42</v>
      </c>
    </row>
    <row r="1862" spans="3:18" hidden="1" x14ac:dyDescent="0.25">
      <c r="C1862" t="s">
        <v>45</v>
      </c>
      <c r="D1862" t="s">
        <v>138</v>
      </c>
      <c r="E1862" t="s">
        <v>43</v>
      </c>
      <c r="F1862" t="s">
        <v>53</v>
      </c>
      <c r="G1862" s="89">
        <v>117402</v>
      </c>
      <c r="H1862" t="s">
        <v>140</v>
      </c>
      <c r="I1862" t="s">
        <v>133</v>
      </c>
      <c r="J1862" s="89">
        <v>2935050</v>
      </c>
      <c r="K1862" t="s">
        <v>144</v>
      </c>
      <c r="N1862">
        <v>1</v>
      </c>
      <c r="O1862" s="89">
        <v>4696.08</v>
      </c>
      <c r="P1862" s="89">
        <v>15262.26</v>
      </c>
      <c r="Q1862" t="s">
        <v>130</v>
      </c>
      <c r="R1862" t="s">
        <v>131</v>
      </c>
    </row>
    <row r="1863" spans="3:18" hidden="1" x14ac:dyDescent="0.25">
      <c r="C1863" t="s">
        <v>45</v>
      </c>
      <c r="D1863" t="s">
        <v>24</v>
      </c>
      <c r="E1863" t="s">
        <v>46</v>
      </c>
      <c r="F1863" t="s">
        <v>41</v>
      </c>
      <c r="G1863" s="89">
        <v>803196</v>
      </c>
      <c r="H1863" t="s">
        <v>42</v>
      </c>
      <c r="I1863" t="s">
        <v>126</v>
      </c>
      <c r="J1863" s="89">
        <v>13654332</v>
      </c>
      <c r="K1863" t="s">
        <v>127</v>
      </c>
      <c r="L1863" t="s">
        <v>128</v>
      </c>
      <c r="M1863" t="s">
        <v>148</v>
      </c>
      <c r="N1863">
        <v>1</v>
      </c>
      <c r="O1863" s="89">
        <v>32127.84</v>
      </c>
      <c r="P1863" s="89">
        <v>393566.04</v>
      </c>
      <c r="Q1863" t="s">
        <v>142</v>
      </c>
      <c r="R1863" t="s">
        <v>42</v>
      </c>
    </row>
    <row r="1864" spans="3:18" hidden="1" x14ac:dyDescent="0.25">
      <c r="C1864" t="s">
        <v>45</v>
      </c>
      <c r="D1864" t="s">
        <v>23</v>
      </c>
      <c r="E1864" t="s">
        <v>52</v>
      </c>
      <c r="F1864" t="s">
        <v>41</v>
      </c>
      <c r="G1864" s="89">
        <v>926893</v>
      </c>
      <c r="H1864" t="s">
        <v>42</v>
      </c>
      <c r="I1864" t="s">
        <v>133</v>
      </c>
      <c r="J1864" s="89">
        <v>30587469</v>
      </c>
      <c r="K1864" t="s">
        <v>144</v>
      </c>
      <c r="N1864">
        <v>1</v>
      </c>
      <c r="O1864" s="89">
        <v>27806.79</v>
      </c>
      <c r="P1864" s="89">
        <v>222454.32</v>
      </c>
      <c r="Q1864" t="s">
        <v>130</v>
      </c>
      <c r="R1864" t="s">
        <v>42</v>
      </c>
    </row>
    <row r="1865" spans="3:18" x14ac:dyDescent="0.25">
      <c r="C1865" t="s">
        <v>47</v>
      </c>
      <c r="D1865" t="s">
        <v>20</v>
      </c>
      <c r="E1865" t="s">
        <v>40</v>
      </c>
      <c r="F1865" t="s">
        <v>41</v>
      </c>
      <c r="G1865" s="89">
        <v>3455886</v>
      </c>
      <c r="H1865" t="s">
        <v>140</v>
      </c>
      <c r="I1865" t="s">
        <v>141</v>
      </c>
      <c r="J1865" s="89">
        <v>24191202</v>
      </c>
      <c r="K1865" t="s">
        <v>127</v>
      </c>
      <c r="L1865" t="s">
        <v>128</v>
      </c>
      <c r="N1865">
        <v>1</v>
      </c>
      <c r="O1865" s="89">
        <v>138235.44</v>
      </c>
      <c r="P1865" s="89">
        <v>794853.78</v>
      </c>
      <c r="Q1865" t="s">
        <v>130</v>
      </c>
      <c r="R1865" t="s">
        <v>131</v>
      </c>
    </row>
    <row r="1866" spans="3:18" x14ac:dyDescent="0.25">
      <c r="C1866" t="s">
        <v>47</v>
      </c>
      <c r="D1866" t="s">
        <v>50</v>
      </c>
      <c r="E1866" t="s">
        <v>50</v>
      </c>
      <c r="F1866" t="s">
        <v>41</v>
      </c>
      <c r="G1866" s="89">
        <v>2605108</v>
      </c>
      <c r="H1866" t="s">
        <v>51</v>
      </c>
      <c r="I1866" t="s">
        <v>153</v>
      </c>
      <c r="J1866" s="89"/>
      <c r="K1866" t="s">
        <v>127</v>
      </c>
      <c r="N1866">
        <v>0</v>
      </c>
      <c r="O1866" s="89">
        <v>130255.4</v>
      </c>
      <c r="P1866" s="89">
        <v>494970.52</v>
      </c>
      <c r="Q1866" t="s">
        <v>130</v>
      </c>
    </row>
    <row r="1867" spans="3:18" hidden="1" x14ac:dyDescent="0.25">
      <c r="C1867" t="s">
        <v>45</v>
      </c>
      <c r="D1867" t="s">
        <v>22</v>
      </c>
      <c r="E1867" t="s">
        <v>40</v>
      </c>
      <c r="F1867" t="s">
        <v>41</v>
      </c>
      <c r="G1867" s="89">
        <v>28157</v>
      </c>
      <c r="H1867" t="s">
        <v>42</v>
      </c>
      <c r="I1867" t="s">
        <v>126</v>
      </c>
      <c r="J1867" s="89">
        <v>394198</v>
      </c>
      <c r="K1867" t="s">
        <v>127</v>
      </c>
      <c r="L1867" t="s">
        <v>151</v>
      </c>
      <c r="M1867" t="s">
        <v>156</v>
      </c>
      <c r="N1867">
        <v>1</v>
      </c>
      <c r="O1867" s="89">
        <v>844.71</v>
      </c>
      <c r="P1867" s="89">
        <v>7039.25</v>
      </c>
      <c r="Q1867" t="s">
        <v>130</v>
      </c>
      <c r="R1867" t="s">
        <v>131</v>
      </c>
    </row>
    <row r="1868" spans="3:18" hidden="1" x14ac:dyDescent="0.25">
      <c r="C1868" t="s">
        <v>45</v>
      </c>
      <c r="D1868" t="s">
        <v>22</v>
      </c>
      <c r="E1868" t="s">
        <v>40</v>
      </c>
      <c r="F1868" t="s">
        <v>41</v>
      </c>
      <c r="G1868" s="89">
        <v>52417043</v>
      </c>
      <c r="H1868" t="s">
        <v>145</v>
      </c>
      <c r="I1868" t="s">
        <v>126</v>
      </c>
      <c r="J1868" s="89">
        <v>838672688</v>
      </c>
      <c r="K1868" t="s">
        <v>127</v>
      </c>
      <c r="L1868" t="s">
        <v>128</v>
      </c>
      <c r="N1868">
        <v>1</v>
      </c>
      <c r="O1868" s="89">
        <v>1572511.29</v>
      </c>
      <c r="P1868" s="89">
        <v>26208521.5</v>
      </c>
      <c r="Q1868" t="s">
        <v>142</v>
      </c>
      <c r="R1868" t="s">
        <v>131</v>
      </c>
    </row>
    <row r="1869" spans="3:18" hidden="1" x14ac:dyDescent="0.25">
      <c r="C1869" t="s">
        <v>45</v>
      </c>
      <c r="D1869" t="s">
        <v>22</v>
      </c>
      <c r="E1869" t="s">
        <v>43</v>
      </c>
      <c r="F1869" t="s">
        <v>41</v>
      </c>
      <c r="G1869" s="89">
        <v>1314672</v>
      </c>
      <c r="H1869" t="s">
        <v>42</v>
      </c>
      <c r="I1869" t="s">
        <v>133</v>
      </c>
      <c r="J1869" s="89">
        <v>40754832</v>
      </c>
      <c r="K1869" t="s">
        <v>134</v>
      </c>
      <c r="L1869" t="s">
        <v>128</v>
      </c>
      <c r="M1869" t="s">
        <v>143</v>
      </c>
      <c r="N1869">
        <v>1</v>
      </c>
      <c r="O1869" s="89">
        <v>39440.160000000003</v>
      </c>
      <c r="P1869" s="89">
        <v>946563.84</v>
      </c>
      <c r="Q1869" t="s">
        <v>137</v>
      </c>
      <c r="R1869" t="s">
        <v>131</v>
      </c>
    </row>
    <row r="1870" spans="3:18" hidden="1" x14ac:dyDescent="0.25">
      <c r="C1870" t="s">
        <v>45</v>
      </c>
      <c r="D1870" t="s">
        <v>149</v>
      </c>
      <c r="E1870" t="s">
        <v>43</v>
      </c>
      <c r="F1870" t="s">
        <v>41</v>
      </c>
      <c r="G1870" s="89">
        <v>123266</v>
      </c>
      <c r="H1870" t="s">
        <v>132</v>
      </c>
      <c r="I1870" t="s">
        <v>126</v>
      </c>
      <c r="J1870" s="89">
        <v>2465320</v>
      </c>
      <c r="K1870" t="s">
        <v>144</v>
      </c>
      <c r="N1870">
        <v>1</v>
      </c>
      <c r="O1870" s="89">
        <v>3697.98</v>
      </c>
      <c r="P1870" s="89">
        <v>17257.240000000002</v>
      </c>
      <c r="Q1870" t="s">
        <v>130</v>
      </c>
      <c r="R1870" t="s">
        <v>131</v>
      </c>
    </row>
    <row r="1871" spans="3:18" hidden="1" x14ac:dyDescent="0.25">
      <c r="C1871" t="s">
        <v>45</v>
      </c>
      <c r="D1871" t="s">
        <v>23</v>
      </c>
      <c r="E1871" t="s">
        <v>43</v>
      </c>
      <c r="F1871" t="s">
        <v>41</v>
      </c>
      <c r="G1871" s="89">
        <v>100262</v>
      </c>
      <c r="H1871" t="s">
        <v>42</v>
      </c>
      <c r="I1871" t="s">
        <v>133</v>
      </c>
      <c r="J1871" s="89">
        <v>3709694</v>
      </c>
      <c r="K1871" t="s">
        <v>144</v>
      </c>
      <c r="N1871">
        <v>1</v>
      </c>
      <c r="O1871" s="89">
        <v>2005.24</v>
      </c>
      <c r="P1871" s="89">
        <v>21055.02</v>
      </c>
      <c r="Q1871" t="s">
        <v>130</v>
      </c>
      <c r="R1871" t="s">
        <v>42</v>
      </c>
    </row>
    <row r="1872" spans="3:18" x14ac:dyDescent="0.25">
      <c r="C1872" t="s">
        <v>47</v>
      </c>
      <c r="D1872" t="s">
        <v>138</v>
      </c>
      <c r="E1872" t="s">
        <v>40</v>
      </c>
      <c r="F1872" t="s">
        <v>41</v>
      </c>
      <c r="G1872" s="89">
        <v>39026</v>
      </c>
      <c r="H1872" t="s">
        <v>140</v>
      </c>
      <c r="I1872" t="s">
        <v>133</v>
      </c>
      <c r="J1872" s="89">
        <v>1248832</v>
      </c>
      <c r="K1872" t="s">
        <v>127</v>
      </c>
      <c r="L1872" t="s">
        <v>128</v>
      </c>
      <c r="N1872">
        <v>1</v>
      </c>
      <c r="O1872" s="89">
        <v>1170.78</v>
      </c>
      <c r="P1872" s="89">
        <v>29659.759999999998</v>
      </c>
      <c r="Q1872" t="s">
        <v>137</v>
      </c>
      <c r="R1872" t="s">
        <v>131</v>
      </c>
    </row>
    <row r="1873" spans="3:18" hidden="1" x14ac:dyDescent="0.25">
      <c r="C1873" t="s">
        <v>45</v>
      </c>
      <c r="D1873" t="s">
        <v>22</v>
      </c>
      <c r="E1873" t="s">
        <v>40</v>
      </c>
      <c r="F1873" t="s">
        <v>53</v>
      </c>
      <c r="G1873" s="89">
        <v>559768</v>
      </c>
      <c r="H1873" t="s">
        <v>42</v>
      </c>
      <c r="I1873" t="s">
        <v>126</v>
      </c>
      <c r="J1873" s="89">
        <v>8396520</v>
      </c>
      <c r="K1873" t="s">
        <v>144</v>
      </c>
      <c r="N1873">
        <v>1</v>
      </c>
      <c r="O1873" s="89">
        <v>16793.04</v>
      </c>
      <c r="P1873" s="89">
        <v>319067.76</v>
      </c>
      <c r="Q1873" t="s">
        <v>142</v>
      </c>
      <c r="R1873" t="s">
        <v>42</v>
      </c>
    </row>
    <row r="1874" spans="3:18" hidden="1" x14ac:dyDescent="0.25">
      <c r="C1874" t="s">
        <v>45</v>
      </c>
      <c r="D1874" t="s">
        <v>138</v>
      </c>
      <c r="E1874" t="s">
        <v>40</v>
      </c>
      <c r="F1874" t="s">
        <v>41</v>
      </c>
      <c r="G1874" s="89">
        <v>4648609</v>
      </c>
      <c r="H1874" t="s">
        <v>42</v>
      </c>
      <c r="I1874" t="s">
        <v>133</v>
      </c>
      <c r="J1874" s="89">
        <v>148755488</v>
      </c>
      <c r="K1874" t="s">
        <v>144</v>
      </c>
      <c r="N1874">
        <v>1</v>
      </c>
      <c r="O1874" s="89">
        <v>139458.26999999999</v>
      </c>
      <c r="P1874" s="89">
        <v>2324304.5</v>
      </c>
      <c r="Q1874" t="s">
        <v>142</v>
      </c>
      <c r="R1874" t="s">
        <v>42</v>
      </c>
    </row>
    <row r="1875" spans="3:18" hidden="1" x14ac:dyDescent="0.25">
      <c r="C1875" t="s">
        <v>45</v>
      </c>
      <c r="D1875" t="s">
        <v>21</v>
      </c>
      <c r="E1875" t="s">
        <v>40</v>
      </c>
      <c r="F1875" t="s">
        <v>41</v>
      </c>
      <c r="G1875" s="89">
        <v>1894025</v>
      </c>
      <c r="H1875" t="s">
        <v>146</v>
      </c>
      <c r="I1875" t="s">
        <v>126</v>
      </c>
      <c r="J1875" s="89">
        <v>32198425</v>
      </c>
      <c r="K1875" t="s">
        <v>127</v>
      </c>
      <c r="L1875" t="s">
        <v>128</v>
      </c>
      <c r="N1875">
        <v>1</v>
      </c>
      <c r="O1875" s="89">
        <v>75761</v>
      </c>
      <c r="P1875" s="89">
        <v>1268996.75</v>
      </c>
      <c r="Q1875" t="s">
        <v>137</v>
      </c>
      <c r="R1875" t="s">
        <v>131</v>
      </c>
    </row>
    <row r="1876" spans="3:18" hidden="1" x14ac:dyDescent="0.25">
      <c r="C1876" t="s">
        <v>45</v>
      </c>
      <c r="D1876" t="s">
        <v>22</v>
      </c>
      <c r="E1876" t="s">
        <v>48</v>
      </c>
      <c r="F1876" t="s">
        <v>41</v>
      </c>
      <c r="G1876" s="89">
        <v>1159894</v>
      </c>
      <c r="H1876" t="s">
        <v>42</v>
      </c>
      <c r="I1876" t="s">
        <v>126</v>
      </c>
      <c r="J1876" s="89">
        <v>17398410</v>
      </c>
      <c r="K1876" t="s">
        <v>127</v>
      </c>
      <c r="L1876" t="s">
        <v>128</v>
      </c>
      <c r="M1876" t="s">
        <v>143</v>
      </c>
      <c r="N1876">
        <v>1</v>
      </c>
      <c r="O1876" s="89">
        <v>34796.82</v>
      </c>
      <c r="P1876" s="89">
        <v>951113.08</v>
      </c>
      <c r="Q1876" t="s">
        <v>135</v>
      </c>
      <c r="R1876" t="s">
        <v>42</v>
      </c>
    </row>
    <row r="1877" spans="3:18" hidden="1" x14ac:dyDescent="0.25">
      <c r="C1877" t="s">
        <v>45</v>
      </c>
      <c r="D1877" t="s">
        <v>23</v>
      </c>
      <c r="E1877" t="s">
        <v>43</v>
      </c>
      <c r="F1877" t="s">
        <v>41</v>
      </c>
      <c r="G1877" s="89">
        <v>1947742</v>
      </c>
      <c r="H1877" t="s">
        <v>42</v>
      </c>
      <c r="I1877" t="s">
        <v>126</v>
      </c>
      <c r="J1877" s="89">
        <v>29216130</v>
      </c>
      <c r="K1877" t="s">
        <v>127</v>
      </c>
      <c r="L1877" t="s">
        <v>128</v>
      </c>
      <c r="M1877" t="s">
        <v>152</v>
      </c>
      <c r="N1877">
        <v>1</v>
      </c>
      <c r="O1877" s="89">
        <v>58432.26</v>
      </c>
      <c r="P1877" s="89">
        <v>545367.76</v>
      </c>
      <c r="Q1877" t="s">
        <v>130</v>
      </c>
      <c r="R1877" t="s">
        <v>131</v>
      </c>
    </row>
    <row r="1878" spans="3:18" hidden="1" x14ac:dyDescent="0.25">
      <c r="C1878" t="s">
        <v>45</v>
      </c>
      <c r="D1878" t="s">
        <v>22</v>
      </c>
      <c r="E1878" t="s">
        <v>48</v>
      </c>
      <c r="F1878" t="s">
        <v>41</v>
      </c>
      <c r="G1878" s="89">
        <v>4901325</v>
      </c>
      <c r="H1878" t="s">
        <v>42</v>
      </c>
      <c r="I1878" t="s">
        <v>133</v>
      </c>
      <c r="J1878" s="89">
        <v>142138425</v>
      </c>
      <c r="K1878" t="s">
        <v>127</v>
      </c>
      <c r="L1878" t="s">
        <v>128</v>
      </c>
      <c r="M1878" t="s">
        <v>143</v>
      </c>
      <c r="N1878">
        <v>1</v>
      </c>
      <c r="O1878" s="89">
        <v>147039.75</v>
      </c>
      <c r="P1878" s="89">
        <v>2548689</v>
      </c>
      <c r="Q1878" t="s">
        <v>142</v>
      </c>
      <c r="R1878" t="s">
        <v>131</v>
      </c>
    </row>
    <row r="1879" spans="3:18" hidden="1" x14ac:dyDescent="0.25">
      <c r="C1879" t="s">
        <v>45</v>
      </c>
      <c r="D1879" t="s">
        <v>19</v>
      </c>
      <c r="E1879" t="s">
        <v>43</v>
      </c>
      <c r="F1879" t="s">
        <v>41</v>
      </c>
      <c r="G1879" s="89">
        <v>5742256</v>
      </c>
      <c r="H1879" t="s">
        <v>146</v>
      </c>
      <c r="I1879" t="s">
        <v>147</v>
      </c>
      <c r="J1879" s="89">
        <v>17226768</v>
      </c>
      <c r="K1879" t="s">
        <v>127</v>
      </c>
      <c r="L1879" t="s">
        <v>128</v>
      </c>
      <c r="N1879">
        <v>1</v>
      </c>
      <c r="O1879" s="89">
        <v>229690.23999999999</v>
      </c>
      <c r="P1879" s="89">
        <v>574225.6</v>
      </c>
      <c r="Q1879" t="s">
        <v>130</v>
      </c>
      <c r="R1879" t="s">
        <v>131</v>
      </c>
    </row>
    <row r="1880" spans="3:18" hidden="1" x14ac:dyDescent="0.25">
      <c r="C1880" t="s">
        <v>45</v>
      </c>
      <c r="D1880" t="s">
        <v>20</v>
      </c>
      <c r="E1880" t="s">
        <v>43</v>
      </c>
      <c r="F1880" t="s">
        <v>41</v>
      </c>
      <c r="G1880" s="89">
        <v>5250595</v>
      </c>
      <c r="I1880" t="s">
        <v>133</v>
      </c>
      <c r="J1880" s="89">
        <v>168019040</v>
      </c>
      <c r="K1880" t="s">
        <v>127</v>
      </c>
      <c r="L1880" t="s">
        <v>128</v>
      </c>
      <c r="N1880">
        <v>1</v>
      </c>
      <c r="O1880" s="89">
        <v>157517.85</v>
      </c>
      <c r="P1880" s="89">
        <v>3780428.4</v>
      </c>
      <c r="Q1880" t="s">
        <v>137</v>
      </c>
      <c r="R1880" t="s">
        <v>131</v>
      </c>
    </row>
    <row r="1881" spans="3:18" hidden="1" x14ac:dyDescent="0.25">
      <c r="C1881" t="s">
        <v>45</v>
      </c>
      <c r="D1881" t="s">
        <v>21</v>
      </c>
      <c r="E1881" t="s">
        <v>43</v>
      </c>
      <c r="F1881" t="s">
        <v>41</v>
      </c>
      <c r="G1881" s="89">
        <v>1853464</v>
      </c>
      <c r="H1881" t="s">
        <v>145</v>
      </c>
      <c r="I1881" t="s">
        <v>126</v>
      </c>
      <c r="J1881" s="89">
        <v>31508888</v>
      </c>
      <c r="K1881" t="s">
        <v>134</v>
      </c>
      <c r="L1881" t="s">
        <v>128</v>
      </c>
      <c r="N1881">
        <v>1</v>
      </c>
      <c r="O1881" s="89">
        <v>55603.92</v>
      </c>
      <c r="P1881" s="89">
        <v>556039.19999999995</v>
      </c>
      <c r="Q1881" t="s">
        <v>130</v>
      </c>
      <c r="R1881" t="s">
        <v>131</v>
      </c>
    </row>
    <row r="1882" spans="3:18" hidden="1" x14ac:dyDescent="0.25">
      <c r="C1882" t="s">
        <v>45</v>
      </c>
      <c r="D1882" t="s">
        <v>23</v>
      </c>
      <c r="E1882" t="s">
        <v>43</v>
      </c>
      <c r="F1882" t="s">
        <v>41</v>
      </c>
      <c r="G1882" s="89">
        <v>712868</v>
      </c>
      <c r="H1882" t="s">
        <v>140</v>
      </c>
      <c r="I1882" t="s">
        <v>147</v>
      </c>
      <c r="J1882" s="89">
        <v>2138604</v>
      </c>
      <c r="K1882" t="s">
        <v>127</v>
      </c>
      <c r="L1882" t="s">
        <v>128</v>
      </c>
      <c r="N1882">
        <v>1</v>
      </c>
      <c r="O1882" s="89">
        <v>21386.04</v>
      </c>
      <c r="P1882" s="89">
        <v>71286.8</v>
      </c>
      <c r="Q1882" t="s">
        <v>130</v>
      </c>
      <c r="R1882" t="s">
        <v>131</v>
      </c>
    </row>
    <row r="1883" spans="3:18" hidden="1" x14ac:dyDescent="0.25">
      <c r="C1883" t="s">
        <v>45</v>
      </c>
      <c r="D1883" t="s">
        <v>23</v>
      </c>
      <c r="E1883" t="s">
        <v>48</v>
      </c>
      <c r="F1883" t="s">
        <v>41</v>
      </c>
      <c r="G1883" s="89">
        <v>130053</v>
      </c>
      <c r="H1883" t="s">
        <v>42</v>
      </c>
      <c r="I1883" t="s">
        <v>126</v>
      </c>
      <c r="J1883" s="89">
        <v>2471007</v>
      </c>
      <c r="K1883" t="s">
        <v>127</v>
      </c>
      <c r="L1883" t="s">
        <v>151</v>
      </c>
      <c r="M1883" t="s">
        <v>156</v>
      </c>
      <c r="N1883">
        <v>1</v>
      </c>
      <c r="O1883" s="89">
        <v>3901.59</v>
      </c>
      <c r="P1883" s="89">
        <v>83233.919999999998</v>
      </c>
      <c r="Q1883" t="s">
        <v>137</v>
      </c>
      <c r="R1883" t="s">
        <v>131</v>
      </c>
    </row>
    <row r="1884" spans="3:18" hidden="1" x14ac:dyDescent="0.25">
      <c r="C1884" t="s">
        <v>45</v>
      </c>
      <c r="D1884" t="s">
        <v>22</v>
      </c>
      <c r="E1884" t="s">
        <v>40</v>
      </c>
      <c r="F1884" t="s">
        <v>41</v>
      </c>
      <c r="G1884" s="89">
        <v>428011</v>
      </c>
      <c r="H1884" t="s">
        <v>145</v>
      </c>
      <c r="I1884" t="s">
        <v>147</v>
      </c>
      <c r="J1884" s="89">
        <v>856022</v>
      </c>
      <c r="K1884" t="s">
        <v>144</v>
      </c>
      <c r="N1884">
        <v>1</v>
      </c>
      <c r="O1884" s="89">
        <v>17120.439999999999</v>
      </c>
      <c r="P1884" s="89">
        <v>141243.63</v>
      </c>
      <c r="Q1884" t="s">
        <v>130</v>
      </c>
      <c r="R1884" t="s">
        <v>131</v>
      </c>
    </row>
    <row r="1885" spans="3:18" hidden="1" x14ac:dyDescent="0.25">
      <c r="C1885" t="s">
        <v>45</v>
      </c>
      <c r="D1885" t="s">
        <v>23</v>
      </c>
      <c r="E1885" t="s">
        <v>40</v>
      </c>
      <c r="F1885" t="s">
        <v>41</v>
      </c>
      <c r="G1885" s="89">
        <v>407882</v>
      </c>
      <c r="H1885" t="s">
        <v>42</v>
      </c>
      <c r="I1885" t="s">
        <v>133</v>
      </c>
      <c r="J1885" s="89">
        <v>14275870</v>
      </c>
      <c r="K1885" t="s">
        <v>134</v>
      </c>
      <c r="L1885" t="s">
        <v>128</v>
      </c>
      <c r="M1885" t="s">
        <v>152</v>
      </c>
      <c r="N1885">
        <v>1</v>
      </c>
      <c r="O1885" s="89">
        <v>12236.46</v>
      </c>
      <c r="P1885" s="89">
        <v>338542.06</v>
      </c>
      <c r="Q1885" t="s">
        <v>135</v>
      </c>
      <c r="R1885" t="s">
        <v>131</v>
      </c>
    </row>
    <row r="1886" spans="3:18" hidden="1" x14ac:dyDescent="0.25">
      <c r="C1886" t="s">
        <v>45</v>
      </c>
      <c r="D1886" t="s">
        <v>23</v>
      </c>
      <c r="E1886" t="s">
        <v>43</v>
      </c>
      <c r="F1886" t="s">
        <v>41</v>
      </c>
      <c r="G1886" s="89">
        <v>69479</v>
      </c>
      <c r="H1886" t="s">
        <v>42</v>
      </c>
      <c r="I1886" t="s">
        <v>133</v>
      </c>
      <c r="J1886" s="89">
        <v>2431765</v>
      </c>
      <c r="K1886" t="s">
        <v>144</v>
      </c>
      <c r="N1886">
        <v>1</v>
      </c>
      <c r="O1886" s="89">
        <v>2084.37</v>
      </c>
      <c r="P1886" s="89">
        <v>34044.71</v>
      </c>
      <c r="Q1886" t="s">
        <v>142</v>
      </c>
      <c r="R1886" t="s">
        <v>42</v>
      </c>
    </row>
    <row r="1887" spans="3:18" hidden="1" x14ac:dyDescent="0.25">
      <c r="C1887" t="s">
        <v>45</v>
      </c>
      <c r="D1887" t="s">
        <v>24</v>
      </c>
      <c r="E1887" t="s">
        <v>43</v>
      </c>
      <c r="F1887" t="s">
        <v>53</v>
      </c>
      <c r="G1887" s="89">
        <v>35674</v>
      </c>
      <c r="H1887" t="s">
        <v>42</v>
      </c>
      <c r="I1887" t="s">
        <v>133</v>
      </c>
      <c r="J1887" s="89">
        <v>784828</v>
      </c>
      <c r="K1887" t="s">
        <v>144</v>
      </c>
      <c r="N1887">
        <v>1</v>
      </c>
      <c r="O1887" s="89">
        <v>1070.22</v>
      </c>
      <c r="P1887" s="89">
        <v>30322.9</v>
      </c>
      <c r="Q1887" t="s">
        <v>135</v>
      </c>
      <c r="R1887" t="s">
        <v>42</v>
      </c>
    </row>
    <row r="1888" spans="3:18" x14ac:dyDescent="0.25">
      <c r="C1888" t="s">
        <v>47</v>
      </c>
      <c r="D1888" t="s">
        <v>19</v>
      </c>
      <c r="E1888" t="s">
        <v>40</v>
      </c>
      <c r="F1888" t="s">
        <v>41</v>
      </c>
      <c r="G1888" s="89">
        <v>45296</v>
      </c>
      <c r="H1888" t="s">
        <v>146</v>
      </c>
      <c r="I1888" t="s">
        <v>147</v>
      </c>
      <c r="J1888" s="89">
        <v>45296</v>
      </c>
      <c r="K1888" t="s">
        <v>127</v>
      </c>
      <c r="L1888" t="s">
        <v>128</v>
      </c>
      <c r="N1888">
        <v>1</v>
      </c>
      <c r="O1888" s="89">
        <v>3170.72</v>
      </c>
      <c r="P1888" s="89">
        <v>4076.64</v>
      </c>
      <c r="Q1888" t="s">
        <v>130</v>
      </c>
      <c r="R1888" t="s">
        <v>131</v>
      </c>
    </row>
    <row r="1889" spans="3:18" hidden="1" x14ac:dyDescent="0.25">
      <c r="C1889" t="s">
        <v>45</v>
      </c>
      <c r="D1889" t="s">
        <v>19</v>
      </c>
      <c r="E1889" t="s">
        <v>43</v>
      </c>
      <c r="F1889" t="s">
        <v>41</v>
      </c>
      <c r="G1889" s="89">
        <v>7232016</v>
      </c>
      <c r="H1889" t="s">
        <v>42</v>
      </c>
      <c r="I1889" t="s">
        <v>126</v>
      </c>
      <c r="J1889" s="89">
        <v>122944272</v>
      </c>
      <c r="K1889" t="s">
        <v>144</v>
      </c>
      <c r="N1889">
        <v>1</v>
      </c>
      <c r="O1889" s="89">
        <v>216960.48</v>
      </c>
      <c r="P1889" s="89">
        <v>4990091.04</v>
      </c>
      <c r="Q1889" t="s">
        <v>137</v>
      </c>
      <c r="R1889" t="s">
        <v>42</v>
      </c>
    </row>
    <row r="1890" spans="3:18" hidden="1" x14ac:dyDescent="0.25">
      <c r="C1890" t="s">
        <v>45</v>
      </c>
      <c r="D1890" t="s">
        <v>21</v>
      </c>
      <c r="E1890" t="s">
        <v>40</v>
      </c>
      <c r="F1890" t="s">
        <v>41</v>
      </c>
      <c r="G1890" s="89">
        <v>97636</v>
      </c>
      <c r="H1890" t="s">
        <v>42</v>
      </c>
      <c r="I1890" t="s">
        <v>133</v>
      </c>
      <c r="J1890" s="89">
        <v>2147992</v>
      </c>
      <c r="K1890" t="s">
        <v>127</v>
      </c>
      <c r="L1890" t="s">
        <v>128</v>
      </c>
      <c r="M1890" t="s">
        <v>152</v>
      </c>
      <c r="N1890">
        <v>1</v>
      </c>
      <c r="O1890" s="89">
        <v>2929.08</v>
      </c>
      <c r="P1890" s="89">
        <v>59557.96</v>
      </c>
      <c r="Q1890" t="s">
        <v>137</v>
      </c>
      <c r="R1890" t="s">
        <v>131</v>
      </c>
    </row>
    <row r="1891" spans="3:18" x14ac:dyDescent="0.25">
      <c r="C1891" t="s">
        <v>47</v>
      </c>
      <c r="D1891" t="s">
        <v>138</v>
      </c>
      <c r="E1891" t="s">
        <v>43</v>
      </c>
      <c r="F1891" t="s">
        <v>41</v>
      </c>
      <c r="G1891" s="89">
        <v>2326745</v>
      </c>
      <c r="H1891" t="s">
        <v>140</v>
      </c>
      <c r="I1891" t="s">
        <v>141</v>
      </c>
      <c r="J1891" s="89">
        <v>16287215</v>
      </c>
      <c r="K1891" t="s">
        <v>127</v>
      </c>
      <c r="L1891" t="s">
        <v>128</v>
      </c>
      <c r="N1891">
        <v>1</v>
      </c>
      <c r="O1891" s="89">
        <v>93069.8</v>
      </c>
      <c r="P1891" s="89">
        <v>372279.2</v>
      </c>
      <c r="Q1891" t="s">
        <v>130</v>
      </c>
      <c r="R1891" t="s">
        <v>131</v>
      </c>
    </row>
    <row r="1892" spans="3:18" hidden="1" x14ac:dyDescent="0.25">
      <c r="C1892" t="s">
        <v>45</v>
      </c>
      <c r="D1892" t="s">
        <v>24</v>
      </c>
      <c r="E1892" t="s">
        <v>48</v>
      </c>
      <c r="F1892" t="s">
        <v>53</v>
      </c>
      <c r="G1892" s="89">
        <v>458205</v>
      </c>
      <c r="H1892" t="s">
        <v>42</v>
      </c>
      <c r="I1892" t="s">
        <v>133</v>
      </c>
      <c r="J1892" s="89">
        <v>13746150</v>
      </c>
      <c r="K1892" t="s">
        <v>127</v>
      </c>
      <c r="L1892" t="s">
        <v>128</v>
      </c>
      <c r="M1892" t="s">
        <v>148</v>
      </c>
      <c r="N1892">
        <v>1</v>
      </c>
      <c r="O1892" s="89">
        <v>13746.15</v>
      </c>
      <c r="P1892" s="89">
        <v>302415.3</v>
      </c>
      <c r="Q1892" t="s">
        <v>137</v>
      </c>
      <c r="R1892" t="s">
        <v>42</v>
      </c>
    </row>
    <row r="1893" spans="3:18" hidden="1" x14ac:dyDescent="0.25">
      <c r="C1893" t="s">
        <v>45</v>
      </c>
      <c r="D1893" t="s">
        <v>149</v>
      </c>
      <c r="E1893" t="s">
        <v>43</v>
      </c>
      <c r="F1893" t="s">
        <v>41</v>
      </c>
      <c r="G1893" s="89">
        <v>95249</v>
      </c>
      <c r="H1893" t="s">
        <v>42</v>
      </c>
      <c r="I1893" t="s">
        <v>126</v>
      </c>
      <c r="J1893" s="89">
        <v>1333486</v>
      </c>
      <c r="K1893" t="s">
        <v>127</v>
      </c>
      <c r="L1893" t="s">
        <v>128</v>
      </c>
      <c r="M1893" t="s">
        <v>143</v>
      </c>
      <c r="N1893">
        <v>1</v>
      </c>
      <c r="O1893" s="89">
        <v>2857.47</v>
      </c>
      <c r="P1893" s="89">
        <v>28574.7</v>
      </c>
      <c r="Q1893" t="s">
        <v>130</v>
      </c>
      <c r="R1893" t="s">
        <v>131</v>
      </c>
    </row>
    <row r="1894" spans="3:18" hidden="1" x14ac:dyDescent="0.25">
      <c r="C1894" t="s">
        <v>45</v>
      </c>
      <c r="D1894" t="s">
        <v>20</v>
      </c>
      <c r="E1894" t="s">
        <v>43</v>
      </c>
      <c r="F1894" t="s">
        <v>41</v>
      </c>
      <c r="G1894" s="89">
        <v>189300</v>
      </c>
      <c r="H1894" t="s">
        <v>146</v>
      </c>
      <c r="I1894" t="s">
        <v>126</v>
      </c>
      <c r="J1894" s="89">
        <v>3218100</v>
      </c>
      <c r="K1894" t="s">
        <v>127</v>
      </c>
      <c r="L1894" t="s">
        <v>128</v>
      </c>
      <c r="N1894">
        <v>1</v>
      </c>
      <c r="O1894" s="89">
        <v>7572</v>
      </c>
      <c r="P1894" s="89">
        <v>160905</v>
      </c>
      <c r="Q1894" t="s">
        <v>135</v>
      </c>
      <c r="R1894" t="s">
        <v>131</v>
      </c>
    </row>
    <row r="1895" spans="3:18" hidden="1" x14ac:dyDescent="0.25">
      <c r="C1895" t="s">
        <v>45</v>
      </c>
      <c r="D1895" t="s">
        <v>21</v>
      </c>
      <c r="E1895" t="s">
        <v>40</v>
      </c>
      <c r="F1895" t="s">
        <v>41</v>
      </c>
      <c r="G1895" s="89">
        <v>688695</v>
      </c>
      <c r="H1895" t="s">
        <v>42</v>
      </c>
      <c r="I1895" t="s">
        <v>147</v>
      </c>
      <c r="J1895" s="89">
        <v>2066085</v>
      </c>
      <c r="K1895" t="s">
        <v>127</v>
      </c>
      <c r="L1895" t="s">
        <v>128</v>
      </c>
      <c r="M1895" t="s">
        <v>129</v>
      </c>
      <c r="N1895">
        <v>1</v>
      </c>
      <c r="O1895" s="89">
        <v>27547.8</v>
      </c>
      <c r="P1895" s="89">
        <v>110191.2</v>
      </c>
      <c r="Q1895" t="s">
        <v>130</v>
      </c>
      <c r="R1895" t="s">
        <v>131</v>
      </c>
    </row>
    <row r="1896" spans="3:18" hidden="1" x14ac:dyDescent="0.25">
      <c r="C1896" t="s">
        <v>45</v>
      </c>
      <c r="D1896" t="s">
        <v>19</v>
      </c>
      <c r="E1896" t="s">
        <v>43</v>
      </c>
      <c r="F1896" t="s">
        <v>41</v>
      </c>
      <c r="G1896" s="89">
        <v>397009</v>
      </c>
      <c r="H1896" t="s">
        <v>42</v>
      </c>
      <c r="I1896" t="s">
        <v>133</v>
      </c>
      <c r="J1896" s="89">
        <v>13101297</v>
      </c>
      <c r="K1896" t="s">
        <v>134</v>
      </c>
      <c r="L1896" t="s">
        <v>128</v>
      </c>
      <c r="M1896" t="s">
        <v>136</v>
      </c>
      <c r="N1896">
        <v>1</v>
      </c>
      <c r="O1896" s="89">
        <v>11910.27</v>
      </c>
      <c r="P1896" s="89">
        <v>289816.57</v>
      </c>
      <c r="Q1896" t="s">
        <v>137</v>
      </c>
      <c r="R1896" t="s">
        <v>42</v>
      </c>
    </row>
    <row r="1897" spans="3:18" hidden="1" x14ac:dyDescent="0.25">
      <c r="C1897" t="s">
        <v>45</v>
      </c>
      <c r="D1897" t="s">
        <v>24</v>
      </c>
      <c r="E1897" t="s">
        <v>40</v>
      </c>
      <c r="F1897" t="s">
        <v>41</v>
      </c>
      <c r="G1897" s="89">
        <v>1400257</v>
      </c>
      <c r="H1897" t="s">
        <v>145</v>
      </c>
      <c r="I1897" t="s">
        <v>141</v>
      </c>
      <c r="J1897" s="89">
        <v>9801799</v>
      </c>
      <c r="K1897" t="s">
        <v>127</v>
      </c>
      <c r="L1897" t="s">
        <v>128</v>
      </c>
      <c r="N1897">
        <v>1</v>
      </c>
      <c r="O1897" s="89">
        <v>42007.71</v>
      </c>
      <c r="P1897" s="89">
        <v>322059.11</v>
      </c>
      <c r="Q1897" t="s">
        <v>130</v>
      </c>
      <c r="R1897" t="s">
        <v>131</v>
      </c>
    </row>
    <row r="1898" spans="3:18" hidden="1" x14ac:dyDescent="0.25">
      <c r="C1898" t="s">
        <v>45</v>
      </c>
      <c r="D1898" t="s">
        <v>149</v>
      </c>
      <c r="E1898" t="s">
        <v>43</v>
      </c>
      <c r="F1898" t="s">
        <v>41</v>
      </c>
      <c r="G1898" s="89">
        <v>46372</v>
      </c>
      <c r="H1898" t="s">
        <v>132</v>
      </c>
      <c r="I1898" t="s">
        <v>141</v>
      </c>
      <c r="J1898" s="89">
        <v>324604</v>
      </c>
      <c r="K1898" t="s">
        <v>134</v>
      </c>
      <c r="L1898" t="s">
        <v>128</v>
      </c>
      <c r="N1898">
        <v>1</v>
      </c>
      <c r="O1898" s="89">
        <v>1854.88</v>
      </c>
      <c r="P1898" s="89">
        <v>4173.4799999999996</v>
      </c>
      <c r="Q1898" t="s">
        <v>130</v>
      </c>
      <c r="R1898" t="s">
        <v>131</v>
      </c>
    </row>
    <row r="1899" spans="3:18" x14ac:dyDescent="0.25">
      <c r="C1899" t="s">
        <v>47</v>
      </c>
      <c r="D1899" t="s">
        <v>21</v>
      </c>
      <c r="E1899" t="s">
        <v>40</v>
      </c>
      <c r="F1899" t="s">
        <v>41</v>
      </c>
      <c r="G1899" s="89">
        <v>25302305</v>
      </c>
      <c r="H1899" t="s">
        <v>146</v>
      </c>
      <c r="I1899" t="s">
        <v>141</v>
      </c>
      <c r="J1899" s="89">
        <v>177116135</v>
      </c>
      <c r="K1899" t="s">
        <v>127</v>
      </c>
      <c r="L1899" t="s">
        <v>128</v>
      </c>
      <c r="N1899">
        <v>1</v>
      </c>
      <c r="O1899" s="89">
        <v>1012092.2</v>
      </c>
      <c r="P1899" s="89">
        <v>6325576.25</v>
      </c>
      <c r="Q1899" t="s">
        <v>130</v>
      </c>
      <c r="R1899" t="s">
        <v>131</v>
      </c>
    </row>
    <row r="1900" spans="3:18" hidden="1" x14ac:dyDescent="0.25">
      <c r="C1900" t="s">
        <v>45</v>
      </c>
      <c r="D1900" t="s">
        <v>138</v>
      </c>
      <c r="E1900" t="s">
        <v>40</v>
      </c>
      <c r="F1900" t="s">
        <v>41</v>
      </c>
      <c r="G1900" s="89">
        <v>21583</v>
      </c>
      <c r="H1900" t="s">
        <v>42</v>
      </c>
      <c r="I1900" t="s">
        <v>126</v>
      </c>
      <c r="J1900" s="89">
        <v>215830</v>
      </c>
      <c r="K1900" t="s">
        <v>134</v>
      </c>
      <c r="L1900" t="s">
        <v>128</v>
      </c>
      <c r="M1900" t="s">
        <v>139</v>
      </c>
      <c r="N1900">
        <v>1</v>
      </c>
      <c r="O1900" s="89">
        <v>863.32</v>
      </c>
      <c r="P1900" s="89">
        <v>6259.07</v>
      </c>
      <c r="Q1900" t="s">
        <v>130</v>
      </c>
      <c r="R1900" t="s">
        <v>131</v>
      </c>
    </row>
    <row r="1901" spans="3:18" hidden="1" x14ac:dyDescent="0.25">
      <c r="C1901" t="s">
        <v>45</v>
      </c>
      <c r="D1901" t="s">
        <v>138</v>
      </c>
      <c r="E1901" t="s">
        <v>43</v>
      </c>
      <c r="F1901" t="s">
        <v>41</v>
      </c>
      <c r="G1901" s="89">
        <v>63631712</v>
      </c>
      <c r="H1901" t="s">
        <v>42</v>
      </c>
      <c r="I1901" t="s">
        <v>133</v>
      </c>
      <c r="J1901" s="89">
        <v>2163478208</v>
      </c>
      <c r="K1901" t="s">
        <v>127</v>
      </c>
      <c r="L1901" t="s">
        <v>128</v>
      </c>
      <c r="M1901" t="s">
        <v>139</v>
      </c>
      <c r="N1901">
        <v>1</v>
      </c>
      <c r="O1901" s="89">
        <v>1908951.36</v>
      </c>
      <c r="P1901" s="89">
        <v>52178003.840000004</v>
      </c>
      <c r="Q1901" t="s">
        <v>135</v>
      </c>
      <c r="R1901" t="s">
        <v>131</v>
      </c>
    </row>
    <row r="1902" spans="3:18" x14ac:dyDescent="0.25">
      <c r="C1902" t="s">
        <v>47</v>
      </c>
      <c r="D1902" t="s">
        <v>138</v>
      </c>
      <c r="E1902" t="s">
        <v>40</v>
      </c>
      <c r="F1902" t="s">
        <v>41</v>
      </c>
      <c r="G1902" s="89">
        <v>7166100</v>
      </c>
      <c r="H1902" t="s">
        <v>146</v>
      </c>
      <c r="I1902" t="s">
        <v>126</v>
      </c>
      <c r="J1902" s="89">
        <v>85993200</v>
      </c>
      <c r="K1902" t="s">
        <v>127</v>
      </c>
      <c r="L1902" t="s">
        <v>128</v>
      </c>
      <c r="N1902">
        <v>1</v>
      </c>
      <c r="O1902" s="89">
        <v>214983</v>
      </c>
      <c r="P1902" s="89">
        <v>2508135</v>
      </c>
      <c r="Q1902" t="s">
        <v>130</v>
      </c>
      <c r="R1902" t="s">
        <v>131</v>
      </c>
    </row>
    <row r="1903" spans="3:18" hidden="1" x14ac:dyDescent="0.25">
      <c r="C1903" t="s">
        <v>45</v>
      </c>
      <c r="D1903" t="s">
        <v>23</v>
      </c>
      <c r="E1903" t="s">
        <v>48</v>
      </c>
      <c r="F1903" t="s">
        <v>41</v>
      </c>
      <c r="G1903" s="89">
        <v>176325</v>
      </c>
      <c r="H1903" t="s">
        <v>132</v>
      </c>
      <c r="I1903" t="s">
        <v>141</v>
      </c>
      <c r="J1903" s="89">
        <v>1234275</v>
      </c>
      <c r="K1903" t="s">
        <v>127</v>
      </c>
      <c r="L1903" t="s">
        <v>128</v>
      </c>
      <c r="N1903">
        <v>1</v>
      </c>
      <c r="O1903" s="89">
        <v>7053</v>
      </c>
      <c r="P1903" s="89">
        <v>86399.25</v>
      </c>
      <c r="Q1903" t="s">
        <v>142</v>
      </c>
      <c r="R1903" t="s">
        <v>131</v>
      </c>
    </row>
    <row r="1904" spans="3:18" hidden="1" x14ac:dyDescent="0.25">
      <c r="C1904" t="s">
        <v>45</v>
      </c>
      <c r="D1904" t="s">
        <v>20</v>
      </c>
      <c r="E1904" t="s">
        <v>43</v>
      </c>
      <c r="F1904" t="s">
        <v>41</v>
      </c>
      <c r="G1904" s="89">
        <v>7653690</v>
      </c>
      <c r="H1904" t="s">
        <v>140</v>
      </c>
      <c r="I1904" t="s">
        <v>133</v>
      </c>
      <c r="J1904" s="89">
        <v>237264390</v>
      </c>
      <c r="K1904" t="s">
        <v>144</v>
      </c>
      <c r="N1904">
        <v>1</v>
      </c>
      <c r="O1904" s="89">
        <v>229610.7</v>
      </c>
      <c r="P1904" s="89">
        <v>1683811.8</v>
      </c>
      <c r="Q1904" t="s">
        <v>130</v>
      </c>
      <c r="R1904" t="s">
        <v>131</v>
      </c>
    </row>
    <row r="1905" spans="3:18" x14ac:dyDescent="0.25">
      <c r="C1905" t="s">
        <v>47</v>
      </c>
      <c r="D1905" t="s">
        <v>24</v>
      </c>
      <c r="E1905" t="s">
        <v>48</v>
      </c>
      <c r="F1905" t="s">
        <v>41</v>
      </c>
      <c r="G1905" s="89">
        <v>107734</v>
      </c>
      <c r="H1905" t="s">
        <v>42</v>
      </c>
      <c r="I1905" t="s">
        <v>141</v>
      </c>
      <c r="J1905" s="89">
        <v>969606</v>
      </c>
      <c r="K1905" t="s">
        <v>144</v>
      </c>
      <c r="N1905">
        <v>1</v>
      </c>
      <c r="O1905" s="89">
        <v>4309.3599999999997</v>
      </c>
      <c r="P1905" s="89">
        <v>82955.179999999993</v>
      </c>
      <c r="Q1905" t="s">
        <v>137</v>
      </c>
      <c r="R1905" t="s">
        <v>131</v>
      </c>
    </row>
    <row r="1906" spans="3:18" x14ac:dyDescent="0.25">
      <c r="C1906" t="s">
        <v>47</v>
      </c>
      <c r="D1906" t="s">
        <v>138</v>
      </c>
      <c r="E1906" t="s">
        <v>40</v>
      </c>
      <c r="F1906" t="s">
        <v>41</v>
      </c>
      <c r="G1906" s="89">
        <v>173840</v>
      </c>
      <c r="H1906" t="s">
        <v>42</v>
      </c>
      <c r="I1906" t="s">
        <v>126</v>
      </c>
      <c r="J1906" s="89">
        <v>2259920</v>
      </c>
      <c r="K1906" t="s">
        <v>144</v>
      </c>
      <c r="N1906">
        <v>1</v>
      </c>
      <c r="O1906" s="89">
        <v>8692</v>
      </c>
      <c r="P1906" s="89">
        <v>116472.8</v>
      </c>
      <c r="Q1906" t="s">
        <v>137</v>
      </c>
      <c r="R1906" t="s">
        <v>131</v>
      </c>
    </row>
    <row r="1907" spans="3:18" hidden="1" x14ac:dyDescent="0.25">
      <c r="C1907" t="s">
        <v>45</v>
      </c>
      <c r="D1907" t="s">
        <v>21</v>
      </c>
      <c r="E1907" t="s">
        <v>40</v>
      </c>
      <c r="F1907" t="s">
        <v>41</v>
      </c>
      <c r="G1907" s="89">
        <v>7994353</v>
      </c>
      <c r="H1907" t="s">
        <v>42</v>
      </c>
      <c r="I1907" t="s">
        <v>126</v>
      </c>
      <c r="J1907" s="89">
        <v>127909648</v>
      </c>
      <c r="K1907" t="s">
        <v>127</v>
      </c>
      <c r="L1907" t="s">
        <v>128</v>
      </c>
      <c r="M1907" t="s">
        <v>129</v>
      </c>
      <c r="N1907">
        <v>1</v>
      </c>
      <c r="O1907" s="89">
        <v>239830.59</v>
      </c>
      <c r="P1907" s="89">
        <v>4077120.03</v>
      </c>
      <c r="Q1907" t="s">
        <v>142</v>
      </c>
      <c r="R1907" t="s">
        <v>131</v>
      </c>
    </row>
    <row r="1908" spans="3:18" x14ac:dyDescent="0.25">
      <c r="C1908" t="s">
        <v>47</v>
      </c>
      <c r="D1908" t="s">
        <v>22</v>
      </c>
      <c r="E1908" t="s">
        <v>40</v>
      </c>
      <c r="F1908" t="s">
        <v>41</v>
      </c>
      <c r="G1908" s="89">
        <v>485395</v>
      </c>
      <c r="H1908" t="s">
        <v>42</v>
      </c>
      <c r="I1908" t="s">
        <v>126</v>
      </c>
      <c r="J1908" s="89">
        <v>6310135</v>
      </c>
      <c r="K1908" t="s">
        <v>127</v>
      </c>
      <c r="L1908" t="s">
        <v>128</v>
      </c>
      <c r="M1908" t="s">
        <v>143</v>
      </c>
      <c r="N1908">
        <v>1</v>
      </c>
      <c r="O1908" s="89">
        <v>19415.8</v>
      </c>
      <c r="P1908" s="89">
        <v>310652.79999999999</v>
      </c>
      <c r="Q1908" t="s">
        <v>137</v>
      </c>
      <c r="R1908" t="s">
        <v>131</v>
      </c>
    </row>
    <row r="1909" spans="3:18" hidden="1" x14ac:dyDescent="0.25">
      <c r="C1909" t="s">
        <v>45</v>
      </c>
      <c r="D1909" t="s">
        <v>138</v>
      </c>
      <c r="E1909" t="s">
        <v>40</v>
      </c>
      <c r="F1909" t="s">
        <v>41</v>
      </c>
      <c r="G1909" s="89">
        <v>169686</v>
      </c>
      <c r="H1909" t="s">
        <v>140</v>
      </c>
      <c r="I1909" t="s">
        <v>133</v>
      </c>
      <c r="J1909" s="89">
        <v>5429952</v>
      </c>
      <c r="K1909" t="s">
        <v>134</v>
      </c>
      <c r="L1909" t="s">
        <v>128</v>
      </c>
      <c r="N1909">
        <v>1</v>
      </c>
      <c r="O1909" s="89">
        <v>3393.72</v>
      </c>
      <c r="P1909" s="89">
        <v>118780.2</v>
      </c>
      <c r="Q1909" t="s">
        <v>137</v>
      </c>
      <c r="R1909" t="s">
        <v>131</v>
      </c>
    </row>
    <row r="1910" spans="3:18" hidden="1" x14ac:dyDescent="0.25">
      <c r="C1910" t="s">
        <v>45</v>
      </c>
      <c r="D1910" t="s">
        <v>21</v>
      </c>
      <c r="E1910" t="s">
        <v>43</v>
      </c>
      <c r="F1910" t="s">
        <v>41</v>
      </c>
      <c r="G1910" s="89">
        <v>1111932</v>
      </c>
      <c r="H1910" t="s">
        <v>132</v>
      </c>
      <c r="I1910" t="s">
        <v>147</v>
      </c>
      <c r="J1910" s="89">
        <v>4447728</v>
      </c>
      <c r="K1910" t="s">
        <v>144</v>
      </c>
      <c r="N1910">
        <v>1</v>
      </c>
      <c r="O1910" s="89">
        <v>33357.96</v>
      </c>
      <c r="P1910" s="89">
        <v>189028.44</v>
      </c>
      <c r="Q1910" t="s">
        <v>130</v>
      </c>
      <c r="R1910" t="s">
        <v>131</v>
      </c>
    </row>
    <row r="1911" spans="3:18" hidden="1" x14ac:dyDescent="0.25">
      <c r="C1911" t="s">
        <v>45</v>
      </c>
      <c r="D1911" t="s">
        <v>138</v>
      </c>
      <c r="E1911" t="s">
        <v>43</v>
      </c>
      <c r="F1911" t="s">
        <v>41</v>
      </c>
      <c r="G1911" s="89">
        <v>1</v>
      </c>
      <c r="H1911" t="s">
        <v>140</v>
      </c>
      <c r="I1911" t="s">
        <v>141</v>
      </c>
      <c r="J1911" s="89">
        <v>8</v>
      </c>
      <c r="K1911" t="s">
        <v>127</v>
      </c>
      <c r="L1911" t="s">
        <v>128</v>
      </c>
      <c r="N1911">
        <v>1</v>
      </c>
      <c r="O1911" s="89">
        <v>0.03</v>
      </c>
      <c r="P1911" s="89">
        <v>1.5</v>
      </c>
      <c r="Q1911" t="s">
        <v>150</v>
      </c>
      <c r="R1911" t="s">
        <v>131</v>
      </c>
    </row>
    <row r="1912" spans="3:18" hidden="1" x14ac:dyDescent="0.25">
      <c r="C1912" t="s">
        <v>45</v>
      </c>
      <c r="D1912" t="s">
        <v>22</v>
      </c>
      <c r="E1912" t="s">
        <v>40</v>
      </c>
      <c r="F1912" t="s">
        <v>41</v>
      </c>
      <c r="G1912" s="89">
        <v>2697661</v>
      </c>
      <c r="H1912" t="s">
        <v>140</v>
      </c>
      <c r="I1912" t="s">
        <v>126</v>
      </c>
      <c r="J1912" s="89">
        <v>43162576</v>
      </c>
      <c r="K1912" t="s">
        <v>127</v>
      </c>
      <c r="L1912" t="s">
        <v>128</v>
      </c>
      <c r="N1912">
        <v>1</v>
      </c>
      <c r="O1912" s="89">
        <v>107906.44</v>
      </c>
      <c r="P1912" s="89">
        <v>2319988.46</v>
      </c>
      <c r="Q1912" t="s">
        <v>135</v>
      </c>
      <c r="R1912" t="s">
        <v>131</v>
      </c>
    </row>
    <row r="1913" spans="3:18" hidden="1" x14ac:dyDescent="0.25">
      <c r="C1913" t="s">
        <v>39</v>
      </c>
      <c r="D1913" t="s">
        <v>22</v>
      </c>
      <c r="E1913" t="s">
        <v>40</v>
      </c>
      <c r="F1913" t="s">
        <v>41</v>
      </c>
      <c r="G1913" s="89">
        <v>20703</v>
      </c>
      <c r="H1913" t="s">
        <v>154</v>
      </c>
      <c r="I1913" t="s">
        <v>133</v>
      </c>
      <c r="J1913" s="89"/>
      <c r="N1913">
        <v>0</v>
      </c>
      <c r="O1913" s="89"/>
      <c r="P1913" s="89"/>
      <c r="R1913" t="s">
        <v>131</v>
      </c>
    </row>
    <row r="1914" spans="3:18" hidden="1" x14ac:dyDescent="0.25">
      <c r="C1914" t="s">
        <v>45</v>
      </c>
      <c r="D1914" t="s">
        <v>24</v>
      </c>
      <c r="E1914" t="s">
        <v>44</v>
      </c>
      <c r="F1914" t="s">
        <v>41</v>
      </c>
      <c r="G1914" s="89">
        <v>315842</v>
      </c>
      <c r="H1914" t="s">
        <v>132</v>
      </c>
      <c r="I1914" t="s">
        <v>126</v>
      </c>
      <c r="J1914" s="89">
        <v>5685156</v>
      </c>
      <c r="K1914" t="s">
        <v>127</v>
      </c>
      <c r="L1914" t="s">
        <v>128</v>
      </c>
      <c r="N1914">
        <v>1</v>
      </c>
      <c r="O1914" s="89">
        <v>9475.26</v>
      </c>
      <c r="P1914" s="89">
        <v>164237.84</v>
      </c>
      <c r="Q1914" t="s">
        <v>142</v>
      </c>
      <c r="R1914" t="s">
        <v>131</v>
      </c>
    </row>
    <row r="1915" spans="3:18" hidden="1" x14ac:dyDescent="0.25">
      <c r="C1915" t="s">
        <v>45</v>
      </c>
      <c r="D1915" t="s">
        <v>20</v>
      </c>
      <c r="E1915" t="s">
        <v>43</v>
      </c>
      <c r="F1915" t="s">
        <v>41</v>
      </c>
      <c r="G1915" s="89">
        <v>32641</v>
      </c>
      <c r="H1915" t="s">
        <v>42</v>
      </c>
      <c r="I1915" t="s">
        <v>141</v>
      </c>
      <c r="J1915" s="89">
        <v>293769</v>
      </c>
      <c r="K1915" t="s">
        <v>127</v>
      </c>
      <c r="L1915" t="s">
        <v>128</v>
      </c>
      <c r="M1915" t="s">
        <v>129</v>
      </c>
      <c r="N1915">
        <v>1</v>
      </c>
      <c r="O1915" s="89">
        <v>652.82000000000005</v>
      </c>
      <c r="P1915" s="89">
        <v>3916.92</v>
      </c>
      <c r="Q1915" t="s">
        <v>130</v>
      </c>
      <c r="R1915" t="s">
        <v>42</v>
      </c>
    </row>
    <row r="1916" spans="3:18" hidden="1" x14ac:dyDescent="0.25">
      <c r="C1916" t="s">
        <v>45</v>
      </c>
      <c r="D1916" t="s">
        <v>22</v>
      </c>
      <c r="E1916" t="s">
        <v>40</v>
      </c>
      <c r="F1916" t="s">
        <v>41</v>
      </c>
      <c r="G1916" s="89">
        <v>5637251</v>
      </c>
      <c r="H1916" t="s">
        <v>145</v>
      </c>
      <c r="I1916" t="s">
        <v>133</v>
      </c>
      <c r="J1916" s="89">
        <v>157843028</v>
      </c>
      <c r="K1916" t="s">
        <v>144</v>
      </c>
      <c r="N1916">
        <v>1</v>
      </c>
      <c r="O1916" s="89">
        <v>169117.53</v>
      </c>
      <c r="P1916" s="89">
        <v>1578430.28</v>
      </c>
      <c r="Q1916" t="s">
        <v>130</v>
      </c>
      <c r="R1916" t="s">
        <v>131</v>
      </c>
    </row>
    <row r="1917" spans="3:18" hidden="1" x14ac:dyDescent="0.25">
      <c r="C1917" t="s">
        <v>45</v>
      </c>
      <c r="D1917" t="s">
        <v>22</v>
      </c>
      <c r="E1917" t="s">
        <v>40</v>
      </c>
      <c r="F1917" t="s">
        <v>53</v>
      </c>
      <c r="G1917" s="89">
        <v>579453</v>
      </c>
      <c r="H1917" t="s">
        <v>42</v>
      </c>
      <c r="I1917" t="s">
        <v>133</v>
      </c>
      <c r="J1917" s="89">
        <v>20280855</v>
      </c>
      <c r="K1917" t="s">
        <v>144</v>
      </c>
      <c r="N1917">
        <v>1</v>
      </c>
      <c r="O1917" s="89">
        <v>17383.59</v>
      </c>
      <c r="P1917" s="89">
        <v>301315.56</v>
      </c>
      <c r="Q1917" t="s">
        <v>142</v>
      </c>
      <c r="R1917" t="s">
        <v>131</v>
      </c>
    </row>
    <row r="1918" spans="3:18" x14ac:dyDescent="0.25">
      <c r="C1918" t="s">
        <v>47</v>
      </c>
      <c r="D1918" t="s">
        <v>24</v>
      </c>
      <c r="E1918" t="s">
        <v>48</v>
      </c>
      <c r="F1918" t="s">
        <v>41</v>
      </c>
      <c r="G1918" s="89">
        <v>2177944</v>
      </c>
      <c r="H1918" t="s">
        <v>140</v>
      </c>
      <c r="I1918" t="s">
        <v>147</v>
      </c>
      <c r="J1918" s="89">
        <v>6533832</v>
      </c>
      <c r="K1918" t="s">
        <v>127</v>
      </c>
      <c r="L1918" t="s">
        <v>128</v>
      </c>
      <c r="N1918">
        <v>1</v>
      </c>
      <c r="O1918" s="89">
        <v>87117.759999999995</v>
      </c>
      <c r="P1918" s="89">
        <v>217794.4</v>
      </c>
      <c r="Q1918" t="s">
        <v>130</v>
      </c>
      <c r="R1918" t="s">
        <v>131</v>
      </c>
    </row>
    <row r="1919" spans="3:18" hidden="1" x14ac:dyDescent="0.25">
      <c r="C1919" t="s">
        <v>45</v>
      </c>
      <c r="D1919" t="s">
        <v>22</v>
      </c>
      <c r="E1919" t="s">
        <v>48</v>
      </c>
      <c r="F1919" t="s">
        <v>41</v>
      </c>
      <c r="G1919" s="89">
        <v>61726</v>
      </c>
      <c r="H1919" t="s">
        <v>146</v>
      </c>
      <c r="I1919" t="s">
        <v>126</v>
      </c>
      <c r="J1919" s="89">
        <v>925890</v>
      </c>
      <c r="K1919" t="s">
        <v>127</v>
      </c>
      <c r="L1919" t="s">
        <v>128</v>
      </c>
      <c r="N1919">
        <v>1</v>
      </c>
      <c r="O1919" s="89">
        <v>1851.78</v>
      </c>
      <c r="P1919" s="89">
        <v>11110.68</v>
      </c>
      <c r="Q1919" t="s">
        <v>130</v>
      </c>
      <c r="R1919" t="s">
        <v>131</v>
      </c>
    </row>
    <row r="1920" spans="3:18" hidden="1" x14ac:dyDescent="0.25">
      <c r="C1920" t="s">
        <v>45</v>
      </c>
      <c r="D1920" t="s">
        <v>21</v>
      </c>
      <c r="E1920" t="s">
        <v>43</v>
      </c>
      <c r="F1920" t="s">
        <v>41</v>
      </c>
      <c r="G1920" s="89">
        <v>100796</v>
      </c>
      <c r="H1920" t="s">
        <v>42</v>
      </c>
      <c r="I1920" t="s">
        <v>126</v>
      </c>
      <c r="J1920" s="89">
        <v>1007960</v>
      </c>
      <c r="K1920" t="s">
        <v>127</v>
      </c>
      <c r="L1920" t="s">
        <v>128</v>
      </c>
      <c r="M1920" t="s">
        <v>139</v>
      </c>
      <c r="N1920">
        <v>1</v>
      </c>
      <c r="O1920" s="89">
        <v>5039.8</v>
      </c>
      <c r="P1920" s="89">
        <v>31246.76</v>
      </c>
      <c r="Q1920" t="s">
        <v>130</v>
      </c>
      <c r="R1920" t="s">
        <v>42</v>
      </c>
    </row>
    <row r="1921" spans="3:18" x14ac:dyDescent="0.25">
      <c r="C1921" t="s">
        <v>47</v>
      </c>
      <c r="D1921" t="s">
        <v>138</v>
      </c>
      <c r="E1921" t="s">
        <v>44</v>
      </c>
      <c r="F1921" t="s">
        <v>41</v>
      </c>
      <c r="G1921" s="89">
        <v>130998</v>
      </c>
      <c r="H1921" t="s">
        <v>42</v>
      </c>
      <c r="I1921" t="s">
        <v>141</v>
      </c>
      <c r="J1921" s="89">
        <v>1047984</v>
      </c>
      <c r="K1921" t="s">
        <v>127</v>
      </c>
      <c r="L1921" t="s">
        <v>128</v>
      </c>
      <c r="M1921" t="s">
        <v>139</v>
      </c>
      <c r="N1921">
        <v>1</v>
      </c>
      <c r="O1921" s="89">
        <v>5239.92</v>
      </c>
      <c r="P1921" s="89">
        <v>65499</v>
      </c>
      <c r="Q1921" t="s">
        <v>142</v>
      </c>
      <c r="R1921" t="s">
        <v>131</v>
      </c>
    </row>
    <row r="1922" spans="3:18" hidden="1" x14ac:dyDescent="0.25">
      <c r="C1922" t="s">
        <v>45</v>
      </c>
      <c r="D1922" t="s">
        <v>21</v>
      </c>
      <c r="E1922" t="s">
        <v>40</v>
      </c>
      <c r="F1922" t="s">
        <v>41</v>
      </c>
      <c r="G1922" s="89">
        <v>5798107</v>
      </c>
      <c r="H1922" t="s">
        <v>42</v>
      </c>
      <c r="I1922" t="s">
        <v>126</v>
      </c>
      <c r="J1922" s="89">
        <v>98567819</v>
      </c>
      <c r="K1922" t="s">
        <v>127</v>
      </c>
      <c r="L1922" t="s">
        <v>128</v>
      </c>
      <c r="M1922" t="s">
        <v>129</v>
      </c>
      <c r="N1922">
        <v>1</v>
      </c>
      <c r="O1922" s="89">
        <v>173943.21</v>
      </c>
      <c r="P1922" s="89">
        <v>3942712.76</v>
      </c>
      <c r="Q1922" t="s">
        <v>137</v>
      </c>
      <c r="R1922" t="s">
        <v>42</v>
      </c>
    </row>
    <row r="1923" spans="3:18" hidden="1" x14ac:dyDescent="0.25">
      <c r="C1923" t="s">
        <v>45</v>
      </c>
      <c r="D1923" t="s">
        <v>149</v>
      </c>
      <c r="E1923" t="s">
        <v>44</v>
      </c>
      <c r="F1923" t="s">
        <v>41</v>
      </c>
      <c r="G1923" s="89">
        <v>36247</v>
      </c>
      <c r="H1923" t="s">
        <v>42</v>
      </c>
      <c r="I1923" t="s">
        <v>126</v>
      </c>
      <c r="J1923" s="89">
        <v>579952</v>
      </c>
      <c r="K1923" t="s">
        <v>127</v>
      </c>
      <c r="L1923" t="s">
        <v>128</v>
      </c>
      <c r="M1923" t="s">
        <v>136</v>
      </c>
      <c r="N1923">
        <v>1</v>
      </c>
      <c r="O1923" s="89">
        <v>1812.35</v>
      </c>
      <c r="P1923" s="89">
        <v>19935.849999999999</v>
      </c>
      <c r="Q1923" t="s">
        <v>142</v>
      </c>
      <c r="R1923" t="s">
        <v>131</v>
      </c>
    </row>
    <row r="1924" spans="3:18" hidden="1" x14ac:dyDescent="0.25">
      <c r="C1924" t="s">
        <v>45</v>
      </c>
      <c r="D1924" t="s">
        <v>24</v>
      </c>
      <c r="E1924" t="s">
        <v>40</v>
      </c>
      <c r="F1924" t="s">
        <v>41</v>
      </c>
      <c r="G1924" s="89">
        <v>138679</v>
      </c>
      <c r="H1924" t="s">
        <v>42</v>
      </c>
      <c r="I1924" t="s">
        <v>126</v>
      </c>
      <c r="J1924" s="89">
        <v>2357543</v>
      </c>
      <c r="K1924" t="s">
        <v>144</v>
      </c>
      <c r="N1924">
        <v>1</v>
      </c>
      <c r="O1924" s="89">
        <v>4160.37</v>
      </c>
      <c r="P1924" s="89">
        <v>116490.36</v>
      </c>
      <c r="Q1924" t="s">
        <v>135</v>
      </c>
      <c r="R1924" t="s">
        <v>131</v>
      </c>
    </row>
    <row r="1925" spans="3:18" hidden="1" x14ac:dyDescent="0.25">
      <c r="C1925" t="s">
        <v>45</v>
      </c>
      <c r="D1925" t="s">
        <v>25</v>
      </c>
      <c r="E1925" t="s">
        <v>40</v>
      </c>
      <c r="F1925" t="s">
        <v>41</v>
      </c>
      <c r="G1925" s="89">
        <v>1105996</v>
      </c>
      <c r="H1925" t="s">
        <v>140</v>
      </c>
      <c r="I1925" t="s">
        <v>126</v>
      </c>
      <c r="J1925" s="89">
        <v>18801932</v>
      </c>
      <c r="K1925" t="s">
        <v>127</v>
      </c>
      <c r="L1925" t="s">
        <v>128</v>
      </c>
      <c r="N1925">
        <v>1</v>
      </c>
      <c r="O1925" s="89">
        <v>33179.879999999997</v>
      </c>
      <c r="P1925" s="89">
        <v>575117.92000000004</v>
      </c>
      <c r="Q1925" t="s">
        <v>142</v>
      </c>
      <c r="R1925" t="s">
        <v>131</v>
      </c>
    </row>
    <row r="1926" spans="3:18" hidden="1" x14ac:dyDescent="0.25">
      <c r="C1926" t="s">
        <v>45</v>
      </c>
      <c r="D1926" t="s">
        <v>21</v>
      </c>
      <c r="E1926" t="s">
        <v>43</v>
      </c>
      <c r="F1926" t="s">
        <v>41</v>
      </c>
      <c r="G1926" s="89">
        <v>97872</v>
      </c>
      <c r="H1926" t="s">
        <v>42</v>
      </c>
      <c r="I1926" t="s">
        <v>126</v>
      </c>
      <c r="J1926" s="89">
        <v>1859568</v>
      </c>
      <c r="K1926" t="s">
        <v>127</v>
      </c>
      <c r="L1926" t="s">
        <v>128</v>
      </c>
      <c r="M1926" t="s">
        <v>139</v>
      </c>
      <c r="N1926">
        <v>1</v>
      </c>
      <c r="O1926" s="89">
        <v>2936.16</v>
      </c>
      <c r="P1926" s="89">
        <v>45021.120000000003</v>
      </c>
      <c r="Q1926" t="s">
        <v>142</v>
      </c>
      <c r="R1926" t="s">
        <v>42</v>
      </c>
    </row>
    <row r="1927" spans="3:18" x14ac:dyDescent="0.25">
      <c r="C1927" t="s">
        <v>47</v>
      </c>
      <c r="D1927" t="s">
        <v>21</v>
      </c>
      <c r="E1927" t="s">
        <v>43</v>
      </c>
      <c r="F1927" t="s">
        <v>41</v>
      </c>
      <c r="G1927" s="89">
        <v>508049</v>
      </c>
      <c r="H1927" t="s">
        <v>42</v>
      </c>
      <c r="I1927" t="s">
        <v>126</v>
      </c>
      <c r="J1927" s="89">
        <v>6096588</v>
      </c>
      <c r="K1927" t="s">
        <v>127</v>
      </c>
      <c r="L1927" t="s">
        <v>128</v>
      </c>
      <c r="M1927" t="s">
        <v>129</v>
      </c>
      <c r="N1927">
        <v>1</v>
      </c>
      <c r="O1927" s="89">
        <v>25402.45</v>
      </c>
      <c r="P1927" s="89">
        <v>213380.58</v>
      </c>
      <c r="Q1927" t="s">
        <v>142</v>
      </c>
      <c r="R1927" t="s">
        <v>42</v>
      </c>
    </row>
    <row r="1928" spans="3:18" x14ac:dyDescent="0.25">
      <c r="C1928" t="s">
        <v>47</v>
      </c>
      <c r="D1928" t="s">
        <v>138</v>
      </c>
      <c r="E1928" t="s">
        <v>43</v>
      </c>
      <c r="F1928" t="s">
        <v>41</v>
      </c>
      <c r="G1928" s="89">
        <v>98128</v>
      </c>
      <c r="H1928" t="s">
        <v>140</v>
      </c>
      <c r="I1928" t="s">
        <v>141</v>
      </c>
      <c r="J1928" s="89">
        <v>785024</v>
      </c>
      <c r="K1928" t="s">
        <v>127</v>
      </c>
      <c r="L1928" t="s">
        <v>128</v>
      </c>
      <c r="N1928">
        <v>1</v>
      </c>
      <c r="O1928" s="89">
        <v>3925.12</v>
      </c>
      <c r="P1928" s="89">
        <v>54951.68</v>
      </c>
      <c r="Q1928" t="s">
        <v>142</v>
      </c>
      <c r="R1928" t="s">
        <v>131</v>
      </c>
    </row>
    <row r="1929" spans="3:18" hidden="1" x14ac:dyDescent="0.25">
      <c r="C1929" t="s">
        <v>45</v>
      </c>
      <c r="D1929" t="s">
        <v>23</v>
      </c>
      <c r="E1929" t="s">
        <v>52</v>
      </c>
      <c r="F1929" t="s">
        <v>41</v>
      </c>
      <c r="G1929" s="89">
        <v>20050764</v>
      </c>
      <c r="H1929" t="s">
        <v>42</v>
      </c>
      <c r="I1929" t="s">
        <v>133</v>
      </c>
      <c r="J1929" s="89">
        <v>721827504</v>
      </c>
      <c r="K1929" t="s">
        <v>144</v>
      </c>
      <c r="N1929">
        <v>1</v>
      </c>
      <c r="O1929" s="89">
        <v>601522.92000000004</v>
      </c>
      <c r="P1929" s="89">
        <v>17644672.32</v>
      </c>
      <c r="Q1929" t="s">
        <v>135</v>
      </c>
      <c r="R1929" t="s">
        <v>42</v>
      </c>
    </row>
    <row r="1930" spans="3:18" x14ac:dyDescent="0.25">
      <c r="C1930" t="s">
        <v>47</v>
      </c>
      <c r="D1930" t="s">
        <v>22</v>
      </c>
      <c r="E1930" t="s">
        <v>40</v>
      </c>
      <c r="F1930" t="s">
        <v>41</v>
      </c>
      <c r="G1930" s="89">
        <v>44546</v>
      </c>
      <c r="H1930" t="s">
        <v>132</v>
      </c>
      <c r="I1930" t="s">
        <v>141</v>
      </c>
      <c r="J1930" s="89">
        <v>356368</v>
      </c>
      <c r="K1930" t="s">
        <v>144</v>
      </c>
      <c r="N1930">
        <v>1</v>
      </c>
      <c r="O1930" s="89">
        <v>1781.84</v>
      </c>
      <c r="P1930" s="89">
        <v>27618.52</v>
      </c>
      <c r="Q1930" t="s">
        <v>137</v>
      </c>
      <c r="R1930" t="s">
        <v>131</v>
      </c>
    </row>
    <row r="1931" spans="3:18" x14ac:dyDescent="0.25">
      <c r="C1931" t="s">
        <v>47</v>
      </c>
      <c r="D1931" t="s">
        <v>22</v>
      </c>
      <c r="E1931" t="s">
        <v>40</v>
      </c>
      <c r="F1931" t="s">
        <v>41</v>
      </c>
      <c r="G1931" s="89">
        <v>161200</v>
      </c>
      <c r="H1931" t="s">
        <v>42</v>
      </c>
      <c r="I1931" t="s">
        <v>141</v>
      </c>
      <c r="J1931" s="89">
        <v>1289600</v>
      </c>
      <c r="K1931" t="s">
        <v>127</v>
      </c>
      <c r="L1931" t="s">
        <v>128</v>
      </c>
      <c r="M1931" t="s">
        <v>143</v>
      </c>
      <c r="N1931">
        <v>1</v>
      </c>
      <c r="O1931" s="89">
        <v>6448</v>
      </c>
      <c r="P1931" s="89">
        <v>174096</v>
      </c>
      <c r="Q1931" t="s">
        <v>150</v>
      </c>
      <c r="R1931" t="s">
        <v>131</v>
      </c>
    </row>
    <row r="1932" spans="3:18" hidden="1" x14ac:dyDescent="0.25">
      <c r="C1932" t="s">
        <v>45</v>
      </c>
      <c r="D1932" t="s">
        <v>23</v>
      </c>
      <c r="E1932" t="s">
        <v>40</v>
      </c>
      <c r="F1932" t="s">
        <v>53</v>
      </c>
      <c r="G1932" s="89">
        <v>113649</v>
      </c>
      <c r="H1932" t="s">
        <v>132</v>
      </c>
      <c r="I1932" t="s">
        <v>133</v>
      </c>
      <c r="J1932" s="89">
        <v>2613927</v>
      </c>
      <c r="K1932" t="s">
        <v>144</v>
      </c>
      <c r="N1932">
        <v>1</v>
      </c>
      <c r="O1932" s="89">
        <v>3409.47</v>
      </c>
      <c r="P1932" s="89">
        <v>57960.99</v>
      </c>
      <c r="Q1932" t="s">
        <v>142</v>
      </c>
      <c r="R1932" t="s">
        <v>131</v>
      </c>
    </row>
    <row r="1933" spans="3:18" hidden="1" x14ac:dyDescent="0.25">
      <c r="C1933" t="s">
        <v>45</v>
      </c>
      <c r="D1933" t="s">
        <v>138</v>
      </c>
      <c r="E1933" t="s">
        <v>43</v>
      </c>
      <c r="F1933" t="s">
        <v>41</v>
      </c>
      <c r="G1933" s="89">
        <v>6498066</v>
      </c>
      <c r="H1933" t="s">
        <v>42</v>
      </c>
      <c r="I1933" t="s">
        <v>133</v>
      </c>
      <c r="J1933" s="89">
        <v>201440046</v>
      </c>
      <c r="K1933" t="s">
        <v>144</v>
      </c>
      <c r="N1933">
        <v>1</v>
      </c>
      <c r="O1933" s="89">
        <v>194941.98</v>
      </c>
      <c r="P1933" s="89">
        <v>3314013.66</v>
      </c>
      <c r="Q1933" t="s">
        <v>142</v>
      </c>
      <c r="R1933" t="s">
        <v>131</v>
      </c>
    </row>
    <row r="1934" spans="3:18" hidden="1" x14ac:dyDescent="0.25">
      <c r="C1934" t="s">
        <v>45</v>
      </c>
      <c r="D1934" t="s">
        <v>21</v>
      </c>
      <c r="E1934" t="s">
        <v>46</v>
      </c>
      <c r="F1934" t="s">
        <v>41</v>
      </c>
      <c r="G1934" s="89">
        <v>42565</v>
      </c>
      <c r="H1934" t="s">
        <v>42</v>
      </c>
      <c r="I1934" t="s">
        <v>126</v>
      </c>
      <c r="J1934" s="89">
        <v>681040</v>
      </c>
      <c r="K1934" t="s">
        <v>127</v>
      </c>
      <c r="L1934" t="s">
        <v>128</v>
      </c>
      <c r="M1934" t="s">
        <v>129</v>
      </c>
      <c r="N1934">
        <v>1</v>
      </c>
      <c r="O1934" s="89">
        <v>1702.6</v>
      </c>
      <c r="P1934" s="89">
        <v>16600.349999999999</v>
      </c>
      <c r="Q1934" t="s">
        <v>130</v>
      </c>
      <c r="R1934" t="s">
        <v>42</v>
      </c>
    </row>
    <row r="1935" spans="3:18" x14ac:dyDescent="0.25">
      <c r="C1935" t="s">
        <v>47</v>
      </c>
      <c r="D1935" t="s">
        <v>21</v>
      </c>
      <c r="E1935" t="s">
        <v>48</v>
      </c>
      <c r="F1935" t="s">
        <v>41</v>
      </c>
      <c r="G1935" s="89">
        <v>184539</v>
      </c>
      <c r="H1935" t="s">
        <v>140</v>
      </c>
      <c r="I1935" t="s">
        <v>141</v>
      </c>
      <c r="J1935" s="89">
        <v>1476312</v>
      </c>
      <c r="K1935" t="s">
        <v>127</v>
      </c>
      <c r="L1935" t="s">
        <v>128</v>
      </c>
      <c r="N1935">
        <v>1</v>
      </c>
      <c r="O1935" s="89">
        <v>7381.56</v>
      </c>
      <c r="P1935" s="89">
        <v>81197.16</v>
      </c>
      <c r="Q1935" t="s">
        <v>142</v>
      </c>
      <c r="R1935" t="s">
        <v>131</v>
      </c>
    </row>
    <row r="1936" spans="3:18" hidden="1" x14ac:dyDescent="0.25">
      <c r="C1936" t="s">
        <v>45</v>
      </c>
      <c r="D1936" t="s">
        <v>22</v>
      </c>
      <c r="E1936" t="s">
        <v>43</v>
      </c>
      <c r="F1936" t="s">
        <v>41</v>
      </c>
      <c r="G1936" s="89">
        <v>9270957</v>
      </c>
      <c r="H1936" t="s">
        <v>140</v>
      </c>
      <c r="I1936" t="s">
        <v>141</v>
      </c>
      <c r="J1936" s="89">
        <v>64896699</v>
      </c>
      <c r="K1936" t="s">
        <v>127</v>
      </c>
      <c r="L1936" t="s">
        <v>128</v>
      </c>
      <c r="N1936">
        <v>1</v>
      </c>
      <c r="O1936" s="89">
        <v>278128.71000000002</v>
      </c>
      <c r="P1936" s="89">
        <v>1854191.4</v>
      </c>
      <c r="Q1936" t="s">
        <v>130</v>
      </c>
      <c r="R1936" t="s">
        <v>131</v>
      </c>
    </row>
    <row r="1937" spans="3:18" hidden="1" x14ac:dyDescent="0.25">
      <c r="C1937" t="s">
        <v>45</v>
      </c>
      <c r="D1937" t="s">
        <v>21</v>
      </c>
      <c r="E1937" t="s">
        <v>40</v>
      </c>
      <c r="F1937" t="s">
        <v>41</v>
      </c>
      <c r="G1937" s="89">
        <v>13370</v>
      </c>
      <c r="H1937" t="s">
        <v>42</v>
      </c>
      <c r="I1937" t="s">
        <v>147</v>
      </c>
      <c r="J1937" s="89">
        <v>53480</v>
      </c>
      <c r="K1937" t="s">
        <v>127</v>
      </c>
      <c r="L1937" t="s">
        <v>128</v>
      </c>
      <c r="M1937" t="s">
        <v>129</v>
      </c>
      <c r="N1937">
        <v>1</v>
      </c>
      <c r="O1937" s="89">
        <v>401.1</v>
      </c>
      <c r="P1937" s="89">
        <v>7086.1</v>
      </c>
      <c r="Q1937" t="s">
        <v>142</v>
      </c>
      <c r="R1937" t="s">
        <v>131</v>
      </c>
    </row>
    <row r="1938" spans="3:18" hidden="1" x14ac:dyDescent="0.25">
      <c r="C1938" t="s">
        <v>45</v>
      </c>
      <c r="D1938" t="s">
        <v>23</v>
      </c>
      <c r="E1938" t="s">
        <v>40</v>
      </c>
      <c r="F1938" t="s">
        <v>41</v>
      </c>
      <c r="G1938" s="89">
        <v>2474190</v>
      </c>
      <c r="H1938" t="s">
        <v>42</v>
      </c>
      <c r="I1938" t="s">
        <v>133</v>
      </c>
      <c r="J1938" s="89">
        <v>66803130</v>
      </c>
      <c r="K1938" t="s">
        <v>127</v>
      </c>
      <c r="L1938" t="s">
        <v>128</v>
      </c>
      <c r="M1938" t="s">
        <v>152</v>
      </c>
      <c r="N1938">
        <v>1</v>
      </c>
      <c r="O1938" s="89">
        <v>74225.7</v>
      </c>
      <c r="P1938" s="89">
        <v>692773.2</v>
      </c>
      <c r="Q1938" t="s">
        <v>130</v>
      </c>
      <c r="R1938" t="s">
        <v>42</v>
      </c>
    </row>
    <row r="1939" spans="3:18" hidden="1" x14ac:dyDescent="0.25">
      <c r="C1939" t="s">
        <v>45</v>
      </c>
      <c r="D1939" t="s">
        <v>24</v>
      </c>
      <c r="E1939" t="s">
        <v>48</v>
      </c>
      <c r="F1939" t="s">
        <v>41</v>
      </c>
      <c r="G1939" s="89">
        <v>794640</v>
      </c>
      <c r="H1939" t="s">
        <v>145</v>
      </c>
      <c r="I1939" t="s">
        <v>133</v>
      </c>
      <c r="J1939" s="89">
        <v>23839200</v>
      </c>
      <c r="K1939" t="s">
        <v>144</v>
      </c>
      <c r="N1939">
        <v>1</v>
      </c>
      <c r="O1939" s="89">
        <v>23839.200000000001</v>
      </c>
      <c r="P1939" s="89">
        <v>238392</v>
      </c>
      <c r="Q1939" t="s">
        <v>130</v>
      </c>
      <c r="R1939" t="s">
        <v>131</v>
      </c>
    </row>
    <row r="1940" spans="3:18" hidden="1" x14ac:dyDescent="0.25">
      <c r="C1940" t="s">
        <v>45</v>
      </c>
      <c r="D1940" t="s">
        <v>24</v>
      </c>
      <c r="E1940" t="s">
        <v>43</v>
      </c>
      <c r="F1940" t="s">
        <v>41</v>
      </c>
      <c r="G1940" s="89">
        <v>237481</v>
      </c>
      <c r="H1940" t="s">
        <v>42</v>
      </c>
      <c r="I1940" t="s">
        <v>141</v>
      </c>
      <c r="J1940" s="89">
        <v>1899848</v>
      </c>
      <c r="K1940" t="s">
        <v>127</v>
      </c>
      <c r="L1940" t="s">
        <v>128</v>
      </c>
      <c r="M1940" t="s">
        <v>148</v>
      </c>
      <c r="N1940">
        <v>1</v>
      </c>
      <c r="O1940" s="89">
        <v>9499.24</v>
      </c>
      <c r="P1940" s="89">
        <v>59370.25</v>
      </c>
      <c r="Q1940" t="s">
        <v>130</v>
      </c>
      <c r="R1940" t="s">
        <v>42</v>
      </c>
    </row>
    <row r="1941" spans="3:18" hidden="1" x14ac:dyDescent="0.25">
      <c r="C1941" t="s">
        <v>45</v>
      </c>
      <c r="D1941" t="s">
        <v>149</v>
      </c>
      <c r="E1941" t="s">
        <v>40</v>
      </c>
      <c r="F1941" t="s">
        <v>41</v>
      </c>
      <c r="G1941" s="89">
        <v>261256</v>
      </c>
      <c r="H1941" t="s">
        <v>42</v>
      </c>
      <c r="I1941" t="s">
        <v>133</v>
      </c>
      <c r="J1941" s="89">
        <v>7315168</v>
      </c>
      <c r="K1941" t="s">
        <v>127</v>
      </c>
      <c r="L1941" t="s">
        <v>128</v>
      </c>
      <c r="M1941" t="s">
        <v>136</v>
      </c>
      <c r="N1941">
        <v>1</v>
      </c>
      <c r="O1941" s="89">
        <v>7837.68</v>
      </c>
      <c r="P1941" s="89">
        <v>78376.800000000003</v>
      </c>
      <c r="Q1941" t="s">
        <v>130</v>
      </c>
      <c r="R1941" t="s">
        <v>42</v>
      </c>
    </row>
    <row r="1942" spans="3:18" hidden="1" x14ac:dyDescent="0.25">
      <c r="C1942" t="s">
        <v>45</v>
      </c>
      <c r="D1942" t="s">
        <v>22</v>
      </c>
      <c r="E1942" t="s">
        <v>43</v>
      </c>
      <c r="F1942" t="s">
        <v>41</v>
      </c>
      <c r="G1942" s="89">
        <v>16333</v>
      </c>
      <c r="H1942" t="s">
        <v>140</v>
      </c>
      <c r="I1942" t="s">
        <v>126</v>
      </c>
      <c r="J1942" s="89">
        <v>244995</v>
      </c>
      <c r="K1942" t="s">
        <v>134</v>
      </c>
      <c r="L1942" t="s">
        <v>128</v>
      </c>
      <c r="N1942">
        <v>1</v>
      </c>
      <c r="O1942" s="89">
        <v>653.32000000000005</v>
      </c>
      <c r="P1942" s="89">
        <v>7186.52</v>
      </c>
      <c r="Q1942" t="s">
        <v>142</v>
      </c>
      <c r="R1942" t="s">
        <v>131</v>
      </c>
    </row>
    <row r="1943" spans="3:18" hidden="1" x14ac:dyDescent="0.25">
      <c r="C1943" t="s">
        <v>45</v>
      </c>
      <c r="D1943" t="s">
        <v>24</v>
      </c>
      <c r="E1943" t="s">
        <v>48</v>
      </c>
      <c r="F1943" t="s">
        <v>41</v>
      </c>
      <c r="G1943" s="89">
        <v>20282994</v>
      </c>
      <c r="H1943" t="s">
        <v>145</v>
      </c>
      <c r="I1943" t="s">
        <v>133</v>
      </c>
      <c r="J1943" s="89">
        <v>527357844</v>
      </c>
      <c r="K1943" t="s">
        <v>127</v>
      </c>
      <c r="L1943" t="s">
        <v>128</v>
      </c>
      <c r="N1943">
        <v>1</v>
      </c>
      <c r="O1943" s="89">
        <v>608489.81999999995</v>
      </c>
      <c r="P1943" s="89">
        <v>10547156.880000001</v>
      </c>
      <c r="Q1943" t="s">
        <v>142</v>
      </c>
      <c r="R1943" t="s">
        <v>131</v>
      </c>
    </row>
    <row r="1944" spans="3:18" hidden="1" x14ac:dyDescent="0.25">
      <c r="C1944" t="s">
        <v>45</v>
      </c>
      <c r="D1944" t="s">
        <v>22</v>
      </c>
      <c r="E1944" t="s">
        <v>43</v>
      </c>
      <c r="F1944" t="s">
        <v>53</v>
      </c>
      <c r="G1944" s="89">
        <v>120426</v>
      </c>
      <c r="H1944" t="s">
        <v>42</v>
      </c>
      <c r="I1944" t="s">
        <v>133</v>
      </c>
      <c r="J1944" s="89">
        <v>3131076</v>
      </c>
      <c r="K1944" t="s">
        <v>144</v>
      </c>
      <c r="N1944">
        <v>1</v>
      </c>
      <c r="O1944" s="89">
        <v>3612.78</v>
      </c>
      <c r="P1944" s="89">
        <v>52987.44</v>
      </c>
      <c r="Q1944" t="s">
        <v>142</v>
      </c>
      <c r="R1944" t="s">
        <v>42</v>
      </c>
    </row>
    <row r="1945" spans="3:18" hidden="1" x14ac:dyDescent="0.25">
      <c r="C1945" t="s">
        <v>45</v>
      </c>
      <c r="D1945" t="s">
        <v>21</v>
      </c>
      <c r="E1945" t="s">
        <v>43</v>
      </c>
      <c r="F1945" t="s">
        <v>41</v>
      </c>
      <c r="G1945" s="89">
        <v>3284</v>
      </c>
      <c r="H1945" t="s">
        <v>42</v>
      </c>
      <c r="I1945" t="s">
        <v>141</v>
      </c>
      <c r="J1945" s="89">
        <v>22988</v>
      </c>
      <c r="K1945" t="s">
        <v>127</v>
      </c>
      <c r="L1945" t="s">
        <v>128</v>
      </c>
      <c r="M1945" t="s">
        <v>148</v>
      </c>
      <c r="N1945">
        <v>1</v>
      </c>
      <c r="O1945" s="89">
        <v>164.2</v>
      </c>
      <c r="P1945" s="89">
        <v>1018.04</v>
      </c>
      <c r="Q1945" t="s">
        <v>130</v>
      </c>
      <c r="R1945" t="s">
        <v>42</v>
      </c>
    </row>
    <row r="1946" spans="3:18" hidden="1" x14ac:dyDescent="0.25">
      <c r="C1946" t="s">
        <v>45</v>
      </c>
      <c r="D1946" t="s">
        <v>21</v>
      </c>
      <c r="E1946" t="s">
        <v>43</v>
      </c>
      <c r="F1946" t="s">
        <v>41</v>
      </c>
      <c r="G1946" s="89">
        <v>890314</v>
      </c>
      <c r="H1946" t="s">
        <v>42</v>
      </c>
      <c r="I1946" t="s">
        <v>133</v>
      </c>
      <c r="J1946" s="89">
        <v>25819106</v>
      </c>
      <c r="K1946" t="s">
        <v>127</v>
      </c>
      <c r="L1946" t="s">
        <v>128</v>
      </c>
      <c r="M1946" t="s">
        <v>152</v>
      </c>
      <c r="N1946">
        <v>1</v>
      </c>
      <c r="O1946" s="89">
        <v>26709.42</v>
      </c>
      <c r="P1946" s="89">
        <v>587607.24</v>
      </c>
      <c r="Q1946" t="s">
        <v>137</v>
      </c>
      <c r="R1946" t="s">
        <v>42</v>
      </c>
    </row>
    <row r="1947" spans="3:18" hidden="1" x14ac:dyDescent="0.25">
      <c r="C1947" t="s">
        <v>45</v>
      </c>
      <c r="D1947" t="s">
        <v>22</v>
      </c>
      <c r="E1947" t="s">
        <v>44</v>
      </c>
      <c r="F1947" t="s">
        <v>41</v>
      </c>
      <c r="G1947" s="89">
        <v>41065</v>
      </c>
      <c r="H1947" t="s">
        <v>42</v>
      </c>
      <c r="I1947" t="s">
        <v>133</v>
      </c>
      <c r="J1947" s="89">
        <v>1355145</v>
      </c>
      <c r="K1947" t="s">
        <v>127</v>
      </c>
      <c r="L1947" t="s">
        <v>128</v>
      </c>
      <c r="M1947" t="s">
        <v>129</v>
      </c>
      <c r="N1947">
        <v>1</v>
      </c>
      <c r="O1947" s="89">
        <v>2053.25</v>
      </c>
      <c r="P1947" s="89">
        <v>18479.25</v>
      </c>
      <c r="Q1947" t="s">
        <v>142</v>
      </c>
      <c r="R1947" t="s">
        <v>42</v>
      </c>
    </row>
    <row r="1948" spans="3:18" hidden="1" x14ac:dyDescent="0.25">
      <c r="C1948" t="s">
        <v>45</v>
      </c>
      <c r="D1948" t="s">
        <v>24</v>
      </c>
      <c r="E1948" t="s">
        <v>44</v>
      </c>
      <c r="F1948" t="s">
        <v>41</v>
      </c>
      <c r="G1948" s="89">
        <v>254727</v>
      </c>
      <c r="H1948" t="s">
        <v>42</v>
      </c>
      <c r="I1948" t="s">
        <v>133</v>
      </c>
      <c r="J1948" s="89">
        <v>8151264</v>
      </c>
      <c r="K1948" t="s">
        <v>134</v>
      </c>
      <c r="N1948">
        <v>1</v>
      </c>
      <c r="O1948" s="89">
        <v>7641.81</v>
      </c>
      <c r="P1948" s="89">
        <v>183403.44</v>
      </c>
      <c r="Q1948" t="s">
        <v>137</v>
      </c>
      <c r="R1948" t="s">
        <v>42</v>
      </c>
    </row>
    <row r="1949" spans="3:18" hidden="1" x14ac:dyDescent="0.25">
      <c r="C1949" t="s">
        <v>45</v>
      </c>
      <c r="D1949" t="s">
        <v>19</v>
      </c>
      <c r="E1949" t="s">
        <v>43</v>
      </c>
      <c r="F1949" t="s">
        <v>41</v>
      </c>
      <c r="G1949" s="89">
        <v>300374</v>
      </c>
      <c r="H1949" t="s">
        <v>145</v>
      </c>
      <c r="I1949" t="s">
        <v>126</v>
      </c>
      <c r="J1949" s="89">
        <v>5106358</v>
      </c>
      <c r="K1949" t="s">
        <v>144</v>
      </c>
      <c r="N1949">
        <v>1</v>
      </c>
      <c r="O1949" s="89">
        <v>15018.7</v>
      </c>
      <c r="P1949" s="89">
        <v>165205.70000000001</v>
      </c>
      <c r="Q1949" t="s">
        <v>142</v>
      </c>
      <c r="R1949" t="s">
        <v>131</v>
      </c>
    </row>
    <row r="1950" spans="3:18" hidden="1" x14ac:dyDescent="0.25">
      <c r="C1950" t="s">
        <v>45</v>
      </c>
      <c r="D1950" t="s">
        <v>149</v>
      </c>
      <c r="E1950" t="s">
        <v>46</v>
      </c>
      <c r="F1950" t="s">
        <v>41</v>
      </c>
      <c r="G1950" s="89">
        <v>250207</v>
      </c>
      <c r="H1950" t="s">
        <v>42</v>
      </c>
      <c r="I1950" t="s">
        <v>133</v>
      </c>
      <c r="J1950" s="89">
        <v>8006624</v>
      </c>
      <c r="K1950" t="s">
        <v>127</v>
      </c>
      <c r="L1950" t="s">
        <v>128</v>
      </c>
      <c r="M1950" t="s">
        <v>136</v>
      </c>
      <c r="N1950">
        <v>1</v>
      </c>
      <c r="O1950" s="89">
        <v>7506.21</v>
      </c>
      <c r="P1950" s="89">
        <v>195161.46</v>
      </c>
      <c r="Q1950" t="s">
        <v>137</v>
      </c>
      <c r="R1950" t="s">
        <v>42</v>
      </c>
    </row>
    <row r="1951" spans="3:18" hidden="1" x14ac:dyDescent="0.25">
      <c r="C1951" t="s">
        <v>45</v>
      </c>
      <c r="D1951" t="s">
        <v>24</v>
      </c>
      <c r="E1951" t="s">
        <v>52</v>
      </c>
      <c r="F1951" t="s">
        <v>41</v>
      </c>
      <c r="G1951" s="89">
        <v>11195016</v>
      </c>
      <c r="H1951" t="s">
        <v>42</v>
      </c>
      <c r="I1951" t="s">
        <v>133</v>
      </c>
      <c r="J1951" s="89">
        <v>369435528</v>
      </c>
      <c r="K1951" t="s">
        <v>144</v>
      </c>
      <c r="N1951">
        <v>1</v>
      </c>
      <c r="O1951" s="89">
        <v>335850.48</v>
      </c>
      <c r="P1951" s="89">
        <v>5709458.1600000001</v>
      </c>
      <c r="Q1951" t="s">
        <v>142</v>
      </c>
      <c r="R1951" t="s">
        <v>42</v>
      </c>
    </row>
    <row r="1952" spans="3:18" x14ac:dyDescent="0.25">
      <c r="C1952" t="s">
        <v>47</v>
      </c>
      <c r="D1952" t="s">
        <v>21</v>
      </c>
      <c r="E1952" t="s">
        <v>40</v>
      </c>
      <c r="F1952" t="s">
        <v>41</v>
      </c>
      <c r="G1952" s="89">
        <v>1646763</v>
      </c>
      <c r="H1952" t="s">
        <v>140</v>
      </c>
      <c r="I1952" t="s">
        <v>147</v>
      </c>
      <c r="J1952" s="89">
        <v>6587052</v>
      </c>
      <c r="K1952" t="s">
        <v>127</v>
      </c>
      <c r="L1952" t="s">
        <v>151</v>
      </c>
      <c r="N1952">
        <v>1</v>
      </c>
      <c r="O1952" s="89">
        <v>65870.52</v>
      </c>
      <c r="P1952" s="89">
        <v>197611.56</v>
      </c>
      <c r="Q1952" t="s">
        <v>130</v>
      </c>
      <c r="R1952" t="s">
        <v>131</v>
      </c>
    </row>
    <row r="1953" spans="3:18" hidden="1" x14ac:dyDescent="0.25">
      <c r="C1953" t="s">
        <v>45</v>
      </c>
      <c r="D1953" t="s">
        <v>24</v>
      </c>
      <c r="E1953" t="s">
        <v>40</v>
      </c>
      <c r="F1953" t="s">
        <v>53</v>
      </c>
      <c r="G1953" s="89">
        <v>15537</v>
      </c>
      <c r="H1953" t="s">
        <v>42</v>
      </c>
      <c r="I1953" t="s">
        <v>147</v>
      </c>
      <c r="J1953" s="89">
        <v>62148</v>
      </c>
      <c r="K1953" t="s">
        <v>127</v>
      </c>
      <c r="L1953" t="s">
        <v>128</v>
      </c>
      <c r="M1953" t="s">
        <v>148</v>
      </c>
      <c r="N1953">
        <v>1</v>
      </c>
      <c r="O1953" s="89">
        <v>621.48</v>
      </c>
      <c r="P1953" s="89">
        <v>2485.92</v>
      </c>
      <c r="Q1953" t="s">
        <v>130</v>
      </c>
      <c r="R1953" t="s">
        <v>131</v>
      </c>
    </row>
    <row r="1954" spans="3:18" x14ac:dyDescent="0.25">
      <c r="C1954" t="s">
        <v>47</v>
      </c>
      <c r="D1954" t="s">
        <v>21</v>
      </c>
      <c r="E1954" t="s">
        <v>43</v>
      </c>
      <c r="F1954" t="s">
        <v>41</v>
      </c>
      <c r="G1954" s="89">
        <v>117077</v>
      </c>
      <c r="H1954" t="s">
        <v>145</v>
      </c>
      <c r="I1954" t="s">
        <v>147</v>
      </c>
      <c r="J1954" s="89"/>
      <c r="K1954" t="s">
        <v>127</v>
      </c>
      <c r="L1954" t="s">
        <v>128</v>
      </c>
      <c r="N1954">
        <v>0</v>
      </c>
      <c r="O1954" s="89">
        <v>5853.85</v>
      </c>
      <c r="P1954" s="89">
        <v>16390.78</v>
      </c>
      <c r="Q1954" t="s">
        <v>130</v>
      </c>
      <c r="R1954" t="s">
        <v>131</v>
      </c>
    </row>
    <row r="1955" spans="3:18" hidden="1" x14ac:dyDescent="0.25">
      <c r="C1955" t="s">
        <v>45</v>
      </c>
      <c r="D1955" t="s">
        <v>23</v>
      </c>
      <c r="E1955" t="s">
        <v>48</v>
      </c>
      <c r="F1955" t="s">
        <v>41</v>
      </c>
      <c r="G1955" s="89">
        <v>63972</v>
      </c>
      <c r="H1955" t="s">
        <v>42</v>
      </c>
      <c r="I1955" t="s">
        <v>133</v>
      </c>
      <c r="J1955" s="89">
        <v>2047104</v>
      </c>
      <c r="K1955" t="s">
        <v>127</v>
      </c>
      <c r="L1955" t="s">
        <v>128</v>
      </c>
      <c r="M1955" t="s">
        <v>143</v>
      </c>
      <c r="N1955">
        <v>1</v>
      </c>
      <c r="O1955" s="89">
        <v>2558.88</v>
      </c>
      <c r="P1955" s="89">
        <v>47339.28</v>
      </c>
      <c r="Q1955" t="s">
        <v>137</v>
      </c>
      <c r="R1955" t="s">
        <v>131</v>
      </c>
    </row>
    <row r="1956" spans="3:18" hidden="1" x14ac:dyDescent="0.25">
      <c r="C1956" t="s">
        <v>45</v>
      </c>
      <c r="D1956" t="s">
        <v>22</v>
      </c>
      <c r="E1956" t="s">
        <v>43</v>
      </c>
      <c r="F1956" t="s">
        <v>41</v>
      </c>
      <c r="G1956" s="89">
        <v>36168</v>
      </c>
      <c r="H1956" t="s">
        <v>42</v>
      </c>
      <c r="I1956" t="s">
        <v>141</v>
      </c>
      <c r="J1956" s="89">
        <v>217008</v>
      </c>
      <c r="K1956" t="s">
        <v>144</v>
      </c>
      <c r="N1956">
        <v>1</v>
      </c>
      <c r="O1956" s="89">
        <v>1085.04</v>
      </c>
      <c r="P1956" s="89">
        <v>9403.68</v>
      </c>
      <c r="Q1956" t="s">
        <v>130</v>
      </c>
      <c r="R1956" t="s">
        <v>131</v>
      </c>
    </row>
    <row r="1957" spans="3:18" hidden="1" x14ac:dyDescent="0.25">
      <c r="C1957" t="s">
        <v>45</v>
      </c>
      <c r="D1957" t="s">
        <v>22</v>
      </c>
      <c r="E1957" t="s">
        <v>48</v>
      </c>
      <c r="F1957" t="s">
        <v>41</v>
      </c>
      <c r="G1957" s="89">
        <v>53238</v>
      </c>
      <c r="H1957" t="s">
        <v>42</v>
      </c>
      <c r="I1957" t="s">
        <v>126</v>
      </c>
      <c r="J1957" s="89">
        <v>1011522</v>
      </c>
      <c r="K1957" t="s">
        <v>134</v>
      </c>
      <c r="L1957" t="s">
        <v>128</v>
      </c>
      <c r="M1957" t="s">
        <v>143</v>
      </c>
      <c r="N1957">
        <v>1</v>
      </c>
      <c r="O1957" s="89">
        <v>1597.14</v>
      </c>
      <c r="P1957" s="89">
        <v>17568.54</v>
      </c>
      <c r="Q1957" t="s">
        <v>130</v>
      </c>
      <c r="R1957" t="s">
        <v>42</v>
      </c>
    </row>
    <row r="1958" spans="3:18" hidden="1" x14ac:dyDescent="0.25">
      <c r="C1958" t="s">
        <v>45</v>
      </c>
      <c r="D1958" t="s">
        <v>23</v>
      </c>
      <c r="E1958" t="s">
        <v>40</v>
      </c>
      <c r="F1958" t="s">
        <v>41</v>
      </c>
      <c r="G1958" s="89">
        <v>301</v>
      </c>
      <c r="H1958" t="s">
        <v>146</v>
      </c>
      <c r="I1958" t="s">
        <v>147</v>
      </c>
      <c r="J1958" s="89">
        <v>602</v>
      </c>
      <c r="K1958" t="s">
        <v>127</v>
      </c>
      <c r="L1958" t="s">
        <v>128</v>
      </c>
      <c r="N1958">
        <v>1</v>
      </c>
      <c r="O1958" s="89">
        <v>9.0299999999999994</v>
      </c>
      <c r="P1958" s="89">
        <v>183.61</v>
      </c>
      <c r="Q1958" t="s">
        <v>137</v>
      </c>
      <c r="R1958" t="s">
        <v>131</v>
      </c>
    </row>
    <row r="1959" spans="3:18" x14ac:dyDescent="0.25">
      <c r="C1959" t="s">
        <v>47</v>
      </c>
      <c r="D1959" t="s">
        <v>21</v>
      </c>
      <c r="E1959" t="s">
        <v>40</v>
      </c>
      <c r="F1959" t="s">
        <v>41</v>
      </c>
      <c r="G1959" s="89">
        <v>91913</v>
      </c>
      <c r="H1959" t="s">
        <v>146</v>
      </c>
      <c r="I1959" t="s">
        <v>133</v>
      </c>
      <c r="J1959" s="89">
        <v>2022086</v>
      </c>
      <c r="K1959" t="s">
        <v>127</v>
      </c>
      <c r="L1959" t="s">
        <v>128</v>
      </c>
      <c r="N1959">
        <v>1</v>
      </c>
      <c r="O1959" s="89">
        <v>3676.52</v>
      </c>
      <c r="P1959" s="89">
        <v>64339.1</v>
      </c>
      <c r="Q1959" t="s">
        <v>137</v>
      </c>
      <c r="R1959" t="s">
        <v>131</v>
      </c>
    </row>
    <row r="1960" spans="3:18" hidden="1" x14ac:dyDescent="0.25">
      <c r="C1960" t="s">
        <v>45</v>
      </c>
      <c r="D1960" t="s">
        <v>149</v>
      </c>
      <c r="E1960" t="s">
        <v>43</v>
      </c>
      <c r="F1960" t="s">
        <v>41</v>
      </c>
      <c r="G1960" s="89">
        <v>1021766</v>
      </c>
      <c r="H1960" t="s">
        <v>42</v>
      </c>
      <c r="I1960" t="s">
        <v>133</v>
      </c>
      <c r="J1960" s="89">
        <v>32696512</v>
      </c>
      <c r="K1960" t="s">
        <v>134</v>
      </c>
      <c r="L1960" t="s">
        <v>128</v>
      </c>
      <c r="M1960" t="s">
        <v>136</v>
      </c>
      <c r="N1960">
        <v>1</v>
      </c>
      <c r="O1960" s="89">
        <v>30652.98</v>
      </c>
      <c r="P1960" s="89">
        <v>531318.31999999995</v>
      </c>
      <c r="Q1960" t="s">
        <v>142</v>
      </c>
      <c r="R1960" t="s">
        <v>131</v>
      </c>
    </row>
    <row r="1961" spans="3:18" hidden="1" x14ac:dyDescent="0.25">
      <c r="C1961" t="s">
        <v>45</v>
      </c>
      <c r="D1961" t="s">
        <v>24</v>
      </c>
      <c r="E1961" t="s">
        <v>52</v>
      </c>
      <c r="F1961" t="s">
        <v>41</v>
      </c>
      <c r="G1961" s="89">
        <v>2937315</v>
      </c>
      <c r="H1961" t="s">
        <v>42</v>
      </c>
      <c r="I1961" t="s">
        <v>133</v>
      </c>
      <c r="J1961" s="89">
        <v>85182135</v>
      </c>
      <c r="K1961" t="s">
        <v>127</v>
      </c>
      <c r="L1961" t="s">
        <v>128</v>
      </c>
      <c r="M1961" t="s">
        <v>148</v>
      </c>
      <c r="N1961">
        <v>1</v>
      </c>
      <c r="O1961" s="89">
        <v>88119.45</v>
      </c>
      <c r="P1961" s="89">
        <v>851821.35</v>
      </c>
      <c r="Q1961" t="s">
        <v>130</v>
      </c>
      <c r="R1961" t="s">
        <v>42</v>
      </c>
    </row>
    <row r="1962" spans="3:18" x14ac:dyDescent="0.25">
      <c r="C1962" t="s">
        <v>47</v>
      </c>
      <c r="D1962" t="s">
        <v>24</v>
      </c>
      <c r="E1962" t="s">
        <v>48</v>
      </c>
      <c r="F1962" t="s">
        <v>41</v>
      </c>
      <c r="G1962" s="89">
        <v>303017</v>
      </c>
      <c r="H1962" t="s">
        <v>140</v>
      </c>
      <c r="I1962" t="s">
        <v>147</v>
      </c>
      <c r="J1962" s="89">
        <v>1515085</v>
      </c>
      <c r="K1962" t="s">
        <v>127</v>
      </c>
      <c r="L1962" t="s">
        <v>128</v>
      </c>
      <c r="N1962">
        <v>1</v>
      </c>
      <c r="O1962" s="89">
        <v>12120.68</v>
      </c>
      <c r="P1962" s="89">
        <v>187870.54</v>
      </c>
      <c r="Q1962" t="s">
        <v>137</v>
      </c>
      <c r="R1962" t="s">
        <v>131</v>
      </c>
    </row>
    <row r="1963" spans="3:18" hidden="1" x14ac:dyDescent="0.25">
      <c r="C1963" t="s">
        <v>45</v>
      </c>
      <c r="D1963" t="s">
        <v>19</v>
      </c>
      <c r="E1963" t="s">
        <v>43</v>
      </c>
      <c r="F1963" t="s">
        <v>41</v>
      </c>
      <c r="G1963" s="89">
        <v>146481</v>
      </c>
      <c r="H1963" t="s">
        <v>42</v>
      </c>
      <c r="I1963" t="s">
        <v>133</v>
      </c>
      <c r="J1963" s="89">
        <v>3076101</v>
      </c>
      <c r="K1963" t="s">
        <v>134</v>
      </c>
      <c r="N1963">
        <v>1</v>
      </c>
      <c r="O1963" s="89">
        <v>4394.43</v>
      </c>
      <c r="P1963" s="89">
        <v>41014.68</v>
      </c>
      <c r="Q1963" t="s">
        <v>130</v>
      </c>
      <c r="R1963" t="s">
        <v>42</v>
      </c>
    </row>
    <row r="1964" spans="3:18" hidden="1" x14ac:dyDescent="0.25">
      <c r="C1964" t="s">
        <v>45</v>
      </c>
      <c r="D1964" t="s">
        <v>24</v>
      </c>
      <c r="E1964" t="s">
        <v>44</v>
      </c>
      <c r="F1964" t="s">
        <v>41</v>
      </c>
      <c r="G1964" s="89">
        <v>311550</v>
      </c>
      <c r="H1964" t="s">
        <v>42</v>
      </c>
      <c r="I1964" t="s">
        <v>126</v>
      </c>
      <c r="J1964" s="89">
        <v>4673250</v>
      </c>
      <c r="K1964" t="s">
        <v>127</v>
      </c>
      <c r="L1964" t="s">
        <v>128</v>
      </c>
      <c r="M1964" t="s">
        <v>148</v>
      </c>
      <c r="N1964">
        <v>1</v>
      </c>
      <c r="O1964" s="89">
        <v>12462</v>
      </c>
      <c r="P1964" s="89">
        <v>205623</v>
      </c>
      <c r="Q1964" t="s">
        <v>137</v>
      </c>
      <c r="R1964" t="s">
        <v>42</v>
      </c>
    </row>
    <row r="1965" spans="3:18" hidden="1" x14ac:dyDescent="0.25">
      <c r="C1965" t="s">
        <v>45</v>
      </c>
      <c r="D1965" t="s">
        <v>22</v>
      </c>
      <c r="E1965" t="s">
        <v>40</v>
      </c>
      <c r="F1965" t="s">
        <v>41</v>
      </c>
      <c r="G1965" s="89">
        <v>19404584</v>
      </c>
      <c r="H1965" t="s">
        <v>132</v>
      </c>
      <c r="I1965" t="s">
        <v>133</v>
      </c>
      <c r="J1965" s="89">
        <v>562732936</v>
      </c>
      <c r="K1965" t="s">
        <v>127</v>
      </c>
      <c r="L1965" t="s">
        <v>128</v>
      </c>
      <c r="N1965">
        <v>1</v>
      </c>
      <c r="O1965" s="89">
        <v>582137.52</v>
      </c>
      <c r="P1965" s="89">
        <v>16299850.560000001</v>
      </c>
      <c r="Q1965" t="s">
        <v>135</v>
      </c>
      <c r="R1965" t="s">
        <v>131</v>
      </c>
    </row>
    <row r="1966" spans="3:18" hidden="1" x14ac:dyDescent="0.25">
      <c r="C1966" t="s">
        <v>45</v>
      </c>
      <c r="D1966" t="s">
        <v>20</v>
      </c>
      <c r="E1966" t="s">
        <v>43</v>
      </c>
      <c r="F1966" t="s">
        <v>41</v>
      </c>
      <c r="G1966" s="89">
        <v>425821</v>
      </c>
      <c r="H1966" t="s">
        <v>132</v>
      </c>
      <c r="I1966" t="s">
        <v>133</v>
      </c>
      <c r="J1966" s="89">
        <v>12774630</v>
      </c>
      <c r="K1966" t="s">
        <v>144</v>
      </c>
      <c r="N1966">
        <v>1</v>
      </c>
      <c r="O1966" s="89">
        <v>12774.63</v>
      </c>
      <c r="P1966" s="89">
        <v>357689.64</v>
      </c>
      <c r="Q1966" t="s">
        <v>135</v>
      </c>
      <c r="R1966" t="s">
        <v>131</v>
      </c>
    </row>
    <row r="1967" spans="3:18" hidden="1" x14ac:dyDescent="0.25">
      <c r="C1967" t="s">
        <v>45</v>
      </c>
      <c r="D1967" t="s">
        <v>22</v>
      </c>
      <c r="E1967" t="s">
        <v>40</v>
      </c>
      <c r="F1967" t="s">
        <v>41</v>
      </c>
      <c r="G1967" s="89">
        <v>218913</v>
      </c>
      <c r="H1967" t="s">
        <v>146</v>
      </c>
      <c r="I1967" t="s">
        <v>133</v>
      </c>
      <c r="J1967" s="89">
        <v>5691738</v>
      </c>
      <c r="K1967" t="s">
        <v>134</v>
      </c>
      <c r="L1967" t="s">
        <v>128</v>
      </c>
      <c r="N1967">
        <v>1</v>
      </c>
      <c r="O1967" s="89">
        <v>6567.39</v>
      </c>
      <c r="P1967" s="89">
        <v>249560.82</v>
      </c>
      <c r="Q1967" t="s">
        <v>150</v>
      </c>
      <c r="R1967" t="s">
        <v>131</v>
      </c>
    </row>
    <row r="1968" spans="3:18" hidden="1" x14ac:dyDescent="0.25">
      <c r="C1968" t="s">
        <v>45</v>
      </c>
      <c r="D1968" t="s">
        <v>21</v>
      </c>
      <c r="E1968" t="s">
        <v>40</v>
      </c>
      <c r="F1968" t="s">
        <v>41</v>
      </c>
      <c r="G1968" s="89">
        <v>35112</v>
      </c>
      <c r="H1968" t="s">
        <v>132</v>
      </c>
      <c r="I1968" t="s">
        <v>141</v>
      </c>
      <c r="J1968" s="89">
        <v>210672</v>
      </c>
      <c r="K1968" t="s">
        <v>127</v>
      </c>
      <c r="L1968" t="s">
        <v>128</v>
      </c>
      <c r="N1968">
        <v>1</v>
      </c>
      <c r="O1968" s="89">
        <v>1053.3599999999999</v>
      </c>
      <c r="P1968" s="89">
        <v>31951.919999999998</v>
      </c>
      <c r="Q1968" t="s">
        <v>135</v>
      </c>
      <c r="R1968" t="s">
        <v>131</v>
      </c>
    </row>
    <row r="1969" spans="3:18" hidden="1" x14ac:dyDescent="0.25">
      <c r="C1969" t="s">
        <v>45</v>
      </c>
      <c r="D1969" t="s">
        <v>138</v>
      </c>
      <c r="E1969" t="s">
        <v>43</v>
      </c>
      <c r="F1969" t="s">
        <v>41</v>
      </c>
      <c r="G1969" s="89">
        <v>927572</v>
      </c>
      <c r="H1969" t="s">
        <v>146</v>
      </c>
      <c r="I1969" t="s">
        <v>147</v>
      </c>
      <c r="J1969" s="89">
        <v>2782716</v>
      </c>
      <c r="K1969" t="s">
        <v>127</v>
      </c>
      <c r="L1969" t="s">
        <v>128</v>
      </c>
      <c r="N1969">
        <v>1</v>
      </c>
      <c r="O1969" s="89">
        <v>27827.16</v>
      </c>
      <c r="P1969" s="89">
        <v>111308.64</v>
      </c>
      <c r="Q1969" t="s">
        <v>130</v>
      </c>
      <c r="R1969" t="s">
        <v>131</v>
      </c>
    </row>
    <row r="1970" spans="3:18" hidden="1" x14ac:dyDescent="0.25">
      <c r="C1970" t="s">
        <v>45</v>
      </c>
      <c r="D1970" t="s">
        <v>21</v>
      </c>
      <c r="E1970" t="s">
        <v>43</v>
      </c>
      <c r="F1970" t="s">
        <v>41</v>
      </c>
      <c r="G1970" s="89">
        <v>16407464</v>
      </c>
      <c r="H1970" t="s">
        <v>140</v>
      </c>
      <c r="I1970" t="s">
        <v>133</v>
      </c>
      <c r="J1970" s="89">
        <v>492223920</v>
      </c>
      <c r="K1970" t="s">
        <v>144</v>
      </c>
      <c r="N1970">
        <v>1</v>
      </c>
      <c r="O1970" s="89">
        <v>492223.92</v>
      </c>
      <c r="P1970" s="89">
        <v>8039657.3600000003</v>
      </c>
      <c r="Q1970" t="s">
        <v>142</v>
      </c>
      <c r="R1970" t="s">
        <v>131</v>
      </c>
    </row>
    <row r="1971" spans="3:18" x14ac:dyDescent="0.25">
      <c r="C1971" t="s">
        <v>47</v>
      </c>
      <c r="D1971" t="s">
        <v>138</v>
      </c>
      <c r="E1971" t="s">
        <v>43</v>
      </c>
      <c r="F1971" t="s">
        <v>41</v>
      </c>
      <c r="G1971" s="89">
        <v>72747</v>
      </c>
      <c r="H1971" t="s">
        <v>140</v>
      </c>
      <c r="I1971" t="s">
        <v>133</v>
      </c>
      <c r="J1971" s="89">
        <v>1527687</v>
      </c>
      <c r="K1971" t="s">
        <v>127</v>
      </c>
      <c r="L1971" t="s">
        <v>128</v>
      </c>
      <c r="N1971">
        <v>1</v>
      </c>
      <c r="O1971" s="89">
        <v>3637.35</v>
      </c>
      <c r="P1971" s="89">
        <v>50922.9</v>
      </c>
      <c r="Q1971" t="s">
        <v>137</v>
      </c>
      <c r="R1971" t="s">
        <v>131</v>
      </c>
    </row>
    <row r="1972" spans="3:18" hidden="1" x14ac:dyDescent="0.25">
      <c r="C1972" t="s">
        <v>45</v>
      </c>
      <c r="D1972" t="s">
        <v>138</v>
      </c>
      <c r="E1972" t="s">
        <v>43</v>
      </c>
      <c r="F1972" t="s">
        <v>41</v>
      </c>
      <c r="G1972" s="89">
        <v>7289727</v>
      </c>
      <c r="H1972" t="s">
        <v>42</v>
      </c>
      <c r="I1972" t="s">
        <v>133</v>
      </c>
      <c r="J1972" s="89">
        <v>218691810</v>
      </c>
      <c r="K1972" t="s">
        <v>144</v>
      </c>
      <c r="N1972">
        <v>1</v>
      </c>
      <c r="O1972" s="89">
        <v>218691.81</v>
      </c>
      <c r="P1972" s="89">
        <v>2405609.91</v>
      </c>
      <c r="Q1972" t="s">
        <v>130</v>
      </c>
      <c r="R1972" t="s">
        <v>42</v>
      </c>
    </row>
    <row r="1973" spans="3:18" hidden="1" x14ac:dyDescent="0.25">
      <c r="C1973" t="s">
        <v>45</v>
      </c>
      <c r="D1973" t="s">
        <v>138</v>
      </c>
      <c r="E1973" t="s">
        <v>40</v>
      </c>
      <c r="F1973" t="s">
        <v>41</v>
      </c>
      <c r="G1973" s="89">
        <v>127349</v>
      </c>
      <c r="H1973" t="s">
        <v>140</v>
      </c>
      <c r="I1973" t="s">
        <v>126</v>
      </c>
      <c r="J1973" s="89">
        <v>2164933</v>
      </c>
      <c r="K1973" t="s">
        <v>127</v>
      </c>
      <c r="L1973" t="s">
        <v>128</v>
      </c>
      <c r="N1973">
        <v>1</v>
      </c>
      <c r="O1973" s="89">
        <v>3820.47</v>
      </c>
      <c r="P1973" s="89">
        <v>67494.97</v>
      </c>
      <c r="Q1973" t="s">
        <v>142</v>
      </c>
      <c r="R1973" t="s">
        <v>131</v>
      </c>
    </row>
    <row r="1974" spans="3:18" hidden="1" x14ac:dyDescent="0.25">
      <c r="C1974" t="s">
        <v>45</v>
      </c>
      <c r="D1974" t="s">
        <v>22</v>
      </c>
      <c r="E1974" t="s">
        <v>44</v>
      </c>
      <c r="F1974" t="s">
        <v>41</v>
      </c>
      <c r="G1974" s="89">
        <v>3538166</v>
      </c>
      <c r="H1974" t="s">
        <v>42</v>
      </c>
      <c r="I1974" t="s">
        <v>133</v>
      </c>
      <c r="J1974" s="89">
        <v>109683146</v>
      </c>
      <c r="K1974" t="s">
        <v>144</v>
      </c>
      <c r="N1974">
        <v>1</v>
      </c>
      <c r="O1974" s="89">
        <v>106144.98</v>
      </c>
      <c r="P1974" s="89">
        <v>1061449.8</v>
      </c>
      <c r="Q1974" t="s">
        <v>130</v>
      </c>
      <c r="R1974" t="s">
        <v>42</v>
      </c>
    </row>
    <row r="1975" spans="3:18" hidden="1" x14ac:dyDescent="0.25">
      <c r="C1975" t="s">
        <v>45</v>
      </c>
      <c r="D1975" t="s">
        <v>21</v>
      </c>
      <c r="E1975" t="s">
        <v>52</v>
      </c>
      <c r="F1975" t="s">
        <v>41</v>
      </c>
      <c r="G1975" s="89">
        <v>470895</v>
      </c>
      <c r="H1975" t="s">
        <v>42</v>
      </c>
      <c r="I1975" t="s">
        <v>133</v>
      </c>
      <c r="J1975" s="89">
        <v>16952220</v>
      </c>
      <c r="K1975" t="s">
        <v>127</v>
      </c>
      <c r="L1975" t="s">
        <v>128</v>
      </c>
      <c r="M1975" t="s">
        <v>129</v>
      </c>
      <c r="N1975">
        <v>1</v>
      </c>
      <c r="O1975" s="89">
        <v>14126.85</v>
      </c>
      <c r="P1975" s="89">
        <v>390842.85</v>
      </c>
      <c r="Q1975" t="s">
        <v>135</v>
      </c>
      <c r="R1975" t="s">
        <v>42</v>
      </c>
    </row>
    <row r="1976" spans="3:18" hidden="1" x14ac:dyDescent="0.25">
      <c r="C1976" t="s">
        <v>45</v>
      </c>
      <c r="D1976" t="s">
        <v>22</v>
      </c>
      <c r="E1976" t="s">
        <v>43</v>
      </c>
      <c r="F1976" t="s">
        <v>41</v>
      </c>
      <c r="G1976" s="89">
        <v>191351</v>
      </c>
      <c r="H1976" t="s">
        <v>140</v>
      </c>
      <c r="I1976" t="s">
        <v>141</v>
      </c>
      <c r="J1976" s="89">
        <v>1530808</v>
      </c>
      <c r="K1976" t="s">
        <v>127</v>
      </c>
      <c r="L1976" t="s">
        <v>128</v>
      </c>
      <c r="N1976">
        <v>1</v>
      </c>
      <c r="O1976" s="89">
        <v>5740.53</v>
      </c>
      <c r="P1976" s="89">
        <v>126291.66</v>
      </c>
      <c r="Q1976" t="s">
        <v>137</v>
      </c>
      <c r="R1976" t="s">
        <v>131</v>
      </c>
    </row>
    <row r="1977" spans="3:18" hidden="1" x14ac:dyDescent="0.25">
      <c r="C1977" t="s">
        <v>45</v>
      </c>
      <c r="D1977" t="s">
        <v>22</v>
      </c>
      <c r="E1977" t="s">
        <v>40</v>
      </c>
      <c r="F1977" t="s">
        <v>41</v>
      </c>
      <c r="G1977" s="89">
        <v>307806</v>
      </c>
      <c r="H1977" t="s">
        <v>140</v>
      </c>
      <c r="I1977" t="s">
        <v>133</v>
      </c>
      <c r="J1977" s="89">
        <v>9849792</v>
      </c>
      <c r="K1977" t="s">
        <v>134</v>
      </c>
      <c r="L1977" t="s">
        <v>128</v>
      </c>
      <c r="N1977">
        <v>1</v>
      </c>
      <c r="O1977" s="89">
        <v>9234.18</v>
      </c>
      <c r="P1977" s="89">
        <v>323196.3</v>
      </c>
      <c r="Q1977" t="s">
        <v>150</v>
      </c>
      <c r="R1977" t="s">
        <v>131</v>
      </c>
    </row>
    <row r="1978" spans="3:18" hidden="1" x14ac:dyDescent="0.25">
      <c r="C1978" t="s">
        <v>45</v>
      </c>
      <c r="D1978" t="s">
        <v>21</v>
      </c>
      <c r="E1978" t="s">
        <v>46</v>
      </c>
      <c r="F1978" t="s">
        <v>41</v>
      </c>
      <c r="G1978" s="89">
        <v>313037</v>
      </c>
      <c r="H1978" t="s">
        <v>42</v>
      </c>
      <c r="I1978" t="s">
        <v>133</v>
      </c>
      <c r="J1978" s="89">
        <v>9704147</v>
      </c>
      <c r="K1978" t="s">
        <v>144</v>
      </c>
      <c r="N1978">
        <v>1</v>
      </c>
      <c r="O1978" s="89">
        <v>9391.11</v>
      </c>
      <c r="P1978" s="89">
        <v>225386.64</v>
      </c>
      <c r="Q1978" t="s">
        <v>137</v>
      </c>
      <c r="R1978" t="s">
        <v>42</v>
      </c>
    </row>
    <row r="1979" spans="3:18" x14ac:dyDescent="0.25">
      <c r="C1979" t="s">
        <v>47</v>
      </c>
      <c r="D1979" t="s">
        <v>24</v>
      </c>
      <c r="E1979" t="s">
        <v>48</v>
      </c>
      <c r="F1979" t="s">
        <v>41</v>
      </c>
      <c r="G1979" s="89">
        <v>334284</v>
      </c>
      <c r="H1979" t="s">
        <v>140</v>
      </c>
      <c r="I1979" t="s">
        <v>126</v>
      </c>
      <c r="J1979" s="89">
        <v>3677124</v>
      </c>
      <c r="K1979" t="s">
        <v>144</v>
      </c>
      <c r="N1979">
        <v>1</v>
      </c>
      <c r="O1979" s="89">
        <v>13371.36</v>
      </c>
      <c r="P1979" s="89">
        <v>237341.64</v>
      </c>
      <c r="Q1979" t="s">
        <v>137</v>
      </c>
      <c r="R1979" t="s">
        <v>131</v>
      </c>
    </row>
    <row r="1980" spans="3:18" x14ac:dyDescent="0.25">
      <c r="C1980" t="s">
        <v>47</v>
      </c>
      <c r="D1980" t="s">
        <v>50</v>
      </c>
      <c r="E1980" t="s">
        <v>50</v>
      </c>
      <c r="F1980" t="s">
        <v>41</v>
      </c>
      <c r="G1980" s="89">
        <v>1891193</v>
      </c>
      <c r="H1980" t="s">
        <v>79</v>
      </c>
      <c r="I1980" t="s">
        <v>141</v>
      </c>
      <c r="J1980" s="89">
        <v>15129544</v>
      </c>
      <c r="K1980" t="s">
        <v>144</v>
      </c>
      <c r="N1980">
        <v>1</v>
      </c>
      <c r="O1980" s="89">
        <v>75647.72</v>
      </c>
      <c r="P1980" s="89">
        <v>2288343.5299999998</v>
      </c>
      <c r="Q1980" t="s">
        <v>150</v>
      </c>
      <c r="R1980" t="s">
        <v>79</v>
      </c>
    </row>
    <row r="1981" spans="3:18" hidden="1" x14ac:dyDescent="0.25">
      <c r="C1981" t="s">
        <v>45</v>
      </c>
      <c r="D1981" t="s">
        <v>20</v>
      </c>
      <c r="E1981" t="s">
        <v>43</v>
      </c>
      <c r="F1981" t="s">
        <v>41</v>
      </c>
      <c r="G1981" s="89">
        <v>70000</v>
      </c>
      <c r="H1981" t="s">
        <v>146</v>
      </c>
      <c r="I1981" t="s">
        <v>126</v>
      </c>
      <c r="J1981" s="89">
        <v>1190000</v>
      </c>
      <c r="K1981" t="s">
        <v>127</v>
      </c>
      <c r="L1981" t="s">
        <v>128</v>
      </c>
      <c r="N1981">
        <v>1</v>
      </c>
      <c r="O1981" s="89">
        <v>2800</v>
      </c>
      <c r="P1981" s="89">
        <v>77700</v>
      </c>
      <c r="Q1981" t="s">
        <v>150</v>
      </c>
      <c r="R1981" t="s">
        <v>131</v>
      </c>
    </row>
    <row r="1982" spans="3:18" hidden="1" x14ac:dyDescent="0.25">
      <c r="C1982" t="s">
        <v>45</v>
      </c>
      <c r="D1982" t="s">
        <v>23</v>
      </c>
      <c r="E1982" t="s">
        <v>40</v>
      </c>
      <c r="F1982" t="s">
        <v>53</v>
      </c>
      <c r="G1982" s="89">
        <v>568809</v>
      </c>
      <c r="H1982" t="s">
        <v>140</v>
      </c>
      <c r="I1982" t="s">
        <v>133</v>
      </c>
      <c r="J1982" s="89">
        <v>18201888</v>
      </c>
      <c r="K1982" t="s">
        <v>144</v>
      </c>
      <c r="N1982">
        <v>1</v>
      </c>
      <c r="O1982" s="89">
        <v>17064.27</v>
      </c>
      <c r="P1982" s="89">
        <v>130826.07</v>
      </c>
      <c r="Q1982" t="s">
        <v>130</v>
      </c>
      <c r="R1982" t="s">
        <v>131</v>
      </c>
    </row>
    <row r="1983" spans="3:18" hidden="1" x14ac:dyDescent="0.25">
      <c r="C1983" t="s">
        <v>45</v>
      </c>
      <c r="D1983" t="s">
        <v>138</v>
      </c>
      <c r="E1983" t="s">
        <v>43</v>
      </c>
      <c r="F1983" t="s">
        <v>41</v>
      </c>
      <c r="G1983" s="89">
        <v>725549</v>
      </c>
      <c r="H1983" t="s">
        <v>145</v>
      </c>
      <c r="I1983" t="s">
        <v>133</v>
      </c>
      <c r="J1983" s="89">
        <v>23217568</v>
      </c>
      <c r="K1983" t="s">
        <v>144</v>
      </c>
      <c r="N1983">
        <v>1</v>
      </c>
      <c r="O1983" s="89">
        <v>21766.47</v>
      </c>
      <c r="P1983" s="89">
        <v>602205.67000000004</v>
      </c>
      <c r="Q1983" t="s">
        <v>135</v>
      </c>
      <c r="R1983" t="s">
        <v>131</v>
      </c>
    </row>
    <row r="1984" spans="3:18" hidden="1" x14ac:dyDescent="0.25">
      <c r="C1984" t="s">
        <v>45</v>
      </c>
      <c r="D1984" t="s">
        <v>23</v>
      </c>
      <c r="E1984" t="s">
        <v>40</v>
      </c>
      <c r="F1984" t="s">
        <v>41</v>
      </c>
      <c r="G1984" s="89">
        <v>1140800</v>
      </c>
      <c r="H1984" t="s">
        <v>42</v>
      </c>
      <c r="I1984" t="s">
        <v>126</v>
      </c>
      <c r="J1984" s="89">
        <v>19393600</v>
      </c>
      <c r="K1984" t="s">
        <v>144</v>
      </c>
      <c r="N1984">
        <v>1</v>
      </c>
      <c r="O1984" s="89">
        <v>34224</v>
      </c>
      <c r="P1984" s="89">
        <v>536176</v>
      </c>
      <c r="Q1984" t="s">
        <v>142</v>
      </c>
      <c r="R1984" t="s">
        <v>131</v>
      </c>
    </row>
    <row r="1985" spans="3:18" hidden="1" x14ac:dyDescent="0.25">
      <c r="C1985" t="s">
        <v>45</v>
      </c>
      <c r="D1985" t="s">
        <v>22</v>
      </c>
      <c r="E1985" t="s">
        <v>40</v>
      </c>
      <c r="F1985" t="s">
        <v>41</v>
      </c>
      <c r="G1985" s="89">
        <v>12825</v>
      </c>
      <c r="H1985" t="s">
        <v>145</v>
      </c>
      <c r="I1985" t="s">
        <v>141</v>
      </c>
      <c r="J1985" s="89">
        <v>128250</v>
      </c>
      <c r="K1985" t="s">
        <v>127</v>
      </c>
      <c r="L1985" t="s">
        <v>128</v>
      </c>
      <c r="N1985">
        <v>1</v>
      </c>
      <c r="O1985" s="89">
        <v>1026</v>
      </c>
      <c r="P1985" s="89">
        <v>11799</v>
      </c>
      <c r="Q1985" t="s">
        <v>135</v>
      </c>
      <c r="R1985" t="s">
        <v>131</v>
      </c>
    </row>
    <row r="1986" spans="3:18" hidden="1" x14ac:dyDescent="0.25">
      <c r="C1986" t="s">
        <v>45</v>
      </c>
      <c r="D1986" t="s">
        <v>138</v>
      </c>
      <c r="E1986" t="s">
        <v>40</v>
      </c>
      <c r="F1986" t="s">
        <v>41</v>
      </c>
      <c r="G1986" s="89">
        <v>4498759</v>
      </c>
      <c r="H1986" t="s">
        <v>42</v>
      </c>
      <c r="I1986" t="s">
        <v>133</v>
      </c>
      <c r="J1986" s="89">
        <v>134962770</v>
      </c>
      <c r="K1986" t="s">
        <v>127</v>
      </c>
      <c r="L1986" t="s">
        <v>128</v>
      </c>
      <c r="M1986" t="s">
        <v>139</v>
      </c>
      <c r="N1986">
        <v>1</v>
      </c>
      <c r="O1986" s="89">
        <v>134962.76999999999</v>
      </c>
      <c r="P1986" s="89">
        <v>2294367.09</v>
      </c>
      <c r="Q1986" t="s">
        <v>142</v>
      </c>
      <c r="R1986" t="s">
        <v>42</v>
      </c>
    </row>
    <row r="1987" spans="3:18" hidden="1" x14ac:dyDescent="0.25">
      <c r="C1987" t="s">
        <v>45</v>
      </c>
      <c r="D1987" t="s">
        <v>21</v>
      </c>
      <c r="E1987" t="s">
        <v>43</v>
      </c>
      <c r="F1987" t="s">
        <v>41</v>
      </c>
      <c r="G1987" s="89">
        <v>252209</v>
      </c>
      <c r="H1987" t="s">
        <v>42</v>
      </c>
      <c r="I1987" t="s">
        <v>133</v>
      </c>
      <c r="J1987" s="89">
        <v>8575106</v>
      </c>
      <c r="K1987" t="s">
        <v>127</v>
      </c>
      <c r="L1987" t="s">
        <v>128</v>
      </c>
      <c r="M1987" t="s">
        <v>152</v>
      </c>
      <c r="N1987">
        <v>1</v>
      </c>
      <c r="O1987" s="89">
        <v>7566.27</v>
      </c>
      <c r="P1987" s="89">
        <v>93317.33</v>
      </c>
      <c r="Q1987" t="s">
        <v>130</v>
      </c>
      <c r="R1987" t="s">
        <v>131</v>
      </c>
    </row>
    <row r="1988" spans="3:18" x14ac:dyDescent="0.25">
      <c r="C1988" t="s">
        <v>47</v>
      </c>
      <c r="D1988" t="s">
        <v>25</v>
      </c>
      <c r="E1988" t="s">
        <v>44</v>
      </c>
      <c r="F1988" t="s">
        <v>41</v>
      </c>
      <c r="G1988" s="89">
        <v>70080</v>
      </c>
      <c r="H1988" t="s">
        <v>146</v>
      </c>
      <c r="I1988" t="s">
        <v>126</v>
      </c>
      <c r="J1988" s="89">
        <v>1051200</v>
      </c>
      <c r="K1988" t="s">
        <v>144</v>
      </c>
      <c r="N1988">
        <v>1</v>
      </c>
      <c r="O1988" s="89">
        <v>3504</v>
      </c>
      <c r="P1988" s="89">
        <v>42048</v>
      </c>
      <c r="Q1988" t="s">
        <v>142</v>
      </c>
      <c r="R1988" t="s">
        <v>131</v>
      </c>
    </row>
    <row r="1989" spans="3:18" hidden="1" x14ac:dyDescent="0.25">
      <c r="C1989" t="s">
        <v>45</v>
      </c>
      <c r="D1989" t="s">
        <v>23</v>
      </c>
      <c r="E1989" t="s">
        <v>40</v>
      </c>
      <c r="F1989" t="s">
        <v>41</v>
      </c>
      <c r="G1989" s="89">
        <v>11747807</v>
      </c>
      <c r="H1989" t="s">
        <v>146</v>
      </c>
      <c r="I1989" t="s">
        <v>133</v>
      </c>
      <c r="J1989" s="89">
        <v>328938596</v>
      </c>
      <c r="K1989" t="s">
        <v>127</v>
      </c>
      <c r="L1989" t="s">
        <v>128</v>
      </c>
      <c r="N1989">
        <v>1</v>
      </c>
      <c r="O1989" s="89">
        <v>352434.21</v>
      </c>
      <c r="P1989" s="89">
        <v>7988508.7599999998</v>
      </c>
      <c r="Q1989" t="s">
        <v>137</v>
      </c>
      <c r="R1989" t="s">
        <v>131</v>
      </c>
    </row>
    <row r="1990" spans="3:18" hidden="1" x14ac:dyDescent="0.25">
      <c r="C1990" t="s">
        <v>45</v>
      </c>
      <c r="D1990" t="s">
        <v>20</v>
      </c>
      <c r="E1990" t="s">
        <v>43</v>
      </c>
      <c r="F1990" t="s">
        <v>41</v>
      </c>
      <c r="G1990" s="89">
        <v>4766350</v>
      </c>
      <c r="H1990" t="s">
        <v>145</v>
      </c>
      <c r="I1990" t="s">
        <v>133</v>
      </c>
      <c r="J1990" s="89">
        <v>147756850</v>
      </c>
      <c r="K1990" t="s">
        <v>127</v>
      </c>
      <c r="L1990" t="s">
        <v>128</v>
      </c>
      <c r="N1990">
        <v>1</v>
      </c>
      <c r="O1990" s="89">
        <v>142990.5</v>
      </c>
      <c r="P1990" s="89">
        <v>4003734</v>
      </c>
      <c r="Q1990" t="s">
        <v>135</v>
      </c>
      <c r="R1990" t="s">
        <v>131</v>
      </c>
    </row>
    <row r="1991" spans="3:18" x14ac:dyDescent="0.25">
      <c r="C1991" t="s">
        <v>47</v>
      </c>
      <c r="D1991" t="s">
        <v>19</v>
      </c>
      <c r="E1991" t="s">
        <v>43</v>
      </c>
      <c r="F1991" t="s">
        <v>41</v>
      </c>
      <c r="G1991" s="89">
        <v>1509734</v>
      </c>
      <c r="H1991" t="s">
        <v>146</v>
      </c>
      <c r="I1991" t="s">
        <v>126</v>
      </c>
      <c r="J1991" s="89">
        <v>27175212</v>
      </c>
      <c r="K1991" t="s">
        <v>127</v>
      </c>
      <c r="L1991" t="s">
        <v>128</v>
      </c>
      <c r="N1991">
        <v>1</v>
      </c>
      <c r="O1991" s="89">
        <v>60389.36</v>
      </c>
      <c r="P1991" s="89">
        <v>135876.06</v>
      </c>
      <c r="Q1991" t="s">
        <v>130</v>
      </c>
      <c r="R1991" t="s">
        <v>131</v>
      </c>
    </row>
    <row r="1992" spans="3:18" hidden="1" x14ac:dyDescent="0.25">
      <c r="C1992" t="s">
        <v>45</v>
      </c>
      <c r="D1992" t="s">
        <v>22</v>
      </c>
      <c r="E1992" t="s">
        <v>46</v>
      </c>
      <c r="F1992" t="s">
        <v>41</v>
      </c>
      <c r="G1992" s="89">
        <v>598165</v>
      </c>
      <c r="H1992" t="s">
        <v>42</v>
      </c>
      <c r="I1992" t="s">
        <v>133</v>
      </c>
      <c r="J1992" s="89">
        <v>17346785</v>
      </c>
      <c r="K1992" t="s">
        <v>127</v>
      </c>
      <c r="L1992" t="s">
        <v>128</v>
      </c>
      <c r="M1992" t="s">
        <v>143</v>
      </c>
      <c r="N1992">
        <v>1</v>
      </c>
      <c r="O1992" s="89">
        <v>17944.95</v>
      </c>
      <c r="P1992" s="89">
        <v>173467.85</v>
      </c>
      <c r="Q1992" t="s">
        <v>130</v>
      </c>
      <c r="R1992" t="s">
        <v>42</v>
      </c>
    </row>
    <row r="1993" spans="3:18" hidden="1" x14ac:dyDescent="0.25">
      <c r="C1993" t="s">
        <v>45</v>
      </c>
      <c r="D1993" t="s">
        <v>138</v>
      </c>
      <c r="E1993" t="s">
        <v>48</v>
      </c>
      <c r="F1993" t="s">
        <v>41</v>
      </c>
      <c r="G1993" s="89">
        <v>854009</v>
      </c>
      <c r="H1993" t="s">
        <v>42</v>
      </c>
      <c r="I1993" t="s">
        <v>126</v>
      </c>
      <c r="J1993" s="89">
        <v>14518153</v>
      </c>
      <c r="K1993" t="s">
        <v>127</v>
      </c>
      <c r="L1993" t="s">
        <v>128</v>
      </c>
      <c r="M1993" t="s">
        <v>139</v>
      </c>
      <c r="N1993">
        <v>1</v>
      </c>
      <c r="O1993" s="89">
        <v>25620.27</v>
      </c>
      <c r="P1993" s="89">
        <v>452624.77</v>
      </c>
      <c r="Q1993" t="s">
        <v>142</v>
      </c>
      <c r="R1993" t="s">
        <v>131</v>
      </c>
    </row>
    <row r="1994" spans="3:18" hidden="1" x14ac:dyDescent="0.25">
      <c r="C1994" t="s">
        <v>45</v>
      </c>
      <c r="D1994" t="s">
        <v>24</v>
      </c>
      <c r="E1994" t="s">
        <v>40</v>
      </c>
      <c r="F1994" t="s">
        <v>41</v>
      </c>
      <c r="G1994" s="89">
        <v>104854</v>
      </c>
      <c r="H1994" t="s">
        <v>42</v>
      </c>
      <c r="I1994" t="s">
        <v>126</v>
      </c>
      <c r="J1994" s="89">
        <v>1258248</v>
      </c>
      <c r="K1994" t="s">
        <v>144</v>
      </c>
      <c r="N1994">
        <v>1</v>
      </c>
      <c r="O1994" s="89">
        <v>3145.62</v>
      </c>
      <c r="P1994" s="89">
        <v>62912.4</v>
      </c>
      <c r="Q1994" t="s">
        <v>137</v>
      </c>
      <c r="R1994" t="s">
        <v>42</v>
      </c>
    </row>
    <row r="1995" spans="3:18" hidden="1" x14ac:dyDescent="0.25">
      <c r="C1995" t="s">
        <v>45</v>
      </c>
      <c r="D1995" t="s">
        <v>21</v>
      </c>
      <c r="E1995" t="s">
        <v>40</v>
      </c>
      <c r="F1995" t="s">
        <v>41</v>
      </c>
      <c r="G1995" s="89">
        <v>4062085</v>
      </c>
      <c r="H1995" t="s">
        <v>42</v>
      </c>
      <c r="I1995" t="s">
        <v>126</v>
      </c>
      <c r="J1995" s="89">
        <v>64993360</v>
      </c>
      <c r="K1995" t="s">
        <v>144</v>
      </c>
      <c r="N1995">
        <v>1</v>
      </c>
      <c r="O1995" s="89">
        <v>121862.55</v>
      </c>
      <c r="P1995" s="89">
        <v>1096762.95</v>
      </c>
      <c r="Q1995" t="s">
        <v>130</v>
      </c>
      <c r="R1995" t="s">
        <v>42</v>
      </c>
    </row>
    <row r="1996" spans="3:18" x14ac:dyDescent="0.25">
      <c r="C1996" t="s">
        <v>47</v>
      </c>
      <c r="D1996" t="s">
        <v>22</v>
      </c>
      <c r="E1996" t="s">
        <v>43</v>
      </c>
      <c r="F1996" t="s">
        <v>41</v>
      </c>
      <c r="G1996" s="89">
        <v>1532300</v>
      </c>
      <c r="H1996" t="s">
        <v>146</v>
      </c>
      <c r="I1996" t="s">
        <v>126</v>
      </c>
      <c r="J1996" s="89">
        <v>18387600</v>
      </c>
      <c r="K1996" t="s">
        <v>127</v>
      </c>
      <c r="L1996" t="s">
        <v>128</v>
      </c>
      <c r="N1996">
        <v>1</v>
      </c>
      <c r="O1996" s="89">
        <v>107261</v>
      </c>
      <c r="P1996" s="89">
        <v>1670207</v>
      </c>
      <c r="Q1996" t="s">
        <v>150</v>
      </c>
      <c r="R1996" t="s">
        <v>131</v>
      </c>
    </row>
    <row r="1997" spans="3:18" hidden="1" x14ac:dyDescent="0.25">
      <c r="C1997" t="s">
        <v>45</v>
      </c>
      <c r="D1997" t="s">
        <v>19</v>
      </c>
      <c r="E1997" t="s">
        <v>43</v>
      </c>
      <c r="F1997" t="s">
        <v>41</v>
      </c>
      <c r="G1997" s="89">
        <v>309551</v>
      </c>
      <c r="H1997" t="s">
        <v>146</v>
      </c>
      <c r="I1997" t="s">
        <v>126</v>
      </c>
      <c r="J1997" s="89">
        <v>4952816</v>
      </c>
      <c r="K1997" t="s">
        <v>144</v>
      </c>
      <c r="N1997">
        <v>1</v>
      </c>
      <c r="O1997" s="89">
        <v>9286.5300000000007</v>
      </c>
      <c r="P1997" s="89">
        <v>216685.7</v>
      </c>
      <c r="Q1997" t="s">
        <v>137</v>
      </c>
      <c r="R1997" t="s">
        <v>131</v>
      </c>
    </row>
    <row r="1998" spans="3:18" hidden="1" x14ac:dyDescent="0.25">
      <c r="C1998" t="s">
        <v>45</v>
      </c>
      <c r="D1998" t="s">
        <v>21</v>
      </c>
      <c r="E1998" t="s">
        <v>48</v>
      </c>
      <c r="F1998" t="s">
        <v>41</v>
      </c>
      <c r="G1998" s="89">
        <v>2184458</v>
      </c>
      <c r="H1998" t="s">
        <v>42</v>
      </c>
      <c r="I1998" t="s">
        <v>133</v>
      </c>
      <c r="J1998" s="89">
        <v>56795908</v>
      </c>
      <c r="K1998" t="s">
        <v>127</v>
      </c>
      <c r="L1998" t="s">
        <v>128</v>
      </c>
      <c r="M1998" t="s">
        <v>129</v>
      </c>
      <c r="N1998">
        <v>1</v>
      </c>
      <c r="O1998" s="89">
        <v>65533.74</v>
      </c>
      <c r="P1998" s="89">
        <v>677181.98</v>
      </c>
      <c r="Q1998" t="s">
        <v>130</v>
      </c>
      <c r="R1998" t="s">
        <v>42</v>
      </c>
    </row>
    <row r="1999" spans="3:18" hidden="1" x14ac:dyDescent="0.25">
      <c r="C1999" t="s">
        <v>45</v>
      </c>
      <c r="D1999" t="s">
        <v>20</v>
      </c>
      <c r="E1999" t="s">
        <v>43</v>
      </c>
      <c r="F1999" t="s">
        <v>41</v>
      </c>
      <c r="G1999" s="89">
        <v>144739</v>
      </c>
      <c r="H1999" t="s">
        <v>132</v>
      </c>
      <c r="I1999" t="s">
        <v>133</v>
      </c>
      <c r="J1999" s="89">
        <v>3618475</v>
      </c>
      <c r="K1999" t="s">
        <v>134</v>
      </c>
      <c r="L1999" t="s">
        <v>128</v>
      </c>
      <c r="N1999">
        <v>1</v>
      </c>
      <c r="O1999" s="89">
        <v>4342.17</v>
      </c>
      <c r="P1999" s="89">
        <v>27500.41</v>
      </c>
      <c r="Q1999" t="s">
        <v>130</v>
      </c>
      <c r="R1999" t="s">
        <v>131</v>
      </c>
    </row>
    <row r="2000" spans="3:18" hidden="1" x14ac:dyDescent="0.25">
      <c r="C2000" t="s">
        <v>45</v>
      </c>
      <c r="D2000" t="s">
        <v>22</v>
      </c>
      <c r="E2000" t="s">
        <v>48</v>
      </c>
      <c r="F2000" t="s">
        <v>41</v>
      </c>
      <c r="G2000" s="89">
        <v>473332</v>
      </c>
      <c r="H2000" t="s">
        <v>42</v>
      </c>
      <c r="I2000" t="s">
        <v>133</v>
      </c>
      <c r="J2000" s="89">
        <v>12779964</v>
      </c>
      <c r="K2000" t="s">
        <v>144</v>
      </c>
      <c r="N2000">
        <v>1</v>
      </c>
      <c r="O2000" s="89">
        <v>9466.64</v>
      </c>
      <c r="P2000" s="89">
        <v>250865.96</v>
      </c>
      <c r="Q2000" t="s">
        <v>142</v>
      </c>
      <c r="R2000" t="s">
        <v>131</v>
      </c>
    </row>
    <row r="2001" spans="3:18" hidden="1" x14ac:dyDescent="0.25">
      <c r="C2001" t="s">
        <v>45</v>
      </c>
      <c r="D2001" t="s">
        <v>149</v>
      </c>
      <c r="E2001" t="s">
        <v>43</v>
      </c>
      <c r="F2001" t="s">
        <v>41</v>
      </c>
      <c r="G2001" s="89">
        <v>170168</v>
      </c>
      <c r="H2001" t="s">
        <v>42</v>
      </c>
      <c r="I2001" t="s">
        <v>126</v>
      </c>
      <c r="J2001" s="89">
        <v>3063024</v>
      </c>
      <c r="K2001" t="s">
        <v>127</v>
      </c>
      <c r="L2001" t="s">
        <v>128</v>
      </c>
      <c r="M2001" t="s">
        <v>136</v>
      </c>
      <c r="N2001">
        <v>1</v>
      </c>
      <c r="O2001" s="89">
        <v>5105.04</v>
      </c>
      <c r="P2001" s="89">
        <v>136134.39999999999</v>
      </c>
      <c r="Q2001" t="s">
        <v>135</v>
      </c>
      <c r="R2001" t="s">
        <v>131</v>
      </c>
    </row>
    <row r="2002" spans="3:18" x14ac:dyDescent="0.25">
      <c r="C2002" t="s">
        <v>47</v>
      </c>
      <c r="D2002" t="s">
        <v>19</v>
      </c>
      <c r="E2002" t="s">
        <v>48</v>
      </c>
      <c r="F2002" t="s">
        <v>41</v>
      </c>
      <c r="G2002" s="89">
        <v>26641</v>
      </c>
      <c r="H2002" t="s">
        <v>140</v>
      </c>
      <c r="I2002" t="s">
        <v>126</v>
      </c>
      <c r="J2002" s="89">
        <v>399615</v>
      </c>
      <c r="K2002" t="s">
        <v>127</v>
      </c>
      <c r="L2002" t="s">
        <v>128</v>
      </c>
      <c r="N2002">
        <v>1</v>
      </c>
      <c r="O2002" s="89">
        <v>1065.6400000000001</v>
      </c>
      <c r="P2002" s="89">
        <v>14119.73</v>
      </c>
      <c r="Q2002" t="s">
        <v>142</v>
      </c>
      <c r="R2002" t="s">
        <v>131</v>
      </c>
    </row>
    <row r="2003" spans="3:18" hidden="1" x14ac:dyDescent="0.25">
      <c r="C2003" t="s">
        <v>45</v>
      </c>
      <c r="D2003" t="s">
        <v>21</v>
      </c>
      <c r="E2003" t="s">
        <v>40</v>
      </c>
      <c r="F2003" t="s">
        <v>41</v>
      </c>
      <c r="G2003" s="89">
        <v>13300</v>
      </c>
      <c r="H2003" t="s">
        <v>146</v>
      </c>
      <c r="I2003" t="s">
        <v>141</v>
      </c>
      <c r="J2003" s="89">
        <v>106400</v>
      </c>
      <c r="K2003" t="s">
        <v>127</v>
      </c>
      <c r="L2003" t="s">
        <v>128</v>
      </c>
      <c r="N2003">
        <v>1</v>
      </c>
      <c r="O2003" s="89">
        <v>931</v>
      </c>
      <c r="P2003" s="89">
        <v>19950</v>
      </c>
      <c r="Q2003" t="s">
        <v>150</v>
      </c>
      <c r="R2003" t="s">
        <v>131</v>
      </c>
    </row>
    <row r="2004" spans="3:18" hidden="1" x14ac:dyDescent="0.25">
      <c r="C2004" t="s">
        <v>45</v>
      </c>
      <c r="D2004" t="s">
        <v>138</v>
      </c>
      <c r="E2004" t="s">
        <v>43</v>
      </c>
      <c r="F2004" t="s">
        <v>41</v>
      </c>
      <c r="G2004" s="89">
        <v>173776</v>
      </c>
      <c r="H2004" t="s">
        <v>42</v>
      </c>
      <c r="I2004" t="s">
        <v>133</v>
      </c>
      <c r="J2004" s="89">
        <v>4344400</v>
      </c>
      <c r="K2004" t="s">
        <v>127</v>
      </c>
      <c r="L2004" t="s">
        <v>128</v>
      </c>
      <c r="M2004" t="s">
        <v>143</v>
      </c>
      <c r="N2004">
        <v>1</v>
      </c>
      <c r="O2004" s="89">
        <v>6951.04</v>
      </c>
      <c r="P2004" s="89">
        <v>156398.39999999999</v>
      </c>
      <c r="Q2004" t="s">
        <v>135</v>
      </c>
      <c r="R2004" t="s">
        <v>42</v>
      </c>
    </row>
    <row r="2005" spans="3:18" hidden="1" x14ac:dyDescent="0.25">
      <c r="C2005" t="s">
        <v>45</v>
      </c>
      <c r="D2005" t="s">
        <v>23</v>
      </c>
      <c r="E2005" t="s">
        <v>40</v>
      </c>
      <c r="F2005" t="s">
        <v>41</v>
      </c>
      <c r="G2005" s="89">
        <v>3880</v>
      </c>
      <c r="H2005" t="s">
        <v>140</v>
      </c>
      <c r="I2005" t="s">
        <v>147</v>
      </c>
      <c r="J2005" s="89">
        <v>3880</v>
      </c>
      <c r="K2005" t="s">
        <v>127</v>
      </c>
      <c r="L2005" t="s">
        <v>151</v>
      </c>
      <c r="N2005">
        <v>1</v>
      </c>
      <c r="O2005" s="89">
        <v>116.4</v>
      </c>
      <c r="P2005" s="89">
        <v>194</v>
      </c>
      <c r="Q2005" t="s">
        <v>130</v>
      </c>
      <c r="R2005" t="s">
        <v>131</v>
      </c>
    </row>
    <row r="2006" spans="3:18" hidden="1" x14ac:dyDescent="0.25">
      <c r="C2006" t="s">
        <v>45</v>
      </c>
      <c r="D2006" t="s">
        <v>138</v>
      </c>
      <c r="E2006" t="s">
        <v>43</v>
      </c>
      <c r="F2006" t="s">
        <v>41</v>
      </c>
      <c r="G2006" s="89">
        <v>989236</v>
      </c>
      <c r="H2006" t="s">
        <v>42</v>
      </c>
      <c r="I2006" t="s">
        <v>133</v>
      </c>
      <c r="J2006" s="89">
        <v>29677080</v>
      </c>
      <c r="K2006" t="s">
        <v>127</v>
      </c>
      <c r="L2006" t="s">
        <v>128</v>
      </c>
      <c r="M2006" t="s">
        <v>129</v>
      </c>
      <c r="N2006">
        <v>1</v>
      </c>
      <c r="O2006" s="89">
        <v>29677.08</v>
      </c>
      <c r="P2006" s="89">
        <v>682572.84</v>
      </c>
      <c r="Q2006" t="s">
        <v>137</v>
      </c>
      <c r="R2006" t="s">
        <v>42</v>
      </c>
    </row>
    <row r="2007" spans="3:18" hidden="1" x14ac:dyDescent="0.25">
      <c r="C2007" t="s">
        <v>45</v>
      </c>
      <c r="D2007" t="s">
        <v>25</v>
      </c>
      <c r="E2007" t="s">
        <v>48</v>
      </c>
      <c r="F2007" t="s">
        <v>41</v>
      </c>
      <c r="G2007" s="89">
        <v>320777</v>
      </c>
      <c r="H2007" t="s">
        <v>146</v>
      </c>
      <c r="I2007" t="s">
        <v>133</v>
      </c>
      <c r="J2007" s="89">
        <v>9944087</v>
      </c>
      <c r="K2007" t="s">
        <v>134</v>
      </c>
      <c r="L2007" t="s">
        <v>128</v>
      </c>
      <c r="N2007">
        <v>1</v>
      </c>
      <c r="O2007" s="89">
        <v>9623.31</v>
      </c>
      <c r="P2007" s="89">
        <v>179635.12</v>
      </c>
      <c r="Q2007" t="s">
        <v>142</v>
      </c>
      <c r="R2007" t="s">
        <v>131</v>
      </c>
    </row>
    <row r="2008" spans="3:18" hidden="1" x14ac:dyDescent="0.25">
      <c r="C2008" t="s">
        <v>45</v>
      </c>
      <c r="D2008" t="s">
        <v>23</v>
      </c>
      <c r="E2008" t="s">
        <v>40</v>
      </c>
      <c r="F2008" t="s">
        <v>41</v>
      </c>
      <c r="G2008" s="89">
        <v>114131</v>
      </c>
      <c r="H2008" t="s">
        <v>140</v>
      </c>
      <c r="I2008" t="s">
        <v>133</v>
      </c>
      <c r="J2008" s="89">
        <v>3652192</v>
      </c>
      <c r="K2008" t="s">
        <v>134</v>
      </c>
      <c r="L2008" t="s">
        <v>128</v>
      </c>
      <c r="N2008">
        <v>1</v>
      </c>
      <c r="O2008" s="89">
        <v>2282.62</v>
      </c>
      <c r="P2008" s="89">
        <v>122120.17</v>
      </c>
      <c r="Q2008" t="s">
        <v>150</v>
      </c>
      <c r="R2008" t="s">
        <v>131</v>
      </c>
    </row>
    <row r="2009" spans="3:18" hidden="1" x14ac:dyDescent="0.25">
      <c r="C2009" t="s">
        <v>45</v>
      </c>
      <c r="D2009" t="s">
        <v>22</v>
      </c>
      <c r="E2009" t="s">
        <v>48</v>
      </c>
      <c r="F2009" t="s">
        <v>41</v>
      </c>
      <c r="G2009" s="89">
        <v>373172</v>
      </c>
      <c r="H2009" t="s">
        <v>140</v>
      </c>
      <c r="I2009" t="s">
        <v>133</v>
      </c>
      <c r="J2009" s="89">
        <v>11195160</v>
      </c>
      <c r="K2009" t="s">
        <v>127</v>
      </c>
      <c r="L2009" t="s">
        <v>128</v>
      </c>
      <c r="N2009">
        <v>1</v>
      </c>
      <c r="O2009" s="89">
        <v>11195.16</v>
      </c>
      <c r="P2009" s="89">
        <v>123146.76</v>
      </c>
      <c r="Q2009" t="s">
        <v>130</v>
      </c>
      <c r="R2009" t="s">
        <v>131</v>
      </c>
    </row>
    <row r="2010" spans="3:18" x14ac:dyDescent="0.25">
      <c r="C2010" t="s">
        <v>47</v>
      </c>
      <c r="D2010" t="s">
        <v>138</v>
      </c>
      <c r="E2010" t="s">
        <v>40</v>
      </c>
      <c r="F2010" t="s">
        <v>41</v>
      </c>
      <c r="G2010" s="89">
        <v>3231196</v>
      </c>
      <c r="H2010" t="s">
        <v>42</v>
      </c>
      <c r="I2010" t="s">
        <v>153</v>
      </c>
      <c r="J2010" s="89"/>
      <c r="K2010" t="s">
        <v>127</v>
      </c>
      <c r="L2010" t="s">
        <v>128</v>
      </c>
      <c r="M2010" t="s">
        <v>139</v>
      </c>
      <c r="N2010">
        <v>0</v>
      </c>
      <c r="O2010" s="89">
        <v>96935.88</v>
      </c>
      <c r="P2010" s="89">
        <v>1841781.72</v>
      </c>
      <c r="Q2010" t="s">
        <v>142</v>
      </c>
      <c r="R2010" t="s">
        <v>131</v>
      </c>
    </row>
    <row r="2011" spans="3:18" hidden="1" x14ac:dyDescent="0.25">
      <c r="C2011" t="s">
        <v>45</v>
      </c>
      <c r="D2011" t="s">
        <v>20</v>
      </c>
      <c r="E2011" t="s">
        <v>43</v>
      </c>
      <c r="F2011" t="s">
        <v>41</v>
      </c>
      <c r="G2011" s="89">
        <v>698379</v>
      </c>
      <c r="H2011" t="s">
        <v>146</v>
      </c>
      <c r="I2011" t="s">
        <v>141</v>
      </c>
      <c r="J2011" s="89">
        <v>5587032</v>
      </c>
      <c r="K2011" t="s">
        <v>127</v>
      </c>
      <c r="L2011" t="s">
        <v>128</v>
      </c>
      <c r="N2011">
        <v>1</v>
      </c>
      <c r="O2011" s="89">
        <v>20951.37</v>
      </c>
      <c r="P2011" s="89">
        <v>328238.13</v>
      </c>
      <c r="Q2011" t="s">
        <v>142</v>
      </c>
      <c r="R2011" t="s">
        <v>131</v>
      </c>
    </row>
    <row r="2012" spans="3:18" hidden="1" x14ac:dyDescent="0.25">
      <c r="C2012" t="s">
        <v>45</v>
      </c>
      <c r="D2012" t="s">
        <v>22</v>
      </c>
      <c r="E2012" t="s">
        <v>40</v>
      </c>
      <c r="F2012" t="s">
        <v>41</v>
      </c>
      <c r="G2012" s="89">
        <v>15431</v>
      </c>
      <c r="H2012" t="s">
        <v>145</v>
      </c>
      <c r="I2012" t="s">
        <v>126</v>
      </c>
      <c r="J2012" s="89">
        <v>293189</v>
      </c>
      <c r="K2012" t="s">
        <v>127</v>
      </c>
      <c r="L2012" t="s">
        <v>151</v>
      </c>
      <c r="N2012">
        <v>1</v>
      </c>
      <c r="O2012" s="89">
        <v>462.93</v>
      </c>
      <c r="P2012" s="89">
        <v>10338.77</v>
      </c>
      <c r="Q2012" t="s">
        <v>137</v>
      </c>
      <c r="R2012" t="s">
        <v>131</v>
      </c>
    </row>
    <row r="2013" spans="3:18" hidden="1" x14ac:dyDescent="0.25">
      <c r="C2013" t="s">
        <v>45</v>
      </c>
      <c r="D2013" t="s">
        <v>138</v>
      </c>
      <c r="E2013" t="s">
        <v>40</v>
      </c>
      <c r="F2013" t="s">
        <v>41</v>
      </c>
      <c r="G2013" s="89">
        <v>88037</v>
      </c>
      <c r="H2013" t="s">
        <v>140</v>
      </c>
      <c r="I2013" t="s">
        <v>147</v>
      </c>
      <c r="J2013" s="89">
        <v>176074</v>
      </c>
      <c r="K2013" t="s">
        <v>144</v>
      </c>
      <c r="N2013">
        <v>1</v>
      </c>
      <c r="O2013" s="89">
        <v>880.37</v>
      </c>
      <c r="P2013" s="89">
        <v>17607.400000000001</v>
      </c>
      <c r="Q2013" t="s">
        <v>130</v>
      </c>
      <c r="R2013" t="s">
        <v>131</v>
      </c>
    </row>
    <row r="2014" spans="3:18" x14ac:dyDescent="0.25">
      <c r="C2014" t="s">
        <v>47</v>
      </c>
      <c r="D2014" t="s">
        <v>24</v>
      </c>
      <c r="E2014" t="s">
        <v>44</v>
      </c>
      <c r="F2014" t="s">
        <v>41</v>
      </c>
      <c r="G2014" s="89">
        <v>89657</v>
      </c>
      <c r="H2014" t="s">
        <v>146</v>
      </c>
      <c r="I2014" t="s">
        <v>126</v>
      </c>
      <c r="J2014" s="89">
        <v>1344855</v>
      </c>
      <c r="K2014" t="s">
        <v>127</v>
      </c>
      <c r="L2014" t="s">
        <v>128</v>
      </c>
      <c r="N2014">
        <v>1</v>
      </c>
      <c r="O2014" s="89">
        <v>4482.8500000000004</v>
      </c>
      <c r="P2014" s="89">
        <v>60966.76</v>
      </c>
      <c r="Q2014" t="s">
        <v>137</v>
      </c>
      <c r="R2014" t="s">
        <v>131</v>
      </c>
    </row>
    <row r="2015" spans="3:18" hidden="1" x14ac:dyDescent="0.25">
      <c r="C2015" t="s">
        <v>45</v>
      </c>
      <c r="D2015" t="s">
        <v>22</v>
      </c>
      <c r="E2015" t="s">
        <v>40</v>
      </c>
      <c r="F2015" t="s">
        <v>41</v>
      </c>
      <c r="G2015" s="89">
        <v>9695171</v>
      </c>
      <c r="H2015" t="s">
        <v>146</v>
      </c>
      <c r="I2015" t="s">
        <v>147</v>
      </c>
      <c r="J2015" s="89">
        <v>29085513</v>
      </c>
      <c r="K2015" t="s">
        <v>127</v>
      </c>
      <c r="L2015" t="s">
        <v>128</v>
      </c>
      <c r="N2015">
        <v>1</v>
      </c>
      <c r="O2015" s="89">
        <v>387806.84</v>
      </c>
      <c r="P2015" s="89">
        <v>1260372.23</v>
      </c>
      <c r="Q2015" t="s">
        <v>130</v>
      </c>
      <c r="R2015" t="s">
        <v>131</v>
      </c>
    </row>
    <row r="2016" spans="3:18" hidden="1" x14ac:dyDescent="0.25">
      <c r="C2016" t="s">
        <v>45</v>
      </c>
      <c r="D2016" t="s">
        <v>19</v>
      </c>
      <c r="E2016" t="s">
        <v>43</v>
      </c>
      <c r="F2016" t="s">
        <v>41</v>
      </c>
      <c r="G2016" s="89">
        <v>557309</v>
      </c>
      <c r="H2016" t="s">
        <v>146</v>
      </c>
      <c r="I2016" t="s">
        <v>141</v>
      </c>
      <c r="J2016" s="89">
        <v>4458472</v>
      </c>
      <c r="K2016" t="s">
        <v>127</v>
      </c>
      <c r="L2016" t="s">
        <v>128</v>
      </c>
      <c r="N2016">
        <v>1</v>
      </c>
      <c r="O2016" s="89">
        <v>22292.36</v>
      </c>
      <c r="P2016" s="89">
        <v>345531.58</v>
      </c>
      <c r="Q2016" t="s">
        <v>137</v>
      </c>
      <c r="R2016" t="s">
        <v>131</v>
      </c>
    </row>
    <row r="2017" spans="3:18" hidden="1" x14ac:dyDescent="0.25">
      <c r="C2017" t="s">
        <v>45</v>
      </c>
      <c r="D2017" t="s">
        <v>21</v>
      </c>
      <c r="E2017" t="s">
        <v>43</v>
      </c>
      <c r="F2017" t="s">
        <v>41</v>
      </c>
      <c r="G2017" s="89">
        <v>104208</v>
      </c>
      <c r="H2017" t="s">
        <v>42</v>
      </c>
      <c r="I2017" t="s">
        <v>147</v>
      </c>
      <c r="J2017" s="89">
        <v>312624</v>
      </c>
      <c r="K2017" t="s">
        <v>134</v>
      </c>
      <c r="L2017" t="s">
        <v>128</v>
      </c>
      <c r="M2017" t="s">
        <v>129</v>
      </c>
      <c r="N2017">
        <v>1</v>
      </c>
      <c r="O2017" s="89">
        <v>3126.24</v>
      </c>
      <c r="P2017" s="89">
        <v>11462.88</v>
      </c>
      <c r="Q2017" t="s">
        <v>130</v>
      </c>
      <c r="R2017" t="s">
        <v>131</v>
      </c>
    </row>
    <row r="2018" spans="3:18" hidden="1" x14ac:dyDescent="0.25">
      <c r="C2018" t="s">
        <v>45</v>
      </c>
      <c r="D2018" t="s">
        <v>22</v>
      </c>
      <c r="E2018" t="s">
        <v>48</v>
      </c>
      <c r="F2018" t="s">
        <v>41</v>
      </c>
      <c r="G2018" s="89">
        <v>114272</v>
      </c>
      <c r="H2018" t="s">
        <v>42</v>
      </c>
      <c r="I2018" t="s">
        <v>133</v>
      </c>
      <c r="J2018" s="89">
        <v>2971072</v>
      </c>
      <c r="K2018" t="s">
        <v>127</v>
      </c>
      <c r="L2018" t="s">
        <v>128</v>
      </c>
      <c r="M2018" t="s">
        <v>139</v>
      </c>
      <c r="N2018">
        <v>1</v>
      </c>
      <c r="O2018" s="89">
        <v>3428.16</v>
      </c>
      <c r="P2018" s="89">
        <v>45708.800000000003</v>
      </c>
      <c r="Q2018" t="s">
        <v>142</v>
      </c>
      <c r="R2018" t="s">
        <v>42</v>
      </c>
    </row>
    <row r="2019" spans="3:18" hidden="1" x14ac:dyDescent="0.25">
      <c r="C2019" t="s">
        <v>45</v>
      </c>
      <c r="D2019" t="s">
        <v>21</v>
      </c>
      <c r="E2019" t="s">
        <v>43</v>
      </c>
      <c r="F2019" t="s">
        <v>41</v>
      </c>
      <c r="G2019" s="89">
        <v>1281300</v>
      </c>
      <c r="H2019" t="s">
        <v>42</v>
      </c>
      <c r="I2019" t="s">
        <v>133</v>
      </c>
      <c r="J2019" s="89">
        <v>33313800</v>
      </c>
      <c r="K2019" t="s">
        <v>127</v>
      </c>
      <c r="L2019" t="s">
        <v>128</v>
      </c>
      <c r="M2019" t="s">
        <v>143</v>
      </c>
      <c r="N2019">
        <v>1</v>
      </c>
      <c r="O2019" s="89">
        <v>38439</v>
      </c>
      <c r="P2019" s="89">
        <v>666276</v>
      </c>
      <c r="Q2019" t="s">
        <v>142</v>
      </c>
      <c r="R2019" t="s">
        <v>42</v>
      </c>
    </row>
    <row r="2020" spans="3:18" hidden="1" x14ac:dyDescent="0.25">
      <c r="C2020" t="s">
        <v>45</v>
      </c>
      <c r="D2020" t="s">
        <v>23</v>
      </c>
      <c r="E2020" t="s">
        <v>40</v>
      </c>
      <c r="F2020" t="s">
        <v>41</v>
      </c>
      <c r="G2020" s="89">
        <v>613623</v>
      </c>
      <c r="H2020" t="s">
        <v>132</v>
      </c>
      <c r="I2020" t="s">
        <v>133</v>
      </c>
      <c r="J2020" s="89">
        <v>19635936</v>
      </c>
      <c r="K2020" t="s">
        <v>144</v>
      </c>
      <c r="N2020">
        <v>1</v>
      </c>
      <c r="O2020" s="89">
        <v>18408.689999999999</v>
      </c>
      <c r="P2020" s="89">
        <v>509307.09</v>
      </c>
      <c r="Q2020" t="s">
        <v>135</v>
      </c>
      <c r="R2020" t="s">
        <v>131</v>
      </c>
    </row>
    <row r="2021" spans="3:18" hidden="1" x14ac:dyDescent="0.25">
      <c r="C2021" t="s">
        <v>45</v>
      </c>
      <c r="D2021" t="s">
        <v>24</v>
      </c>
      <c r="E2021" t="s">
        <v>44</v>
      </c>
      <c r="F2021" t="s">
        <v>41</v>
      </c>
      <c r="G2021" s="89">
        <v>585299</v>
      </c>
      <c r="H2021" t="s">
        <v>140</v>
      </c>
      <c r="I2021" t="s">
        <v>126</v>
      </c>
      <c r="J2021" s="89">
        <v>9364784</v>
      </c>
      <c r="K2021" t="s">
        <v>144</v>
      </c>
      <c r="N2021">
        <v>1</v>
      </c>
      <c r="O2021" s="89">
        <v>17558.97</v>
      </c>
      <c r="P2021" s="89">
        <v>111206.81</v>
      </c>
      <c r="Q2021" t="s">
        <v>130</v>
      </c>
      <c r="R2021" t="s">
        <v>131</v>
      </c>
    </row>
    <row r="2022" spans="3:18" hidden="1" x14ac:dyDescent="0.25">
      <c r="C2022" t="s">
        <v>45</v>
      </c>
      <c r="D2022" t="s">
        <v>149</v>
      </c>
      <c r="E2022" t="s">
        <v>43</v>
      </c>
      <c r="F2022" t="s">
        <v>41</v>
      </c>
      <c r="G2022" s="89">
        <v>50152</v>
      </c>
      <c r="H2022" t="s">
        <v>146</v>
      </c>
      <c r="I2022" t="s">
        <v>126</v>
      </c>
      <c r="J2022" s="89">
        <v>1003040</v>
      </c>
      <c r="K2022" t="s">
        <v>144</v>
      </c>
      <c r="N2022">
        <v>1</v>
      </c>
      <c r="O2022" s="89">
        <v>1504.56</v>
      </c>
      <c r="P2022" s="89">
        <v>27583.599999999999</v>
      </c>
      <c r="Q2022" t="s">
        <v>142</v>
      </c>
      <c r="R2022" t="s">
        <v>131</v>
      </c>
    </row>
    <row r="2023" spans="3:18" hidden="1" x14ac:dyDescent="0.25">
      <c r="C2023" t="s">
        <v>45</v>
      </c>
      <c r="D2023" t="s">
        <v>21</v>
      </c>
      <c r="E2023" t="s">
        <v>43</v>
      </c>
      <c r="F2023" t="s">
        <v>41</v>
      </c>
      <c r="G2023" s="89">
        <v>136518</v>
      </c>
      <c r="H2023" t="s">
        <v>42</v>
      </c>
      <c r="I2023" t="s">
        <v>133</v>
      </c>
      <c r="J2023" s="89">
        <v>4505094</v>
      </c>
      <c r="K2023" t="s">
        <v>127</v>
      </c>
      <c r="L2023" t="s">
        <v>128</v>
      </c>
      <c r="M2023" t="s">
        <v>148</v>
      </c>
      <c r="N2023">
        <v>1</v>
      </c>
      <c r="O2023" s="89">
        <v>4095.54</v>
      </c>
      <c r="P2023" s="89">
        <v>90101.88</v>
      </c>
      <c r="Q2023" t="s">
        <v>137</v>
      </c>
      <c r="R2023" t="s">
        <v>42</v>
      </c>
    </row>
    <row r="2024" spans="3:18" hidden="1" x14ac:dyDescent="0.25">
      <c r="C2024" t="s">
        <v>45</v>
      </c>
      <c r="D2024" t="s">
        <v>21</v>
      </c>
      <c r="E2024" t="s">
        <v>43</v>
      </c>
      <c r="F2024" t="s">
        <v>41</v>
      </c>
      <c r="G2024" s="89">
        <v>194956</v>
      </c>
      <c r="H2024" t="s">
        <v>42</v>
      </c>
      <c r="I2024" t="s">
        <v>133</v>
      </c>
      <c r="J2024" s="89">
        <v>5848680</v>
      </c>
      <c r="K2024" t="s">
        <v>127</v>
      </c>
      <c r="L2024" t="s">
        <v>128</v>
      </c>
      <c r="M2024" t="s">
        <v>136</v>
      </c>
      <c r="N2024">
        <v>1</v>
      </c>
      <c r="O2024" s="89">
        <v>5848.68</v>
      </c>
      <c r="P2024" s="89">
        <v>165712.6</v>
      </c>
      <c r="Q2024" t="s">
        <v>135</v>
      </c>
      <c r="R2024" t="s">
        <v>42</v>
      </c>
    </row>
    <row r="2025" spans="3:18" hidden="1" x14ac:dyDescent="0.25">
      <c r="C2025" t="s">
        <v>45</v>
      </c>
      <c r="D2025" t="s">
        <v>25</v>
      </c>
      <c r="E2025" t="s">
        <v>40</v>
      </c>
      <c r="F2025" t="s">
        <v>41</v>
      </c>
      <c r="G2025" s="89">
        <v>205970</v>
      </c>
      <c r="H2025" t="s">
        <v>140</v>
      </c>
      <c r="I2025" t="s">
        <v>133</v>
      </c>
      <c r="J2025" s="89">
        <v>4531340</v>
      </c>
      <c r="K2025" t="s">
        <v>127</v>
      </c>
      <c r="L2025" t="s">
        <v>128</v>
      </c>
      <c r="N2025">
        <v>1</v>
      </c>
      <c r="O2025" s="89">
        <v>6179.1</v>
      </c>
      <c r="P2025" s="89">
        <v>177134.2</v>
      </c>
      <c r="Q2025" t="s">
        <v>135</v>
      </c>
      <c r="R2025" t="s">
        <v>131</v>
      </c>
    </row>
    <row r="2026" spans="3:18" hidden="1" x14ac:dyDescent="0.25">
      <c r="C2026" t="s">
        <v>45</v>
      </c>
      <c r="D2026" t="s">
        <v>24</v>
      </c>
      <c r="E2026" t="s">
        <v>44</v>
      </c>
      <c r="F2026" t="s">
        <v>41</v>
      </c>
      <c r="G2026" s="89">
        <v>515542</v>
      </c>
      <c r="H2026" t="s">
        <v>145</v>
      </c>
      <c r="I2026" t="s">
        <v>126</v>
      </c>
      <c r="J2026" s="89">
        <v>9279756</v>
      </c>
      <c r="K2026" t="s">
        <v>127</v>
      </c>
      <c r="L2026" t="s">
        <v>128</v>
      </c>
      <c r="N2026">
        <v>1</v>
      </c>
      <c r="O2026" s="89">
        <v>15466.26</v>
      </c>
      <c r="P2026" s="89">
        <v>355723.98</v>
      </c>
      <c r="Q2026" t="s">
        <v>137</v>
      </c>
      <c r="R2026" t="s">
        <v>131</v>
      </c>
    </row>
    <row r="2027" spans="3:18" hidden="1" x14ac:dyDescent="0.25">
      <c r="C2027" t="s">
        <v>45</v>
      </c>
      <c r="D2027" t="s">
        <v>138</v>
      </c>
      <c r="E2027" t="s">
        <v>43</v>
      </c>
      <c r="F2027" t="s">
        <v>41</v>
      </c>
      <c r="G2027" s="89">
        <v>68910</v>
      </c>
      <c r="H2027" t="s">
        <v>145</v>
      </c>
      <c r="I2027" t="s">
        <v>141</v>
      </c>
      <c r="J2027" s="89">
        <v>482370</v>
      </c>
      <c r="K2027" t="s">
        <v>127</v>
      </c>
      <c r="L2027" t="s">
        <v>128</v>
      </c>
      <c r="N2027">
        <v>1</v>
      </c>
      <c r="O2027" s="89">
        <v>2756.4</v>
      </c>
      <c r="P2027" s="89">
        <v>45480.6</v>
      </c>
      <c r="Q2027" t="s">
        <v>137</v>
      </c>
      <c r="R2027" t="s">
        <v>131</v>
      </c>
    </row>
    <row r="2028" spans="3:18" x14ac:dyDescent="0.25">
      <c r="C2028" t="s">
        <v>47</v>
      </c>
      <c r="D2028" t="s">
        <v>22</v>
      </c>
      <c r="E2028" t="s">
        <v>43</v>
      </c>
      <c r="F2028" t="s">
        <v>41</v>
      </c>
      <c r="G2028" s="89">
        <v>8249</v>
      </c>
      <c r="H2028" t="s">
        <v>140</v>
      </c>
      <c r="I2028" t="s">
        <v>126</v>
      </c>
      <c r="J2028" s="89">
        <v>107237</v>
      </c>
      <c r="K2028" t="s">
        <v>127</v>
      </c>
      <c r="L2028" t="s">
        <v>128</v>
      </c>
      <c r="N2028">
        <v>1</v>
      </c>
      <c r="O2028" s="89">
        <v>247.47</v>
      </c>
      <c r="P2028" s="89">
        <v>5691.81</v>
      </c>
      <c r="Q2028" t="s">
        <v>137</v>
      </c>
      <c r="R2028" t="s">
        <v>131</v>
      </c>
    </row>
    <row r="2029" spans="3:18" hidden="1" x14ac:dyDescent="0.25">
      <c r="C2029" t="s">
        <v>45</v>
      </c>
      <c r="D2029" t="s">
        <v>22</v>
      </c>
      <c r="E2029" t="s">
        <v>48</v>
      </c>
      <c r="F2029" t="s">
        <v>53</v>
      </c>
      <c r="G2029" s="89">
        <v>147122</v>
      </c>
      <c r="H2029" t="s">
        <v>42</v>
      </c>
      <c r="I2029" t="s">
        <v>133</v>
      </c>
      <c r="J2029" s="89">
        <v>5737758</v>
      </c>
      <c r="K2029" t="s">
        <v>127</v>
      </c>
      <c r="L2029" t="s">
        <v>128</v>
      </c>
      <c r="M2029" t="s">
        <v>143</v>
      </c>
      <c r="N2029">
        <v>1</v>
      </c>
      <c r="O2029" s="89">
        <v>4413.66</v>
      </c>
      <c r="P2029" s="89">
        <v>102985.4</v>
      </c>
      <c r="Q2029" t="s">
        <v>137</v>
      </c>
      <c r="R2029" t="s">
        <v>42</v>
      </c>
    </row>
    <row r="2030" spans="3:18" x14ac:dyDescent="0.25">
      <c r="C2030" t="s">
        <v>47</v>
      </c>
      <c r="D2030" t="s">
        <v>25</v>
      </c>
      <c r="E2030" t="s">
        <v>48</v>
      </c>
      <c r="F2030" t="s">
        <v>41</v>
      </c>
      <c r="G2030" s="89">
        <v>47112</v>
      </c>
      <c r="H2030" t="s">
        <v>140</v>
      </c>
      <c r="I2030" t="s">
        <v>147</v>
      </c>
      <c r="J2030" s="89">
        <v>141336</v>
      </c>
      <c r="K2030" t="s">
        <v>127</v>
      </c>
      <c r="L2030" t="s">
        <v>128</v>
      </c>
      <c r="N2030">
        <v>1</v>
      </c>
      <c r="O2030" s="89">
        <v>2826.72</v>
      </c>
      <c r="P2030" s="89">
        <v>29209.439999999999</v>
      </c>
      <c r="Q2030" t="s">
        <v>137</v>
      </c>
      <c r="R2030" t="s">
        <v>131</v>
      </c>
    </row>
    <row r="2031" spans="3:18" x14ac:dyDescent="0.25">
      <c r="C2031" t="s">
        <v>47</v>
      </c>
      <c r="D2031" t="s">
        <v>138</v>
      </c>
      <c r="E2031" t="s">
        <v>48</v>
      </c>
      <c r="F2031" t="s">
        <v>41</v>
      </c>
      <c r="G2031" s="89">
        <v>4660</v>
      </c>
      <c r="H2031" t="s">
        <v>42</v>
      </c>
      <c r="I2031" t="s">
        <v>147</v>
      </c>
      <c r="J2031" s="89">
        <v>0</v>
      </c>
      <c r="K2031" t="s">
        <v>127</v>
      </c>
      <c r="L2031" t="s">
        <v>128</v>
      </c>
      <c r="M2031" t="s">
        <v>139</v>
      </c>
      <c r="N2031">
        <v>1</v>
      </c>
      <c r="O2031" s="89">
        <v>279.60000000000002</v>
      </c>
      <c r="P2031" s="89">
        <v>46.6</v>
      </c>
      <c r="Q2031" t="s">
        <v>130</v>
      </c>
      <c r="R2031" t="s">
        <v>131</v>
      </c>
    </row>
    <row r="2032" spans="3:18" hidden="1" x14ac:dyDescent="0.25">
      <c r="C2032" t="s">
        <v>45</v>
      </c>
      <c r="D2032" t="s">
        <v>138</v>
      </c>
      <c r="E2032" t="s">
        <v>43</v>
      </c>
      <c r="F2032" t="s">
        <v>41</v>
      </c>
      <c r="G2032" s="89">
        <v>1217388</v>
      </c>
      <c r="H2032" t="s">
        <v>146</v>
      </c>
      <c r="I2032" t="s">
        <v>133</v>
      </c>
      <c r="J2032" s="89">
        <v>36521640</v>
      </c>
      <c r="K2032" t="s">
        <v>144</v>
      </c>
      <c r="N2032">
        <v>1</v>
      </c>
      <c r="O2032" s="89">
        <v>36521.64</v>
      </c>
      <c r="P2032" s="89">
        <v>839997.72</v>
      </c>
      <c r="Q2032" t="s">
        <v>137</v>
      </c>
      <c r="R2032" t="s">
        <v>131</v>
      </c>
    </row>
    <row r="2033" spans="3:18" hidden="1" x14ac:dyDescent="0.25">
      <c r="C2033" t="s">
        <v>45</v>
      </c>
      <c r="D2033" t="s">
        <v>24</v>
      </c>
      <c r="E2033" t="s">
        <v>44</v>
      </c>
      <c r="F2033" t="s">
        <v>41</v>
      </c>
      <c r="G2033" s="89">
        <v>5686840</v>
      </c>
      <c r="H2033" t="s">
        <v>140</v>
      </c>
      <c r="I2033" t="s">
        <v>141</v>
      </c>
      <c r="J2033" s="89">
        <v>39807880</v>
      </c>
      <c r="K2033" t="s">
        <v>127</v>
      </c>
      <c r="L2033" t="s">
        <v>128</v>
      </c>
      <c r="N2033">
        <v>1</v>
      </c>
      <c r="O2033" s="89">
        <v>170605.2</v>
      </c>
      <c r="P2033" s="89">
        <v>1307973.2</v>
      </c>
      <c r="Q2033" t="s">
        <v>130</v>
      </c>
      <c r="R2033" t="s">
        <v>131</v>
      </c>
    </row>
    <row r="2034" spans="3:18" hidden="1" x14ac:dyDescent="0.25">
      <c r="C2034" t="s">
        <v>45</v>
      </c>
      <c r="D2034" t="s">
        <v>20</v>
      </c>
      <c r="E2034" t="s">
        <v>43</v>
      </c>
      <c r="F2034" t="s">
        <v>41</v>
      </c>
      <c r="G2034" s="89">
        <v>332277</v>
      </c>
      <c r="H2034" t="s">
        <v>140</v>
      </c>
      <c r="I2034" t="s">
        <v>133</v>
      </c>
      <c r="J2034" s="89">
        <v>8971479</v>
      </c>
      <c r="K2034" t="s">
        <v>134</v>
      </c>
      <c r="L2034" t="s">
        <v>128</v>
      </c>
      <c r="N2034">
        <v>1</v>
      </c>
      <c r="O2034" s="89">
        <v>9968.31</v>
      </c>
      <c r="P2034" s="89">
        <v>99683.1</v>
      </c>
      <c r="Q2034" t="s">
        <v>130</v>
      </c>
      <c r="R2034" t="s">
        <v>131</v>
      </c>
    </row>
    <row r="2035" spans="3:18" x14ac:dyDescent="0.25">
      <c r="C2035" t="s">
        <v>47</v>
      </c>
      <c r="D2035" t="s">
        <v>20</v>
      </c>
      <c r="E2035" t="s">
        <v>40</v>
      </c>
      <c r="F2035" t="s">
        <v>41</v>
      </c>
      <c r="G2035" s="89">
        <v>1994991</v>
      </c>
      <c r="H2035" t="s">
        <v>146</v>
      </c>
      <c r="I2035" t="s">
        <v>147</v>
      </c>
      <c r="J2035" s="89">
        <v>5984973</v>
      </c>
      <c r="K2035" t="s">
        <v>127</v>
      </c>
      <c r="L2035" t="s">
        <v>128</v>
      </c>
      <c r="N2035">
        <v>1</v>
      </c>
      <c r="O2035" s="89">
        <v>79799.64</v>
      </c>
      <c r="P2035" s="89">
        <v>359098.38</v>
      </c>
      <c r="Q2035" t="s">
        <v>130</v>
      </c>
      <c r="R2035" t="s">
        <v>131</v>
      </c>
    </row>
    <row r="2036" spans="3:18" hidden="1" x14ac:dyDescent="0.25">
      <c r="C2036" t="s">
        <v>45</v>
      </c>
      <c r="D2036" t="s">
        <v>21</v>
      </c>
      <c r="E2036" t="s">
        <v>40</v>
      </c>
      <c r="F2036" t="s">
        <v>41</v>
      </c>
      <c r="G2036" s="89">
        <v>74302</v>
      </c>
      <c r="H2036" t="s">
        <v>145</v>
      </c>
      <c r="I2036" t="s">
        <v>126</v>
      </c>
      <c r="J2036" s="89">
        <v>1486040</v>
      </c>
      <c r="K2036" t="s">
        <v>134</v>
      </c>
      <c r="L2036" t="s">
        <v>128</v>
      </c>
      <c r="N2036">
        <v>1</v>
      </c>
      <c r="O2036" s="89">
        <v>1486.04</v>
      </c>
      <c r="P2036" s="89">
        <v>33435.9</v>
      </c>
      <c r="Q2036" t="s">
        <v>142</v>
      </c>
      <c r="R2036" t="s">
        <v>131</v>
      </c>
    </row>
    <row r="2037" spans="3:18" x14ac:dyDescent="0.25">
      <c r="C2037" t="s">
        <v>47</v>
      </c>
      <c r="D2037" t="s">
        <v>138</v>
      </c>
      <c r="E2037" t="s">
        <v>43</v>
      </c>
      <c r="F2037" t="s">
        <v>41</v>
      </c>
      <c r="G2037" s="89">
        <v>110</v>
      </c>
      <c r="H2037" t="s">
        <v>132</v>
      </c>
      <c r="I2037" t="s">
        <v>147</v>
      </c>
      <c r="J2037" s="89"/>
      <c r="K2037" t="s">
        <v>127</v>
      </c>
      <c r="L2037" t="s">
        <v>151</v>
      </c>
      <c r="N2037">
        <v>0</v>
      </c>
      <c r="O2037" s="89">
        <v>7.7</v>
      </c>
      <c r="P2037" s="89">
        <v>0</v>
      </c>
      <c r="Q2037" t="s">
        <v>130</v>
      </c>
      <c r="R2037" t="s">
        <v>131</v>
      </c>
    </row>
    <row r="2038" spans="3:18" hidden="1" x14ac:dyDescent="0.25">
      <c r="C2038" t="s">
        <v>45</v>
      </c>
      <c r="D2038" t="s">
        <v>21</v>
      </c>
      <c r="E2038" t="s">
        <v>43</v>
      </c>
      <c r="F2038" t="s">
        <v>41</v>
      </c>
      <c r="G2038" s="89">
        <v>621525</v>
      </c>
      <c r="H2038" t="s">
        <v>42</v>
      </c>
      <c r="I2038" t="s">
        <v>126</v>
      </c>
      <c r="J2038" s="89">
        <v>11187450</v>
      </c>
      <c r="K2038" t="s">
        <v>134</v>
      </c>
      <c r="L2038" t="s">
        <v>128</v>
      </c>
      <c r="M2038" t="s">
        <v>129</v>
      </c>
      <c r="N2038">
        <v>1</v>
      </c>
      <c r="O2038" s="89">
        <v>18645.75</v>
      </c>
      <c r="P2038" s="89">
        <v>316977.75</v>
      </c>
      <c r="Q2038" t="s">
        <v>142</v>
      </c>
      <c r="R2038" t="s">
        <v>131</v>
      </c>
    </row>
    <row r="2039" spans="3:18" x14ac:dyDescent="0.25">
      <c r="C2039" t="s">
        <v>47</v>
      </c>
      <c r="D2039" t="s">
        <v>20</v>
      </c>
      <c r="E2039" t="s">
        <v>40</v>
      </c>
      <c r="F2039" t="s">
        <v>41</v>
      </c>
      <c r="G2039" s="89">
        <v>5717688</v>
      </c>
      <c r="H2039" t="s">
        <v>42</v>
      </c>
      <c r="I2039" t="s">
        <v>147</v>
      </c>
      <c r="J2039" s="89">
        <v>17153064</v>
      </c>
      <c r="K2039" t="s">
        <v>127</v>
      </c>
      <c r="L2039" t="s">
        <v>128</v>
      </c>
      <c r="M2039" t="s">
        <v>139</v>
      </c>
      <c r="N2039">
        <v>1</v>
      </c>
      <c r="O2039" s="89">
        <v>228707.52</v>
      </c>
      <c r="P2039" s="89">
        <v>1257891.3600000001</v>
      </c>
      <c r="Q2039" t="s">
        <v>130</v>
      </c>
      <c r="R2039" t="s">
        <v>131</v>
      </c>
    </row>
    <row r="2040" spans="3:18" hidden="1" x14ac:dyDescent="0.25">
      <c r="C2040" t="s">
        <v>45</v>
      </c>
      <c r="D2040" t="s">
        <v>22</v>
      </c>
      <c r="E2040" t="s">
        <v>40</v>
      </c>
      <c r="F2040" t="s">
        <v>41</v>
      </c>
      <c r="G2040" s="89">
        <v>1510037</v>
      </c>
      <c r="H2040" t="s">
        <v>42</v>
      </c>
      <c r="I2040" t="s">
        <v>126</v>
      </c>
      <c r="J2040" s="89">
        <v>24160592</v>
      </c>
      <c r="K2040" t="s">
        <v>144</v>
      </c>
      <c r="N2040">
        <v>1</v>
      </c>
      <c r="O2040" s="89">
        <v>45301.11</v>
      </c>
      <c r="P2040" s="89">
        <v>407709.99</v>
      </c>
      <c r="Q2040" t="s">
        <v>130</v>
      </c>
      <c r="R2040" t="s">
        <v>42</v>
      </c>
    </row>
    <row r="2041" spans="3:18" x14ac:dyDescent="0.25">
      <c r="C2041" t="s">
        <v>47</v>
      </c>
      <c r="D2041" t="s">
        <v>25</v>
      </c>
      <c r="E2041" t="s">
        <v>44</v>
      </c>
      <c r="F2041" t="s">
        <v>41</v>
      </c>
      <c r="G2041" s="89">
        <v>230479</v>
      </c>
      <c r="H2041" t="s">
        <v>140</v>
      </c>
      <c r="I2041" t="s">
        <v>126</v>
      </c>
      <c r="J2041" s="89">
        <v>2765748</v>
      </c>
      <c r="K2041" t="s">
        <v>127</v>
      </c>
      <c r="L2041" t="s">
        <v>128</v>
      </c>
      <c r="N2041">
        <v>1</v>
      </c>
      <c r="O2041" s="89">
        <v>11523.95</v>
      </c>
      <c r="P2041" s="89">
        <v>85277.23</v>
      </c>
      <c r="Q2041" t="s">
        <v>130</v>
      </c>
      <c r="R2041" t="s">
        <v>131</v>
      </c>
    </row>
    <row r="2042" spans="3:18" hidden="1" x14ac:dyDescent="0.25">
      <c r="C2042" t="s">
        <v>45</v>
      </c>
      <c r="D2042" t="s">
        <v>24</v>
      </c>
      <c r="E2042" t="s">
        <v>44</v>
      </c>
      <c r="F2042" t="s">
        <v>41</v>
      </c>
      <c r="G2042" s="89">
        <v>93402</v>
      </c>
      <c r="H2042" t="s">
        <v>42</v>
      </c>
      <c r="I2042" t="s">
        <v>133</v>
      </c>
      <c r="J2042" s="89">
        <v>3175668</v>
      </c>
      <c r="K2042" t="s">
        <v>127</v>
      </c>
      <c r="L2042" t="s">
        <v>151</v>
      </c>
      <c r="M2042" t="s">
        <v>156</v>
      </c>
      <c r="N2042">
        <v>1</v>
      </c>
      <c r="O2042" s="89">
        <v>2802.06</v>
      </c>
      <c r="P2042" s="89">
        <v>36426.78</v>
      </c>
      <c r="Q2042" t="s">
        <v>130</v>
      </c>
      <c r="R2042" t="s">
        <v>131</v>
      </c>
    </row>
    <row r="2043" spans="3:18" hidden="1" x14ac:dyDescent="0.25">
      <c r="C2043" t="s">
        <v>45</v>
      </c>
      <c r="D2043" t="s">
        <v>138</v>
      </c>
      <c r="E2043" t="s">
        <v>43</v>
      </c>
      <c r="F2043" t="s">
        <v>41</v>
      </c>
      <c r="G2043" s="89">
        <v>3738092</v>
      </c>
      <c r="H2043" t="s">
        <v>132</v>
      </c>
      <c r="I2043" t="s">
        <v>133</v>
      </c>
      <c r="J2043" s="89">
        <v>112142760</v>
      </c>
      <c r="K2043" t="s">
        <v>127</v>
      </c>
      <c r="L2043" t="s">
        <v>128</v>
      </c>
      <c r="N2043">
        <v>1</v>
      </c>
      <c r="O2043" s="89">
        <v>112142.76</v>
      </c>
      <c r="P2043" s="89">
        <v>3177378.2</v>
      </c>
      <c r="Q2043" t="s">
        <v>135</v>
      </c>
      <c r="R2043" t="s">
        <v>131</v>
      </c>
    </row>
    <row r="2044" spans="3:18" x14ac:dyDescent="0.25">
      <c r="C2044" t="s">
        <v>47</v>
      </c>
      <c r="D2044" t="s">
        <v>50</v>
      </c>
      <c r="E2044" t="s">
        <v>50</v>
      </c>
      <c r="F2044" t="s">
        <v>41</v>
      </c>
      <c r="G2044" s="89">
        <v>0</v>
      </c>
      <c r="H2044" t="s">
        <v>51</v>
      </c>
      <c r="I2044" t="s">
        <v>147</v>
      </c>
      <c r="J2044" s="89">
        <v>0</v>
      </c>
      <c r="K2044" t="s">
        <v>127</v>
      </c>
      <c r="N2044">
        <v>1</v>
      </c>
      <c r="O2044" s="89">
        <v>0</v>
      </c>
      <c r="P2044" s="89">
        <v>0</v>
      </c>
      <c r="Q2044" t="s">
        <v>150</v>
      </c>
    </row>
    <row r="2045" spans="3:18" hidden="1" x14ac:dyDescent="0.25">
      <c r="C2045" t="s">
        <v>45</v>
      </c>
      <c r="D2045" t="s">
        <v>19</v>
      </c>
      <c r="E2045" t="s">
        <v>43</v>
      </c>
      <c r="F2045" t="s">
        <v>41</v>
      </c>
      <c r="G2045" s="89">
        <v>7127033</v>
      </c>
      <c r="H2045" t="s">
        <v>140</v>
      </c>
      <c r="I2045" t="s">
        <v>147</v>
      </c>
      <c r="J2045" s="89">
        <v>14254066</v>
      </c>
      <c r="K2045" t="s">
        <v>144</v>
      </c>
      <c r="N2045">
        <v>1</v>
      </c>
      <c r="O2045" s="89">
        <v>285081.32</v>
      </c>
      <c r="P2045" s="89">
        <v>1781758.25</v>
      </c>
      <c r="Q2045" t="s">
        <v>130</v>
      </c>
      <c r="R2045" t="s">
        <v>131</v>
      </c>
    </row>
    <row r="2046" spans="3:18" hidden="1" x14ac:dyDescent="0.25">
      <c r="C2046" t="s">
        <v>45</v>
      </c>
      <c r="D2046" t="s">
        <v>23</v>
      </c>
      <c r="E2046" t="s">
        <v>44</v>
      </c>
      <c r="F2046" t="s">
        <v>41</v>
      </c>
      <c r="G2046" s="89">
        <v>3315700</v>
      </c>
      <c r="H2046" t="s">
        <v>42</v>
      </c>
      <c r="I2046" t="s">
        <v>133</v>
      </c>
      <c r="J2046" s="89">
        <v>129312300</v>
      </c>
      <c r="K2046" t="s">
        <v>144</v>
      </c>
      <c r="N2046">
        <v>1</v>
      </c>
      <c r="O2046" s="89">
        <v>99471</v>
      </c>
      <c r="P2046" s="89">
        <v>3315700</v>
      </c>
      <c r="Q2046" t="s">
        <v>150</v>
      </c>
      <c r="R2046" t="s">
        <v>42</v>
      </c>
    </row>
    <row r="2047" spans="3:18" hidden="1" x14ac:dyDescent="0.25">
      <c r="C2047" t="s">
        <v>45</v>
      </c>
      <c r="D2047" t="s">
        <v>23</v>
      </c>
      <c r="E2047" t="s">
        <v>40</v>
      </c>
      <c r="F2047" t="s">
        <v>41</v>
      </c>
      <c r="G2047" s="89">
        <v>88871</v>
      </c>
      <c r="H2047" t="s">
        <v>42</v>
      </c>
      <c r="I2047" t="s">
        <v>133</v>
      </c>
      <c r="J2047" s="89">
        <v>2132904</v>
      </c>
      <c r="K2047" t="s">
        <v>127</v>
      </c>
      <c r="L2047" t="s">
        <v>128</v>
      </c>
      <c r="M2047" t="s">
        <v>129</v>
      </c>
      <c r="N2047">
        <v>1</v>
      </c>
      <c r="O2047" s="89">
        <v>2666.13</v>
      </c>
      <c r="P2047" s="89">
        <v>39103.24</v>
      </c>
      <c r="Q2047" t="s">
        <v>142</v>
      </c>
      <c r="R2047" t="s">
        <v>131</v>
      </c>
    </row>
    <row r="2048" spans="3:18" hidden="1" x14ac:dyDescent="0.25">
      <c r="C2048" t="s">
        <v>45</v>
      </c>
      <c r="D2048" t="s">
        <v>24</v>
      </c>
      <c r="E2048" t="s">
        <v>52</v>
      </c>
      <c r="F2048" t="s">
        <v>41</v>
      </c>
      <c r="G2048" s="89">
        <v>303468</v>
      </c>
      <c r="H2048" t="s">
        <v>42</v>
      </c>
      <c r="I2048" t="s">
        <v>147</v>
      </c>
      <c r="J2048" s="89">
        <v>0</v>
      </c>
      <c r="K2048" t="s">
        <v>134</v>
      </c>
      <c r="L2048" t="s">
        <v>128</v>
      </c>
      <c r="M2048" t="s">
        <v>148</v>
      </c>
      <c r="N2048">
        <v>1</v>
      </c>
      <c r="O2048" s="89">
        <v>15173.4</v>
      </c>
      <c r="P2048" s="89">
        <v>88005.72</v>
      </c>
      <c r="Q2048" t="s">
        <v>130</v>
      </c>
      <c r="R2048" t="s">
        <v>42</v>
      </c>
    </row>
    <row r="2049" spans="3:18" hidden="1" x14ac:dyDescent="0.25">
      <c r="C2049" t="s">
        <v>45</v>
      </c>
      <c r="D2049" t="s">
        <v>138</v>
      </c>
      <c r="E2049" t="s">
        <v>43</v>
      </c>
      <c r="F2049" t="s">
        <v>53</v>
      </c>
      <c r="G2049" s="89">
        <v>51583</v>
      </c>
      <c r="H2049" t="s">
        <v>140</v>
      </c>
      <c r="I2049" t="s">
        <v>147</v>
      </c>
      <c r="J2049" s="89">
        <v>206332</v>
      </c>
      <c r="K2049" t="s">
        <v>127</v>
      </c>
      <c r="L2049" t="s">
        <v>128</v>
      </c>
      <c r="N2049">
        <v>1</v>
      </c>
      <c r="O2049" s="89">
        <v>1547.49</v>
      </c>
      <c r="P2049" s="89">
        <v>8253.2800000000007</v>
      </c>
      <c r="Q2049" t="s">
        <v>130</v>
      </c>
      <c r="R2049" t="s">
        <v>131</v>
      </c>
    </row>
    <row r="2050" spans="3:18" hidden="1" x14ac:dyDescent="0.25">
      <c r="C2050" t="s">
        <v>45</v>
      </c>
      <c r="D2050" t="s">
        <v>23</v>
      </c>
      <c r="E2050" t="s">
        <v>40</v>
      </c>
      <c r="F2050" t="s">
        <v>41</v>
      </c>
      <c r="G2050" s="89">
        <v>1449877</v>
      </c>
      <c r="H2050" t="s">
        <v>145</v>
      </c>
      <c r="I2050" t="s">
        <v>147</v>
      </c>
      <c r="J2050" s="89">
        <v>4349631</v>
      </c>
      <c r="K2050" t="s">
        <v>127</v>
      </c>
      <c r="L2050" t="s">
        <v>128</v>
      </c>
      <c r="N2050">
        <v>1</v>
      </c>
      <c r="O2050" s="89">
        <v>72493.850000000006</v>
      </c>
      <c r="P2050" s="89">
        <v>1072908.98</v>
      </c>
      <c r="Q2050" t="s">
        <v>137</v>
      </c>
      <c r="R2050" t="s">
        <v>131</v>
      </c>
    </row>
    <row r="2051" spans="3:18" hidden="1" x14ac:dyDescent="0.25">
      <c r="C2051" t="s">
        <v>45</v>
      </c>
      <c r="D2051" t="s">
        <v>149</v>
      </c>
      <c r="E2051" t="s">
        <v>48</v>
      </c>
      <c r="F2051" t="s">
        <v>41</v>
      </c>
      <c r="G2051" s="89">
        <v>30376</v>
      </c>
      <c r="H2051" t="s">
        <v>42</v>
      </c>
      <c r="I2051" t="s">
        <v>141</v>
      </c>
      <c r="J2051" s="89">
        <v>303760</v>
      </c>
      <c r="K2051" t="s">
        <v>127</v>
      </c>
      <c r="L2051" t="s">
        <v>128</v>
      </c>
      <c r="M2051" t="s">
        <v>136</v>
      </c>
      <c r="N2051">
        <v>1</v>
      </c>
      <c r="O2051" s="89">
        <v>911.28</v>
      </c>
      <c r="P2051" s="89">
        <v>12757.92</v>
      </c>
      <c r="Q2051" t="s">
        <v>142</v>
      </c>
      <c r="R2051" t="s">
        <v>131</v>
      </c>
    </row>
    <row r="2052" spans="3:18" hidden="1" x14ac:dyDescent="0.25">
      <c r="C2052" t="s">
        <v>45</v>
      </c>
      <c r="D2052" t="s">
        <v>23</v>
      </c>
      <c r="E2052" t="s">
        <v>48</v>
      </c>
      <c r="F2052" t="s">
        <v>41</v>
      </c>
      <c r="G2052" s="89">
        <v>89504</v>
      </c>
      <c r="H2052" t="s">
        <v>42</v>
      </c>
      <c r="I2052" t="s">
        <v>126</v>
      </c>
      <c r="J2052" s="89">
        <v>1074048</v>
      </c>
      <c r="K2052" t="s">
        <v>134</v>
      </c>
      <c r="L2052" t="s">
        <v>128</v>
      </c>
      <c r="M2052" t="s">
        <v>152</v>
      </c>
      <c r="N2052">
        <v>1</v>
      </c>
      <c r="O2052" s="89">
        <v>2685.12</v>
      </c>
      <c r="P2052" s="89">
        <v>31326.400000000001</v>
      </c>
      <c r="Q2052" t="s">
        <v>130</v>
      </c>
      <c r="R2052" t="s">
        <v>131</v>
      </c>
    </row>
    <row r="2053" spans="3:18" hidden="1" x14ac:dyDescent="0.25">
      <c r="C2053" t="s">
        <v>45</v>
      </c>
      <c r="D2053" t="s">
        <v>22</v>
      </c>
      <c r="E2053" t="s">
        <v>40</v>
      </c>
      <c r="F2053" t="s">
        <v>41</v>
      </c>
      <c r="G2053" s="89">
        <v>35134</v>
      </c>
      <c r="H2053" t="s">
        <v>145</v>
      </c>
      <c r="I2053" t="s">
        <v>126</v>
      </c>
      <c r="J2053" s="89">
        <v>667546</v>
      </c>
      <c r="K2053" t="s">
        <v>127</v>
      </c>
      <c r="L2053" t="s">
        <v>151</v>
      </c>
      <c r="N2053">
        <v>1</v>
      </c>
      <c r="O2053" s="89">
        <v>1405.36</v>
      </c>
      <c r="P2053" s="89">
        <v>5972.78</v>
      </c>
      <c r="Q2053" t="s">
        <v>130</v>
      </c>
      <c r="R2053" t="s">
        <v>131</v>
      </c>
    </row>
    <row r="2054" spans="3:18" hidden="1" x14ac:dyDescent="0.25">
      <c r="C2054" t="s">
        <v>45</v>
      </c>
      <c r="D2054" t="s">
        <v>149</v>
      </c>
      <c r="E2054" t="s">
        <v>43</v>
      </c>
      <c r="F2054" t="s">
        <v>53</v>
      </c>
      <c r="G2054" s="89">
        <v>197966</v>
      </c>
      <c r="H2054" t="s">
        <v>42</v>
      </c>
      <c r="I2054" t="s">
        <v>133</v>
      </c>
      <c r="J2054" s="89">
        <v>7720674</v>
      </c>
      <c r="K2054" t="s">
        <v>127</v>
      </c>
      <c r="L2054" t="s">
        <v>128</v>
      </c>
      <c r="M2054" t="s">
        <v>136</v>
      </c>
      <c r="N2054">
        <v>1</v>
      </c>
      <c r="O2054" s="89">
        <v>5938.98</v>
      </c>
      <c r="P2054" s="89">
        <v>104921.98</v>
      </c>
      <c r="Q2054" t="s">
        <v>142</v>
      </c>
      <c r="R2054" t="s">
        <v>131</v>
      </c>
    </row>
    <row r="2055" spans="3:18" hidden="1" x14ac:dyDescent="0.25">
      <c r="C2055" t="s">
        <v>45</v>
      </c>
      <c r="D2055" t="s">
        <v>21</v>
      </c>
      <c r="E2055" t="s">
        <v>40</v>
      </c>
      <c r="F2055" t="s">
        <v>41</v>
      </c>
      <c r="G2055" s="89">
        <v>621251</v>
      </c>
      <c r="H2055" t="s">
        <v>140</v>
      </c>
      <c r="I2055" t="s">
        <v>126</v>
      </c>
      <c r="J2055" s="89">
        <v>9318765</v>
      </c>
      <c r="K2055" t="s">
        <v>144</v>
      </c>
      <c r="N2055">
        <v>1</v>
      </c>
      <c r="O2055" s="89">
        <v>18637.53</v>
      </c>
      <c r="P2055" s="89">
        <v>310625.5</v>
      </c>
      <c r="Q2055" t="s">
        <v>142</v>
      </c>
      <c r="R2055" t="s">
        <v>131</v>
      </c>
    </row>
    <row r="2056" spans="3:18" hidden="1" x14ac:dyDescent="0.25">
      <c r="C2056" t="s">
        <v>45</v>
      </c>
      <c r="D2056" t="s">
        <v>21</v>
      </c>
      <c r="E2056" t="s">
        <v>43</v>
      </c>
      <c r="F2056" t="s">
        <v>41</v>
      </c>
      <c r="G2056" s="89">
        <v>7741773</v>
      </c>
      <c r="H2056" t="s">
        <v>132</v>
      </c>
      <c r="I2056" t="s">
        <v>133</v>
      </c>
      <c r="J2056" s="89">
        <v>216769644</v>
      </c>
      <c r="K2056" t="s">
        <v>144</v>
      </c>
      <c r="N2056">
        <v>1</v>
      </c>
      <c r="O2056" s="89">
        <v>232253.19</v>
      </c>
      <c r="P2056" s="89">
        <v>2322531.9</v>
      </c>
      <c r="Q2056" t="s">
        <v>130</v>
      </c>
      <c r="R2056" t="s">
        <v>131</v>
      </c>
    </row>
    <row r="2057" spans="3:18" hidden="1" x14ac:dyDescent="0.25">
      <c r="C2057" t="s">
        <v>45</v>
      </c>
      <c r="D2057" t="s">
        <v>23</v>
      </c>
      <c r="E2057" t="s">
        <v>40</v>
      </c>
      <c r="F2057" t="s">
        <v>41</v>
      </c>
      <c r="G2057" s="89">
        <v>13759243</v>
      </c>
      <c r="H2057" t="s">
        <v>145</v>
      </c>
      <c r="I2057" t="s">
        <v>133</v>
      </c>
      <c r="J2057" s="89">
        <v>357740318</v>
      </c>
      <c r="K2057" t="s">
        <v>127</v>
      </c>
      <c r="L2057" t="s">
        <v>128</v>
      </c>
      <c r="N2057">
        <v>1</v>
      </c>
      <c r="O2057" s="89">
        <v>412777.29</v>
      </c>
      <c r="P2057" s="89">
        <v>3990180.47</v>
      </c>
      <c r="Q2057" t="s">
        <v>130</v>
      </c>
      <c r="R2057" t="s">
        <v>131</v>
      </c>
    </row>
    <row r="2058" spans="3:18" hidden="1" x14ac:dyDescent="0.25">
      <c r="C2058" t="s">
        <v>45</v>
      </c>
      <c r="D2058" t="s">
        <v>149</v>
      </c>
      <c r="E2058" t="s">
        <v>40</v>
      </c>
      <c r="F2058" t="s">
        <v>41</v>
      </c>
      <c r="G2058" s="89">
        <v>1305536</v>
      </c>
      <c r="H2058" t="s">
        <v>42</v>
      </c>
      <c r="I2058" t="s">
        <v>133</v>
      </c>
      <c r="J2058" s="89">
        <v>37860544</v>
      </c>
      <c r="K2058" t="s">
        <v>127</v>
      </c>
      <c r="L2058" t="s">
        <v>128</v>
      </c>
      <c r="M2058" t="s">
        <v>136</v>
      </c>
      <c r="N2058">
        <v>1</v>
      </c>
      <c r="O2058" s="89">
        <v>52221.440000000002</v>
      </c>
      <c r="P2058" s="89">
        <v>365550.08000000002</v>
      </c>
      <c r="Q2058" t="s">
        <v>130</v>
      </c>
      <c r="R2058" t="s">
        <v>131</v>
      </c>
    </row>
    <row r="2059" spans="3:18" hidden="1" x14ac:dyDescent="0.25">
      <c r="C2059" t="s">
        <v>45</v>
      </c>
      <c r="D2059" t="s">
        <v>21</v>
      </c>
      <c r="E2059" t="s">
        <v>43</v>
      </c>
      <c r="F2059" t="s">
        <v>41</v>
      </c>
      <c r="G2059" s="89">
        <v>132778</v>
      </c>
      <c r="H2059" t="s">
        <v>42</v>
      </c>
      <c r="I2059" t="s">
        <v>133</v>
      </c>
      <c r="J2059" s="89">
        <v>3850562</v>
      </c>
      <c r="K2059" t="s">
        <v>127</v>
      </c>
      <c r="L2059" t="s">
        <v>151</v>
      </c>
      <c r="M2059" t="s">
        <v>156</v>
      </c>
      <c r="N2059">
        <v>1</v>
      </c>
      <c r="O2059" s="89">
        <v>3983.34</v>
      </c>
      <c r="P2059" s="89">
        <v>62405.66</v>
      </c>
      <c r="Q2059" t="s">
        <v>142</v>
      </c>
      <c r="R2059" t="s">
        <v>131</v>
      </c>
    </row>
    <row r="2060" spans="3:18" hidden="1" x14ac:dyDescent="0.25">
      <c r="C2060" t="s">
        <v>45</v>
      </c>
      <c r="D2060" t="s">
        <v>21</v>
      </c>
      <c r="E2060" t="s">
        <v>44</v>
      </c>
      <c r="F2060" t="s">
        <v>41</v>
      </c>
      <c r="G2060" s="89">
        <v>387929</v>
      </c>
      <c r="H2060" t="s">
        <v>42</v>
      </c>
      <c r="I2060" t="s">
        <v>141</v>
      </c>
      <c r="J2060" s="89">
        <v>2327574</v>
      </c>
      <c r="K2060" t="s">
        <v>127</v>
      </c>
      <c r="L2060" t="s">
        <v>128</v>
      </c>
      <c r="M2060" t="s">
        <v>129</v>
      </c>
      <c r="N2060">
        <v>1</v>
      </c>
      <c r="O2060" s="89">
        <v>15517.16</v>
      </c>
      <c r="P2060" s="89">
        <v>190085.21</v>
      </c>
      <c r="Q2060" t="s">
        <v>142</v>
      </c>
      <c r="R2060" t="s">
        <v>42</v>
      </c>
    </row>
    <row r="2061" spans="3:18" hidden="1" x14ac:dyDescent="0.25">
      <c r="C2061" t="s">
        <v>45</v>
      </c>
      <c r="D2061" t="s">
        <v>138</v>
      </c>
      <c r="E2061" t="s">
        <v>43</v>
      </c>
      <c r="F2061" t="s">
        <v>41</v>
      </c>
      <c r="G2061" s="89">
        <v>15375808</v>
      </c>
      <c r="H2061" t="s">
        <v>42</v>
      </c>
      <c r="I2061" t="s">
        <v>126</v>
      </c>
      <c r="J2061" s="89">
        <v>261388736</v>
      </c>
      <c r="K2061" t="s">
        <v>127</v>
      </c>
      <c r="L2061" t="s">
        <v>128</v>
      </c>
      <c r="M2061" t="s">
        <v>139</v>
      </c>
      <c r="N2061">
        <v>1</v>
      </c>
      <c r="O2061" s="89">
        <v>461274.24</v>
      </c>
      <c r="P2061" s="89">
        <v>10301791.359999999</v>
      </c>
      <c r="Q2061" t="s">
        <v>137</v>
      </c>
      <c r="R2061" t="s">
        <v>131</v>
      </c>
    </row>
    <row r="2062" spans="3:18" hidden="1" x14ac:dyDescent="0.25">
      <c r="C2062" t="s">
        <v>45</v>
      </c>
      <c r="D2062" t="s">
        <v>23</v>
      </c>
      <c r="E2062" t="s">
        <v>46</v>
      </c>
      <c r="F2062" t="s">
        <v>41</v>
      </c>
      <c r="G2062" s="89">
        <v>157977</v>
      </c>
      <c r="H2062" t="s">
        <v>42</v>
      </c>
      <c r="I2062" t="s">
        <v>141</v>
      </c>
      <c r="J2062" s="89">
        <v>1579770</v>
      </c>
      <c r="K2062" t="s">
        <v>144</v>
      </c>
      <c r="N2062">
        <v>1</v>
      </c>
      <c r="O2062" s="89">
        <v>4739.3100000000004</v>
      </c>
      <c r="P2062" s="89">
        <v>104264.82</v>
      </c>
      <c r="Q2062" t="s">
        <v>137</v>
      </c>
      <c r="R2062" t="s">
        <v>42</v>
      </c>
    </row>
    <row r="2063" spans="3:18" hidden="1" x14ac:dyDescent="0.25">
      <c r="C2063" t="s">
        <v>45</v>
      </c>
      <c r="D2063" t="s">
        <v>138</v>
      </c>
      <c r="E2063" t="s">
        <v>40</v>
      </c>
      <c r="F2063" t="s">
        <v>41</v>
      </c>
      <c r="G2063" s="89">
        <v>141191</v>
      </c>
      <c r="H2063" t="s">
        <v>42</v>
      </c>
      <c r="I2063" t="s">
        <v>133</v>
      </c>
      <c r="J2063" s="89">
        <v>4800494</v>
      </c>
      <c r="K2063" t="s">
        <v>127</v>
      </c>
      <c r="L2063" t="s">
        <v>128</v>
      </c>
      <c r="M2063" t="s">
        <v>143</v>
      </c>
      <c r="N2063">
        <v>1</v>
      </c>
      <c r="O2063" s="89">
        <v>4235.7299999999996</v>
      </c>
      <c r="P2063" s="89">
        <v>120012.35</v>
      </c>
      <c r="Q2063" t="s">
        <v>135</v>
      </c>
      <c r="R2063" t="s">
        <v>42</v>
      </c>
    </row>
    <row r="2064" spans="3:18" hidden="1" x14ac:dyDescent="0.25">
      <c r="C2064" t="s">
        <v>45</v>
      </c>
      <c r="D2064" t="s">
        <v>23</v>
      </c>
      <c r="E2064" t="s">
        <v>40</v>
      </c>
      <c r="F2064" t="s">
        <v>41</v>
      </c>
      <c r="G2064" s="89">
        <v>119775</v>
      </c>
      <c r="H2064" t="s">
        <v>42</v>
      </c>
      <c r="I2064" t="s">
        <v>133</v>
      </c>
      <c r="J2064" s="89">
        <v>3952575</v>
      </c>
      <c r="K2064" t="s">
        <v>127</v>
      </c>
      <c r="L2064" t="s">
        <v>128</v>
      </c>
      <c r="M2064" t="s">
        <v>148</v>
      </c>
      <c r="N2064">
        <v>1</v>
      </c>
      <c r="O2064" s="89">
        <v>3593.25</v>
      </c>
      <c r="P2064" s="89">
        <v>99413.25</v>
      </c>
      <c r="Q2064" t="s">
        <v>135</v>
      </c>
      <c r="R2064" t="s">
        <v>131</v>
      </c>
    </row>
    <row r="2065" spans="3:18" hidden="1" x14ac:dyDescent="0.25">
      <c r="C2065" t="s">
        <v>45</v>
      </c>
      <c r="D2065" t="s">
        <v>19</v>
      </c>
      <c r="E2065" t="s">
        <v>43</v>
      </c>
      <c r="F2065" t="s">
        <v>53</v>
      </c>
      <c r="G2065" s="89">
        <v>103306</v>
      </c>
      <c r="H2065" t="s">
        <v>140</v>
      </c>
      <c r="I2065" t="s">
        <v>133</v>
      </c>
      <c r="J2065" s="89">
        <v>3202486</v>
      </c>
      <c r="K2065" t="s">
        <v>144</v>
      </c>
      <c r="N2065">
        <v>1</v>
      </c>
      <c r="O2065" s="89">
        <v>3099.18</v>
      </c>
      <c r="P2065" s="89">
        <v>111570.48</v>
      </c>
      <c r="Q2065" t="s">
        <v>150</v>
      </c>
      <c r="R2065" t="s">
        <v>131</v>
      </c>
    </row>
    <row r="2066" spans="3:18" x14ac:dyDescent="0.25">
      <c r="C2066" t="s">
        <v>47</v>
      </c>
      <c r="D2066" t="s">
        <v>23</v>
      </c>
      <c r="E2066" t="s">
        <v>40</v>
      </c>
      <c r="F2066" t="s">
        <v>41</v>
      </c>
      <c r="G2066" s="89">
        <v>449</v>
      </c>
      <c r="H2066" t="s">
        <v>140</v>
      </c>
      <c r="I2066" t="s">
        <v>147</v>
      </c>
      <c r="J2066" s="89"/>
      <c r="K2066" t="s">
        <v>127</v>
      </c>
      <c r="L2066" t="s">
        <v>151</v>
      </c>
      <c r="N2066">
        <v>0</v>
      </c>
      <c r="O2066" s="89">
        <v>26.94</v>
      </c>
      <c r="P2066" s="89">
        <v>0</v>
      </c>
      <c r="Q2066" t="s">
        <v>130</v>
      </c>
      <c r="R2066" t="s">
        <v>131</v>
      </c>
    </row>
    <row r="2067" spans="3:18" hidden="1" x14ac:dyDescent="0.25">
      <c r="C2067" t="s">
        <v>45</v>
      </c>
      <c r="D2067" t="s">
        <v>22</v>
      </c>
      <c r="E2067" t="s">
        <v>40</v>
      </c>
      <c r="F2067" t="s">
        <v>41</v>
      </c>
      <c r="G2067" s="89">
        <v>2031091</v>
      </c>
      <c r="H2067" t="s">
        <v>140</v>
      </c>
      <c r="I2067" t="s">
        <v>147</v>
      </c>
      <c r="J2067" s="89">
        <v>6093273</v>
      </c>
      <c r="K2067" t="s">
        <v>127</v>
      </c>
      <c r="L2067" t="s">
        <v>128</v>
      </c>
      <c r="N2067">
        <v>1</v>
      </c>
      <c r="O2067" s="89">
        <v>81243.64</v>
      </c>
      <c r="P2067" s="89">
        <v>1381141.88</v>
      </c>
      <c r="Q2067" t="s">
        <v>137</v>
      </c>
      <c r="R2067" t="s">
        <v>131</v>
      </c>
    </row>
    <row r="2068" spans="3:18" hidden="1" x14ac:dyDescent="0.25">
      <c r="C2068" t="s">
        <v>45</v>
      </c>
      <c r="D2068" t="s">
        <v>149</v>
      </c>
      <c r="E2068" t="s">
        <v>43</v>
      </c>
      <c r="F2068" t="s">
        <v>41</v>
      </c>
      <c r="G2068" s="89">
        <v>96894026</v>
      </c>
      <c r="H2068" t="s">
        <v>42</v>
      </c>
      <c r="I2068" t="s">
        <v>133</v>
      </c>
      <c r="J2068" s="89">
        <v>2906820780</v>
      </c>
      <c r="K2068" t="s">
        <v>127</v>
      </c>
      <c r="L2068" t="s">
        <v>128</v>
      </c>
      <c r="M2068" t="s">
        <v>136</v>
      </c>
      <c r="N2068">
        <v>1</v>
      </c>
      <c r="O2068" s="89">
        <v>2906820.78</v>
      </c>
      <c r="P2068" s="89">
        <v>49415953.259999998</v>
      </c>
      <c r="Q2068" t="s">
        <v>142</v>
      </c>
      <c r="R2068" t="s">
        <v>131</v>
      </c>
    </row>
    <row r="2069" spans="3:18" hidden="1" x14ac:dyDescent="0.25">
      <c r="C2069" t="s">
        <v>45</v>
      </c>
      <c r="D2069" t="s">
        <v>23</v>
      </c>
      <c r="E2069" t="s">
        <v>40</v>
      </c>
      <c r="F2069" t="s">
        <v>41</v>
      </c>
      <c r="G2069" s="89">
        <v>310044</v>
      </c>
      <c r="H2069" t="s">
        <v>145</v>
      </c>
      <c r="I2069" t="s">
        <v>126</v>
      </c>
      <c r="J2069" s="89">
        <v>5270748</v>
      </c>
      <c r="K2069" t="s">
        <v>134</v>
      </c>
      <c r="L2069" t="s">
        <v>128</v>
      </c>
      <c r="N2069">
        <v>1</v>
      </c>
      <c r="O2069" s="89">
        <v>9301.32</v>
      </c>
      <c r="P2069" s="89">
        <v>96113.64</v>
      </c>
      <c r="Q2069" t="s">
        <v>130</v>
      </c>
      <c r="R2069" t="s">
        <v>131</v>
      </c>
    </row>
    <row r="2070" spans="3:18" hidden="1" x14ac:dyDescent="0.25">
      <c r="C2070" t="s">
        <v>45</v>
      </c>
      <c r="D2070" t="s">
        <v>24</v>
      </c>
      <c r="E2070" t="s">
        <v>46</v>
      </c>
      <c r="F2070" t="s">
        <v>41</v>
      </c>
      <c r="G2070" s="89">
        <v>180854</v>
      </c>
      <c r="H2070" t="s">
        <v>42</v>
      </c>
      <c r="I2070" t="s">
        <v>147</v>
      </c>
      <c r="J2070" s="89">
        <v>904270</v>
      </c>
      <c r="K2070" t="s">
        <v>127</v>
      </c>
      <c r="L2070" t="s">
        <v>128</v>
      </c>
      <c r="M2070" t="s">
        <v>148</v>
      </c>
      <c r="N2070">
        <v>1</v>
      </c>
      <c r="O2070" s="89">
        <v>7234.16</v>
      </c>
      <c r="P2070" s="89">
        <v>75958.679999999993</v>
      </c>
      <c r="Q2070" t="s">
        <v>142</v>
      </c>
      <c r="R2070" t="s">
        <v>42</v>
      </c>
    </row>
    <row r="2071" spans="3:18" hidden="1" x14ac:dyDescent="0.25">
      <c r="C2071" t="s">
        <v>45</v>
      </c>
      <c r="D2071" t="s">
        <v>20</v>
      </c>
      <c r="E2071" t="s">
        <v>43</v>
      </c>
      <c r="F2071" t="s">
        <v>41</v>
      </c>
      <c r="G2071" s="89">
        <v>49747</v>
      </c>
      <c r="H2071" t="s">
        <v>145</v>
      </c>
      <c r="I2071" t="s">
        <v>147</v>
      </c>
      <c r="J2071" s="89"/>
      <c r="K2071" t="s">
        <v>127</v>
      </c>
      <c r="L2071" t="s">
        <v>128</v>
      </c>
      <c r="N2071">
        <v>0</v>
      </c>
      <c r="O2071" s="89">
        <v>994.94</v>
      </c>
      <c r="P2071" s="89">
        <v>0</v>
      </c>
      <c r="Q2071" t="s">
        <v>130</v>
      </c>
      <c r="R2071" t="s">
        <v>131</v>
      </c>
    </row>
    <row r="2072" spans="3:18" hidden="1" x14ac:dyDescent="0.25">
      <c r="C2072" t="s">
        <v>45</v>
      </c>
      <c r="D2072" t="s">
        <v>21</v>
      </c>
      <c r="E2072" t="s">
        <v>40</v>
      </c>
      <c r="F2072" t="s">
        <v>41</v>
      </c>
      <c r="G2072" s="89">
        <v>11244227</v>
      </c>
      <c r="H2072" t="s">
        <v>140</v>
      </c>
      <c r="I2072" t="s">
        <v>126</v>
      </c>
      <c r="J2072" s="89">
        <v>179907632</v>
      </c>
      <c r="K2072" t="s">
        <v>127</v>
      </c>
      <c r="L2072" t="s">
        <v>128</v>
      </c>
      <c r="N2072">
        <v>1</v>
      </c>
      <c r="O2072" s="89">
        <v>337326.81</v>
      </c>
      <c r="P2072" s="89">
        <v>5622113.5</v>
      </c>
      <c r="Q2072" t="s">
        <v>142</v>
      </c>
      <c r="R2072" t="s">
        <v>131</v>
      </c>
    </row>
    <row r="2073" spans="3:18" hidden="1" x14ac:dyDescent="0.25">
      <c r="C2073" t="s">
        <v>45</v>
      </c>
      <c r="D2073" t="s">
        <v>20</v>
      </c>
      <c r="E2073" t="s">
        <v>43</v>
      </c>
      <c r="F2073" t="s">
        <v>41</v>
      </c>
      <c r="G2073" s="89">
        <v>3518065</v>
      </c>
      <c r="H2073" t="s">
        <v>42</v>
      </c>
      <c r="I2073" t="s">
        <v>126</v>
      </c>
      <c r="J2073" s="89">
        <v>59807105</v>
      </c>
      <c r="K2073" t="s">
        <v>127</v>
      </c>
      <c r="L2073" t="s">
        <v>128</v>
      </c>
      <c r="M2073" t="s">
        <v>139</v>
      </c>
      <c r="N2073">
        <v>1</v>
      </c>
      <c r="O2073" s="89">
        <v>105541.95</v>
      </c>
      <c r="P2073" s="89">
        <v>1688671.2</v>
      </c>
      <c r="Q2073" t="s">
        <v>142</v>
      </c>
      <c r="R2073" t="s">
        <v>42</v>
      </c>
    </row>
    <row r="2074" spans="3:18" hidden="1" x14ac:dyDescent="0.25">
      <c r="C2074" t="s">
        <v>45</v>
      </c>
      <c r="D2074" t="s">
        <v>21</v>
      </c>
      <c r="E2074" t="s">
        <v>43</v>
      </c>
      <c r="F2074" t="s">
        <v>53</v>
      </c>
      <c r="G2074" s="89">
        <v>400160</v>
      </c>
      <c r="H2074" t="s">
        <v>146</v>
      </c>
      <c r="I2074" t="s">
        <v>126</v>
      </c>
      <c r="J2074" s="89">
        <v>7202880</v>
      </c>
      <c r="K2074" t="s">
        <v>144</v>
      </c>
      <c r="N2074">
        <v>1</v>
      </c>
      <c r="O2074" s="89">
        <v>16006.4</v>
      </c>
      <c r="P2074" s="89">
        <v>256102.39999999999</v>
      </c>
      <c r="Q2074" t="s">
        <v>137</v>
      </c>
      <c r="R2074" t="s">
        <v>131</v>
      </c>
    </row>
    <row r="2075" spans="3:18" hidden="1" x14ac:dyDescent="0.25">
      <c r="C2075" t="s">
        <v>45</v>
      </c>
      <c r="D2075" t="s">
        <v>21</v>
      </c>
      <c r="E2075" t="s">
        <v>43</v>
      </c>
      <c r="F2075" t="s">
        <v>41</v>
      </c>
      <c r="G2075" s="89">
        <v>33662544</v>
      </c>
      <c r="H2075" t="s">
        <v>146</v>
      </c>
      <c r="I2075" t="s">
        <v>147</v>
      </c>
      <c r="J2075" s="89">
        <v>67325088</v>
      </c>
      <c r="K2075" t="s">
        <v>144</v>
      </c>
      <c r="N2075">
        <v>1</v>
      </c>
      <c r="O2075" s="89">
        <v>1346501.76</v>
      </c>
      <c r="P2075" s="89">
        <v>6059257.9199999999</v>
      </c>
      <c r="Q2075" t="s">
        <v>130</v>
      </c>
      <c r="R2075" t="s">
        <v>131</v>
      </c>
    </row>
    <row r="2076" spans="3:18" x14ac:dyDescent="0.25">
      <c r="C2076" t="s">
        <v>47</v>
      </c>
      <c r="D2076" t="s">
        <v>20</v>
      </c>
      <c r="E2076" t="s">
        <v>48</v>
      </c>
      <c r="F2076" t="s">
        <v>41</v>
      </c>
      <c r="G2076" s="89">
        <v>241548</v>
      </c>
      <c r="H2076" t="s">
        <v>140</v>
      </c>
      <c r="I2076" t="s">
        <v>147</v>
      </c>
      <c r="J2076" s="89">
        <v>241548</v>
      </c>
      <c r="K2076" t="s">
        <v>127</v>
      </c>
      <c r="L2076" t="s">
        <v>128</v>
      </c>
      <c r="N2076">
        <v>1</v>
      </c>
      <c r="O2076" s="89">
        <v>7246.44</v>
      </c>
      <c r="P2076" s="89">
        <v>36232.199999999997</v>
      </c>
      <c r="Q2076" t="s">
        <v>130</v>
      </c>
      <c r="R2076" t="s">
        <v>131</v>
      </c>
    </row>
    <row r="2077" spans="3:18" x14ac:dyDescent="0.25">
      <c r="C2077" t="s">
        <v>47</v>
      </c>
      <c r="D2077" t="s">
        <v>21</v>
      </c>
      <c r="E2077" t="s">
        <v>40</v>
      </c>
      <c r="F2077" t="s">
        <v>41</v>
      </c>
      <c r="G2077" s="89">
        <v>440448</v>
      </c>
      <c r="H2077" t="s">
        <v>146</v>
      </c>
      <c r="I2077" t="s">
        <v>141</v>
      </c>
      <c r="J2077" s="89">
        <v>4404480</v>
      </c>
      <c r="K2077" t="s">
        <v>144</v>
      </c>
      <c r="N2077">
        <v>1</v>
      </c>
      <c r="O2077" s="89">
        <v>13213.44</v>
      </c>
      <c r="P2077" s="89">
        <v>281886.71999999997</v>
      </c>
      <c r="Q2077" t="s">
        <v>137</v>
      </c>
      <c r="R2077" t="s">
        <v>131</v>
      </c>
    </row>
    <row r="2078" spans="3:18" hidden="1" x14ac:dyDescent="0.25">
      <c r="C2078" t="s">
        <v>45</v>
      </c>
      <c r="D2078" t="s">
        <v>19</v>
      </c>
      <c r="E2078" t="s">
        <v>43</v>
      </c>
      <c r="F2078" t="s">
        <v>53</v>
      </c>
      <c r="G2078" s="89">
        <v>12640</v>
      </c>
      <c r="H2078" t="s">
        <v>146</v>
      </c>
      <c r="I2078" t="s">
        <v>133</v>
      </c>
      <c r="J2078" s="89">
        <v>379200</v>
      </c>
      <c r="K2078" t="s">
        <v>144</v>
      </c>
      <c r="N2078">
        <v>1</v>
      </c>
      <c r="O2078" s="89">
        <v>379.2</v>
      </c>
      <c r="P2078" s="89">
        <v>379.2</v>
      </c>
      <c r="Q2078" t="s">
        <v>130</v>
      </c>
      <c r="R2078" t="s">
        <v>131</v>
      </c>
    </row>
    <row r="2079" spans="3:18" x14ac:dyDescent="0.25">
      <c r="C2079" t="s">
        <v>47</v>
      </c>
      <c r="D2079" t="s">
        <v>22</v>
      </c>
      <c r="E2079" t="s">
        <v>40</v>
      </c>
      <c r="F2079" t="s">
        <v>41</v>
      </c>
      <c r="G2079" s="89">
        <v>169235</v>
      </c>
      <c r="H2079" t="s">
        <v>146</v>
      </c>
      <c r="I2079" t="s">
        <v>126</v>
      </c>
      <c r="J2079" s="89">
        <v>2369290</v>
      </c>
      <c r="K2079" t="s">
        <v>144</v>
      </c>
      <c r="N2079">
        <v>1</v>
      </c>
      <c r="O2079" s="89">
        <v>6769.4</v>
      </c>
      <c r="P2079" s="89">
        <v>82925.149999999994</v>
      </c>
      <c r="Q2079" t="s">
        <v>142</v>
      </c>
      <c r="R2079" t="s">
        <v>131</v>
      </c>
    </row>
    <row r="2080" spans="3:18" hidden="1" x14ac:dyDescent="0.25">
      <c r="C2080" t="s">
        <v>45</v>
      </c>
      <c r="D2080" t="s">
        <v>138</v>
      </c>
      <c r="E2080" t="s">
        <v>43</v>
      </c>
      <c r="F2080" t="s">
        <v>41</v>
      </c>
      <c r="G2080" s="89">
        <v>17665921</v>
      </c>
      <c r="H2080" t="s">
        <v>140</v>
      </c>
      <c r="I2080" t="s">
        <v>126</v>
      </c>
      <c r="J2080" s="89">
        <v>264988815</v>
      </c>
      <c r="K2080" t="s">
        <v>127</v>
      </c>
      <c r="L2080" t="s">
        <v>128</v>
      </c>
      <c r="N2080">
        <v>1</v>
      </c>
      <c r="O2080" s="89">
        <v>529977.63</v>
      </c>
      <c r="P2080" s="89">
        <v>4769798.67</v>
      </c>
      <c r="Q2080" t="s">
        <v>130</v>
      </c>
      <c r="R2080" t="s">
        <v>131</v>
      </c>
    </row>
    <row r="2081" spans="3:18" x14ac:dyDescent="0.25">
      <c r="C2081" t="s">
        <v>47</v>
      </c>
      <c r="D2081" t="s">
        <v>19</v>
      </c>
      <c r="E2081" t="s">
        <v>43</v>
      </c>
      <c r="F2081" t="s">
        <v>41</v>
      </c>
      <c r="G2081" s="89">
        <v>250392</v>
      </c>
      <c r="H2081" t="s">
        <v>140</v>
      </c>
      <c r="I2081" t="s">
        <v>147</v>
      </c>
      <c r="J2081" s="89">
        <v>0</v>
      </c>
      <c r="K2081" t="s">
        <v>134</v>
      </c>
      <c r="L2081" t="s">
        <v>128</v>
      </c>
      <c r="N2081">
        <v>1</v>
      </c>
      <c r="O2081" s="89">
        <v>10015.68</v>
      </c>
      <c r="P2081" s="89">
        <v>57590.16</v>
      </c>
      <c r="Q2081" t="s">
        <v>130</v>
      </c>
      <c r="R2081" t="s">
        <v>131</v>
      </c>
    </row>
    <row r="2082" spans="3:18" hidden="1" x14ac:dyDescent="0.25">
      <c r="C2082" t="s">
        <v>45</v>
      </c>
      <c r="D2082" t="s">
        <v>22</v>
      </c>
      <c r="E2082" t="s">
        <v>43</v>
      </c>
      <c r="F2082" t="s">
        <v>41</v>
      </c>
      <c r="G2082" s="89">
        <v>45403</v>
      </c>
      <c r="H2082" t="s">
        <v>42</v>
      </c>
      <c r="I2082" t="s">
        <v>126</v>
      </c>
      <c r="J2082" s="89">
        <v>590239</v>
      </c>
      <c r="K2082" t="s">
        <v>127</v>
      </c>
      <c r="L2082" t="s">
        <v>128</v>
      </c>
      <c r="M2082" t="s">
        <v>129</v>
      </c>
      <c r="N2082">
        <v>1</v>
      </c>
      <c r="O2082" s="89">
        <v>1362.09</v>
      </c>
      <c r="P2082" s="89">
        <v>21793.439999999999</v>
      </c>
      <c r="Q2082" t="s">
        <v>142</v>
      </c>
      <c r="R2082" t="s">
        <v>42</v>
      </c>
    </row>
    <row r="2083" spans="3:18" hidden="1" x14ac:dyDescent="0.25">
      <c r="C2083" t="s">
        <v>45</v>
      </c>
      <c r="D2083" t="s">
        <v>20</v>
      </c>
      <c r="E2083" t="s">
        <v>43</v>
      </c>
      <c r="F2083" t="s">
        <v>41</v>
      </c>
      <c r="G2083" s="89">
        <v>335</v>
      </c>
      <c r="H2083" t="s">
        <v>42</v>
      </c>
      <c r="I2083" t="s">
        <v>147</v>
      </c>
      <c r="J2083" s="89"/>
      <c r="K2083" t="s">
        <v>127</v>
      </c>
      <c r="L2083" t="s">
        <v>128</v>
      </c>
      <c r="M2083" t="s">
        <v>139</v>
      </c>
      <c r="N2083">
        <v>0</v>
      </c>
      <c r="O2083" s="89">
        <v>23.45</v>
      </c>
      <c r="P2083" s="89">
        <v>0</v>
      </c>
      <c r="Q2083" t="s">
        <v>130</v>
      </c>
      <c r="R2083" t="s">
        <v>131</v>
      </c>
    </row>
    <row r="2084" spans="3:18" hidden="1" x14ac:dyDescent="0.25">
      <c r="C2084" t="s">
        <v>45</v>
      </c>
      <c r="D2084" t="s">
        <v>22</v>
      </c>
      <c r="E2084" t="s">
        <v>43</v>
      </c>
      <c r="F2084" t="s">
        <v>41</v>
      </c>
      <c r="G2084" s="89">
        <v>378946</v>
      </c>
      <c r="H2084" t="s">
        <v>132</v>
      </c>
      <c r="I2084" t="s">
        <v>141</v>
      </c>
      <c r="J2084" s="89">
        <v>2652622</v>
      </c>
      <c r="K2084" t="s">
        <v>127</v>
      </c>
      <c r="L2084" t="s">
        <v>128</v>
      </c>
      <c r="N2084">
        <v>1</v>
      </c>
      <c r="O2084" s="89">
        <v>15157.84</v>
      </c>
      <c r="P2084" s="89">
        <v>185683.54</v>
      </c>
      <c r="Q2084" t="s">
        <v>142</v>
      </c>
      <c r="R2084" t="s">
        <v>131</v>
      </c>
    </row>
    <row r="2085" spans="3:18" hidden="1" x14ac:dyDescent="0.25">
      <c r="C2085" t="s">
        <v>45</v>
      </c>
      <c r="D2085" t="s">
        <v>21</v>
      </c>
      <c r="E2085" t="s">
        <v>43</v>
      </c>
      <c r="F2085" t="s">
        <v>41</v>
      </c>
      <c r="G2085" s="89">
        <v>21938714</v>
      </c>
      <c r="H2085" t="s">
        <v>42</v>
      </c>
      <c r="I2085" t="s">
        <v>133</v>
      </c>
      <c r="J2085" s="89">
        <v>680100134</v>
      </c>
      <c r="K2085" t="s">
        <v>144</v>
      </c>
      <c r="N2085">
        <v>1</v>
      </c>
      <c r="O2085" s="89">
        <v>658161.42000000004</v>
      </c>
      <c r="P2085" s="89">
        <v>10969357</v>
      </c>
      <c r="Q2085" t="s">
        <v>142</v>
      </c>
      <c r="R2085" t="s">
        <v>131</v>
      </c>
    </row>
    <row r="2086" spans="3:18" hidden="1" x14ac:dyDescent="0.25">
      <c r="C2086" t="s">
        <v>45</v>
      </c>
      <c r="D2086" t="s">
        <v>23</v>
      </c>
      <c r="E2086" t="s">
        <v>48</v>
      </c>
      <c r="F2086" t="s">
        <v>41</v>
      </c>
      <c r="G2086" s="89">
        <v>109207</v>
      </c>
      <c r="H2086" t="s">
        <v>146</v>
      </c>
      <c r="I2086" t="s">
        <v>147</v>
      </c>
      <c r="J2086" s="89">
        <v>327621</v>
      </c>
      <c r="K2086" t="s">
        <v>127</v>
      </c>
      <c r="L2086" t="s">
        <v>128</v>
      </c>
      <c r="N2086">
        <v>1</v>
      </c>
      <c r="O2086" s="89">
        <v>5460.35</v>
      </c>
      <c r="P2086" s="89">
        <v>50235.22</v>
      </c>
      <c r="Q2086" t="s">
        <v>142</v>
      </c>
      <c r="R2086" t="s">
        <v>131</v>
      </c>
    </row>
    <row r="2087" spans="3:18" hidden="1" x14ac:dyDescent="0.25">
      <c r="C2087" t="s">
        <v>45</v>
      </c>
      <c r="D2087" t="s">
        <v>21</v>
      </c>
      <c r="E2087" t="s">
        <v>43</v>
      </c>
      <c r="F2087" t="s">
        <v>41</v>
      </c>
      <c r="G2087" s="89">
        <v>693583</v>
      </c>
      <c r="H2087" t="s">
        <v>145</v>
      </c>
      <c r="I2087" t="s">
        <v>133</v>
      </c>
      <c r="J2087" s="89">
        <v>22888239</v>
      </c>
      <c r="K2087" t="s">
        <v>134</v>
      </c>
      <c r="L2087" t="s">
        <v>128</v>
      </c>
      <c r="N2087">
        <v>1</v>
      </c>
      <c r="O2087" s="89">
        <v>20807.490000000002</v>
      </c>
      <c r="P2087" s="89">
        <v>492443.93</v>
      </c>
      <c r="Q2087" t="s">
        <v>137</v>
      </c>
      <c r="R2087" t="s">
        <v>131</v>
      </c>
    </row>
    <row r="2088" spans="3:18" x14ac:dyDescent="0.25">
      <c r="C2088" t="s">
        <v>47</v>
      </c>
      <c r="D2088" t="s">
        <v>21</v>
      </c>
      <c r="E2088" t="s">
        <v>43</v>
      </c>
      <c r="F2088" t="s">
        <v>41</v>
      </c>
      <c r="G2088" s="89">
        <v>2588866</v>
      </c>
      <c r="H2088" t="s">
        <v>132</v>
      </c>
      <c r="I2088" t="s">
        <v>141</v>
      </c>
      <c r="J2088" s="89">
        <v>18122062</v>
      </c>
      <c r="K2088" t="s">
        <v>127</v>
      </c>
      <c r="L2088" t="s">
        <v>128</v>
      </c>
      <c r="N2088">
        <v>1</v>
      </c>
      <c r="O2088" s="89">
        <v>103554.64</v>
      </c>
      <c r="P2088" s="89">
        <v>1216767.02</v>
      </c>
      <c r="Q2088" t="s">
        <v>142</v>
      </c>
      <c r="R2088" t="s">
        <v>131</v>
      </c>
    </row>
    <row r="2089" spans="3:18" x14ac:dyDescent="0.25">
      <c r="C2089" t="s">
        <v>47</v>
      </c>
      <c r="D2089" t="s">
        <v>24</v>
      </c>
      <c r="E2089" t="s">
        <v>43</v>
      </c>
      <c r="F2089" t="s">
        <v>41</v>
      </c>
      <c r="G2089" s="89">
        <v>501228</v>
      </c>
      <c r="H2089" t="s">
        <v>42</v>
      </c>
      <c r="I2089" t="s">
        <v>126</v>
      </c>
      <c r="J2089" s="89">
        <v>5513508</v>
      </c>
      <c r="K2089" t="s">
        <v>127</v>
      </c>
      <c r="L2089" t="s">
        <v>128</v>
      </c>
      <c r="M2089" t="s">
        <v>129</v>
      </c>
      <c r="N2089">
        <v>1</v>
      </c>
      <c r="O2089" s="89">
        <v>15036.84</v>
      </c>
      <c r="P2089" s="89">
        <v>355871.88</v>
      </c>
      <c r="Q2089" t="s">
        <v>137</v>
      </c>
      <c r="R2089" t="s">
        <v>42</v>
      </c>
    </row>
    <row r="2090" spans="3:18" x14ac:dyDescent="0.25">
      <c r="C2090" t="s">
        <v>47</v>
      </c>
      <c r="D2090" t="s">
        <v>21</v>
      </c>
      <c r="E2090" t="s">
        <v>43</v>
      </c>
      <c r="F2090" t="s">
        <v>41</v>
      </c>
      <c r="G2090" s="89">
        <v>1148724</v>
      </c>
      <c r="H2090" t="s">
        <v>146</v>
      </c>
      <c r="I2090" t="s">
        <v>141</v>
      </c>
      <c r="J2090" s="89">
        <v>6892344</v>
      </c>
      <c r="K2090" t="s">
        <v>127</v>
      </c>
      <c r="L2090" t="s">
        <v>128</v>
      </c>
      <c r="N2090">
        <v>1</v>
      </c>
      <c r="O2090" s="89">
        <v>45948.959999999999</v>
      </c>
      <c r="P2090" s="89">
        <v>539900.28</v>
      </c>
      <c r="Q2090" t="s">
        <v>142</v>
      </c>
      <c r="R2090" t="s">
        <v>131</v>
      </c>
    </row>
    <row r="2091" spans="3:18" hidden="1" x14ac:dyDescent="0.25">
      <c r="C2091" t="s">
        <v>45</v>
      </c>
      <c r="D2091" t="s">
        <v>22</v>
      </c>
      <c r="E2091" t="s">
        <v>40</v>
      </c>
      <c r="F2091" t="s">
        <v>41</v>
      </c>
      <c r="G2091" s="89">
        <v>148022134</v>
      </c>
      <c r="H2091" t="s">
        <v>140</v>
      </c>
      <c r="I2091" t="s">
        <v>126</v>
      </c>
      <c r="J2091" s="89">
        <v>2368354144</v>
      </c>
      <c r="K2091" t="s">
        <v>127</v>
      </c>
      <c r="L2091" t="s">
        <v>128</v>
      </c>
      <c r="N2091">
        <v>1</v>
      </c>
      <c r="O2091" s="89">
        <v>4440664.0199999996</v>
      </c>
      <c r="P2091" s="89">
        <v>72530845.659999996</v>
      </c>
      <c r="Q2091" t="s">
        <v>142</v>
      </c>
      <c r="R2091" t="s">
        <v>131</v>
      </c>
    </row>
    <row r="2092" spans="3:18" hidden="1" x14ac:dyDescent="0.25">
      <c r="C2092" t="s">
        <v>45</v>
      </c>
      <c r="D2092" t="s">
        <v>22</v>
      </c>
      <c r="E2092" t="s">
        <v>40</v>
      </c>
      <c r="F2092" t="s">
        <v>41</v>
      </c>
      <c r="G2092" s="89">
        <v>0</v>
      </c>
      <c r="H2092" t="s">
        <v>154</v>
      </c>
      <c r="I2092" t="s">
        <v>147</v>
      </c>
      <c r="J2092" s="89">
        <v>0</v>
      </c>
      <c r="K2092" t="s">
        <v>127</v>
      </c>
      <c r="L2092" t="s">
        <v>128</v>
      </c>
      <c r="N2092">
        <v>1</v>
      </c>
      <c r="O2092" s="89">
        <v>0</v>
      </c>
      <c r="P2092" s="89">
        <v>0</v>
      </c>
      <c r="Q2092" t="s">
        <v>150</v>
      </c>
      <c r="R2092" t="s">
        <v>131</v>
      </c>
    </row>
    <row r="2093" spans="3:18" hidden="1" x14ac:dyDescent="0.25">
      <c r="C2093" t="s">
        <v>45</v>
      </c>
      <c r="D2093" t="s">
        <v>22</v>
      </c>
      <c r="E2093" t="s">
        <v>44</v>
      </c>
      <c r="F2093" t="s">
        <v>41</v>
      </c>
      <c r="G2093" s="89">
        <v>1522767</v>
      </c>
      <c r="H2093" t="s">
        <v>42</v>
      </c>
      <c r="I2093" t="s">
        <v>133</v>
      </c>
      <c r="J2093" s="89">
        <v>50251311</v>
      </c>
      <c r="K2093" t="s">
        <v>127</v>
      </c>
      <c r="L2093" t="s">
        <v>128</v>
      </c>
      <c r="M2093" t="s">
        <v>143</v>
      </c>
      <c r="N2093">
        <v>1</v>
      </c>
      <c r="O2093" s="89">
        <v>60910.68</v>
      </c>
      <c r="P2093" s="89">
        <v>1081164.57</v>
      </c>
      <c r="Q2093" t="s">
        <v>137</v>
      </c>
      <c r="R2093" t="s">
        <v>131</v>
      </c>
    </row>
    <row r="2094" spans="3:18" hidden="1" x14ac:dyDescent="0.25">
      <c r="C2094" t="s">
        <v>45</v>
      </c>
      <c r="D2094" t="s">
        <v>24</v>
      </c>
      <c r="E2094" t="s">
        <v>44</v>
      </c>
      <c r="F2094" t="s">
        <v>41</v>
      </c>
      <c r="G2094" s="89">
        <v>195768</v>
      </c>
      <c r="H2094" t="s">
        <v>42</v>
      </c>
      <c r="I2094" t="s">
        <v>147</v>
      </c>
      <c r="J2094" s="89">
        <v>783072</v>
      </c>
      <c r="K2094" t="s">
        <v>127</v>
      </c>
      <c r="L2094" t="s">
        <v>128</v>
      </c>
      <c r="M2094" t="s">
        <v>148</v>
      </c>
      <c r="N2094">
        <v>1</v>
      </c>
      <c r="O2094" s="89">
        <v>5873.04</v>
      </c>
      <c r="P2094" s="89">
        <v>43068.959999999999</v>
      </c>
      <c r="Q2094" t="s">
        <v>130</v>
      </c>
      <c r="R2094" t="s">
        <v>131</v>
      </c>
    </row>
    <row r="2095" spans="3:18" x14ac:dyDescent="0.25">
      <c r="C2095" t="s">
        <v>47</v>
      </c>
      <c r="D2095" t="s">
        <v>24</v>
      </c>
      <c r="E2095" t="s">
        <v>48</v>
      </c>
      <c r="F2095" t="s">
        <v>41</v>
      </c>
      <c r="G2095" s="89">
        <v>65060</v>
      </c>
      <c r="H2095" t="s">
        <v>140</v>
      </c>
      <c r="I2095" t="s">
        <v>133</v>
      </c>
      <c r="J2095" s="89">
        <v>1951800</v>
      </c>
      <c r="K2095" t="s">
        <v>127</v>
      </c>
      <c r="L2095" t="s">
        <v>128</v>
      </c>
      <c r="N2095">
        <v>1</v>
      </c>
      <c r="O2095" s="89">
        <v>1951.8</v>
      </c>
      <c r="P2095" s="89">
        <v>53999.8</v>
      </c>
      <c r="Q2095" t="s">
        <v>135</v>
      </c>
      <c r="R2095" t="s">
        <v>131</v>
      </c>
    </row>
    <row r="2096" spans="3:18" x14ac:dyDescent="0.25">
      <c r="C2096" t="s">
        <v>47</v>
      </c>
      <c r="D2096" t="s">
        <v>21</v>
      </c>
      <c r="E2096" t="s">
        <v>43</v>
      </c>
      <c r="F2096" t="s">
        <v>41</v>
      </c>
      <c r="G2096" s="89">
        <v>83628</v>
      </c>
      <c r="H2096" t="s">
        <v>145</v>
      </c>
      <c r="I2096" t="s">
        <v>141</v>
      </c>
      <c r="J2096" s="89">
        <v>585396</v>
      </c>
      <c r="K2096" t="s">
        <v>127</v>
      </c>
      <c r="L2096" t="s">
        <v>128</v>
      </c>
      <c r="N2096">
        <v>1</v>
      </c>
      <c r="O2096" s="89">
        <v>6690.24</v>
      </c>
      <c r="P2096" s="89">
        <v>55194.48</v>
      </c>
      <c r="Q2096" t="s">
        <v>137</v>
      </c>
      <c r="R2096" t="s">
        <v>131</v>
      </c>
    </row>
    <row r="2097" spans="3:18" hidden="1" x14ac:dyDescent="0.25">
      <c r="C2097" t="s">
        <v>45</v>
      </c>
      <c r="D2097" t="s">
        <v>21</v>
      </c>
      <c r="E2097" t="s">
        <v>43</v>
      </c>
      <c r="F2097" t="s">
        <v>41</v>
      </c>
      <c r="G2097" s="89">
        <v>159900</v>
      </c>
      <c r="H2097" t="s">
        <v>42</v>
      </c>
      <c r="I2097" t="s">
        <v>147</v>
      </c>
      <c r="J2097" s="89">
        <v>319800</v>
      </c>
      <c r="K2097" t="s">
        <v>127</v>
      </c>
      <c r="L2097" t="s">
        <v>128</v>
      </c>
      <c r="M2097" t="s">
        <v>129</v>
      </c>
      <c r="N2097">
        <v>1</v>
      </c>
      <c r="O2097" s="89">
        <v>6396</v>
      </c>
      <c r="P2097" s="89">
        <v>155103</v>
      </c>
      <c r="Q2097" t="s">
        <v>135</v>
      </c>
      <c r="R2097" t="s">
        <v>131</v>
      </c>
    </row>
    <row r="2098" spans="3:18" x14ac:dyDescent="0.25">
      <c r="C2098" t="s">
        <v>47</v>
      </c>
      <c r="D2098" t="s">
        <v>25</v>
      </c>
      <c r="E2098" t="s">
        <v>48</v>
      </c>
      <c r="F2098" t="s">
        <v>41</v>
      </c>
      <c r="G2098" s="89">
        <v>40296</v>
      </c>
      <c r="H2098" t="s">
        <v>140</v>
      </c>
      <c r="I2098" t="s">
        <v>147</v>
      </c>
      <c r="J2098" s="89"/>
      <c r="K2098" t="s">
        <v>127</v>
      </c>
      <c r="L2098" t="s">
        <v>128</v>
      </c>
      <c r="N2098">
        <v>0</v>
      </c>
      <c r="O2098" s="89">
        <v>1208.8800000000001</v>
      </c>
      <c r="P2098" s="89">
        <v>0</v>
      </c>
      <c r="Q2098" t="s">
        <v>130</v>
      </c>
      <c r="R2098" t="s">
        <v>131</v>
      </c>
    </row>
    <row r="2099" spans="3:18" hidden="1" x14ac:dyDescent="0.25">
      <c r="C2099" t="s">
        <v>45</v>
      </c>
      <c r="D2099" t="s">
        <v>21</v>
      </c>
      <c r="E2099" t="s">
        <v>43</v>
      </c>
      <c r="F2099" t="s">
        <v>41</v>
      </c>
      <c r="G2099" s="89">
        <v>39360449</v>
      </c>
      <c r="H2099" t="s">
        <v>132</v>
      </c>
      <c r="I2099" t="s">
        <v>141</v>
      </c>
      <c r="J2099" s="89">
        <v>275523143</v>
      </c>
      <c r="K2099" t="s">
        <v>127</v>
      </c>
      <c r="L2099" t="s">
        <v>128</v>
      </c>
      <c r="N2099">
        <v>1</v>
      </c>
      <c r="O2099" s="89">
        <v>1180813.47</v>
      </c>
      <c r="P2099" s="89">
        <v>9052903.2699999996</v>
      </c>
      <c r="Q2099" t="s">
        <v>130</v>
      </c>
      <c r="R2099" t="s">
        <v>131</v>
      </c>
    </row>
    <row r="2100" spans="3:18" hidden="1" x14ac:dyDescent="0.25">
      <c r="C2100" t="s">
        <v>45</v>
      </c>
      <c r="D2100" t="s">
        <v>20</v>
      </c>
      <c r="E2100" t="s">
        <v>43</v>
      </c>
      <c r="F2100" t="s">
        <v>41</v>
      </c>
      <c r="G2100" s="89">
        <v>76681</v>
      </c>
      <c r="H2100" t="s">
        <v>140</v>
      </c>
      <c r="I2100" t="s">
        <v>147</v>
      </c>
      <c r="J2100" s="89">
        <v>306724</v>
      </c>
      <c r="K2100" t="s">
        <v>127</v>
      </c>
      <c r="L2100" t="s">
        <v>128</v>
      </c>
      <c r="N2100">
        <v>1</v>
      </c>
      <c r="O2100" s="89">
        <v>2300.4299999999998</v>
      </c>
      <c r="P2100" s="89">
        <v>34506.449999999997</v>
      </c>
      <c r="Q2100" t="s">
        <v>142</v>
      </c>
      <c r="R2100" t="s">
        <v>131</v>
      </c>
    </row>
    <row r="2101" spans="3:18" hidden="1" x14ac:dyDescent="0.25">
      <c r="C2101" t="s">
        <v>45</v>
      </c>
      <c r="D2101" t="s">
        <v>21</v>
      </c>
      <c r="E2101" t="s">
        <v>43</v>
      </c>
      <c r="F2101" t="s">
        <v>41</v>
      </c>
      <c r="G2101" s="89">
        <v>88419</v>
      </c>
      <c r="H2101" t="s">
        <v>42</v>
      </c>
      <c r="I2101" t="s">
        <v>141</v>
      </c>
      <c r="J2101" s="89">
        <v>795771</v>
      </c>
      <c r="K2101" t="s">
        <v>127</v>
      </c>
      <c r="L2101" t="s">
        <v>128</v>
      </c>
      <c r="M2101" t="s">
        <v>143</v>
      </c>
      <c r="N2101">
        <v>1</v>
      </c>
      <c r="O2101" s="89">
        <v>2652.57</v>
      </c>
      <c r="P2101" s="89">
        <v>17683.8</v>
      </c>
      <c r="Q2101" t="s">
        <v>130</v>
      </c>
      <c r="R2101" t="s">
        <v>42</v>
      </c>
    </row>
    <row r="2102" spans="3:18" hidden="1" x14ac:dyDescent="0.25">
      <c r="C2102" t="s">
        <v>45</v>
      </c>
      <c r="D2102" t="s">
        <v>23</v>
      </c>
      <c r="E2102" t="s">
        <v>43</v>
      </c>
      <c r="F2102" t="s">
        <v>41</v>
      </c>
      <c r="G2102" s="89">
        <v>45000</v>
      </c>
      <c r="H2102" t="s">
        <v>42</v>
      </c>
      <c r="I2102" t="s">
        <v>133</v>
      </c>
      <c r="J2102" s="89">
        <v>1440000</v>
      </c>
      <c r="K2102" t="s">
        <v>127</v>
      </c>
      <c r="L2102" t="s">
        <v>128</v>
      </c>
      <c r="M2102" t="s">
        <v>129</v>
      </c>
      <c r="N2102">
        <v>1</v>
      </c>
      <c r="O2102" s="89">
        <v>1350</v>
      </c>
      <c r="P2102" s="89">
        <v>58050</v>
      </c>
      <c r="Q2102" t="s">
        <v>150</v>
      </c>
      <c r="R2102" t="s">
        <v>42</v>
      </c>
    </row>
    <row r="2103" spans="3:18" x14ac:dyDescent="0.25">
      <c r="C2103" t="s">
        <v>47</v>
      </c>
      <c r="D2103" t="s">
        <v>19</v>
      </c>
      <c r="E2103" t="s">
        <v>44</v>
      </c>
      <c r="F2103" t="s">
        <v>41</v>
      </c>
      <c r="G2103" s="89">
        <v>540691</v>
      </c>
      <c r="H2103" t="s">
        <v>42</v>
      </c>
      <c r="I2103" t="s">
        <v>126</v>
      </c>
      <c r="J2103" s="89">
        <v>6488292</v>
      </c>
      <c r="K2103" t="s">
        <v>127</v>
      </c>
      <c r="L2103" t="s">
        <v>128</v>
      </c>
      <c r="M2103" t="s">
        <v>136</v>
      </c>
      <c r="N2103">
        <v>1</v>
      </c>
      <c r="O2103" s="89">
        <v>16220.73</v>
      </c>
      <c r="P2103" s="89">
        <v>324414.59999999998</v>
      </c>
      <c r="Q2103" t="s">
        <v>137</v>
      </c>
      <c r="R2103" t="s">
        <v>131</v>
      </c>
    </row>
    <row r="2104" spans="3:18" hidden="1" x14ac:dyDescent="0.25">
      <c r="C2104" t="s">
        <v>45</v>
      </c>
      <c r="D2104" t="s">
        <v>24</v>
      </c>
      <c r="E2104" t="s">
        <v>48</v>
      </c>
      <c r="F2104" t="s">
        <v>41</v>
      </c>
      <c r="G2104" s="89">
        <v>2714</v>
      </c>
      <c r="H2104" t="s">
        <v>140</v>
      </c>
      <c r="I2104" t="s">
        <v>147</v>
      </c>
      <c r="J2104" s="89">
        <v>8142</v>
      </c>
      <c r="K2104" t="s">
        <v>127</v>
      </c>
      <c r="L2104" t="s">
        <v>128</v>
      </c>
      <c r="N2104">
        <v>1</v>
      </c>
      <c r="O2104" s="89">
        <v>244.26</v>
      </c>
      <c r="P2104" s="89">
        <v>1926.94</v>
      </c>
      <c r="Q2104" t="s">
        <v>137</v>
      </c>
      <c r="R2104" t="s">
        <v>131</v>
      </c>
    </row>
    <row r="2105" spans="3:18" hidden="1" x14ac:dyDescent="0.25">
      <c r="C2105" t="s">
        <v>45</v>
      </c>
      <c r="D2105" t="s">
        <v>23</v>
      </c>
      <c r="E2105" t="s">
        <v>48</v>
      </c>
      <c r="F2105" t="s">
        <v>41</v>
      </c>
      <c r="G2105" s="89">
        <v>6173329</v>
      </c>
      <c r="H2105" t="s">
        <v>146</v>
      </c>
      <c r="I2105" t="s">
        <v>133</v>
      </c>
      <c r="J2105" s="89">
        <v>154333225</v>
      </c>
      <c r="K2105" t="s">
        <v>127</v>
      </c>
      <c r="L2105" t="s">
        <v>128</v>
      </c>
      <c r="N2105">
        <v>1</v>
      </c>
      <c r="O2105" s="89">
        <v>185199.87</v>
      </c>
      <c r="P2105" s="89">
        <v>3271864.37</v>
      </c>
      <c r="Q2105" t="s">
        <v>142</v>
      </c>
      <c r="R2105" t="s">
        <v>131</v>
      </c>
    </row>
    <row r="2106" spans="3:18" x14ac:dyDescent="0.25">
      <c r="C2106" t="s">
        <v>47</v>
      </c>
      <c r="D2106" t="s">
        <v>21</v>
      </c>
      <c r="E2106" t="s">
        <v>48</v>
      </c>
      <c r="F2106" t="s">
        <v>41</v>
      </c>
      <c r="G2106" s="89">
        <v>89473</v>
      </c>
      <c r="H2106" t="s">
        <v>132</v>
      </c>
      <c r="I2106" t="s">
        <v>126</v>
      </c>
      <c r="J2106" s="89">
        <v>984203</v>
      </c>
      <c r="K2106" t="s">
        <v>127</v>
      </c>
      <c r="L2106" t="s">
        <v>128</v>
      </c>
      <c r="N2106">
        <v>1</v>
      </c>
      <c r="O2106" s="89">
        <v>3578.92</v>
      </c>
      <c r="P2106" s="89">
        <v>66210.02</v>
      </c>
      <c r="Q2106" t="s">
        <v>137</v>
      </c>
      <c r="R2106" t="s">
        <v>131</v>
      </c>
    </row>
    <row r="2107" spans="3:18" hidden="1" x14ac:dyDescent="0.25">
      <c r="C2107" t="s">
        <v>45</v>
      </c>
      <c r="D2107" t="s">
        <v>22</v>
      </c>
      <c r="E2107" t="s">
        <v>40</v>
      </c>
      <c r="F2107" t="s">
        <v>41</v>
      </c>
      <c r="G2107" s="89">
        <v>255883</v>
      </c>
      <c r="H2107" t="s">
        <v>42</v>
      </c>
      <c r="I2107" t="s">
        <v>126</v>
      </c>
      <c r="J2107" s="89">
        <v>3838245</v>
      </c>
      <c r="K2107" t="s">
        <v>134</v>
      </c>
      <c r="L2107" t="s">
        <v>128</v>
      </c>
      <c r="M2107" t="s">
        <v>143</v>
      </c>
      <c r="N2107">
        <v>1</v>
      </c>
      <c r="O2107" s="89">
        <v>7676.49</v>
      </c>
      <c r="P2107" s="89">
        <v>127941.5</v>
      </c>
      <c r="Q2107" t="s">
        <v>142</v>
      </c>
      <c r="R2107" t="s">
        <v>131</v>
      </c>
    </row>
    <row r="2108" spans="3:18" hidden="1" x14ac:dyDescent="0.25">
      <c r="C2108" t="s">
        <v>45</v>
      </c>
      <c r="D2108" t="s">
        <v>22</v>
      </c>
      <c r="E2108" t="s">
        <v>48</v>
      </c>
      <c r="F2108" t="s">
        <v>41</v>
      </c>
      <c r="G2108" s="89">
        <v>194219</v>
      </c>
      <c r="H2108" t="s">
        <v>145</v>
      </c>
      <c r="I2108" t="s">
        <v>133</v>
      </c>
      <c r="J2108" s="89">
        <v>5438132</v>
      </c>
      <c r="K2108" t="s">
        <v>127</v>
      </c>
      <c r="L2108" t="s">
        <v>128</v>
      </c>
      <c r="N2108">
        <v>1</v>
      </c>
      <c r="O2108" s="89">
        <v>7768.76</v>
      </c>
      <c r="P2108" s="89">
        <v>116531.4</v>
      </c>
      <c r="Q2108" t="s">
        <v>137</v>
      </c>
      <c r="R2108" t="s">
        <v>131</v>
      </c>
    </row>
    <row r="2109" spans="3:18" x14ac:dyDescent="0.25">
      <c r="C2109" t="s">
        <v>47</v>
      </c>
      <c r="D2109" t="s">
        <v>20</v>
      </c>
      <c r="E2109" t="s">
        <v>40</v>
      </c>
      <c r="F2109" t="s">
        <v>41</v>
      </c>
      <c r="G2109" s="89">
        <v>619626</v>
      </c>
      <c r="H2109" t="s">
        <v>145</v>
      </c>
      <c r="I2109" t="s">
        <v>126</v>
      </c>
      <c r="J2109" s="89">
        <v>6815886</v>
      </c>
      <c r="K2109" t="s">
        <v>127</v>
      </c>
      <c r="L2109" t="s">
        <v>128</v>
      </c>
      <c r="N2109">
        <v>1</v>
      </c>
      <c r="O2109" s="89">
        <v>24785.040000000001</v>
      </c>
      <c r="P2109" s="89">
        <v>340794.3</v>
      </c>
      <c r="Q2109" t="s">
        <v>142</v>
      </c>
      <c r="R2109" t="s">
        <v>131</v>
      </c>
    </row>
    <row r="2110" spans="3:18" x14ac:dyDescent="0.25">
      <c r="C2110" t="s">
        <v>47</v>
      </c>
      <c r="D2110" t="s">
        <v>23</v>
      </c>
      <c r="E2110" t="s">
        <v>48</v>
      </c>
      <c r="F2110" t="s">
        <v>41</v>
      </c>
      <c r="G2110" s="89">
        <v>57546</v>
      </c>
      <c r="H2110" t="s">
        <v>140</v>
      </c>
      <c r="I2110" t="s">
        <v>133</v>
      </c>
      <c r="J2110" s="89">
        <v>1496196</v>
      </c>
      <c r="K2110" t="s">
        <v>127</v>
      </c>
      <c r="L2110" t="s">
        <v>128</v>
      </c>
      <c r="N2110">
        <v>1</v>
      </c>
      <c r="O2110" s="89">
        <v>2877.3</v>
      </c>
      <c r="P2110" s="89">
        <v>12084.66</v>
      </c>
      <c r="Q2110" t="s">
        <v>130</v>
      </c>
      <c r="R2110" t="s">
        <v>131</v>
      </c>
    </row>
    <row r="2111" spans="3:18" hidden="1" x14ac:dyDescent="0.25">
      <c r="C2111" t="s">
        <v>45</v>
      </c>
      <c r="D2111" t="s">
        <v>20</v>
      </c>
      <c r="E2111" t="s">
        <v>43</v>
      </c>
      <c r="F2111" t="s">
        <v>41</v>
      </c>
      <c r="G2111" s="89">
        <v>54936445</v>
      </c>
      <c r="H2111" t="s">
        <v>140</v>
      </c>
      <c r="I2111" t="s">
        <v>133</v>
      </c>
      <c r="J2111" s="89">
        <v>1428347570</v>
      </c>
      <c r="K2111" t="s">
        <v>127</v>
      </c>
      <c r="L2111" t="s">
        <v>128</v>
      </c>
      <c r="N2111">
        <v>1</v>
      </c>
      <c r="O2111" s="89">
        <v>1648093.35</v>
      </c>
      <c r="P2111" s="89">
        <v>28017586.949999999</v>
      </c>
      <c r="Q2111" t="s">
        <v>142</v>
      </c>
      <c r="R2111" t="s">
        <v>131</v>
      </c>
    </row>
    <row r="2112" spans="3:18" hidden="1" x14ac:dyDescent="0.25">
      <c r="C2112" t="s">
        <v>45</v>
      </c>
      <c r="D2112" t="s">
        <v>138</v>
      </c>
      <c r="E2112" t="s">
        <v>43</v>
      </c>
      <c r="F2112" t="s">
        <v>41</v>
      </c>
      <c r="G2112" s="89">
        <v>136129775</v>
      </c>
      <c r="H2112" t="s">
        <v>42</v>
      </c>
      <c r="I2112" t="s">
        <v>133</v>
      </c>
      <c r="J2112" s="89">
        <v>3947763475</v>
      </c>
      <c r="K2112" t="s">
        <v>127</v>
      </c>
      <c r="L2112" t="s">
        <v>128</v>
      </c>
      <c r="M2112" t="s">
        <v>139</v>
      </c>
      <c r="N2112">
        <v>1</v>
      </c>
      <c r="O2112" s="89">
        <v>4083893.25</v>
      </c>
      <c r="P2112" s="89">
        <v>69426185.25</v>
      </c>
      <c r="Q2112" t="s">
        <v>142</v>
      </c>
      <c r="R2112" t="s">
        <v>131</v>
      </c>
    </row>
    <row r="2113" spans="3:18" hidden="1" x14ac:dyDescent="0.25">
      <c r="C2113" t="s">
        <v>45</v>
      </c>
      <c r="D2113" t="s">
        <v>19</v>
      </c>
      <c r="E2113" t="s">
        <v>43</v>
      </c>
      <c r="F2113" t="s">
        <v>41</v>
      </c>
      <c r="G2113" s="89">
        <v>2153924</v>
      </c>
      <c r="H2113" t="s">
        <v>42</v>
      </c>
      <c r="I2113" t="s">
        <v>126</v>
      </c>
      <c r="J2113" s="89">
        <v>36616708</v>
      </c>
      <c r="K2113" t="s">
        <v>144</v>
      </c>
      <c r="N2113">
        <v>1</v>
      </c>
      <c r="O2113" s="89">
        <v>64617.72</v>
      </c>
      <c r="P2113" s="89">
        <v>1464668.32</v>
      </c>
      <c r="Q2113" t="s">
        <v>137</v>
      </c>
      <c r="R2113" t="s">
        <v>131</v>
      </c>
    </row>
    <row r="2114" spans="3:18" hidden="1" x14ac:dyDescent="0.25">
      <c r="C2114" t="s">
        <v>45</v>
      </c>
      <c r="D2114" t="s">
        <v>24</v>
      </c>
      <c r="E2114" t="s">
        <v>40</v>
      </c>
      <c r="F2114" t="s">
        <v>41</v>
      </c>
      <c r="G2114" s="89">
        <v>72886</v>
      </c>
      <c r="H2114" t="s">
        <v>132</v>
      </c>
      <c r="I2114" t="s">
        <v>141</v>
      </c>
      <c r="J2114" s="89">
        <v>583088</v>
      </c>
      <c r="K2114" t="s">
        <v>127</v>
      </c>
      <c r="L2114" t="s">
        <v>128</v>
      </c>
      <c r="N2114">
        <v>1</v>
      </c>
      <c r="O2114" s="89">
        <v>1457.72</v>
      </c>
      <c r="P2114" s="89">
        <v>36443</v>
      </c>
      <c r="Q2114" t="s">
        <v>142</v>
      </c>
      <c r="R2114" t="s">
        <v>131</v>
      </c>
    </row>
    <row r="2115" spans="3:18" hidden="1" x14ac:dyDescent="0.25">
      <c r="C2115" t="s">
        <v>45</v>
      </c>
      <c r="D2115" t="s">
        <v>22</v>
      </c>
      <c r="E2115" t="s">
        <v>40</v>
      </c>
      <c r="F2115" t="s">
        <v>41</v>
      </c>
      <c r="G2115" s="89">
        <v>3488670</v>
      </c>
      <c r="H2115" t="s">
        <v>132</v>
      </c>
      <c r="I2115" t="s">
        <v>133</v>
      </c>
      <c r="J2115" s="89">
        <v>108148770</v>
      </c>
      <c r="K2115" t="s">
        <v>144</v>
      </c>
      <c r="N2115">
        <v>1</v>
      </c>
      <c r="O2115" s="89">
        <v>104660.1</v>
      </c>
      <c r="P2115" s="89">
        <v>2895596.1</v>
      </c>
      <c r="Q2115" t="s">
        <v>135</v>
      </c>
      <c r="R2115" t="s">
        <v>131</v>
      </c>
    </row>
    <row r="2116" spans="3:18" x14ac:dyDescent="0.25">
      <c r="C2116" t="s">
        <v>47</v>
      </c>
      <c r="D2116" t="s">
        <v>21</v>
      </c>
      <c r="E2116" t="s">
        <v>40</v>
      </c>
      <c r="F2116" t="s">
        <v>41</v>
      </c>
      <c r="G2116" s="89">
        <v>742940</v>
      </c>
      <c r="H2116" t="s">
        <v>145</v>
      </c>
      <c r="I2116" t="s">
        <v>147</v>
      </c>
      <c r="J2116" s="89">
        <v>2971760</v>
      </c>
      <c r="K2116" t="s">
        <v>127</v>
      </c>
      <c r="L2116" t="s">
        <v>128</v>
      </c>
      <c r="N2116">
        <v>1</v>
      </c>
      <c r="O2116" s="89">
        <v>29717.599999999999</v>
      </c>
      <c r="P2116" s="89">
        <v>312034.8</v>
      </c>
      <c r="Q2116" t="s">
        <v>142</v>
      </c>
      <c r="R2116" t="s">
        <v>131</v>
      </c>
    </row>
    <row r="2117" spans="3:18" hidden="1" x14ac:dyDescent="0.25">
      <c r="C2117" t="s">
        <v>45</v>
      </c>
      <c r="D2117" t="s">
        <v>24</v>
      </c>
      <c r="E2117" t="s">
        <v>48</v>
      </c>
      <c r="F2117" t="s">
        <v>41</v>
      </c>
      <c r="G2117" s="89">
        <v>89074</v>
      </c>
      <c r="H2117" t="s">
        <v>140</v>
      </c>
      <c r="I2117" t="s">
        <v>126</v>
      </c>
      <c r="J2117" s="89">
        <v>1425184</v>
      </c>
      <c r="K2117" t="s">
        <v>134</v>
      </c>
      <c r="L2117" t="s">
        <v>128</v>
      </c>
      <c r="N2117">
        <v>1</v>
      </c>
      <c r="O2117" s="89">
        <v>2672.22</v>
      </c>
      <c r="P2117" s="89">
        <v>63242.54</v>
      </c>
      <c r="Q2117" t="s">
        <v>137</v>
      </c>
      <c r="R2117" t="s">
        <v>131</v>
      </c>
    </row>
    <row r="2118" spans="3:18" hidden="1" x14ac:dyDescent="0.25">
      <c r="C2118" t="s">
        <v>45</v>
      </c>
      <c r="D2118" t="s">
        <v>23</v>
      </c>
      <c r="E2118" t="s">
        <v>43</v>
      </c>
      <c r="F2118" t="s">
        <v>41</v>
      </c>
      <c r="G2118" s="89">
        <v>546742</v>
      </c>
      <c r="H2118" t="s">
        <v>145</v>
      </c>
      <c r="I2118" t="s">
        <v>126</v>
      </c>
      <c r="J2118" s="89">
        <v>9294614</v>
      </c>
      <c r="K2118" t="s">
        <v>127</v>
      </c>
      <c r="L2118" t="s">
        <v>128</v>
      </c>
      <c r="N2118">
        <v>1</v>
      </c>
      <c r="O2118" s="89">
        <v>16402.259999999998</v>
      </c>
      <c r="P2118" s="89">
        <v>284305.84000000003</v>
      </c>
      <c r="Q2118" t="s">
        <v>142</v>
      </c>
      <c r="R2118" t="s">
        <v>131</v>
      </c>
    </row>
    <row r="2119" spans="3:18" hidden="1" x14ac:dyDescent="0.25">
      <c r="C2119" t="s">
        <v>45</v>
      </c>
      <c r="D2119" t="s">
        <v>24</v>
      </c>
      <c r="E2119" t="s">
        <v>43</v>
      </c>
      <c r="F2119" t="s">
        <v>41</v>
      </c>
      <c r="G2119" s="89">
        <v>5844963</v>
      </c>
      <c r="H2119" t="s">
        <v>42</v>
      </c>
      <c r="I2119" t="s">
        <v>133</v>
      </c>
      <c r="J2119" s="89">
        <v>198728742</v>
      </c>
      <c r="K2119" t="s">
        <v>144</v>
      </c>
      <c r="N2119">
        <v>1</v>
      </c>
      <c r="O2119" s="89">
        <v>175348.89</v>
      </c>
      <c r="P2119" s="89">
        <v>4208373.3600000003</v>
      </c>
      <c r="Q2119" t="s">
        <v>137</v>
      </c>
      <c r="R2119" t="s">
        <v>42</v>
      </c>
    </row>
    <row r="2120" spans="3:18" x14ac:dyDescent="0.25">
      <c r="C2120" t="s">
        <v>47</v>
      </c>
      <c r="D2120" t="s">
        <v>21</v>
      </c>
      <c r="E2120" t="s">
        <v>40</v>
      </c>
      <c r="F2120" t="s">
        <v>41</v>
      </c>
      <c r="G2120" s="89">
        <v>34752</v>
      </c>
      <c r="H2120" t="s">
        <v>132</v>
      </c>
      <c r="I2120" t="s">
        <v>133</v>
      </c>
      <c r="J2120" s="89">
        <v>729792</v>
      </c>
      <c r="K2120" t="s">
        <v>127</v>
      </c>
      <c r="L2120" t="s">
        <v>128</v>
      </c>
      <c r="N2120">
        <v>1</v>
      </c>
      <c r="O2120" s="89">
        <v>1042.56</v>
      </c>
      <c r="P2120" s="89">
        <v>26411.52</v>
      </c>
      <c r="Q2120" t="s">
        <v>137</v>
      </c>
      <c r="R2120" t="s">
        <v>131</v>
      </c>
    </row>
    <row r="2121" spans="3:18" hidden="1" x14ac:dyDescent="0.25">
      <c r="C2121" t="s">
        <v>45</v>
      </c>
      <c r="D2121" t="s">
        <v>21</v>
      </c>
      <c r="E2121" t="s">
        <v>43</v>
      </c>
      <c r="F2121" t="s">
        <v>41</v>
      </c>
      <c r="G2121" s="89">
        <v>20837093</v>
      </c>
      <c r="H2121" t="s">
        <v>145</v>
      </c>
      <c r="I2121" t="s">
        <v>126</v>
      </c>
      <c r="J2121" s="89">
        <v>354230581</v>
      </c>
      <c r="K2121" t="s">
        <v>127</v>
      </c>
      <c r="L2121" t="s">
        <v>128</v>
      </c>
      <c r="N2121">
        <v>1</v>
      </c>
      <c r="O2121" s="89">
        <v>625112.79</v>
      </c>
      <c r="P2121" s="89">
        <v>13960852.310000001</v>
      </c>
      <c r="Q2121" t="s">
        <v>137</v>
      </c>
      <c r="R2121" t="s">
        <v>131</v>
      </c>
    </row>
    <row r="2122" spans="3:18" hidden="1" x14ac:dyDescent="0.25">
      <c r="C2122" t="s">
        <v>45</v>
      </c>
      <c r="D2122" t="s">
        <v>149</v>
      </c>
      <c r="E2122" t="s">
        <v>43</v>
      </c>
      <c r="F2122" t="s">
        <v>41</v>
      </c>
      <c r="G2122" s="89">
        <v>9587</v>
      </c>
      <c r="H2122" t="s">
        <v>145</v>
      </c>
      <c r="I2122" t="s">
        <v>141</v>
      </c>
      <c r="J2122" s="89">
        <v>57522</v>
      </c>
      <c r="K2122" t="s">
        <v>127</v>
      </c>
      <c r="L2122" t="s">
        <v>128</v>
      </c>
      <c r="N2122">
        <v>1</v>
      </c>
      <c r="O2122" s="89">
        <v>383.48</v>
      </c>
      <c r="P2122" s="89">
        <v>6135.68</v>
      </c>
      <c r="Q2122" t="s">
        <v>137</v>
      </c>
      <c r="R2122" t="s">
        <v>131</v>
      </c>
    </row>
    <row r="2123" spans="3:18" x14ac:dyDescent="0.25">
      <c r="C2123" t="s">
        <v>47</v>
      </c>
      <c r="D2123" t="s">
        <v>20</v>
      </c>
      <c r="E2123" t="s">
        <v>43</v>
      </c>
      <c r="F2123" t="s">
        <v>41</v>
      </c>
      <c r="G2123" s="89">
        <v>626200</v>
      </c>
      <c r="H2123" t="s">
        <v>140</v>
      </c>
      <c r="I2123" t="s">
        <v>126</v>
      </c>
      <c r="J2123" s="89">
        <v>9393000</v>
      </c>
      <c r="K2123" t="s">
        <v>144</v>
      </c>
      <c r="N2123">
        <v>1</v>
      </c>
      <c r="O2123" s="89">
        <v>31310</v>
      </c>
      <c r="P2123" s="89">
        <v>50096</v>
      </c>
      <c r="Q2123" t="s">
        <v>130</v>
      </c>
      <c r="R2123" t="s">
        <v>131</v>
      </c>
    </row>
    <row r="2124" spans="3:18" hidden="1" x14ac:dyDescent="0.25">
      <c r="C2124" t="s">
        <v>45</v>
      </c>
      <c r="D2124" t="s">
        <v>21</v>
      </c>
      <c r="E2124" t="s">
        <v>40</v>
      </c>
      <c r="F2124" t="s">
        <v>41</v>
      </c>
      <c r="G2124" s="89">
        <v>13850419</v>
      </c>
      <c r="H2124" t="s">
        <v>146</v>
      </c>
      <c r="I2124" t="s">
        <v>133</v>
      </c>
      <c r="J2124" s="89">
        <v>387811732</v>
      </c>
      <c r="K2124" t="s">
        <v>127</v>
      </c>
      <c r="L2124" t="s">
        <v>128</v>
      </c>
      <c r="N2124">
        <v>1</v>
      </c>
      <c r="O2124" s="89">
        <v>415512.57</v>
      </c>
      <c r="P2124" s="89">
        <v>9418284.9199999999</v>
      </c>
      <c r="Q2124" t="s">
        <v>137</v>
      </c>
      <c r="R2124" t="s">
        <v>131</v>
      </c>
    </row>
    <row r="2125" spans="3:18" hidden="1" x14ac:dyDescent="0.25">
      <c r="C2125" t="s">
        <v>45</v>
      </c>
      <c r="D2125" t="s">
        <v>138</v>
      </c>
      <c r="E2125" t="s">
        <v>43</v>
      </c>
      <c r="F2125" t="s">
        <v>41</v>
      </c>
      <c r="G2125" s="89">
        <v>1391285</v>
      </c>
      <c r="H2125" t="s">
        <v>146</v>
      </c>
      <c r="I2125" t="s">
        <v>133</v>
      </c>
      <c r="J2125" s="89">
        <v>40347265</v>
      </c>
      <c r="K2125" t="s">
        <v>127</v>
      </c>
      <c r="L2125" t="s">
        <v>128</v>
      </c>
      <c r="N2125">
        <v>1</v>
      </c>
      <c r="O2125" s="89">
        <v>41738.550000000003</v>
      </c>
      <c r="P2125" s="89">
        <v>1154766.55</v>
      </c>
      <c r="Q2125" t="s">
        <v>135</v>
      </c>
      <c r="R2125" t="s">
        <v>131</v>
      </c>
    </row>
    <row r="2126" spans="3:18" hidden="1" x14ac:dyDescent="0.25">
      <c r="C2126" t="s">
        <v>45</v>
      </c>
      <c r="D2126" t="s">
        <v>24</v>
      </c>
      <c r="E2126" t="s">
        <v>40</v>
      </c>
      <c r="F2126" t="s">
        <v>41</v>
      </c>
      <c r="G2126" s="89">
        <v>28817</v>
      </c>
      <c r="H2126" t="s">
        <v>132</v>
      </c>
      <c r="I2126" t="s">
        <v>133</v>
      </c>
      <c r="J2126" s="89">
        <v>922144</v>
      </c>
      <c r="K2126" t="s">
        <v>144</v>
      </c>
      <c r="N2126">
        <v>1</v>
      </c>
      <c r="O2126" s="89">
        <v>864.51</v>
      </c>
      <c r="P2126" s="89">
        <v>22765.43</v>
      </c>
      <c r="Q2126" t="s">
        <v>137</v>
      </c>
      <c r="R2126" t="s">
        <v>131</v>
      </c>
    </row>
    <row r="2127" spans="3:18" hidden="1" x14ac:dyDescent="0.25">
      <c r="C2127" t="s">
        <v>45</v>
      </c>
      <c r="D2127" t="s">
        <v>23</v>
      </c>
      <c r="E2127" t="s">
        <v>48</v>
      </c>
      <c r="F2127" t="s">
        <v>41</v>
      </c>
      <c r="G2127" s="89">
        <v>987</v>
      </c>
      <c r="H2127" t="s">
        <v>140</v>
      </c>
      <c r="I2127" t="s">
        <v>147</v>
      </c>
      <c r="J2127" s="89">
        <v>4935</v>
      </c>
      <c r="K2127" t="s">
        <v>127</v>
      </c>
      <c r="L2127" t="s">
        <v>128</v>
      </c>
      <c r="N2127">
        <v>1</v>
      </c>
      <c r="O2127" s="89">
        <v>49.35</v>
      </c>
      <c r="P2127" s="89">
        <v>829.08</v>
      </c>
      <c r="Q2127" t="s">
        <v>135</v>
      </c>
      <c r="R2127" t="s">
        <v>131</v>
      </c>
    </row>
    <row r="2128" spans="3:18" hidden="1" x14ac:dyDescent="0.25">
      <c r="C2128" t="s">
        <v>45</v>
      </c>
      <c r="D2128" t="s">
        <v>23</v>
      </c>
      <c r="E2128" t="s">
        <v>40</v>
      </c>
      <c r="F2128" t="s">
        <v>41</v>
      </c>
      <c r="G2128" s="89">
        <v>11938843</v>
      </c>
      <c r="H2128" t="s">
        <v>42</v>
      </c>
      <c r="I2128" t="s">
        <v>133</v>
      </c>
      <c r="J2128" s="89">
        <v>382042976</v>
      </c>
      <c r="K2128" t="s">
        <v>144</v>
      </c>
      <c r="N2128">
        <v>1</v>
      </c>
      <c r="O2128" s="89">
        <v>358165.29</v>
      </c>
      <c r="P2128" s="89">
        <v>8476578.5299999993</v>
      </c>
      <c r="Q2128" t="s">
        <v>137</v>
      </c>
      <c r="R2128" t="s">
        <v>131</v>
      </c>
    </row>
    <row r="2129" spans="3:18" hidden="1" x14ac:dyDescent="0.25">
      <c r="C2129" t="s">
        <v>45</v>
      </c>
      <c r="D2129" t="s">
        <v>24</v>
      </c>
      <c r="E2129" t="s">
        <v>48</v>
      </c>
      <c r="F2129" t="s">
        <v>41</v>
      </c>
      <c r="G2129" s="89">
        <v>1072792</v>
      </c>
      <c r="H2129" t="s">
        <v>146</v>
      </c>
      <c r="I2129" t="s">
        <v>147</v>
      </c>
      <c r="J2129" s="89">
        <v>3218376</v>
      </c>
      <c r="K2129" t="s">
        <v>127</v>
      </c>
      <c r="L2129" t="s">
        <v>128</v>
      </c>
      <c r="N2129">
        <v>1</v>
      </c>
      <c r="O2129" s="89">
        <v>32183.759999999998</v>
      </c>
      <c r="P2129" s="89">
        <v>118007.12</v>
      </c>
      <c r="Q2129" t="s">
        <v>130</v>
      </c>
      <c r="R2129" t="s">
        <v>131</v>
      </c>
    </row>
    <row r="2130" spans="3:18" hidden="1" x14ac:dyDescent="0.25">
      <c r="C2130" t="s">
        <v>45</v>
      </c>
      <c r="D2130" t="s">
        <v>23</v>
      </c>
      <c r="E2130" t="s">
        <v>52</v>
      </c>
      <c r="F2130" t="s">
        <v>41</v>
      </c>
      <c r="G2130" s="89">
        <v>3995723</v>
      </c>
      <c r="H2130" t="s">
        <v>42</v>
      </c>
      <c r="I2130" t="s">
        <v>133</v>
      </c>
      <c r="J2130" s="89">
        <v>119871690</v>
      </c>
      <c r="K2130" t="s">
        <v>127</v>
      </c>
      <c r="L2130" t="s">
        <v>128</v>
      </c>
      <c r="M2130" t="s">
        <v>152</v>
      </c>
      <c r="N2130">
        <v>1</v>
      </c>
      <c r="O2130" s="89">
        <v>119871.69</v>
      </c>
      <c r="P2130" s="89">
        <v>2117733.19</v>
      </c>
      <c r="Q2130" t="s">
        <v>142</v>
      </c>
      <c r="R2130" t="s">
        <v>42</v>
      </c>
    </row>
    <row r="2131" spans="3:18" x14ac:dyDescent="0.25">
      <c r="C2131" t="s">
        <v>47</v>
      </c>
      <c r="D2131" t="s">
        <v>138</v>
      </c>
      <c r="E2131" t="s">
        <v>43</v>
      </c>
      <c r="F2131" t="s">
        <v>41</v>
      </c>
      <c r="G2131" s="89">
        <v>119036</v>
      </c>
      <c r="H2131" t="s">
        <v>42</v>
      </c>
      <c r="I2131" t="s">
        <v>141</v>
      </c>
      <c r="J2131" s="89">
        <v>1071324</v>
      </c>
      <c r="K2131" t="s">
        <v>144</v>
      </c>
      <c r="N2131">
        <v>1</v>
      </c>
      <c r="O2131" s="89">
        <v>4761.4399999999996</v>
      </c>
      <c r="P2131" s="89">
        <v>77373.399999999994</v>
      </c>
      <c r="Q2131" t="s">
        <v>137</v>
      </c>
      <c r="R2131" t="s">
        <v>42</v>
      </c>
    </row>
    <row r="2132" spans="3:18" x14ac:dyDescent="0.25">
      <c r="C2132" t="s">
        <v>47</v>
      </c>
      <c r="D2132" t="s">
        <v>24</v>
      </c>
      <c r="E2132" t="s">
        <v>48</v>
      </c>
      <c r="F2132" t="s">
        <v>41</v>
      </c>
      <c r="G2132" s="89">
        <v>749294</v>
      </c>
      <c r="H2132" t="s">
        <v>42</v>
      </c>
      <c r="I2132" t="s">
        <v>147</v>
      </c>
      <c r="J2132" s="89">
        <v>2997176</v>
      </c>
      <c r="K2132" t="s">
        <v>127</v>
      </c>
      <c r="L2132" t="s">
        <v>128</v>
      </c>
      <c r="M2132" t="s">
        <v>148</v>
      </c>
      <c r="N2132">
        <v>1</v>
      </c>
      <c r="O2132" s="89">
        <v>37464.699999999997</v>
      </c>
      <c r="P2132" s="89">
        <v>232281.14</v>
      </c>
      <c r="Q2132" t="s">
        <v>130</v>
      </c>
      <c r="R2132" t="s">
        <v>131</v>
      </c>
    </row>
    <row r="2133" spans="3:18" x14ac:dyDescent="0.25">
      <c r="C2133" t="s">
        <v>47</v>
      </c>
      <c r="D2133" t="s">
        <v>23</v>
      </c>
      <c r="E2133" t="s">
        <v>40</v>
      </c>
      <c r="F2133" t="s">
        <v>41</v>
      </c>
      <c r="G2133" s="89">
        <v>460556</v>
      </c>
      <c r="H2133" t="s">
        <v>145</v>
      </c>
      <c r="I2133" t="s">
        <v>141</v>
      </c>
      <c r="J2133" s="89">
        <v>4145004</v>
      </c>
      <c r="K2133" t="s">
        <v>144</v>
      </c>
      <c r="N2133">
        <v>1</v>
      </c>
      <c r="O2133" s="89">
        <v>18422.240000000002</v>
      </c>
      <c r="P2133" s="89">
        <v>234883.56</v>
      </c>
      <c r="Q2133" t="s">
        <v>142</v>
      </c>
      <c r="R2133" t="s">
        <v>131</v>
      </c>
    </row>
    <row r="2134" spans="3:18" x14ac:dyDescent="0.25">
      <c r="C2134" t="s">
        <v>47</v>
      </c>
      <c r="D2134" t="s">
        <v>21</v>
      </c>
      <c r="E2134" t="s">
        <v>43</v>
      </c>
      <c r="F2134" t="s">
        <v>41</v>
      </c>
      <c r="G2134" s="89">
        <v>339658</v>
      </c>
      <c r="H2134" t="s">
        <v>145</v>
      </c>
      <c r="I2134" t="s">
        <v>141</v>
      </c>
      <c r="J2134" s="89">
        <v>2377606</v>
      </c>
      <c r="K2134" t="s">
        <v>127</v>
      </c>
      <c r="L2134" t="s">
        <v>128</v>
      </c>
      <c r="N2134">
        <v>1</v>
      </c>
      <c r="O2134" s="89">
        <v>13586.32</v>
      </c>
      <c r="P2134" s="89">
        <v>57741.86</v>
      </c>
      <c r="Q2134" t="s">
        <v>130</v>
      </c>
      <c r="R2134" t="s">
        <v>131</v>
      </c>
    </row>
    <row r="2135" spans="3:18" hidden="1" x14ac:dyDescent="0.25">
      <c r="C2135" t="s">
        <v>45</v>
      </c>
      <c r="D2135" t="s">
        <v>22</v>
      </c>
      <c r="E2135" t="s">
        <v>44</v>
      </c>
      <c r="F2135" t="s">
        <v>41</v>
      </c>
      <c r="G2135" s="89">
        <v>30538</v>
      </c>
      <c r="H2135" t="s">
        <v>42</v>
      </c>
      <c r="I2135" t="s">
        <v>133</v>
      </c>
      <c r="J2135" s="89">
        <v>824526</v>
      </c>
      <c r="K2135" t="s">
        <v>127</v>
      </c>
      <c r="L2135" t="s">
        <v>128</v>
      </c>
      <c r="M2135" t="s">
        <v>143</v>
      </c>
      <c r="N2135">
        <v>1</v>
      </c>
      <c r="O2135" s="89">
        <v>1221.52</v>
      </c>
      <c r="P2135" s="89">
        <v>9772.16</v>
      </c>
      <c r="Q2135" t="s">
        <v>130</v>
      </c>
      <c r="R2135" t="s">
        <v>131</v>
      </c>
    </row>
    <row r="2136" spans="3:18" x14ac:dyDescent="0.25">
      <c r="C2136" t="s">
        <v>47</v>
      </c>
      <c r="D2136" t="s">
        <v>21</v>
      </c>
      <c r="E2136" t="s">
        <v>43</v>
      </c>
      <c r="F2136" t="s">
        <v>41</v>
      </c>
      <c r="G2136" s="89">
        <v>224385</v>
      </c>
      <c r="H2136" t="s">
        <v>145</v>
      </c>
      <c r="I2136" t="s">
        <v>133</v>
      </c>
      <c r="J2136" s="89">
        <v>5160855</v>
      </c>
      <c r="K2136" t="s">
        <v>127</v>
      </c>
      <c r="L2136" t="s">
        <v>128</v>
      </c>
      <c r="N2136">
        <v>1</v>
      </c>
      <c r="O2136" s="89">
        <v>6731.55</v>
      </c>
      <c r="P2136" s="89">
        <v>105460.95</v>
      </c>
      <c r="Q2136" t="s">
        <v>142</v>
      </c>
      <c r="R2136" t="s">
        <v>131</v>
      </c>
    </row>
    <row r="2137" spans="3:18" hidden="1" x14ac:dyDescent="0.25">
      <c r="C2137" t="s">
        <v>45</v>
      </c>
      <c r="D2137" t="s">
        <v>24</v>
      </c>
      <c r="E2137" t="s">
        <v>46</v>
      </c>
      <c r="F2137" t="s">
        <v>41</v>
      </c>
      <c r="G2137" s="89">
        <v>155879</v>
      </c>
      <c r="H2137" t="s">
        <v>42</v>
      </c>
      <c r="I2137" t="s">
        <v>126</v>
      </c>
      <c r="J2137" s="89">
        <v>2494064</v>
      </c>
      <c r="K2137" t="s">
        <v>144</v>
      </c>
      <c r="N2137">
        <v>1</v>
      </c>
      <c r="O2137" s="89">
        <v>4676.37</v>
      </c>
      <c r="P2137" s="89">
        <v>129379.57</v>
      </c>
      <c r="Q2137" t="s">
        <v>135</v>
      </c>
      <c r="R2137" t="s">
        <v>42</v>
      </c>
    </row>
    <row r="2138" spans="3:18" x14ac:dyDescent="0.25">
      <c r="C2138" t="s">
        <v>47</v>
      </c>
      <c r="D2138" t="s">
        <v>21</v>
      </c>
      <c r="E2138" t="s">
        <v>40</v>
      </c>
      <c r="F2138" t="s">
        <v>41</v>
      </c>
      <c r="G2138" s="89">
        <v>376000</v>
      </c>
      <c r="H2138" t="s">
        <v>140</v>
      </c>
      <c r="I2138" t="s">
        <v>141</v>
      </c>
      <c r="J2138" s="89">
        <v>2632000</v>
      </c>
      <c r="K2138" t="s">
        <v>127</v>
      </c>
      <c r="L2138" t="s">
        <v>128</v>
      </c>
      <c r="N2138">
        <v>1</v>
      </c>
      <c r="O2138" s="89">
        <v>11280</v>
      </c>
      <c r="P2138" s="89">
        <v>485040</v>
      </c>
      <c r="Q2138" t="s">
        <v>150</v>
      </c>
      <c r="R2138" t="s">
        <v>131</v>
      </c>
    </row>
    <row r="2139" spans="3:18" hidden="1" x14ac:dyDescent="0.25">
      <c r="C2139" t="s">
        <v>45</v>
      </c>
      <c r="D2139" t="s">
        <v>19</v>
      </c>
      <c r="E2139" t="s">
        <v>43</v>
      </c>
      <c r="F2139" t="s">
        <v>41</v>
      </c>
      <c r="G2139" s="89">
        <v>90334</v>
      </c>
      <c r="H2139" t="s">
        <v>146</v>
      </c>
      <c r="I2139" t="s">
        <v>126</v>
      </c>
      <c r="J2139" s="89">
        <v>1084008</v>
      </c>
      <c r="K2139" t="s">
        <v>127</v>
      </c>
      <c r="L2139" t="s">
        <v>151</v>
      </c>
      <c r="N2139">
        <v>1</v>
      </c>
      <c r="O2139" s="89">
        <v>2710.02</v>
      </c>
      <c r="P2139" s="89">
        <v>18066.8</v>
      </c>
      <c r="Q2139" t="s">
        <v>130</v>
      </c>
      <c r="R2139" t="s">
        <v>131</v>
      </c>
    </row>
    <row r="2140" spans="3:18" hidden="1" x14ac:dyDescent="0.25">
      <c r="C2140" t="s">
        <v>45</v>
      </c>
      <c r="D2140" t="s">
        <v>24</v>
      </c>
      <c r="E2140" t="s">
        <v>44</v>
      </c>
      <c r="F2140" t="s">
        <v>41</v>
      </c>
      <c r="G2140" s="89">
        <v>629441</v>
      </c>
      <c r="H2140" t="s">
        <v>42</v>
      </c>
      <c r="I2140" t="s">
        <v>126</v>
      </c>
      <c r="J2140" s="89">
        <v>9441615</v>
      </c>
      <c r="K2140" t="s">
        <v>127</v>
      </c>
      <c r="L2140" t="s">
        <v>128</v>
      </c>
      <c r="M2140" t="s">
        <v>148</v>
      </c>
      <c r="N2140">
        <v>1</v>
      </c>
      <c r="O2140" s="89">
        <v>18883.23</v>
      </c>
      <c r="P2140" s="89">
        <v>169949.07</v>
      </c>
      <c r="Q2140" t="s">
        <v>130</v>
      </c>
      <c r="R2140" t="s">
        <v>42</v>
      </c>
    </row>
    <row r="2141" spans="3:18" hidden="1" x14ac:dyDescent="0.25">
      <c r="C2141" t="s">
        <v>45</v>
      </c>
      <c r="D2141" t="s">
        <v>138</v>
      </c>
      <c r="E2141" t="s">
        <v>43</v>
      </c>
      <c r="F2141" t="s">
        <v>41</v>
      </c>
      <c r="G2141" s="89">
        <v>1197614</v>
      </c>
      <c r="H2141" t="s">
        <v>145</v>
      </c>
      <c r="I2141" t="s">
        <v>133</v>
      </c>
      <c r="J2141" s="89">
        <v>34730806</v>
      </c>
      <c r="K2141" t="s">
        <v>144</v>
      </c>
      <c r="N2141">
        <v>1</v>
      </c>
      <c r="O2141" s="89">
        <v>35928.42</v>
      </c>
      <c r="P2141" s="89">
        <v>323355.78000000003</v>
      </c>
      <c r="Q2141" t="s">
        <v>130</v>
      </c>
      <c r="R2141" t="s">
        <v>131</v>
      </c>
    </row>
    <row r="2142" spans="3:18" hidden="1" x14ac:dyDescent="0.25">
      <c r="C2142" t="s">
        <v>45</v>
      </c>
      <c r="D2142" t="s">
        <v>22</v>
      </c>
      <c r="E2142" t="s">
        <v>40</v>
      </c>
      <c r="F2142" t="s">
        <v>41</v>
      </c>
      <c r="G2142" s="89">
        <v>25927117</v>
      </c>
      <c r="H2142" t="s">
        <v>145</v>
      </c>
      <c r="I2142" t="s">
        <v>141</v>
      </c>
      <c r="J2142" s="89">
        <v>181489819</v>
      </c>
      <c r="K2142" t="s">
        <v>127</v>
      </c>
      <c r="L2142" t="s">
        <v>128</v>
      </c>
      <c r="N2142">
        <v>1</v>
      </c>
      <c r="O2142" s="89">
        <v>777813.51</v>
      </c>
      <c r="P2142" s="89">
        <v>6222508.0800000001</v>
      </c>
      <c r="Q2142" t="s">
        <v>130</v>
      </c>
      <c r="R2142" t="s">
        <v>131</v>
      </c>
    </row>
    <row r="2143" spans="3:18" hidden="1" x14ac:dyDescent="0.25">
      <c r="C2143" t="s">
        <v>45</v>
      </c>
      <c r="D2143" t="s">
        <v>19</v>
      </c>
      <c r="E2143" t="s">
        <v>43</v>
      </c>
      <c r="F2143" t="s">
        <v>41</v>
      </c>
      <c r="G2143" s="89">
        <v>4568996</v>
      </c>
      <c r="H2143" t="s">
        <v>146</v>
      </c>
      <c r="I2143" t="s">
        <v>133</v>
      </c>
      <c r="J2143" s="89">
        <v>137069880</v>
      </c>
      <c r="K2143" t="s">
        <v>144</v>
      </c>
      <c r="N2143">
        <v>1</v>
      </c>
      <c r="O2143" s="89">
        <v>137069.88</v>
      </c>
      <c r="P2143" s="89">
        <v>2284498</v>
      </c>
      <c r="Q2143" t="s">
        <v>142</v>
      </c>
      <c r="R2143" t="s">
        <v>131</v>
      </c>
    </row>
    <row r="2144" spans="3:18" hidden="1" x14ac:dyDescent="0.25">
      <c r="C2144" t="s">
        <v>45</v>
      </c>
      <c r="D2144" t="s">
        <v>138</v>
      </c>
      <c r="E2144" t="s">
        <v>43</v>
      </c>
      <c r="F2144" t="s">
        <v>41</v>
      </c>
      <c r="G2144" s="89">
        <v>39204412</v>
      </c>
      <c r="H2144" t="s">
        <v>140</v>
      </c>
      <c r="I2144" t="s">
        <v>133</v>
      </c>
      <c r="J2144" s="89">
        <v>1019314712</v>
      </c>
      <c r="K2144" t="s">
        <v>127</v>
      </c>
      <c r="L2144" t="s">
        <v>128</v>
      </c>
      <c r="N2144">
        <v>1</v>
      </c>
      <c r="O2144" s="89">
        <v>1176132.3600000001</v>
      </c>
      <c r="P2144" s="89">
        <v>20386294.239999998</v>
      </c>
      <c r="Q2144" t="s">
        <v>142</v>
      </c>
      <c r="R2144" t="s">
        <v>131</v>
      </c>
    </row>
    <row r="2145" spans="3:18" hidden="1" x14ac:dyDescent="0.25">
      <c r="C2145" t="s">
        <v>45</v>
      </c>
      <c r="D2145" t="s">
        <v>21</v>
      </c>
      <c r="E2145" t="s">
        <v>43</v>
      </c>
      <c r="F2145" t="s">
        <v>41</v>
      </c>
      <c r="G2145" s="89">
        <v>218437</v>
      </c>
      <c r="H2145" t="s">
        <v>42</v>
      </c>
      <c r="I2145" t="s">
        <v>133</v>
      </c>
      <c r="J2145" s="89">
        <v>7208421</v>
      </c>
      <c r="K2145" t="s">
        <v>127</v>
      </c>
      <c r="L2145" t="s">
        <v>128</v>
      </c>
      <c r="M2145" t="s">
        <v>152</v>
      </c>
      <c r="N2145">
        <v>1</v>
      </c>
      <c r="O2145" s="89">
        <v>6553.11</v>
      </c>
      <c r="P2145" s="89">
        <v>181302.71</v>
      </c>
      <c r="Q2145" t="s">
        <v>135</v>
      </c>
      <c r="R2145" t="s">
        <v>131</v>
      </c>
    </row>
    <row r="2146" spans="3:18" hidden="1" x14ac:dyDescent="0.25">
      <c r="C2146" t="s">
        <v>45</v>
      </c>
      <c r="D2146" t="s">
        <v>24</v>
      </c>
      <c r="E2146" t="s">
        <v>40</v>
      </c>
      <c r="F2146" t="s">
        <v>41</v>
      </c>
      <c r="G2146" s="89">
        <v>449372</v>
      </c>
      <c r="H2146" t="s">
        <v>140</v>
      </c>
      <c r="I2146" t="s">
        <v>133</v>
      </c>
      <c r="J2146" s="89">
        <v>14829276</v>
      </c>
      <c r="K2146" t="s">
        <v>144</v>
      </c>
      <c r="N2146">
        <v>1</v>
      </c>
      <c r="O2146" s="89">
        <v>13481.16</v>
      </c>
      <c r="P2146" s="89">
        <v>143799.04000000001</v>
      </c>
      <c r="Q2146" t="s">
        <v>130</v>
      </c>
      <c r="R2146" t="s">
        <v>131</v>
      </c>
    </row>
    <row r="2147" spans="3:18" hidden="1" x14ac:dyDescent="0.25">
      <c r="C2147" t="s">
        <v>45</v>
      </c>
      <c r="D2147" t="s">
        <v>23</v>
      </c>
      <c r="E2147" t="s">
        <v>48</v>
      </c>
      <c r="F2147" t="s">
        <v>41</v>
      </c>
      <c r="G2147" s="89">
        <v>124610</v>
      </c>
      <c r="H2147" t="s">
        <v>42</v>
      </c>
      <c r="I2147" t="s">
        <v>141</v>
      </c>
      <c r="J2147" s="89">
        <v>747660</v>
      </c>
      <c r="K2147" t="s">
        <v>127</v>
      </c>
      <c r="L2147" t="s">
        <v>128</v>
      </c>
      <c r="M2147" t="s">
        <v>152</v>
      </c>
      <c r="N2147">
        <v>1</v>
      </c>
      <c r="O2147" s="89">
        <v>3738.3</v>
      </c>
      <c r="P2147" s="89">
        <v>82242.600000000006</v>
      </c>
      <c r="Q2147" t="s">
        <v>137</v>
      </c>
      <c r="R2147" t="s">
        <v>131</v>
      </c>
    </row>
    <row r="2148" spans="3:18" hidden="1" x14ac:dyDescent="0.25">
      <c r="C2148" t="s">
        <v>45</v>
      </c>
      <c r="D2148" t="s">
        <v>149</v>
      </c>
      <c r="E2148" t="s">
        <v>43</v>
      </c>
      <c r="F2148" t="s">
        <v>53</v>
      </c>
      <c r="G2148" s="89">
        <v>129725</v>
      </c>
      <c r="H2148" t="s">
        <v>42</v>
      </c>
      <c r="I2148" t="s">
        <v>133</v>
      </c>
      <c r="J2148" s="89">
        <v>4799825</v>
      </c>
      <c r="K2148" t="s">
        <v>144</v>
      </c>
      <c r="N2148">
        <v>1</v>
      </c>
      <c r="O2148" s="89">
        <v>3891.75</v>
      </c>
      <c r="P2148" s="89">
        <v>49295.5</v>
      </c>
      <c r="Q2148" t="s">
        <v>130</v>
      </c>
      <c r="R2148" t="s">
        <v>42</v>
      </c>
    </row>
    <row r="2149" spans="3:18" x14ac:dyDescent="0.25">
      <c r="C2149" t="s">
        <v>47</v>
      </c>
      <c r="D2149" t="s">
        <v>19</v>
      </c>
      <c r="E2149" t="s">
        <v>40</v>
      </c>
      <c r="F2149" t="s">
        <v>41</v>
      </c>
      <c r="G2149" s="89">
        <v>90663</v>
      </c>
      <c r="H2149" t="s">
        <v>146</v>
      </c>
      <c r="I2149" t="s">
        <v>126</v>
      </c>
      <c r="J2149" s="89">
        <v>906630</v>
      </c>
      <c r="K2149" t="s">
        <v>127</v>
      </c>
      <c r="L2149" t="s">
        <v>128</v>
      </c>
      <c r="N2149">
        <v>1</v>
      </c>
      <c r="O2149" s="89">
        <v>3626.52</v>
      </c>
      <c r="P2149" s="89">
        <v>34451.94</v>
      </c>
      <c r="Q2149" t="s">
        <v>130</v>
      </c>
      <c r="R2149" t="s">
        <v>131</v>
      </c>
    </row>
    <row r="2150" spans="3:18" x14ac:dyDescent="0.25">
      <c r="C2150" t="s">
        <v>47</v>
      </c>
      <c r="D2150" t="s">
        <v>22</v>
      </c>
      <c r="E2150" t="s">
        <v>40</v>
      </c>
      <c r="F2150" t="s">
        <v>41</v>
      </c>
      <c r="G2150" s="89">
        <v>1005158</v>
      </c>
      <c r="H2150" t="s">
        <v>132</v>
      </c>
      <c r="I2150" t="s">
        <v>141</v>
      </c>
      <c r="J2150" s="89">
        <v>7036106</v>
      </c>
      <c r="K2150" t="s">
        <v>127</v>
      </c>
      <c r="L2150" t="s">
        <v>128</v>
      </c>
      <c r="N2150">
        <v>1</v>
      </c>
      <c r="O2150" s="89">
        <v>40206.32</v>
      </c>
      <c r="P2150" s="89">
        <v>291495.82</v>
      </c>
      <c r="Q2150" t="s">
        <v>130</v>
      </c>
      <c r="R2150" t="s">
        <v>131</v>
      </c>
    </row>
    <row r="2151" spans="3:18" hidden="1" x14ac:dyDescent="0.25">
      <c r="C2151" t="s">
        <v>45</v>
      </c>
      <c r="D2151" t="s">
        <v>22</v>
      </c>
      <c r="E2151" t="s">
        <v>40</v>
      </c>
      <c r="F2151" t="s">
        <v>41</v>
      </c>
      <c r="G2151" s="89">
        <v>1223</v>
      </c>
      <c r="H2151" t="s">
        <v>132</v>
      </c>
      <c r="I2151" t="s">
        <v>147</v>
      </c>
      <c r="J2151" s="89">
        <v>1223</v>
      </c>
      <c r="K2151" t="s">
        <v>127</v>
      </c>
      <c r="L2151" t="s">
        <v>151</v>
      </c>
      <c r="N2151">
        <v>1</v>
      </c>
      <c r="O2151" s="89">
        <v>24.46</v>
      </c>
      <c r="P2151" s="89">
        <v>97.84</v>
      </c>
      <c r="Q2151" t="s">
        <v>130</v>
      </c>
      <c r="R2151" t="s">
        <v>131</v>
      </c>
    </row>
    <row r="2152" spans="3:18" hidden="1" x14ac:dyDescent="0.25">
      <c r="C2152" t="s">
        <v>45</v>
      </c>
      <c r="D2152" t="s">
        <v>20</v>
      </c>
      <c r="E2152" t="s">
        <v>40</v>
      </c>
      <c r="F2152" t="s">
        <v>41</v>
      </c>
      <c r="G2152" s="89">
        <v>1710515</v>
      </c>
      <c r="H2152" t="s">
        <v>42</v>
      </c>
      <c r="I2152" t="s">
        <v>126</v>
      </c>
      <c r="J2152" s="89">
        <v>25657725</v>
      </c>
      <c r="K2152" t="s">
        <v>127</v>
      </c>
      <c r="L2152" t="s">
        <v>128</v>
      </c>
      <c r="M2152" t="s">
        <v>139</v>
      </c>
      <c r="N2152">
        <v>1</v>
      </c>
      <c r="O2152" s="89">
        <v>51315.45</v>
      </c>
      <c r="P2152" s="89">
        <v>872362.65</v>
      </c>
      <c r="Q2152" t="s">
        <v>142</v>
      </c>
      <c r="R2152" t="s">
        <v>131</v>
      </c>
    </row>
    <row r="2153" spans="3:18" hidden="1" x14ac:dyDescent="0.25">
      <c r="C2153" t="s">
        <v>45</v>
      </c>
      <c r="D2153" t="s">
        <v>20</v>
      </c>
      <c r="E2153" t="s">
        <v>43</v>
      </c>
      <c r="F2153" t="s">
        <v>41</v>
      </c>
      <c r="G2153" s="89">
        <v>105719</v>
      </c>
      <c r="H2153" t="s">
        <v>145</v>
      </c>
      <c r="I2153" t="s">
        <v>126</v>
      </c>
      <c r="J2153" s="89">
        <v>1374347</v>
      </c>
      <c r="K2153" t="s">
        <v>134</v>
      </c>
      <c r="L2153" t="s">
        <v>128</v>
      </c>
      <c r="N2153">
        <v>1</v>
      </c>
      <c r="O2153" s="89">
        <v>3171.57</v>
      </c>
      <c r="P2153" s="89">
        <v>32772.89</v>
      </c>
      <c r="Q2153" t="s">
        <v>130</v>
      </c>
      <c r="R2153" t="s">
        <v>131</v>
      </c>
    </row>
    <row r="2154" spans="3:18" hidden="1" x14ac:dyDescent="0.25">
      <c r="C2154" t="s">
        <v>45</v>
      </c>
      <c r="D2154" t="s">
        <v>24</v>
      </c>
      <c r="E2154" t="s">
        <v>44</v>
      </c>
      <c r="F2154" t="s">
        <v>41</v>
      </c>
      <c r="G2154" s="89">
        <v>40983</v>
      </c>
      <c r="H2154" t="s">
        <v>42</v>
      </c>
      <c r="I2154" t="s">
        <v>133</v>
      </c>
      <c r="J2154" s="89">
        <v>901626</v>
      </c>
      <c r="K2154" t="s">
        <v>127</v>
      </c>
      <c r="L2154" t="s">
        <v>128</v>
      </c>
      <c r="M2154" t="s">
        <v>129</v>
      </c>
      <c r="N2154">
        <v>1</v>
      </c>
      <c r="O2154" s="89">
        <v>1639.32</v>
      </c>
      <c r="P2154" s="89">
        <v>13524.39</v>
      </c>
      <c r="Q2154" t="s">
        <v>130</v>
      </c>
      <c r="R2154" t="s">
        <v>42</v>
      </c>
    </row>
    <row r="2155" spans="3:18" hidden="1" x14ac:dyDescent="0.25">
      <c r="C2155" t="s">
        <v>45</v>
      </c>
      <c r="D2155" t="s">
        <v>21</v>
      </c>
      <c r="E2155" t="s">
        <v>44</v>
      </c>
      <c r="F2155" t="s">
        <v>41</v>
      </c>
      <c r="G2155" s="89">
        <v>586735</v>
      </c>
      <c r="H2155" t="s">
        <v>42</v>
      </c>
      <c r="I2155" t="s">
        <v>133</v>
      </c>
      <c r="J2155" s="89">
        <v>16428580</v>
      </c>
      <c r="K2155" t="s">
        <v>127</v>
      </c>
      <c r="L2155" t="s">
        <v>128</v>
      </c>
      <c r="M2155" t="s">
        <v>129</v>
      </c>
      <c r="N2155">
        <v>1</v>
      </c>
      <c r="O2155" s="89">
        <v>23469.4</v>
      </c>
      <c r="P2155" s="89">
        <v>322704.25</v>
      </c>
      <c r="Q2155" t="s">
        <v>142</v>
      </c>
      <c r="R2155" t="s">
        <v>42</v>
      </c>
    </row>
    <row r="2156" spans="3:18" hidden="1" x14ac:dyDescent="0.25">
      <c r="C2156" t="s">
        <v>45</v>
      </c>
      <c r="D2156" t="s">
        <v>23</v>
      </c>
      <c r="E2156" t="s">
        <v>48</v>
      </c>
      <c r="F2156" t="s">
        <v>41</v>
      </c>
      <c r="G2156" s="89">
        <v>15759188</v>
      </c>
      <c r="H2156" t="s">
        <v>42</v>
      </c>
      <c r="I2156" t="s">
        <v>133</v>
      </c>
      <c r="J2156" s="89">
        <v>551571580</v>
      </c>
      <c r="K2156" t="s">
        <v>127</v>
      </c>
      <c r="L2156" t="s">
        <v>128</v>
      </c>
      <c r="M2156" t="s">
        <v>152</v>
      </c>
      <c r="N2156">
        <v>1</v>
      </c>
      <c r="O2156" s="89">
        <v>472775.64</v>
      </c>
      <c r="P2156" s="89">
        <v>13080126.039999999</v>
      </c>
      <c r="Q2156" t="s">
        <v>135</v>
      </c>
      <c r="R2156" t="s">
        <v>42</v>
      </c>
    </row>
    <row r="2157" spans="3:18" hidden="1" x14ac:dyDescent="0.25">
      <c r="C2157" t="s">
        <v>45</v>
      </c>
      <c r="D2157" t="s">
        <v>24</v>
      </c>
      <c r="E2157" t="s">
        <v>48</v>
      </c>
      <c r="F2157" t="s">
        <v>41</v>
      </c>
      <c r="G2157" s="89">
        <v>440301</v>
      </c>
      <c r="H2157" t="s">
        <v>140</v>
      </c>
      <c r="I2157" t="s">
        <v>147</v>
      </c>
      <c r="J2157" s="89"/>
      <c r="K2157" t="s">
        <v>127</v>
      </c>
      <c r="L2157" t="s">
        <v>128</v>
      </c>
      <c r="N2157">
        <v>0</v>
      </c>
      <c r="O2157" s="89">
        <v>13209.03</v>
      </c>
      <c r="P2157" s="89">
        <v>8806.02</v>
      </c>
      <c r="Q2157" t="s">
        <v>130</v>
      </c>
      <c r="R2157" t="s">
        <v>131</v>
      </c>
    </row>
    <row r="2158" spans="3:18" hidden="1" x14ac:dyDescent="0.25">
      <c r="C2158" t="s">
        <v>45</v>
      </c>
      <c r="D2158" t="s">
        <v>23</v>
      </c>
      <c r="E2158" t="s">
        <v>40</v>
      </c>
      <c r="F2158" t="s">
        <v>41</v>
      </c>
      <c r="G2158" s="89">
        <v>5659139</v>
      </c>
      <c r="H2158" t="s">
        <v>140</v>
      </c>
      <c r="I2158" t="s">
        <v>133</v>
      </c>
      <c r="J2158" s="89">
        <v>169774170</v>
      </c>
      <c r="K2158" t="s">
        <v>144</v>
      </c>
      <c r="N2158">
        <v>1</v>
      </c>
      <c r="O2158" s="89">
        <v>169774.17</v>
      </c>
      <c r="P2158" s="89">
        <v>3904805.91</v>
      </c>
      <c r="Q2158" t="s">
        <v>137</v>
      </c>
      <c r="R2158" t="s">
        <v>131</v>
      </c>
    </row>
    <row r="2159" spans="3:18" x14ac:dyDescent="0.25">
      <c r="C2159" t="s">
        <v>47</v>
      </c>
      <c r="D2159" t="s">
        <v>25</v>
      </c>
      <c r="E2159" t="s">
        <v>40</v>
      </c>
      <c r="F2159" t="s">
        <v>41</v>
      </c>
      <c r="G2159" s="89">
        <v>6</v>
      </c>
      <c r="H2159" t="s">
        <v>145</v>
      </c>
      <c r="I2159" t="s">
        <v>147</v>
      </c>
      <c r="J2159" s="89"/>
      <c r="K2159" t="s">
        <v>127</v>
      </c>
      <c r="L2159" t="s">
        <v>128</v>
      </c>
      <c r="N2159">
        <v>0</v>
      </c>
      <c r="O2159" s="89">
        <v>0</v>
      </c>
      <c r="P2159" s="89">
        <v>0</v>
      </c>
      <c r="Q2159" t="s">
        <v>130</v>
      </c>
      <c r="R2159" t="s">
        <v>131</v>
      </c>
    </row>
    <row r="2160" spans="3:18" hidden="1" x14ac:dyDescent="0.25">
      <c r="C2160" t="s">
        <v>45</v>
      </c>
      <c r="D2160" t="s">
        <v>21</v>
      </c>
      <c r="E2160" t="s">
        <v>40</v>
      </c>
      <c r="F2160" t="s">
        <v>41</v>
      </c>
      <c r="G2160" s="89">
        <v>751908</v>
      </c>
      <c r="H2160" t="s">
        <v>145</v>
      </c>
      <c r="I2160" t="s">
        <v>126</v>
      </c>
      <c r="J2160" s="89">
        <v>12782436</v>
      </c>
      <c r="K2160" t="s">
        <v>127</v>
      </c>
      <c r="L2160" t="s">
        <v>128</v>
      </c>
      <c r="N2160">
        <v>1</v>
      </c>
      <c r="O2160" s="89">
        <v>22557.24</v>
      </c>
      <c r="P2160" s="89">
        <v>511297.44</v>
      </c>
      <c r="Q2160" t="s">
        <v>137</v>
      </c>
      <c r="R2160" t="s">
        <v>131</v>
      </c>
    </row>
    <row r="2161" spans="3:18" hidden="1" x14ac:dyDescent="0.25">
      <c r="C2161" t="s">
        <v>45</v>
      </c>
      <c r="D2161" t="s">
        <v>22</v>
      </c>
      <c r="E2161" t="s">
        <v>48</v>
      </c>
      <c r="F2161" t="s">
        <v>41</v>
      </c>
      <c r="G2161" s="89">
        <v>67312</v>
      </c>
      <c r="H2161" t="s">
        <v>42</v>
      </c>
      <c r="I2161" t="s">
        <v>133</v>
      </c>
      <c r="J2161" s="89">
        <v>2221296</v>
      </c>
      <c r="K2161" t="s">
        <v>134</v>
      </c>
      <c r="L2161" t="s">
        <v>128</v>
      </c>
      <c r="M2161" t="s">
        <v>143</v>
      </c>
      <c r="N2161">
        <v>1</v>
      </c>
      <c r="O2161" s="89">
        <v>2692.48</v>
      </c>
      <c r="P2161" s="89">
        <v>54522.720000000001</v>
      </c>
      <c r="Q2161" t="s">
        <v>135</v>
      </c>
      <c r="R2161" t="s">
        <v>131</v>
      </c>
    </row>
    <row r="2162" spans="3:18" x14ac:dyDescent="0.25">
      <c r="C2162" t="s">
        <v>47</v>
      </c>
      <c r="D2162" t="s">
        <v>20</v>
      </c>
      <c r="E2162" t="s">
        <v>43</v>
      </c>
      <c r="F2162" t="s">
        <v>41</v>
      </c>
      <c r="G2162" s="89">
        <v>57085</v>
      </c>
      <c r="H2162" t="s">
        <v>145</v>
      </c>
      <c r="I2162" t="s">
        <v>126</v>
      </c>
      <c r="J2162" s="89">
        <v>627935</v>
      </c>
      <c r="K2162" t="s">
        <v>127</v>
      </c>
      <c r="L2162" t="s">
        <v>128</v>
      </c>
      <c r="N2162">
        <v>1</v>
      </c>
      <c r="O2162" s="89">
        <v>2283.4</v>
      </c>
      <c r="P2162" s="89">
        <v>29113.35</v>
      </c>
      <c r="Q2162" t="s">
        <v>142</v>
      </c>
      <c r="R2162" t="s">
        <v>131</v>
      </c>
    </row>
    <row r="2163" spans="3:18" hidden="1" x14ac:dyDescent="0.25">
      <c r="C2163" t="s">
        <v>45</v>
      </c>
      <c r="D2163" t="s">
        <v>22</v>
      </c>
      <c r="E2163" t="s">
        <v>48</v>
      </c>
      <c r="F2163" t="s">
        <v>41</v>
      </c>
      <c r="G2163" s="89">
        <v>84166</v>
      </c>
      <c r="H2163" t="s">
        <v>42</v>
      </c>
      <c r="I2163" t="s">
        <v>133</v>
      </c>
      <c r="J2163" s="89">
        <v>2777478</v>
      </c>
      <c r="K2163" t="s">
        <v>127</v>
      </c>
      <c r="L2163" t="s">
        <v>128</v>
      </c>
      <c r="M2163" t="s">
        <v>139</v>
      </c>
      <c r="N2163">
        <v>1</v>
      </c>
      <c r="O2163" s="89">
        <v>2524.98</v>
      </c>
      <c r="P2163" s="89">
        <v>58074.54</v>
      </c>
      <c r="Q2163" t="s">
        <v>137</v>
      </c>
      <c r="R2163" t="s">
        <v>42</v>
      </c>
    </row>
    <row r="2164" spans="3:18" hidden="1" x14ac:dyDescent="0.25">
      <c r="C2164" t="s">
        <v>45</v>
      </c>
      <c r="D2164" t="s">
        <v>22</v>
      </c>
      <c r="E2164" t="s">
        <v>48</v>
      </c>
      <c r="F2164" t="s">
        <v>53</v>
      </c>
      <c r="G2164" s="89">
        <v>176430</v>
      </c>
      <c r="H2164" t="s">
        <v>42</v>
      </c>
      <c r="I2164" t="s">
        <v>126</v>
      </c>
      <c r="J2164" s="89">
        <v>2646450</v>
      </c>
      <c r="K2164" t="s">
        <v>144</v>
      </c>
      <c r="N2164">
        <v>1</v>
      </c>
      <c r="O2164" s="89">
        <v>5292.9</v>
      </c>
      <c r="P2164" s="89">
        <v>128793.9</v>
      </c>
      <c r="Q2164" t="s">
        <v>137</v>
      </c>
      <c r="R2164" t="s">
        <v>42</v>
      </c>
    </row>
    <row r="2165" spans="3:18" x14ac:dyDescent="0.25">
      <c r="C2165" t="s">
        <v>47</v>
      </c>
      <c r="D2165" t="s">
        <v>22</v>
      </c>
      <c r="E2165" t="s">
        <v>40</v>
      </c>
      <c r="F2165" t="s">
        <v>41</v>
      </c>
      <c r="G2165" s="89">
        <v>104000</v>
      </c>
      <c r="H2165" t="s">
        <v>146</v>
      </c>
      <c r="I2165" t="s">
        <v>126</v>
      </c>
      <c r="J2165" s="89">
        <v>1144000</v>
      </c>
      <c r="K2165" t="s">
        <v>144</v>
      </c>
      <c r="N2165">
        <v>1</v>
      </c>
      <c r="O2165" s="89">
        <v>4160</v>
      </c>
      <c r="P2165" s="89">
        <v>116480</v>
      </c>
      <c r="Q2165" t="s">
        <v>150</v>
      </c>
      <c r="R2165" t="s">
        <v>131</v>
      </c>
    </row>
    <row r="2166" spans="3:18" hidden="1" x14ac:dyDescent="0.25">
      <c r="C2166" t="s">
        <v>45</v>
      </c>
      <c r="D2166" t="s">
        <v>19</v>
      </c>
      <c r="E2166" t="s">
        <v>43</v>
      </c>
      <c r="F2166" t="s">
        <v>41</v>
      </c>
      <c r="G2166" s="89">
        <v>1705672</v>
      </c>
      <c r="H2166" t="s">
        <v>132</v>
      </c>
      <c r="I2166" t="s">
        <v>133</v>
      </c>
      <c r="J2166" s="89">
        <v>56287176</v>
      </c>
      <c r="K2166" t="s">
        <v>144</v>
      </c>
      <c r="N2166">
        <v>1</v>
      </c>
      <c r="O2166" s="89">
        <v>51170.16</v>
      </c>
      <c r="P2166" s="89">
        <v>1176913.68</v>
      </c>
      <c r="Q2166" t="s">
        <v>137</v>
      </c>
      <c r="R2166" t="s">
        <v>131</v>
      </c>
    </row>
    <row r="2167" spans="3:18" hidden="1" x14ac:dyDescent="0.25">
      <c r="C2167" t="s">
        <v>45</v>
      </c>
      <c r="D2167" t="s">
        <v>21</v>
      </c>
      <c r="E2167" t="s">
        <v>43</v>
      </c>
      <c r="F2167" t="s">
        <v>41</v>
      </c>
      <c r="G2167" s="89">
        <v>1974</v>
      </c>
      <c r="H2167" t="s">
        <v>145</v>
      </c>
      <c r="I2167" t="s">
        <v>147</v>
      </c>
      <c r="J2167" s="89">
        <v>3948</v>
      </c>
      <c r="K2167" t="s">
        <v>127</v>
      </c>
      <c r="L2167" t="s">
        <v>128</v>
      </c>
      <c r="N2167">
        <v>1</v>
      </c>
      <c r="O2167" s="89">
        <v>118.44</v>
      </c>
      <c r="P2167" s="89">
        <v>2447.7600000000002</v>
      </c>
      <c r="Q2167" t="s">
        <v>150</v>
      </c>
      <c r="R2167" t="s">
        <v>131</v>
      </c>
    </row>
    <row r="2168" spans="3:18" hidden="1" x14ac:dyDescent="0.25">
      <c r="C2168" t="s">
        <v>45</v>
      </c>
      <c r="D2168" t="s">
        <v>23</v>
      </c>
      <c r="E2168" t="s">
        <v>48</v>
      </c>
      <c r="F2168" t="s">
        <v>41</v>
      </c>
      <c r="G2168" s="89">
        <v>3527499</v>
      </c>
      <c r="H2168" t="s">
        <v>42</v>
      </c>
      <c r="I2168" t="s">
        <v>133</v>
      </c>
      <c r="J2168" s="89">
        <v>105824970</v>
      </c>
      <c r="K2168" t="s">
        <v>144</v>
      </c>
      <c r="N2168">
        <v>1</v>
      </c>
      <c r="O2168" s="89">
        <v>105824.97</v>
      </c>
      <c r="P2168" s="89">
        <v>987699.72</v>
      </c>
      <c r="Q2168" t="s">
        <v>130</v>
      </c>
      <c r="R2168" t="s">
        <v>42</v>
      </c>
    </row>
    <row r="2169" spans="3:18" x14ac:dyDescent="0.25">
      <c r="C2169" t="s">
        <v>47</v>
      </c>
      <c r="D2169" t="s">
        <v>20</v>
      </c>
      <c r="E2169" t="s">
        <v>40</v>
      </c>
      <c r="F2169" t="s">
        <v>41</v>
      </c>
      <c r="G2169" s="89">
        <v>5176782</v>
      </c>
      <c r="H2169" t="s">
        <v>42</v>
      </c>
      <c r="I2169" t="s">
        <v>141</v>
      </c>
      <c r="J2169" s="89">
        <v>41414256</v>
      </c>
      <c r="K2169" t="s">
        <v>127</v>
      </c>
      <c r="L2169" t="s">
        <v>128</v>
      </c>
      <c r="M2169" t="s">
        <v>139</v>
      </c>
      <c r="N2169">
        <v>1</v>
      </c>
      <c r="O2169" s="89">
        <v>155303.46</v>
      </c>
      <c r="P2169" s="89">
        <v>2588391</v>
      </c>
      <c r="Q2169" t="s">
        <v>142</v>
      </c>
      <c r="R2169" t="s">
        <v>131</v>
      </c>
    </row>
    <row r="2170" spans="3:18" x14ac:dyDescent="0.25">
      <c r="C2170" t="s">
        <v>47</v>
      </c>
      <c r="D2170" t="s">
        <v>50</v>
      </c>
      <c r="E2170" t="s">
        <v>50</v>
      </c>
      <c r="F2170" t="s">
        <v>41</v>
      </c>
      <c r="G2170" s="89">
        <v>122583436</v>
      </c>
      <c r="H2170" t="s">
        <v>79</v>
      </c>
      <c r="I2170" t="s">
        <v>147</v>
      </c>
      <c r="J2170" s="89">
        <v>122583436</v>
      </c>
      <c r="K2170" t="s">
        <v>127</v>
      </c>
      <c r="N2170">
        <v>1</v>
      </c>
      <c r="O2170" s="89">
        <v>6129171.7999999998</v>
      </c>
      <c r="P2170" s="89">
        <v>110325092.40000001</v>
      </c>
      <c r="Q2170" t="s">
        <v>135</v>
      </c>
      <c r="R2170" t="s">
        <v>79</v>
      </c>
    </row>
    <row r="2171" spans="3:18" hidden="1" x14ac:dyDescent="0.25">
      <c r="C2171" t="s">
        <v>45</v>
      </c>
      <c r="D2171" t="s">
        <v>23</v>
      </c>
      <c r="E2171" t="s">
        <v>48</v>
      </c>
      <c r="F2171" t="s">
        <v>41</v>
      </c>
      <c r="G2171" s="89">
        <v>22010</v>
      </c>
      <c r="H2171" t="s">
        <v>140</v>
      </c>
      <c r="I2171" t="s">
        <v>141</v>
      </c>
      <c r="J2171" s="89">
        <v>132060</v>
      </c>
      <c r="K2171" t="s">
        <v>134</v>
      </c>
      <c r="L2171" t="s">
        <v>128</v>
      </c>
      <c r="N2171">
        <v>1</v>
      </c>
      <c r="O2171" s="89">
        <v>660.3</v>
      </c>
      <c r="P2171" s="89">
        <v>13866.3</v>
      </c>
      <c r="Q2171" t="s">
        <v>137</v>
      </c>
      <c r="R2171" t="s">
        <v>131</v>
      </c>
    </row>
    <row r="2172" spans="3:18" hidden="1" x14ac:dyDescent="0.25">
      <c r="C2172" t="s">
        <v>45</v>
      </c>
      <c r="D2172" t="s">
        <v>25</v>
      </c>
      <c r="E2172" t="s">
        <v>48</v>
      </c>
      <c r="F2172" t="s">
        <v>41</v>
      </c>
      <c r="G2172" s="89">
        <v>102108</v>
      </c>
      <c r="H2172" t="s">
        <v>145</v>
      </c>
      <c r="I2172" t="s">
        <v>147</v>
      </c>
      <c r="J2172" s="89">
        <v>306324</v>
      </c>
      <c r="K2172" t="s">
        <v>127</v>
      </c>
      <c r="L2172" t="s">
        <v>128</v>
      </c>
      <c r="N2172">
        <v>1</v>
      </c>
      <c r="O2172" s="89">
        <v>3063.24</v>
      </c>
      <c r="P2172" s="89">
        <v>16337.28</v>
      </c>
      <c r="Q2172" t="s">
        <v>130</v>
      </c>
      <c r="R2172" t="s">
        <v>131</v>
      </c>
    </row>
    <row r="2173" spans="3:18" hidden="1" x14ac:dyDescent="0.25">
      <c r="C2173" t="s">
        <v>45</v>
      </c>
      <c r="D2173" t="s">
        <v>24</v>
      </c>
      <c r="E2173" t="s">
        <v>44</v>
      </c>
      <c r="F2173" t="s">
        <v>41</v>
      </c>
      <c r="G2173" s="89">
        <v>125805</v>
      </c>
      <c r="H2173" t="s">
        <v>132</v>
      </c>
      <c r="I2173" t="s">
        <v>141</v>
      </c>
      <c r="J2173" s="89">
        <v>880635</v>
      </c>
      <c r="K2173" t="s">
        <v>127</v>
      </c>
      <c r="L2173" t="s">
        <v>128</v>
      </c>
      <c r="N2173">
        <v>1</v>
      </c>
      <c r="O2173" s="89">
        <v>3774.15</v>
      </c>
      <c r="P2173" s="89">
        <v>37741.5</v>
      </c>
      <c r="Q2173" t="s">
        <v>130</v>
      </c>
      <c r="R2173" t="s">
        <v>131</v>
      </c>
    </row>
    <row r="2174" spans="3:18" hidden="1" x14ac:dyDescent="0.25">
      <c r="C2174" t="s">
        <v>45</v>
      </c>
      <c r="D2174" t="s">
        <v>23</v>
      </c>
      <c r="E2174" t="s">
        <v>44</v>
      </c>
      <c r="F2174" t="s">
        <v>53</v>
      </c>
      <c r="G2174" s="89">
        <v>285363</v>
      </c>
      <c r="H2174" t="s">
        <v>42</v>
      </c>
      <c r="I2174" t="s">
        <v>133</v>
      </c>
      <c r="J2174" s="89">
        <v>10273068</v>
      </c>
      <c r="K2174" t="s">
        <v>127</v>
      </c>
      <c r="L2174" t="s">
        <v>128</v>
      </c>
      <c r="M2174" t="s">
        <v>152</v>
      </c>
      <c r="N2174">
        <v>1</v>
      </c>
      <c r="O2174" s="89">
        <v>5707.26</v>
      </c>
      <c r="P2174" s="89">
        <v>196900.47</v>
      </c>
      <c r="Q2174" t="s">
        <v>137</v>
      </c>
      <c r="R2174" t="s">
        <v>42</v>
      </c>
    </row>
    <row r="2175" spans="3:18" hidden="1" x14ac:dyDescent="0.25">
      <c r="C2175" t="s">
        <v>45</v>
      </c>
      <c r="D2175" t="s">
        <v>21</v>
      </c>
      <c r="E2175" t="s">
        <v>43</v>
      </c>
      <c r="F2175" t="s">
        <v>41</v>
      </c>
      <c r="G2175" s="89">
        <v>82813</v>
      </c>
      <c r="H2175" t="s">
        <v>42</v>
      </c>
      <c r="I2175" t="s">
        <v>133</v>
      </c>
      <c r="J2175" s="89">
        <v>2650016</v>
      </c>
      <c r="K2175" t="s">
        <v>127</v>
      </c>
      <c r="L2175" t="s">
        <v>128</v>
      </c>
      <c r="M2175" t="s">
        <v>148</v>
      </c>
      <c r="N2175">
        <v>1</v>
      </c>
      <c r="O2175" s="89">
        <v>2484.39</v>
      </c>
      <c r="P2175" s="89">
        <v>14078.21</v>
      </c>
      <c r="Q2175" t="s">
        <v>130</v>
      </c>
      <c r="R2175" t="s">
        <v>42</v>
      </c>
    </row>
    <row r="2176" spans="3:18" x14ac:dyDescent="0.25">
      <c r="C2176" t="s">
        <v>47</v>
      </c>
      <c r="D2176" t="s">
        <v>24</v>
      </c>
      <c r="E2176" t="s">
        <v>43</v>
      </c>
      <c r="F2176" t="s">
        <v>41</v>
      </c>
      <c r="G2176" s="89">
        <v>496992</v>
      </c>
      <c r="H2176" t="s">
        <v>42</v>
      </c>
      <c r="I2176" t="s">
        <v>141</v>
      </c>
      <c r="J2176" s="89">
        <v>3975936</v>
      </c>
      <c r="K2176" t="s">
        <v>127</v>
      </c>
      <c r="L2176" t="s">
        <v>128</v>
      </c>
      <c r="M2176" t="s">
        <v>148</v>
      </c>
      <c r="N2176">
        <v>1</v>
      </c>
      <c r="O2176" s="89">
        <v>19879.68</v>
      </c>
      <c r="P2176" s="89">
        <v>144127.67999999999</v>
      </c>
      <c r="Q2176" t="s">
        <v>130</v>
      </c>
      <c r="R2176" t="s">
        <v>42</v>
      </c>
    </row>
    <row r="2177" spans="3:18" hidden="1" x14ac:dyDescent="0.25">
      <c r="C2177" t="s">
        <v>45</v>
      </c>
      <c r="D2177" t="s">
        <v>50</v>
      </c>
      <c r="E2177" t="s">
        <v>50</v>
      </c>
      <c r="F2177" t="s">
        <v>41</v>
      </c>
      <c r="G2177" s="89">
        <v>20623</v>
      </c>
      <c r="H2177" t="s">
        <v>79</v>
      </c>
      <c r="I2177" t="s">
        <v>133</v>
      </c>
      <c r="J2177" s="89">
        <v>453706</v>
      </c>
      <c r="K2177" t="s">
        <v>127</v>
      </c>
      <c r="N2177">
        <v>1</v>
      </c>
      <c r="O2177" s="89">
        <v>412.46</v>
      </c>
      <c r="P2177" s="89">
        <v>9899.0400000000009</v>
      </c>
      <c r="Q2177" t="s">
        <v>142</v>
      </c>
      <c r="R2177" t="s">
        <v>79</v>
      </c>
    </row>
    <row r="2178" spans="3:18" hidden="1" x14ac:dyDescent="0.25">
      <c r="C2178" t="s">
        <v>45</v>
      </c>
      <c r="D2178" t="s">
        <v>24</v>
      </c>
      <c r="E2178" t="s">
        <v>48</v>
      </c>
      <c r="F2178" t="s">
        <v>41</v>
      </c>
      <c r="G2178" s="89">
        <v>346400</v>
      </c>
      <c r="H2178" t="s">
        <v>140</v>
      </c>
      <c r="I2178" t="s">
        <v>126</v>
      </c>
      <c r="J2178" s="89">
        <v>6235200</v>
      </c>
      <c r="K2178" t="s">
        <v>127</v>
      </c>
      <c r="L2178" t="s">
        <v>128</v>
      </c>
      <c r="N2178">
        <v>1</v>
      </c>
      <c r="O2178" s="89">
        <v>13856</v>
      </c>
      <c r="P2178" s="89">
        <v>374112</v>
      </c>
      <c r="Q2178" t="s">
        <v>150</v>
      </c>
      <c r="R2178" t="s">
        <v>131</v>
      </c>
    </row>
    <row r="2179" spans="3:18" hidden="1" x14ac:dyDescent="0.25">
      <c r="C2179" t="s">
        <v>39</v>
      </c>
      <c r="D2179" t="s">
        <v>24</v>
      </c>
      <c r="E2179" t="s">
        <v>48</v>
      </c>
      <c r="F2179" t="s">
        <v>41</v>
      </c>
      <c r="G2179" s="89">
        <v>166115</v>
      </c>
      <c r="H2179" t="s">
        <v>145</v>
      </c>
      <c r="I2179" t="s">
        <v>133</v>
      </c>
      <c r="J2179" s="89"/>
      <c r="N2179">
        <v>0</v>
      </c>
      <c r="O2179" s="89"/>
      <c r="P2179" s="89"/>
      <c r="R2179" t="s">
        <v>131</v>
      </c>
    </row>
    <row r="2180" spans="3:18" hidden="1" x14ac:dyDescent="0.25">
      <c r="C2180" t="s">
        <v>45</v>
      </c>
      <c r="D2180" t="s">
        <v>20</v>
      </c>
      <c r="E2180" t="s">
        <v>43</v>
      </c>
      <c r="F2180" t="s">
        <v>41</v>
      </c>
      <c r="G2180" s="89">
        <v>328310</v>
      </c>
      <c r="H2180" t="s">
        <v>140</v>
      </c>
      <c r="I2180" t="s">
        <v>133</v>
      </c>
      <c r="J2180" s="89">
        <v>8864370</v>
      </c>
      <c r="K2180" t="s">
        <v>134</v>
      </c>
      <c r="L2180" t="s">
        <v>128</v>
      </c>
      <c r="N2180">
        <v>1</v>
      </c>
      <c r="O2180" s="89">
        <v>9849.2999999999993</v>
      </c>
      <c r="P2180" s="89">
        <v>292195.90000000002</v>
      </c>
      <c r="Q2180" t="s">
        <v>135</v>
      </c>
      <c r="R2180" t="s">
        <v>131</v>
      </c>
    </row>
    <row r="2181" spans="3:18" x14ac:dyDescent="0.25">
      <c r="C2181" t="s">
        <v>47</v>
      </c>
      <c r="D2181" t="s">
        <v>24</v>
      </c>
      <c r="E2181" t="s">
        <v>48</v>
      </c>
      <c r="F2181" t="s">
        <v>41</v>
      </c>
      <c r="G2181" s="89">
        <v>254591</v>
      </c>
      <c r="H2181" t="s">
        <v>140</v>
      </c>
      <c r="I2181" t="s">
        <v>147</v>
      </c>
      <c r="J2181" s="89">
        <v>0</v>
      </c>
      <c r="K2181" t="s">
        <v>144</v>
      </c>
      <c r="N2181">
        <v>1</v>
      </c>
      <c r="O2181" s="89">
        <v>7637.73</v>
      </c>
      <c r="P2181" s="89">
        <v>76377.3</v>
      </c>
      <c r="Q2181" t="s">
        <v>130</v>
      </c>
      <c r="R2181" t="s">
        <v>131</v>
      </c>
    </row>
    <row r="2182" spans="3:18" hidden="1" x14ac:dyDescent="0.25">
      <c r="C2182" t="s">
        <v>45</v>
      </c>
      <c r="D2182" t="s">
        <v>24</v>
      </c>
      <c r="E2182" t="s">
        <v>44</v>
      </c>
      <c r="F2182" t="s">
        <v>41</v>
      </c>
      <c r="G2182" s="89">
        <v>3220906</v>
      </c>
      <c r="H2182" t="s">
        <v>42</v>
      </c>
      <c r="I2182" t="s">
        <v>133</v>
      </c>
      <c r="J2182" s="89">
        <v>103068992</v>
      </c>
      <c r="K2182" t="s">
        <v>144</v>
      </c>
      <c r="N2182">
        <v>1</v>
      </c>
      <c r="O2182" s="89">
        <v>96627.18</v>
      </c>
      <c r="P2182" s="89">
        <v>1578243.94</v>
      </c>
      <c r="Q2182" t="s">
        <v>142</v>
      </c>
      <c r="R2182" t="s">
        <v>42</v>
      </c>
    </row>
    <row r="2183" spans="3:18" hidden="1" x14ac:dyDescent="0.25">
      <c r="C2183" t="s">
        <v>45</v>
      </c>
      <c r="D2183" t="s">
        <v>21</v>
      </c>
      <c r="E2183" t="s">
        <v>43</v>
      </c>
      <c r="F2183" t="s">
        <v>41</v>
      </c>
      <c r="G2183" s="89">
        <v>2635782</v>
      </c>
      <c r="H2183" t="s">
        <v>132</v>
      </c>
      <c r="I2183" t="s">
        <v>126</v>
      </c>
      <c r="J2183" s="89">
        <v>42172512</v>
      </c>
      <c r="K2183" t="s">
        <v>144</v>
      </c>
      <c r="N2183">
        <v>1</v>
      </c>
      <c r="O2183" s="89">
        <v>79073.460000000006</v>
      </c>
      <c r="P2183" s="89">
        <v>1291533.18</v>
      </c>
      <c r="Q2183" t="s">
        <v>142</v>
      </c>
      <c r="R2183" t="s">
        <v>131</v>
      </c>
    </row>
    <row r="2184" spans="3:18" hidden="1" x14ac:dyDescent="0.25">
      <c r="C2184" t="s">
        <v>45</v>
      </c>
      <c r="D2184" t="s">
        <v>23</v>
      </c>
      <c r="E2184" t="s">
        <v>43</v>
      </c>
      <c r="F2184" t="s">
        <v>41</v>
      </c>
      <c r="G2184" s="89">
        <v>73755</v>
      </c>
      <c r="H2184" t="s">
        <v>145</v>
      </c>
      <c r="I2184" t="s">
        <v>133</v>
      </c>
      <c r="J2184" s="89">
        <v>2581425</v>
      </c>
      <c r="K2184" t="s">
        <v>127</v>
      </c>
      <c r="L2184" t="s">
        <v>128</v>
      </c>
      <c r="N2184">
        <v>1</v>
      </c>
      <c r="O2184" s="89">
        <v>2212.65</v>
      </c>
      <c r="P2184" s="89">
        <v>59004</v>
      </c>
      <c r="Q2184" t="s">
        <v>135</v>
      </c>
      <c r="R2184" t="s">
        <v>131</v>
      </c>
    </row>
    <row r="2185" spans="3:18" hidden="1" x14ac:dyDescent="0.25">
      <c r="C2185" t="s">
        <v>45</v>
      </c>
      <c r="D2185" t="s">
        <v>19</v>
      </c>
      <c r="E2185" t="s">
        <v>43</v>
      </c>
      <c r="F2185" t="s">
        <v>53</v>
      </c>
      <c r="G2185" s="89">
        <v>331451</v>
      </c>
      <c r="H2185" t="s">
        <v>140</v>
      </c>
      <c r="I2185" t="s">
        <v>133</v>
      </c>
      <c r="J2185" s="89">
        <v>10937883</v>
      </c>
      <c r="K2185" t="s">
        <v>144</v>
      </c>
      <c r="N2185">
        <v>1</v>
      </c>
      <c r="O2185" s="89">
        <v>9943.5300000000007</v>
      </c>
      <c r="P2185" s="89">
        <v>152467.46</v>
      </c>
      <c r="Q2185" t="s">
        <v>142</v>
      </c>
      <c r="R2185" t="s">
        <v>131</v>
      </c>
    </row>
    <row r="2186" spans="3:18" hidden="1" x14ac:dyDescent="0.25">
      <c r="C2186" t="s">
        <v>45</v>
      </c>
      <c r="D2186" t="s">
        <v>24</v>
      </c>
      <c r="E2186" t="s">
        <v>44</v>
      </c>
      <c r="F2186" t="s">
        <v>41</v>
      </c>
      <c r="G2186" s="89">
        <v>8773952</v>
      </c>
      <c r="H2186" t="s">
        <v>42</v>
      </c>
      <c r="I2186" t="s">
        <v>133</v>
      </c>
      <c r="J2186" s="89">
        <v>298314368</v>
      </c>
      <c r="K2186" t="s">
        <v>127</v>
      </c>
      <c r="L2186" t="s">
        <v>128</v>
      </c>
      <c r="M2186" t="s">
        <v>148</v>
      </c>
      <c r="N2186">
        <v>1</v>
      </c>
      <c r="O2186" s="89">
        <v>263218.56</v>
      </c>
      <c r="P2186" s="89">
        <v>7282380.1600000001</v>
      </c>
      <c r="Q2186" t="s">
        <v>135</v>
      </c>
      <c r="R2186" t="s">
        <v>131</v>
      </c>
    </row>
    <row r="2187" spans="3:18" hidden="1" x14ac:dyDescent="0.25">
      <c r="C2187" t="s">
        <v>45</v>
      </c>
      <c r="D2187" t="s">
        <v>21</v>
      </c>
      <c r="E2187" t="s">
        <v>43</v>
      </c>
      <c r="F2187" t="s">
        <v>41</v>
      </c>
      <c r="G2187" s="89">
        <v>128854071</v>
      </c>
      <c r="H2187" t="s">
        <v>42</v>
      </c>
      <c r="I2187" t="s">
        <v>133</v>
      </c>
      <c r="J2187" s="89">
        <v>3607913988</v>
      </c>
      <c r="K2187" t="s">
        <v>127</v>
      </c>
      <c r="L2187" t="s">
        <v>128</v>
      </c>
      <c r="M2187" t="s">
        <v>129</v>
      </c>
      <c r="N2187">
        <v>1</v>
      </c>
      <c r="O2187" s="89">
        <v>3865622.13</v>
      </c>
      <c r="P2187" s="89">
        <v>37367680.590000004</v>
      </c>
      <c r="Q2187" t="s">
        <v>130</v>
      </c>
      <c r="R2187" t="s">
        <v>131</v>
      </c>
    </row>
    <row r="2188" spans="3:18" hidden="1" x14ac:dyDescent="0.25">
      <c r="C2188" t="s">
        <v>45</v>
      </c>
      <c r="D2188" t="s">
        <v>20</v>
      </c>
      <c r="E2188" t="s">
        <v>48</v>
      </c>
      <c r="F2188" t="s">
        <v>41</v>
      </c>
      <c r="G2188" s="89">
        <v>330669</v>
      </c>
      <c r="H2188" t="s">
        <v>42</v>
      </c>
      <c r="I2188" t="s">
        <v>126</v>
      </c>
      <c r="J2188" s="89">
        <v>4960035</v>
      </c>
      <c r="K2188" t="s">
        <v>127</v>
      </c>
      <c r="L2188" t="s">
        <v>128</v>
      </c>
      <c r="M2188" t="s">
        <v>139</v>
      </c>
      <c r="N2188">
        <v>1</v>
      </c>
      <c r="O2188" s="89">
        <v>9920.07</v>
      </c>
      <c r="P2188" s="89">
        <v>152107.74</v>
      </c>
      <c r="Q2188" t="s">
        <v>142</v>
      </c>
      <c r="R2188" t="s">
        <v>131</v>
      </c>
    </row>
    <row r="2189" spans="3:18" hidden="1" x14ac:dyDescent="0.25">
      <c r="C2189" t="s">
        <v>45</v>
      </c>
      <c r="D2189" t="s">
        <v>25</v>
      </c>
      <c r="E2189" t="s">
        <v>40</v>
      </c>
      <c r="F2189" t="s">
        <v>41</v>
      </c>
      <c r="G2189" s="89">
        <v>808930</v>
      </c>
      <c r="H2189" t="s">
        <v>140</v>
      </c>
      <c r="I2189" t="s">
        <v>133</v>
      </c>
      <c r="J2189" s="89">
        <v>17796460</v>
      </c>
      <c r="K2189" t="s">
        <v>127</v>
      </c>
      <c r="L2189" t="s">
        <v>128</v>
      </c>
      <c r="N2189">
        <v>1</v>
      </c>
      <c r="O2189" s="89">
        <v>24267.9</v>
      </c>
      <c r="P2189" s="89">
        <v>161786</v>
      </c>
      <c r="Q2189" t="s">
        <v>130</v>
      </c>
      <c r="R2189" t="s">
        <v>131</v>
      </c>
    </row>
    <row r="2190" spans="3:18" hidden="1" x14ac:dyDescent="0.25">
      <c r="C2190" t="s">
        <v>45</v>
      </c>
      <c r="D2190" t="s">
        <v>21</v>
      </c>
      <c r="E2190" t="s">
        <v>43</v>
      </c>
      <c r="F2190" t="s">
        <v>41</v>
      </c>
      <c r="G2190" s="89">
        <v>99759805</v>
      </c>
      <c r="H2190" t="s">
        <v>146</v>
      </c>
      <c r="I2190" t="s">
        <v>126</v>
      </c>
      <c r="J2190" s="89">
        <v>1596156880</v>
      </c>
      <c r="K2190" t="s">
        <v>127</v>
      </c>
      <c r="L2190" t="s">
        <v>128</v>
      </c>
      <c r="N2190">
        <v>1</v>
      </c>
      <c r="O2190" s="89">
        <v>2992794.15</v>
      </c>
      <c r="P2190" s="89">
        <v>48882304.450000003</v>
      </c>
      <c r="Q2190" t="s">
        <v>142</v>
      </c>
      <c r="R2190" t="s">
        <v>131</v>
      </c>
    </row>
    <row r="2191" spans="3:18" hidden="1" x14ac:dyDescent="0.25">
      <c r="C2191" t="s">
        <v>45</v>
      </c>
      <c r="D2191" t="s">
        <v>24</v>
      </c>
      <c r="E2191" t="s">
        <v>40</v>
      </c>
      <c r="F2191" t="s">
        <v>41</v>
      </c>
      <c r="G2191" s="89">
        <v>62694704</v>
      </c>
      <c r="H2191" t="s">
        <v>42</v>
      </c>
      <c r="I2191" t="s">
        <v>133</v>
      </c>
      <c r="J2191" s="89">
        <v>1943535824</v>
      </c>
      <c r="K2191" t="s">
        <v>127</v>
      </c>
      <c r="L2191" t="s">
        <v>128</v>
      </c>
      <c r="M2191" t="s">
        <v>148</v>
      </c>
      <c r="N2191">
        <v>1</v>
      </c>
      <c r="O2191" s="89">
        <v>1880841.12</v>
      </c>
      <c r="P2191" s="89">
        <v>43886292.799999997</v>
      </c>
      <c r="Q2191" t="s">
        <v>137</v>
      </c>
      <c r="R2191" t="s">
        <v>131</v>
      </c>
    </row>
    <row r="2192" spans="3:18" hidden="1" x14ac:dyDescent="0.25">
      <c r="C2192" t="s">
        <v>45</v>
      </c>
      <c r="D2192" t="s">
        <v>19</v>
      </c>
      <c r="E2192" t="s">
        <v>43</v>
      </c>
      <c r="F2192" t="s">
        <v>41</v>
      </c>
      <c r="G2192" s="89">
        <v>2041789</v>
      </c>
      <c r="H2192" t="s">
        <v>146</v>
      </c>
      <c r="I2192" t="s">
        <v>133</v>
      </c>
      <c r="J2192" s="89">
        <v>63295459</v>
      </c>
      <c r="K2192" t="s">
        <v>127</v>
      </c>
      <c r="L2192" t="s">
        <v>128</v>
      </c>
      <c r="N2192">
        <v>1</v>
      </c>
      <c r="O2192" s="89">
        <v>61253.67</v>
      </c>
      <c r="P2192" s="89">
        <v>2531818.36</v>
      </c>
      <c r="Q2192" t="s">
        <v>150</v>
      </c>
      <c r="R2192" t="s">
        <v>131</v>
      </c>
    </row>
    <row r="2193" spans="3:18" hidden="1" x14ac:dyDescent="0.25">
      <c r="C2193" t="s">
        <v>45</v>
      </c>
      <c r="D2193" t="s">
        <v>23</v>
      </c>
      <c r="E2193" t="s">
        <v>44</v>
      </c>
      <c r="F2193" t="s">
        <v>41</v>
      </c>
      <c r="G2193" s="89">
        <v>47080</v>
      </c>
      <c r="H2193" t="s">
        <v>140</v>
      </c>
      <c r="I2193" t="s">
        <v>133</v>
      </c>
      <c r="J2193" s="89">
        <v>988680</v>
      </c>
      <c r="K2193" t="s">
        <v>127</v>
      </c>
      <c r="L2193" t="s">
        <v>128</v>
      </c>
      <c r="N2193">
        <v>1</v>
      </c>
      <c r="O2193" s="89">
        <v>1883.2</v>
      </c>
      <c r="P2193" s="89">
        <v>24010.799999999999</v>
      </c>
      <c r="Q2193" t="s">
        <v>142</v>
      </c>
      <c r="R2193" t="s">
        <v>131</v>
      </c>
    </row>
    <row r="2194" spans="3:18" hidden="1" x14ac:dyDescent="0.25">
      <c r="C2194" t="s">
        <v>45</v>
      </c>
      <c r="D2194" t="s">
        <v>22</v>
      </c>
      <c r="E2194" t="s">
        <v>43</v>
      </c>
      <c r="F2194" t="s">
        <v>41</v>
      </c>
      <c r="G2194" s="89">
        <v>15704135</v>
      </c>
      <c r="H2194" t="s">
        <v>42</v>
      </c>
      <c r="I2194" t="s">
        <v>126</v>
      </c>
      <c r="J2194" s="89">
        <v>235562025</v>
      </c>
      <c r="K2194" t="s">
        <v>127</v>
      </c>
      <c r="L2194" t="s">
        <v>128</v>
      </c>
      <c r="M2194" t="s">
        <v>143</v>
      </c>
      <c r="N2194">
        <v>1</v>
      </c>
      <c r="O2194" s="89">
        <v>471124.05</v>
      </c>
      <c r="P2194" s="89">
        <v>4083075.1</v>
      </c>
      <c r="Q2194" t="s">
        <v>130</v>
      </c>
      <c r="R2194" t="s">
        <v>131</v>
      </c>
    </row>
    <row r="2195" spans="3:18" hidden="1" x14ac:dyDescent="0.25">
      <c r="C2195" t="s">
        <v>45</v>
      </c>
      <c r="D2195" t="s">
        <v>23</v>
      </c>
      <c r="E2195" t="s">
        <v>48</v>
      </c>
      <c r="F2195" t="s">
        <v>41</v>
      </c>
      <c r="G2195" s="89">
        <v>39108799</v>
      </c>
      <c r="H2195" t="s">
        <v>42</v>
      </c>
      <c r="I2195" t="s">
        <v>133</v>
      </c>
      <c r="J2195" s="89">
        <v>1134155171</v>
      </c>
      <c r="K2195" t="s">
        <v>127</v>
      </c>
      <c r="L2195" t="s">
        <v>128</v>
      </c>
      <c r="M2195" t="s">
        <v>152</v>
      </c>
      <c r="N2195">
        <v>1</v>
      </c>
      <c r="O2195" s="89">
        <v>1173263.97</v>
      </c>
      <c r="P2195" s="89">
        <v>20336575.48</v>
      </c>
      <c r="Q2195" t="s">
        <v>142</v>
      </c>
      <c r="R2195" t="s">
        <v>131</v>
      </c>
    </row>
    <row r="2196" spans="3:18" hidden="1" x14ac:dyDescent="0.25">
      <c r="C2196" t="s">
        <v>45</v>
      </c>
      <c r="D2196" t="s">
        <v>19</v>
      </c>
      <c r="E2196" t="s">
        <v>43</v>
      </c>
      <c r="F2196" t="s">
        <v>41</v>
      </c>
      <c r="G2196" s="89">
        <v>375792</v>
      </c>
      <c r="H2196" t="s">
        <v>140</v>
      </c>
      <c r="I2196" t="s">
        <v>133</v>
      </c>
      <c r="J2196" s="89">
        <v>10897968</v>
      </c>
      <c r="K2196" t="s">
        <v>134</v>
      </c>
      <c r="L2196" t="s">
        <v>128</v>
      </c>
      <c r="N2196">
        <v>1</v>
      </c>
      <c r="O2196" s="89">
        <v>11273.76</v>
      </c>
      <c r="P2196" s="89">
        <v>86432.16</v>
      </c>
      <c r="Q2196" t="s">
        <v>130</v>
      </c>
      <c r="R2196" t="s">
        <v>131</v>
      </c>
    </row>
    <row r="2197" spans="3:18" hidden="1" x14ac:dyDescent="0.25">
      <c r="C2197" t="s">
        <v>45</v>
      </c>
      <c r="D2197" t="s">
        <v>23</v>
      </c>
      <c r="E2197" t="s">
        <v>52</v>
      </c>
      <c r="F2197" t="s">
        <v>41</v>
      </c>
      <c r="G2197" s="89">
        <v>34555</v>
      </c>
      <c r="H2197" t="s">
        <v>42</v>
      </c>
      <c r="I2197" t="s">
        <v>141</v>
      </c>
      <c r="J2197" s="89">
        <v>345550</v>
      </c>
      <c r="K2197" t="s">
        <v>144</v>
      </c>
      <c r="N2197">
        <v>1</v>
      </c>
      <c r="O2197" s="89">
        <v>1036.6500000000001</v>
      </c>
      <c r="P2197" s="89">
        <v>11057.6</v>
      </c>
      <c r="Q2197" t="s">
        <v>130</v>
      </c>
      <c r="R2197" t="s">
        <v>42</v>
      </c>
    </row>
    <row r="2198" spans="3:18" hidden="1" x14ac:dyDescent="0.25">
      <c r="C2198" t="s">
        <v>45</v>
      </c>
      <c r="D2198" t="s">
        <v>21</v>
      </c>
      <c r="E2198" t="s">
        <v>43</v>
      </c>
      <c r="F2198" t="s">
        <v>53</v>
      </c>
      <c r="G2198" s="89">
        <v>42717</v>
      </c>
      <c r="H2198" t="s">
        <v>140</v>
      </c>
      <c r="I2198" t="s">
        <v>141</v>
      </c>
      <c r="J2198" s="89">
        <v>256302</v>
      </c>
      <c r="K2198" t="s">
        <v>127</v>
      </c>
      <c r="L2198" t="s">
        <v>128</v>
      </c>
      <c r="N2198">
        <v>1</v>
      </c>
      <c r="O2198" s="89">
        <v>1708.68</v>
      </c>
      <c r="P2198" s="89">
        <v>8116.23</v>
      </c>
      <c r="Q2198" t="s">
        <v>130</v>
      </c>
      <c r="R2198" t="s">
        <v>131</v>
      </c>
    </row>
    <row r="2199" spans="3:18" hidden="1" x14ac:dyDescent="0.25">
      <c r="C2199" t="s">
        <v>45</v>
      </c>
      <c r="D2199" t="s">
        <v>25</v>
      </c>
      <c r="E2199" t="s">
        <v>40</v>
      </c>
      <c r="F2199" t="s">
        <v>41</v>
      </c>
      <c r="G2199" s="89">
        <v>287531</v>
      </c>
      <c r="H2199" t="s">
        <v>145</v>
      </c>
      <c r="I2199" t="s">
        <v>133</v>
      </c>
      <c r="J2199" s="89">
        <v>7475806</v>
      </c>
      <c r="K2199" t="s">
        <v>127</v>
      </c>
      <c r="L2199" t="s">
        <v>128</v>
      </c>
      <c r="N2199">
        <v>1</v>
      </c>
      <c r="O2199" s="89">
        <v>8625.93</v>
      </c>
      <c r="P2199" s="89">
        <v>198396.39</v>
      </c>
      <c r="Q2199" t="s">
        <v>137</v>
      </c>
      <c r="R2199" t="s">
        <v>131</v>
      </c>
    </row>
    <row r="2200" spans="3:18" hidden="1" x14ac:dyDescent="0.25">
      <c r="C2200" t="s">
        <v>45</v>
      </c>
      <c r="D2200" t="s">
        <v>20</v>
      </c>
      <c r="E2200" t="s">
        <v>43</v>
      </c>
      <c r="F2200" t="s">
        <v>41</v>
      </c>
      <c r="G2200" s="89">
        <v>19201</v>
      </c>
      <c r="H2200" t="s">
        <v>132</v>
      </c>
      <c r="I2200" t="s">
        <v>141</v>
      </c>
      <c r="J2200" s="89">
        <v>134407</v>
      </c>
      <c r="K2200" t="s">
        <v>127</v>
      </c>
      <c r="L2200" t="s">
        <v>151</v>
      </c>
      <c r="N2200">
        <v>1</v>
      </c>
      <c r="O2200" s="89">
        <v>576.03</v>
      </c>
      <c r="P2200" s="89">
        <v>7872.41</v>
      </c>
      <c r="Q2200" t="s">
        <v>142</v>
      </c>
      <c r="R2200" t="s">
        <v>131</v>
      </c>
    </row>
    <row r="2201" spans="3:18" hidden="1" x14ac:dyDescent="0.25">
      <c r="C2201" t="s">
        <v>45</v>
      </c>
      <c r="D2201" t="s">
        <v>21</v>
      </c>
      <c r="E2201" t="s">
        <v>43</v>
      </c>
      <c r="F2201" t="s">
        <v>41</v>
      </c>
      <c r="G2201" s="89">
        <v>57884</v>
      </c>
      <c r="H2201" t="s">
        <v>146</v>
      </c>
      <c r="I2201" t="s">
        <v>126</v>
      </c>
      <c r="J2201" s="89">
        <v>984028</v>
      </c>
      <c r="K2201" t="s">
        <v>127</v>
      </c>
      <c r="L2201" t="s">
        <v>151</v>
      </c>
      <c r="N2201">
        <v>1</v>
      </c>
      <c r="O2201" s="89">
        <v>1736.52</v>
      </c>
      <c r="P2201" s="89">
        <v>39361.120000000003</v>
      </c>
      <c r="Q2201" t="s">
        <v>137</v>
      </c>
      <c r="R2201" t="s">
        <v>131</v>
      </c>
    </row>
    <row r="2202" spans="3:18" hidden="1" x14ac:dyDescent="0.25">
      <c r="C2202" t="s">
        <v>45</v>
      </c>
      <c r="D2202" t="s">
        <v>24</v>
      </c>
      <c r="E2202" t="s">
        <v>44</v>
      </c>
      <c r="F2202" t="s">
        <v>41</v>
      </c>
      <c r="G2202" s="89">
        <v>105589</v>
      </c>
      <c r="H2202" t="s">
        <v>145</v>
      </c>
      <c r="I2202" t="s">
        <v>133</v>
      </c>
      <c r="J2202" s="89">
        <v>3062081</v>
      </c>
      <c r="K2202" t="s">
        <v>144</v>
      </c>
      <c r="N2202">
        <v>1</v>
      </c>
      <c r="O2202" s="89">
        <v>3167.67</v>
      </c>
      <c r="P2202" s="89">
        <v>11614.79</v>
      </c>
      <c r="Q2202" t="s">
        <v>130</v>
      </c>
      <c r="R2202" t="s">
        <v>131</v>
      </c>
    </row>
    <row r="2203" spans="3:18" hidden="1" x14ac:dyDescent="0.25">
      <c r="C2203" t="s">
        <v>45</v>
      </c>
      <c r="D2203" t="s">
        <v>138</v>
      </c>
      <c r="E2203" t="s">
        <v>48</v>
      </c>
      <c r="F2203" t="s">
        <v>41</v>
      </c>
      <c r="G2203" s="89">
        <v>134457</v>
      </c>
      <c r="H2203" t="s">
        <v>42</v>
      </c>
      <c r="I2203" t="s">
        <v>133</v>
      </c>
      <c r="J2203" s="89">
        <v>3899253</v>
      </c>
      <c r="K2203" t="s">
        <v>127</v>
      </c>
      <c r="L2203" t="s">
        <v>128</v>
      </c>
      <c r="M2203" t="s">
        <v>139</v>
      </c>
      <c r="N2203">
        <v>1</v>
      </c>
      <c r="O2203" s="89">
        <v>4033.71</v>
      </c>
      <c r="P2203" s="89">
        <v>65883.929999999993</v>
      </c>
      <c r="Q2203" t="s">
        <v>142</v>
      </c>
      <c r="R2203" t="s">
        <v>42</v>
      </c>
    </row>
    <row r="2204" spans="3:18" hidden="1" x14ac:dyDescent="0.25">
      <c r="C2204" t="s">
        <v>45</v>
      </c>
      <c r="D2204" t="s">
        <v>22</v>
      </c>
      <c r="E2204" t="s">
        <v>40</v>
      </c>
      <c r="F2204" t="s">
        <v>53</v>
      </c>
      <c r="G2204" s="89">
        <v>55965</v>
      </c>
      <c r="H2204" t="s">
        <v>146</v>
      </c>
      <c r="I2204" t="s">
        <v>126</v>
      </c>
      <c r="J2204" s="89">
        <v>783510</v>
      </c>
      <c r="K2204" t="s">
        <v>127</v>
      </c>
      <c r="L2204" t="s">
        <v>128</v>
      </c>
      <c r="N2204">
        <v>1</v>
      </c>
      <c r="O2204" s="89">
        <v>1678.95</v>
      </c>
      <c r="P2204" s="89">
        <v>11752.65</v>
      </c>
      <c r="Q2204" t="s">
        <v>130</v>
      </c>
      <c r="R2204" t="s">
        <v>131</v>
      </c>
    </row>
    <row r="2205" spans="3:18" hidden="1" x14ac:dyDescent="0.25">
      <c r="C2205" t="s">
        <v>45</v>
      </c>
      <c r="D2205" t="s">
        <v>138</v>
      </c>
      <c r="E2205" t="s">
        <v>43</v>
      </c>
      <c r="F2205" t="s">
        <v>41</v>
      </c>
      <c r="G2205" s="89">
        <v>4410521</v>
      </c>
      <c r="H2205" t="s">
        <v>146</v>
      </c>
      <c r="I2205" t="s">
        <v>126</v>
      </c>
      <c r="J2205" s="89">
        <v>61747294</v>
      </c>
      <c r="K2205" t="s">
        <v>127</v>
      </c>
      <c r="L2205" t="s">
        <v>128</v>
      </c>
      <c r="N2205">
        <v>1</v>
      </c>
      <c r="O2205" s="89">
        <v>132315.63</v>
      </c>
      <c r="P2205" s="89">
        <v>1058525.04</v>
      </c>
      <c r="Q2205" t="s">
        <v>130</v>
      </c>
      <c r="R2205" t="s">
        <v>131</v>
      </c>
    </row>
    <row r="2206" spans="3:18" hidden="1" x14ac:dyDescent="0.25">
      <c r="C2206" t="s">
        <v>45</v>
      </c>
      <c r="D2206" t="s">
        <v>25</v>
      </c>
      <c r="E2206" t="s">
        <v>48</v>
      </c>
      <c r="F2206" t="s">
        <v>41</v>
      </c>
      <c r="G2206" s="89">
        <v>262001</v>
      </c>
      <c r="H2206" t="s">
        <v>42</v>
      </c>
      <c r="I2206" t="s">
        <v>126</v>
      </c>
      <c r="J2206" s="89">
        <v>4192016</v>
      </c>
      <c r="K2206" t="s">
        <v>127</v>
      </c>
      <c r="L2206" t="s">
        <v>128</v>
      </c>
      <c r="M2206" t="s">
        <v>155</v>
      </c>
      <c r="N2206">
        <v>1</v>
      </c>
      <c r="O2206" s="89">
        <v>7860.03</v>
      </c>
      <c r="P2206" s="89">
        <v>123140.47</v>
      </c>
      <c r="Q2206" t="s">
        <v>142</v>
      </c>
      <c r="R2206" t="s">
        <v>131</v>
      </c>
    </row>
    <row r="2207" spans="3:18" hidden="1" x14ac:dyDescent="0.25">
      <c r="C2207" t="s">
        <v>45</v>
      </c>
      <c r="D2207" t="s">
        <v>24</v>
      </c>
      <c r="E2207" t="s">
        <v>48</v>
      </c>
      <c r="F2207" t="s">
        <v>41</v>
      </c>
      <c r="G2207" s="89">
        <v>958479</v>
      </c>
      <c r="H2207" t="s">
        <v>140</v>
      </c>
      <c r="I2207" t="s">
        <v>126</v>
      </c>
      <c r="J2207" s="89">
        <v>16294143</v>
      </c>
      <c r="K2207" t="s">
        <v>127</v>
      </c>
      <c r="L2207" t="s">
        <v>128</v>
      </c>
      <c r="N2207">
        <v>1</v>
      </c>
      <c r="O2207" s="89">
        <v>28754.37</v>
      </c>
      <c r="P2207" s="89">
        <v>805122.36</v>
      </c>
      <c r="Q2207" t="s">
        <v>135</v>
      </c>
      <c r="R2207" t="s">
        <v>131</v>
      </c>
    </row>
    <row r="2208" spans="3:18" x14ac:dyDescent="0.25">
      <c r="C2208" t="s">
        <v>47</v>
      </c>
      <c r="D2208" t="s">
        <v>21</v>
      </c>
      <c r="E2208" t="s">
        <v>40</v>
      </c>
      <c r="F2208" t="s">
        <v>41</v>
      </c>
      <c r="G2208" s="89">
        <v>930439</v>
      </c>
      <c r="H2208" t="s">
        <v>132</v>
      </c>
      <c r="I2208" t="s">
        <v>141</v>
      </c>
      <c r="J2208" s="89">
        <v>6513073</v>
      </c>
      <c r="K2208" t="s">
        <v>144</v>
      </c>
      <c r="N2208">
        <v>1</v>
      </c>
      <c r="O2208" s="89">
        <v>37217.56</v>
      </c>
      <c r="P2208" s="89">
        <v>223305.36</v>
      </c>
      <c r="Q2208" t="s">
        <v>130</v>
      </c>
      <c r="R2208" t="s">
        <v>131</v>
      </c>
    </row>
    <row r="2209" spans="3:18" x14ac:dyDescent="0.25">
      <c r="C2209" t="s">
        <v>47</v>
      </c>
      <c r="D2209" t="s">
        <v>138</v>
      </c>
      <c r="E2209" t="s">
        <v>40</v>
      </c>
      <c r="F2209" t="s">
        <v>41</v>
      </c>
      <c r="G2209" s="89">
        <v>126271</v>
      </c>
      <c r="H2209" t="s">
        <v>145</v>
      </c>
      <c r="I2209" t="s">
        <v>126</v>
      </c>
      <c r="J2209" s="89">
        <v>2272878</v>
      </c>
      <c r="K2209" t="s">
        <v>127</v>
      </c>
      <c r="L2209" t="s">
        <v>128</v>
      </c>
      <c r="N2209">
        <v>1</v>
      </c>
      <c r="O2209" s="89">
        <v>5050.84</v>
      </c>
      <c r="P2209" s="89">
        <v>35355.879999999997</v>
      </c>
      <c r="Q2209" t="s">
        <v>130</v>
      </c>
      <c r="R2209" t="s">
        <v>131</v>
      </c>
    </row>
    <row r="2210" spans="3:18" hidden="1" x14ac:dyDescent="0.25">
      <c r="C2210" t="s">
        <v>45</v>
      </c>
      <c r="D2210" t="s">
        <v>21</v>
      </c>
      <c r="E2210" t="s">
        <v>43</v>
      </c>
      <c r="F2210" t="s">
        <v>41</v>
      </c>
      <c r="G2210" s="89">
        <v>99431888</v>
      </c>
      <c r="H2210" t="s">
        <v>140</v>
      </c>
      <c r="I2210" t="s">
        <v>147</v>
      </c>
      <c r="J2210" s="89">
        <v>298295664</v>
      </c>
      <c r="K2210" t="s">
        <v>127</v>
      </c>
      <c r="L2210" t="s">
        <v>128</v>
      </c>
      <c r="N2210">
        <v>1</v>
      </c>
      <c r="O2210" s="89">
        <v>2982956.64</v>
      </c>
      <c r="P2210" s="89">
        <v>11931826.560000001</v>
      </c>
      <c r="Q2210" t="s">
        <v>130</v>
      </c>
      <c r="R2210" t="s">
        <v>131</v>
      </c>
    </row>
    <row r="2211" spans="3:18" x14ac:dyDescent="0.25">
      <c r="C2211" t="s">
        <v>47</v>
      </c>
      <c r="D2211" t="s">
        <v>138</v>
      </c>
      <c r="E2211" t="s">
        <v>40</v>
      </c>
      <c r="F2211" t="s">
        <v>41</v>
      </c>
      <c r="G2211" s="89">
        <v>214020</v>
      </c>
      <c r="H2211" t="s">
        <v>140</v>
      </c>
      <c r="I2211" t="s">
        <v>141</v>
      </c>
      <c r="J2211" s="89">
        <v>1926180</v>
      </c>
      <c r="K2211" t="s">
        <v>127</v>
      </c>
      <c r="L2211" t="s">
        <v>128</v>
      </c>
      <c r="N2211">
        <v>1</v>
      </c>
      <c r="O2211" s="89">
        <v>8560.7999999999993</v>
      </c>
      <c r="P2211" s="89">
        <v>246123</v>
      </c>
      <c r="Q2211" t="s">
        <v>150</v>
      </c>
      <c r="R2211" t="s">
        <v>131</v>
      </c>
    </row>
    <row r="2212" spans="3:18" hidden="1" x14ac:dyDescent="0.25">
      <c r="C2212" t="s">
        <v>45</v>
      </c>
      <c r="D2212" t="s">
        <v>21</v>
      </c>
      <c r="E2212" t="s">
        <v>40</v>
      </c>
      <c r="F2212" t="s">
        <v>41</v>
      </c>
      <c r="G2212" s="89">
        <v>12975006</v>
      </c>
      <c r="H2212" t="s">
        <v>42</v>
      </c>
      <c r="I2212" t="s">
        <v>133</v>
      </c>
      <c r="J2212" s="89">
        <v>363300168</v>
      </c>
      <c r="K2212" t="s">
        <v>127</v>
      </c>
      <c r="L2212" t="s">
        <v>128</v>
      </c>
      <c r="M2212" t="s">
        <v>129</v>
      </c>
      <c r="N2212">
        <v>1</v>
      </c>
      <c r="O2212" s="89">
        <v>389250.18</v>
      </c>
      <c r="P2212" s="89">
        <v>3633001.68</v>
      </c>
      <c r="Q2212" t="s">
        <v>130</v>
      </c>
      <c r="R2212" t="s">
        <v>42</v>
      </c>
    </row>
    <row r="2213" spans="3:18" hidden="1" x14ac:dyDescent="0.25">
      <c r="C2213" t="s">
        <v>45</v>
      </c>
      <c r="D2213" t="s">
        <v>24</v>
      </c>
      <c r="E2213" t="s">
        <v>44</v>
      </c>
      <c r="F2213" t="s">
        <v>41</v>
      </c>
      <c r="G2213" s="89">
        <v>922612</v>
      </c>
      <c r="H2213" t="s">
        <v>146</v>
      </c>
      <c r="I2213" t="s">
        <v>126</v>
      </c>
      <c r="J2213" s="89">
        <v>16607016</v>
      </c>
      <c r="K2213" t="s">
        <v>127</v>
      </c>
      <c r="L2213" t="s">
        <v>128</v>
      </c>
      <c r="N2213">
        <v>1</v>
      </c>
      <c r="O2213" s="89">
        <v>27678.36</v>
      </c>
      <c r="P2213" s="89">
        <v>461306</v>
      </c>
      <c r="Q2213" t="s">
        <v>142</v>
      </c>
      <c r="R2213" t="s">
        <v>131</v>
      </c>
    </row>
    <row r="2214" spans="3:18" hidden="1" x14ac:dyDescent="0.25">
      <c r="C2214" t="s">
        <v>45</v>
      </c>
      <c r="D2214" t="s">
        <v>22</v>
      </c>
      <c r="E2214" t="s">
        <v>40</v>
      </c>
      <c r="F2214" t="s">
        <v>41</v>
      </c>
      <c r="G2214" s="89">
        <v>15273983</v>
      </c>
      <c r="H2214" t="s">
        <v>140</v>
      </c>
      <c r="I2214" t="s">
        <v>133</v>
      </c>
      <c r="J2214" s="89">
        <v>458219490</v>
      </c>
      <c r="K2214" t="s">
        <v>127</v>
      </c>
      <c r="L2214" t="s">
        <v>128</v>
      </c>
      <c r="N2214">
        <v>1</v>
      </c>
      <c r="O2214" s="89">
        <v>458219.49</v>
      </c>
      <c r="P2214" s="89">
        <v>18328779.600000001</v>
      </c>
      <c r="Q2214" t="s">
        <v>150</v>
      </c>
      <c r="R2214" t="s">
        <v>131</v>
      </c>
    </row>
    <row r="2215" spans="3:18" hidden="1" x14ac:dyDescent="0.25">
      <c r="C2215" t="s">
        <v>45</v>
      </c>
      <c r="D2215" t="s">
        <v>23</v>
      </c>
      <c r="E2215" t="s">
        <v>40</v>
      </c>
      <c r="F2215" t="s">
        <v>41</v>
      </c>
      <c r="G2215" s="89">
        <v>1746102</v>
      </c>
      <c r="H2215" t="s">
        <v>146</v>
      </c>
      <c r="I2215" t="s">
        <v>126</v>
      </c>
      <c r="J2215" s="89">
        <v>29683734</v>
      </c>
      <c r="K2215" t="s">
        <v>127</v>
      </c>
      <c r="L2215" t="s">
        <v>128</v>
      </c>
      <c r="N2215">
        <v>1</v>
      </c>
      <c r="O2215" s="89">
        <v>52383.06</v>
      </c>
      <c r="P2215" s="89">
        <v>1152427.32</v>
      </c>
      <c r="Q2215" t="s">
        <v>137</v>
      </c>
      <c r="R2215" t="s">
        <v>131</v>
      </c>
    </row>
    <row r="2216" spans="3:18" hidden="1" x14ac:dyDescent="0.25">
      <c r="C2216" t="s">
        <v>45</v>
      </c>
      <c r="D2216" t="s">
        <v>149</v>
      </c>
      <c r="E2216" t="s">
        <v>46</v>
      </c>
      <c r="F2216" t="s">
        <v>41</v>
      </c>
      <c r="G2216" s="89">
        <v>141352</v>
      </c>
      <c r="H2216" t="s">
        <v>42</v>
      </c>
      <c r="I2216" t="s">
        <v>133</v>
      </c>
      <c r="J2216" s="89">
        <v>4664616</v>
      </c>
      <c r="K2216" t="s">
        <v>127</v>
      </c>
      <c r="L2216" t="s">
        <v>128</v>
      </c>
      <c r="M2216" t="s">
        <v>136</v>
      </c>
      <c r="N2216">
        <v>1</v>
      </c>
      <c r="O2216" s="89">
        <v>4240.5600000000004</v>
      </c>
      <c r="P2216" s="89">
        <v>117322.16</v>
      </c>
      <c r="Q2216" t="s">
        <v>135</v>
      </c>
      <c r="R2216" t="s">
        <v>42</v>
      </c>
    </row>
    <row r="2217" spans="3:18" hidden="1" x14ac:dyDescent="0.25">
      <c r="C2217" t="s">
        <v>45</v>
      </c>
      <c r="D2217" t="s">
        <v>24</v>
      </c>
      <c r="E2217" t="s">
        <v>44</v>
      </c>
      <c r="F2217" t="s">
        <v>41</v>
      </c>
      <c r="G2217" s="89">
        <v>668699</v>
      </c>
      <c r="H2217" t="s">
        <v>132</v>
      </c>
      <c r="I2217" t="s">
        <v>133</v>
      </c>
      <c r="J2217" s="89">
        <v>19392271</v>
      </c>
      <c r="K2217" t="s">
        <v>127</v>
      </c>
      <c r="L2217" t="s">
        <v>128</v>
      </c>
      <c r="N2217">
        <v>1</v>
      </c>
      <c r="O2217" s="89">
        <v>20060.97</v>
      </c>
      <c r="P2217" s="89">
        <v>454715.32</v>
      </c>
      <c r="Q2217" t="s">
        <v>137</v>
      </c>
      <c r="R2217" t="s">
        <v>131</v>
      </c>
    </row>
    <row r="2218" spans="3:18" hidden="1" x14ac:dyDescent="0.25">
      <c r="C2218" t="s">
        <v>45</v>
      </c>
      <c r="D2218" t="s">
        <v>24</v>
      </c>
      <c r="E2218" t="s">
        <v>43</v>
      </c>
      <c r="F2218" t="s">
        <v>41</v>
      </c>
      <c r="G2218" s="89">
        <v>101023</v>
      </c>
      <c r="H2218" t="s">
        <v>42</v>
      </c>
      <c r="I2218" t="s">
        <v>126</v>
      </c>
      <c r="J2218" s="89">
        <v>1616368</v>
      </c>
      <c r="K2218" t="s">
        <v>144</v>
      </c>
      <c r="N2218">
        <v>1</v>
      </c>
      <c r="O2218" s="89">
        <v>3030.69</v>
      </c>
      <c r="P2218" s="89">
        <v>26265.98</v>
      </c>
      <c r="Q2218" t="s">
        <v>130</v>
      </c>
      <c r="R2218" t="s">
        <v>42</v>
      </c>
    </row>
    <row r="2219" spans="3:18" hidden="1" x14ac:dyDescent="0.25">
      <c r="C2219" t="s">
        <v>39</v>
      </c>
      <c r="D2219" t="s">
        <v>138</v>
      </c>
      <c r="E2219" t="s">
        <v>43</v>
      </c>
      <c r="F2219" t="s">
        <v>41</v>
      </c>
      <c r="G2219" s="89">
        <v>1574057</v>
      </c>
      <c r="H2219" t="s">
        <v>140</v>
      </c>
      <c r="I2219" t="s">
        <v>133</v>
      </c>
      <c r="J2219" s="89"/>
      <c r="N2219">
        <v>0</v>
      </c>
      <c r="O2219" s="89"/>
      <c r="P2219" s="89"/>
      <c r="R2219" t="s">
        <v>131</v>
      </c>
    </row>
    <row r="2220" spans="3:18" hidden="1" x14ac:dyDescent="0.25">
      <c r="C2220" t="s">
        <v>45</v>
      </c>
      <c r="D2220" t="s">
        <v>22</v>
      </c>
      <c r="E2220" t="s">
        <v>40</v>
      </c>
      <c r="F2220" t="s">
        <v>53</v>
      </c>
      <c r="G2220" s="89">
        <v>627032</v>
      </c>
      <c r="H2220" t="s">
        <v>140</v>
      </c>
      <c r="I2220" t="s">
        <v>133</v>
      </c>
      <c r="J2220" s="89">
        <v>18810960</v>
      </c>
      <c r="K2220" t="s">
        <v>144</v>
      </c>
      <c r="N2220">
        <v>1</v>
      </c>
      <c r="O2220" s="89">
        <v>18810.96</v>
      </c>
      <c r="P2220" s="89">
        <v>100325.12</v>
      </c>
      <c r="Q2220" t="s">
        <v>130</v>
      </c>
      <c r="R2220" t="s">
        <v>131</v>
      </c>
    </row>
    <row r="2221" spans="3:18" x14ac:dyDescent="0.25">
      <c r="C2221" t="s">
        <v>47</v>
      </c>
      <c r="D2221" t="s">
        <v>22</v>
      </c>
      <c r="E2221" t="s">
        <v>40</v>
      </c>
      <c r="F2221" t="s">
        <v>41</v>
      </c>
      <c r="G2221" s="89">
        <v>395907</v>
      </c>
      <c r="H2221" t="s">
        <v>132</v>
      </c>
      <c r="I2221" t="s">
        <v>126</v>
      </c>
      <c r="J2221" s="89">
        <v>4750884</v>
      </c>
      <c r="K2221" t="s">
        <v>144</v>
      </c>
      <c r="N2221">
        <v>1</v>
      </c>
      <c r="O2221" s="89">
        <v>11877.21</v>
      </c>
      <c r="P2221" s="89">
        <v>257339.55</v>
      </c>
      <c r="Q2221" t="s">
        <v>137</v>
      </c>
      <c r="R2221" t="s">
        <v>131</v>
      </c>
    </row>
    <row r="2222" spans="3:18" hidden="1" x14ac:dyDescent="0.25">
      <c r="C2222" t="s">
        <v>45</v>
      </c>
      <c r="D2222" t="s">
        <v>20</v>
      </c>
      <c r="E2222" t="s">
        <v>43</v>
      </c>
      <c r="F2222" t="s">
        <v>41</v>
      </c>
      <c r="G2222" s="89">
        <v>399525</v>
      </c>
      <c r="H2222" t="s">
        <v>42</v>
      </c>
      <c r="I2222" t="s">
        <v>126</v>
      </c>
      <c r="J2222" s="89">
        <v>6791925</v>
      </c>
      <c r="K2222" t="s">
        <v>134</v>
      </c>
      <c r="L2222" t="s">
        <v>128</v>
      </c>
      <c r="M2222" t="s">
        <v>139</v>
      </c>
      <c r="N2222">
        <v>1</v>
      </c>
      <c r="O2222" s="89">
        <v>11985.75</v>
      </c>
      <c r="P2222" s="89">
        <v>191772</v>
      </c>
      <c r="Q2222" t="s">
        <v>142</v>
      </c>
      <c r="R2222" t="s">
        <v>131</v>
      </c>
    </row>
    <row r="2223" spans="3:18" hidden="1" x14ac:dyDescent="0.25">
      <c r="C2223" t="s">
        <v>45</v>
      </c>
      <c r="D2223" t="s">
        <v>50</v>
      </c>
      <c r="E2223" t="s">
        <v>50</v>
      </c>
      <c r="F2223" t="s">
        <v>41</v>
      </c>
      <c r="G2223" s="89">
        <v>0</v>
      </c>
      <c r="H2223" t="s">
        <v>51</v>
      </c>
      <c r="I2223" t="s">
        <v>147</v>
      </c>
      <c r="J2223" s="89">
        <v>0</v>
      </c>
      <c r="K2223" t="s">
        <v>127</v>
      </c>
      <c r="N2223">
        <v>1</v>
      </c>
      <c r="O2223" s="89">
        <v>0</v>
      </c>
      <c r="P2223" s="89">
        <v>0</v>
      </c>
      <c r="Q2223" t="s">
        <v>150</v>
      </c>
    </row>
    <row r="2224" spans="3:18" hidden="1" x14ac:dyDescent="0.25">
      <c r="C2224" t="s">
        <v>45</v>
      </c>
      <c r="D2224" t="s">
        <v>22</v>
      </c>
      <c r="E2224" t="s">
        <v>40</v>
      </c>
      <c r="F2224" t="s">
        <v>41</v>
      </c>
      <c r="G2224" s="89">
        <v>0</v>
      </c>
      <c r="H2224" t="s">
        <v>146</v>
      </c>
      <c r="I2224" t="s">
        <v>147</v>
      </c>
      <c r="J2224" s="89">
        <v>0</v>
      </c>
      <c r="K2224" t="s">
        <v>127</v>
      </c>
      <c r="L2224" t="s">
        <v>128</v>
      </c>
      <c r="N2224">
        <v>1</v>
      </c>
      <c r="O2224" s="89">
        <v>0</v>
      </c>
      <c r="P2224" s="89">
        <v>0</v>
      </c>
      <c r="Q2224" t="s">
        <v>150</v>
      </c>
      <c r="R2224" t="s">
        <v>131</v>
      </c>
    </row>
    <row r="2225" spans="3:18" hidden="1" x14ac:dyDescent="0.25">
      <c r="C2225" t="s">
        <v>45</v>
      </c>
      <c r="D2225" t="s">
        <v>21</v>
      </c>
      <c r="E2225" t="s">
        <v>40</v>
      </c>
      <c r="F2225" t="s">
        <v>41</v>
      </c>
      <c r="G2225" s="89">
        <v>981564</v>
      </c>
      <c r="H2225" t="s">
        <v>42</v>
      </c>
      <c r="I2225" t="s">
        <v>126</v>
      </c>
      <c r="J2225" s="89">
        <v>17668152</v>
      </c>
      <c r="K2225" t="s">
        <v>127</v>
      </c>
      <c r="L2225" t="s">
        <v>128</v>
      </c>
      <c r="M2225" t="s">
        <v>129</v>
      </c>
      <c r="N2225">
        <v>1</v>
      </c>
      <c r="O2225" s="89">
        <v>29446.92</v>
      </c>
      <c r="P2225" s="89">
        <v>795066.84</v>
      </c>
      <c r="Q2225" t="s">
        <v>135</v>
      </c>
      <c r="R2225" t="s">
        <v>42</v>
      </c>
    </row>
    <row r="2226" spans="3:18" hidden="1" x14ac:dyDescent="0.25">
      <c r="C2226" t="s">
        <v>45</v>
      </c>
      <c r="D2226" t="s">
        <v>24</v>
      </c>
      <c r="E2226" t="s">
        <v>44</v>
      </c>
      <c r="F2226" t="s">
        <v>53</v>
      </c>
      <c r="G2226" s="89">
        <v>38496</v>
      </c>
      <c r="H2226" t="s">
        <v>140</v>
      </c>
      <c r="I2226" t="s">
        <v>126</v>
      </c>
      <c r="J2226" s="89">
        <v>538944</v>
      </c>
      <c r="K2226" t="s">
        <v>127</v>
      </c>
      <c r="L2226" t="s">
        <v>128</v>
      </c>
      <c r="N2226">
        <v>1</v>
      </c>
      <c r="O2226" s="89">
        <v>2694.72</v>
      </c>
      <c r="P2226" s="89">
        <v>9239.0400000000009</v>
      </c>
      <c r="Q2226" t="s">
        <v>130</v>
      </c>
      <c r="R2226" t="s">
        <v>131</v>
      </c>
    </row>
    <row r="2227" spans="3:18" hidden="1" x14ac:dyDescent="0.25">
      <c r="C2227" t="s">
        <v>45</v>
      </c>
      <c r="D2227" t="s">
        <v>24</v>
      </c>
      <c r="E2227" t="s">
        <v>46</v>
      </c>
      <c r="F2227" t="s">
        <v>41</v>
      </c>
      <c r="G2227" s="89">
        <v>212549</v>
      </c>
      <c r="H2227" t="s">
        <v>42</v>
      </c>
      <c r="I2227" t="s">
        <v>126</v>
      </c>
      <c r="J2227" s="89">
        <v>3400784</v>
      </c>
      <c r="K2227" t="s">
        <v>127</v>
      </c>
      <c r="L2227" t="s">
        <v>128</v>
      </c>
      <c r="M2227" t="s">
        <v>148</v>
      </c>
      <c r="N2227">
        <v>1</v>
      </c>
      <c r="O2227" s="89">
        <v>6376.47</v>
      </c>
      <c r="P2227" s="89">
        <v>140282.34</v>
      </c>
      <c r="Q2227" t="s">
        <v>137</v>
      </c>
      <c r="R2227" t="s">
        <v>42</v>
      </c>
    </row>
    <row r="2228" spans="3:18" x14ac:dyDescent="0.25">
      <c r="C2228" t="s">
        <v>47</v>
      </c>
      <c r="D2228" t="s">
        <v>23</v>
      </c>
      <c r="E2228" t="s">
        <v>52</v>
      </c>
      <c r="F2228" t="s">
        <v>41</v>
      </c>
      <c r="G2228" s="89">
        <v>1275620</v>
      </c>
      <c r="H2228" t="s">
        <v>42</v>
      </c>
      <c r="I2228" t="s">
        <v>126</v>
      </c>
      <c r="J2228" s="89">
        <v>17858680</v>
      </c>
      <c r="K2228" t="s">
        <v>127</v>
      </c>
      <c r="L2228" t="s">
        <v>128</v>
      </c>
      <c r="M2228" t="s">
        <v>152</v>
      </c>
      <c r="N2228">
        <v>1</v>
      </c>
      <c r="O2228" s="89">
        <v>38268.6</v>
      </c>
      <c r="P2228" s="89">
        <v>905690.2</v>
      </c>
      <c r="Q2228" t="s">
        <v>137</v>
      </c>
      <c r="R2228" t="s">
        <v>131</v>
      </c>
    </row>
    <row r="2229" spans="3:18" x14ac:dyDescent="0.25">
      <c r="C2229" t="s">
        <v>47</v>
      </c>
      <c r="D2229" t="s">
        <v>20</v>
      </c>
      <c r="E2229" t="s">
        <v>40</v>
      </c>
      <c r="F2229" t="s">
        <v>41</v>
      </c>
      <c r="G2229" s="89">
        <v>528</v>
      </c>
      <c r="H2229" t="s">
        <v>145</v>
      </c>
      <c r="I2229" t="s">
        <v>147</v>
      </c>
      <c r="J2229" s="89"/>
      <c r="K2229" t="s">
        <v>127</v>
      </c>
      <c r="L2229" t="s">
        <v>128</v>
      </c>
      <c r="N2229">
        <v>0</v>
      </c>
      <c r="O2229" s="89">
        <v>5.28</v>
      </c>
      <c r="P2229" s="89">
        <v>0</v>
      </c>
      <c r="Q2229" t="s">
        <v>130</v>
      </c>
      <c r="R2229" t="s">
        <v>131</v>
      </c>
    </row>
    <row r="2230" spans="3:18" x14ac:dyDescent="0.25">
      <c r="C2230" t="s">
        <v>47</v>
      </c>
      <c r="D2230" t="s">
        <v>21</v>
      </c>
      <c r="E2230" t="s">
        <v>43</v>
      </c>
      <c r="F2230" t="s">
        <v>41</v>
      </c>
      <c r="G2230" s="89">
        <v>145676</v>
      </c>
      <c r="H2230" t="s">
        <v>140</v>
      </c>
      <c r="I2230" t="s">
        <v>141</v>
      </c>
      <c r="J2230" s="89">
        <v>728380</v>
      </c>
      <c r="K2230" t="s">
        <v>127</v>
      </c>
      <c r="L2230" t="s">
        <v>128</v>
      </c>
      <c r="N2230">
        <v>1</v>
      </c>
      <c r="O2230" s="89">
        <v>2913.52</v>
      </c>
      <c r="P2230" s="89">
        <v>218514</v>
      </c>
      <c r="Q2230" t="s">
        <v>150</v>
      </c>
      <c r="R2230" t="s">
        <v>131</v>
      </c>
    </row>
    <row r="2231" spans="3:18" hidden="1" x14ac:dyDescent="0.25">
      <c r="C2231" t="s">
        <v>45</v>
      </c>
      <c r="D2231" t="s">
        <v>22</v>
      </c>
      <c r="E2231" t="s">
        <v>48</v>
      </c>
      <c r="F2231" t="s">
        <v>41</v>
      </c>
      <c r="G2231" s="89">
        <v>103572</v>
      </c>
      <c r="H2231" t="s">
        <v>140</v>
      </c>
      <c r="I2231" t="s">
        <v>133</v>
      </c>
      <c r="J2231" s="89">
        <v>2900016</v>
      </c>
      <c r="K2231" t="s">
        <v>127</v>
      </c>
      <c r="L2231" t="s">
        <v>128</v>
      </c>
      <c r="N2231">
        <v>1</v>
      </c>
      <c r="O2231" s="89">
        <v>3107.16</v>
      </c>
      <c r="P2231" s="89">
        <v>105643.44</v>
      </c>
      <c r="Q2231" t="s">
        <v>150</v>
      </c>
      <c r="R2231" t="s">
        <v>131</v>
      </c>
    </row>
    <row r="2232" spans="3:18" x14ac:dyDescent="0.25">
      <c r="C2232" t="s">
        <v>47</v>
      </c>
      <c r="D2232" t="s">
        <v>24</v>
      </c>
      <c r="E2232" t="s">
        <v>48</v>
      </c>
      <c r="F2232" t="s">
        <v>41</v>
      </c>
      <c r="G2232" s="89">
        <v>201993</v>
      </c>
      <c r="H2232" t="s">
        <v>42</v>
      </c>
      <c r="I2232" t="s">
        <v>147</v>
      </c>
      <c r="J2232" s="89">
        <v>605979</v>
      </c>
      <c r="K2232" t="s">
        <v>127</v>
      </c>
      <c r="L2232" t="s">
        <v>128</v>
      </c>
      <c r="M2232" t="s">
        <v>148</v>
      </c>
      <c r="N2232">
        <v>1</v>
      </c>
      <c r="O2232" s="89">
        <v>8079.72</v>
      </c>
      <c r="P2232" s="89">
        <v>40398.6</v>
      </c>
      <c r="Q2232" t="s">
        <v>130</v>
      </c>
      <c r="R2232" t="s">
        <v>42</v>
      </c>
    </row>
    <row r="2233" spans="3:18" hidden="1" x14ac:dyDescent="0.25">
      <c r="C2233" t="s">
        <v>45</v>
      </c>
      <c r="D2233" t="s">
        <v>23</v>
      </c>
      <c r="E2233" t="s">
        <v>40</v>
      </c>
      <c r="F2233" t="s">
        <v>41</v>
      </c>
      <c r="G2233" s="89">
        <v>504952</v>
      </c>
      <c r="H2233" t="s">
        <v>140</v>
      </c>
      <c r="I2233" t="s">
        <v>133</v>
      </c>
      <c r="J2233" s="89">
        <v>11613896</v>
      </c>
      <c r="K2233" t="s">
        <v>134</v>
      </c>
      <c r="L2233" t="s">
        <v>128</v>
      </c>
      <c r="N2233">
        <v>1</v>
      </c>
      <c r="O2233" s="89">
        <v>15148.56</v>
      </c>
      <c r="P2233" s="89">
        <v>136337.04</v>
      </c>
      <c r="Q2233" t="s">
        <v>130</v>
      </c>
      <c r="R2233" t="s">
        <v>131</v>
      </c>
    </row>
    <row r="2234" spans="3:18" hidden="1" x14ac:dyDescent="0.25">
      <c r="C2234" t="s">
        <v>45</v>
      </c>
      <c r="D2234" t="s">
        <v>24</v>
      </c>
      <c r="E2234" t="s">
        <v>40</v>
      </c>
      <c r="F2234" t="s">
        <v>41</v>
      </c>
      <c r="G2234" s="89">
        <v>198080</v>
      </c>
      <c r="H2234" t="s">
        <v>42</v>
      </c>
      <c r="I2234" t="s">
        <v>126</v>
      </c>
      <c r="J2234" s="89">
        <v>3367360</v>
      </c>
      <c r="K2234" t="s">
        <v>127</v>
      </c>
      <c r="L2234" t="s">
        <v>128</v>
      </c>
      <c r="M2234" t="s">
        <v>148</v>
      </c>
      <c r="N2234">
        <v>1</v>
      </c>
      <c r="O2234" s="89">
        <v>5942.4</v>
      </c>
      <c r="P2234" s="89">
        <v>99040</v>
      </c>
      <c r="Q2234" t="s">
        <v>142</v>
      </c>
      <c r="R2234" t="s">
        <v>42</v>
      </c>
    </row>
    <row r="2235" spans="3:18" hidden="1" x14ac:dyDescent="0.25">
      <c r="C2235" t="s">
        <v>45</v>
      </c>
      <c r="D2235" t="s">
        <v>21</v>
      </c>
      <c r="E2235" t="s">
        <v>43</v>
      </c>
      <c r="F2235" t="s">
        <v>41</v>
      </c>
      <c r="G2235" s="89">
        <v>87882</v>
      </c>
      <c r="H2235" t="s">
        <v>42</v>
      </c>
      <c r="I2235" t="s">
        <v>133</v>
      </c>
      <c r="J2235" s="89">
        <v>2548578</v>
      </c>
      <c r="K2235" t="s">
        <v>127</v>
      </c>
      <c r="L2235" t="s">
        <v>128</v>
      </c>
      <c r="M2235" t="s">
        <v>143</v>
      </c>
      <c r="N2235">
        <v>1</v>
      </c>
      <c r="O2235" s="89">
        <v>2636.46</v>
      </c>
      <c r="P2235" s="89">
        <v>55365.66</v>
      </c>
      <c r="Q2235" t="s">
        <v>137</v>
      </c>
      <c r="R2235" t="s">
        <v>131</v>
      </c>
    </row>
    <row r="2236" spans="3:18" x14ac:dyDescent="0.25">
      <c r="C2236" t="s">
        <v>47</v>
      </c>
      <c r="D2236" t="s">
        <v>19</v>
      </c>
      <c r="E2236" t="s">
        <v>43</v>
      </c>
      <c r="F2236" t="s">
        <v>41</v>
      </c>
      <c r="G2236" s="89">
        <v>4887925</v>
      </c>
      <c r="H2236" t="s">
        <v>146</v>
      </c>
      <c r="I2236" t="s">
        <v>147</v>
      </c>
      <c r="J2236" s="89">
        <v>9775850</v>
      </c>
      <c r="K2236" t="s">
        <v>127</v>
      </c>
      <c r="L2236" t="s">
        <v>128</v>
      </c>
      <c r="N2236">
        <v>1</v>
      </c>
      <c r="O2236" s="89">
        <v>244396.25</v>
      </c>
      <c r="P2236" s="89">
        <v>439913.25</v>
      </c>
      <c r="Q2236" t="s">
        <v>130</v>
      </c>
      <c r="R2236" t="s">
        <v>131</v>
      </c>
    </row>
    <row r="2237" spans="3:18" hidden="1" x14ac:dyDescent="0.25">
      <c r="C2237" t="s">
        <v>45</v>
      </c>
      <c r="D2237" t="s">
        <v>22</v>
      </c>
      <c r="E2237" t="s">
        <v>44</v>
      </c>
      <c r="F2237" t="s">
        <v>41</v>
      </c>
      <c r="G2237" s="89">
        <v>95534</v>
      </c>
      <c r="H2237" t="s">
        <v>42</v>
      </c>
      <c r="I2237" t="s">
        <v>133</v>
      </c>
      <c r="J2237" s="89">
        <v>2388350</v>
      </c>
      <c r="K2237" t="s">
        <v>134</v>
      </c>
      <c r="L2237" t="s">
        <v>128</v>
      </c>
      <c r="M2237" t="s">
        <v>143</v>
      </c>
      <c r="N2237">
        <v>1</v>
      </c>
      <c r="O2237" s="89">
        <v>2866.02</v>
      </c>
      <c r="P2237" s="89">
        <v>37258.26</v>
      </c>
      <c r="Q2237" t="s">
        <v>130</v>
      </c>
      <c r="R2237" t="s">
        <v>42</v>
      </c>
    </row>
    <row r="2238" spans="3:18" x14ac:dyDescent="0.25">
      <c r="C2238" t="s">
        <v>47</v>
      </c>
      <c r="D2238" t="s">
        <v>24</v>
      </c>
      <c r="E2238" t="s">
        <v>44</v>
      </c>
      <c r="F2238" t="s">
        <v>41</v>
      </c>
      <c r="G2238" s="89">
        <v>116455</v>
      </c>
      <c r="H2238" t="s">
        <v>140</v>
      </c>
      <c r="I2238" t="s">
        <v>147</v>
      </c>
      <c r="J2238" s="89">
        <v>0</v>
      </c>
      <c r="K2238" t="s">
        <v>127</v>
      </c>
      <c r="L2238" t="s">
        <v>128</v>
      </c>
      <c r="N2238">
        <v>1</v>
      </c>
      <c r="O2238" s="89">
        <v>4658.2</v>
      </c>
      <c r="P2238" s="89">
        <v>9316.4</v>
      </c>
      <c r="Q2238" t="s">
        <v>130</v>
      </c>
      <c r="R2238" t="s">
        <v>131</v>
      </c>
    </row>
    <row r="2239" spans="3:18" hidden="1" x14ac:dyDescent="0.25">
      <c r="C2239" t="s">
        <v>45</v>
      </c>
      <c r="D2239" t="s">
        <v>149</v>
      </c>
      <c r="E2239" t="s">
        <v>43</v>
      </c>
      <c r="F2239" t="s">
        <v>41</v>
      </c>
      <c r="G2239" s="89">
        <v>61156</v>
      </c>
      <c r="H2239" t="s">
        <v>42</v>
      </c>
      <c r="I2239" t="s">
        <v>141</v>
      </c>
      <c r="J2239" s="89">
        <v>428092</v>
      </c>
      <c r="K2239" t="s">
        <v>144</v>
      </c>
      <c r="N2239">
        <v>1</v>
      </c>
      <c r="O2239" s="89">
        <v>1834.68</v>
      </c>
      <c r="P2239" s="89">
        <v>13454.32</v>
      </c>
      <c r="Q2239" t="s">
        <v>130</v>
      </c>
      <c r="R2239" t="s">
        <v>131</v>
      </c>
    </row>
    <row r="2240" spans="3:18" x14ac:dyDescent="0.25">
      <c r="C2240" t="s">
        <v>47</v>
      </c>
      <c r="D2240" t="s">
        <v>21</v>
      </c>
      <c r="E2240" t="s">
        <v>40</v>
      </c>
      <c r="F2240" t="s">
        <v>41</v>
      </c>
      <c r="G2240" s="89">
        <v>37678</v>
      </c>
      <c r="H2240" t="s">
        <v>42</v>
      </c>
      <c r="I2240" t="s">
        <v>141</v>
      </c>
      <c r="J2240" s="89">
        <v>339102</v>
      </c>
      <c r="K2240" t="s">
        <v>144</v>
      </c>
      <c r="N2240">
        <v>1</v>
      </c>
      <c r="O2240" s="89">
        <v>1507.12</v>
      </c>
      <c r="P2240" s="89">
        <v>16578.32</v>
      </c>
      <c r="Q2240" t="s">
        <v>142</v>
      </c>
      <c r="R2240" t="s">
        <v>131</v>
      </c>
    </row>
    <row r="2241" spans="3:18" hidden="1" x14ac:dyDescent="0.25">
      <c r="C2241" t="s">
        <v>45</v>
      </c>
      <c r="D2241" t="s">
        <v>23</v>
      </c>
      <c r="E2241" t="s">
        <v>52</v>
      </c>
      <c r="F2241" t="s">
        <v>41</v>
      </c>
      <c r="G2241" s="89">
        <v>14037045</v>
      </c>
      <c r="H2241" t="s">
        <v>42</v>
      </c>
      <c r="I2241" t="s">
        <v>133</v>
      </c>
      <c r="J2241" s="89">
        <v>477259530</v>
      </c>
      <c r="K2241" t="s">
        <v>144</v>
      </c>
      <c r="N2241">
        <v>1</v>
      </c>
      <c r="O2241" s="89">
        <v>421111.35</v>
      </c>
      <c r="P2241" s="89">
        <v>10106672.4</v>
      </c>
      <c r="Q2241" t="s">
        <v>137</v>
      </c>
      <c r="R2241" t="s">
        <v>42</v>
      </c>
    </row>
    <row r="2242" spans="3:18" hidden="1" x14ac:dyDescent="0.25">
      <c r="C2242" t="s">
        <v>45</v>
      </c>
      <c r="D2242" t="s">
        <v>149</v>
      </c>
      <c r="E2242" t="s">
        <v>48</v>
      </c>
      <c r="F2242" t="s">
        <v>41</v>
      </c>
      <c r="G2242" s="89">
        <v>31963</v>
      </c>
      <c r="H2242" t="s">
        <v>42</v>
      </c>
      <c r="I2242" t="s">
        <v>126</v>
      </c>
      <c r="J2242" s="89">
        <v>607297</v>
      </c>
      <c r="K2242" t="s">
        <v>144</v>
      </c>
      <c r="N2242">
        <v>1</v>
      </c>
      <c r="O2242" s="89">
        <v>1598.15</v>
      </c>
      <c r="P2242" s="89">
        <v>18218.91</v>
      </c>
      <c r="Q2242" t="s">
        <v>142</v>
      </c>
      <c r="R2242" t="s">
        <v>42</v>
      </c>
    </row>
    <row r="2243" spans="3:18" hidden="1" x14ac:dyDescent="0.25">
      <c r="C2243" t="s">
        <v>45</v>
      </c>
      <c r="D2243" t="s">
        <v>138</v>
      </c>
      <c r="E2243" t="s">
        <v>52</v>
      </c>
      <c r="F2243" t="s">
        <v>41</v>
      </c>
      <c r="G2243" s="89">
        <v>220993</v>
      </c>
      <c r="H2243" t="s">
        <v>42</v>
      </c>
      <c r="I2243" t="s">
        <v>133</v>
      </c>
      <c r="J2243" s="89">
        <v>7955748</v>
      </c>
      <c r="K2243" t="s">
        <v>127</v>
      </c>
      <c r="L2243" t="s">
        <v>128</v>
      </c>
      <c r="M2243" t="s">
        <v>139</v>
      </c>
      <c r="N2243">
        <v>1</v>
      </c>
      <c r="O2243" s="89">
        <v>6629.79</v>
      </c>
      <c r="P2243" s="89">
        <v>179004.33</v>
      </c>
      <c r="Q2243" t="s">
        <v>135</v>
      </c>
      <c r="R2243" t="s">
        <v>42</v>
      </c>
    </row>
    <row r="2244" spans="3:18" hidden="1" x14ac:dyDescent="0.25">
      <c r="C2244" t="s">
        <v>45</v>
      </c>
      <c r="D2244" t="s">
        <v>24</v>
      </c>
      <c r="E2244" t="s">
        <v>44</v>
      </c>
      <c r="F2244" t="s">
        <v>41</v>
      </c>
      <c r="G2244" s="89">
        <v>503172</v>
      </c>
      <c r="H2244" t="s">
        <v>42</v>
      </c>
      <c r="I2244" t="s">
        <v>133</v>
      </c>
      <c r="J2244" s="89">
        <v>16604676</v>
      </c>
      <c r="K2244" t="s">
        <v>127</v>
      </c>
      <c r="L2244" t="s">
        <v>128</v>
      </c>
      <c r="M2244" t="s">
        <v>148</v>
      </c>
      <c r="N2244">
        <v>1</v>
      </c>
      <c r="O2244" s="89">
        <v>15095.16</v>
      </c>
      <c r="P2244" s="89">
        <v>654123.6</v>
      </c>
      <c r="Q2244" t="s">
        <v>150</v>
      </c>
      <c r="R2244" t="s">
        <v>131</v>
      </c>
    </row>
    <row r="2245" spans="3:18" hidden="1" x14ac:dyDescent="0.25">
      <c r="C2245" t="s">
        <v>45</v>
      </c>
      <c r="D2245" t="s">
        <v>21</v>
      </c>
      <c r="E2245" t="s">
        <v>43</v>
      </c>
      <c r="F2245" t="s">
        <v>41</v>
      </c>
      <c r="G2245" s="89">
        <v>97665910</v>
      </c>
      <c r="H2245" t="s">
        <v>140</v>
      </c>
      <c r="I2245" t="s">
        <v>133</v>
      </c>
      <c r="J2245" s="89">
        <v>2441647750</v>
      </c>
      <c r="K2245" t="s">
        <v>127</v>
      </c>
      <c r="L2245" t="s">
        <v>128</v>
      </c>
      <c r="N2245">
        <v>1</v>
      </c>
      <c r="O2245" s="89">
        <v>2929977.3</v>
      </c>
      <c r="P2245" s="89">
        <v>27346454.800000001</v>
      </c>
      <c r="Q2245" t="s">
        <v>130</v>
      </c>
      <c r="R2245" t="s">
        <v>131</v>
      </c>
    </row>
    <row r="2246" spans="3:18" hidden="1" x14ac:dyDescent="0.25">
      <c r="C2246" t="s">
        <v>45</v>
      </c>
      <c r="D2246" t="s">
        <v>20</v>
      </c>
      <c r="E2246" t="s">
        <v>43</v>
      </c>
      <c r="F2246" t="s">
        <v>41</v>
      </c>
      <c r="G2246" s="89">
        <v>6440011</v>
      </c>
      <c r="H2246" t="s">
        <v>132</v>
      </c>
      <c r="I2246" t="s">
        <v>133</v>
      </c>
      <c r="J2246" s="89">
        <v>173880297</v>
      </c>
      <c r="K2246" t="s">
        <v>127</v>
      </c>
      <c r="L2246" t="s">
        <v>128</v>
      </c>
      <c r="N2246">
        <v>1</v>
      </c>
      <c r="O2246" s="89">
        <v>193200.33</v>
      </c>
      <c r="P2246" s="89">
        <v>1803203.08</v>
      </c>
      <c r="Q2246" t="s">
        <v>130</v>
      </c>
      <c r="R2246" t="s">
        <v>131</v>
      </c>
    </row>
    <row r="2247" spans="3:18" hidden="1" x14ac:dyDescent="0.25">
      <c r="C2247" t="s">
        <v>45</v>
      </c>
      <c r="D2247" t="s">
        <v>23</v>
      </c>
      <c r="E2247" t="s">
        <v>48</v>
      </c>
      <c r="F2247" t="s">
        <v>41</v>
      </c>
      <c r="G2247" s="89">
        <v>57900</v>
      </c>
      <c r="H2247" t="s">
        <v>140</v>
      </c>
      <c r="I2247" t="s">
        <v>133</v>
      </c>
      <c r="J2247" s="89">
        <v>2084400</v>
      </c>
      <c r="K2247" t="s">
        <v>134</v>
      </c>
      <c r="N2247">
        <v>1</v>
      </c>
      <c r="O2247" s="89">
        <v>1737</v>
      </c>
      <c r="P2247" s="89">
        <v>31845</v>
      </c>
      <c r="Q2247" t="s">
        <v>142</v>
      </c>
      <c r="R2247" t="s">
        <v>131</v>
      </c>
    </row>
    <row r="2248" spans="3:18" hidden="1" x14ac:dyDescent="0.25">
      <c r="C2248" t="s">
        <v>45</v>
      </c>
      <c r="D2248" t="s">
        <v>24</v>
      </c>
      <c r="E2248" t="s">
        <v>48</v>
      </c>
      <c r="F2248" t="s">
        <v>41</v>
      </c>
      <c r="G2248" s="89">
        <v>875727</v>
      </c>
      <c r="H2248" t="s">
        <v>140</v>
      </c>
      <c r="I2248" t="s">
        <v>133</v>
      </c>
      <c r="J2248" s="89">
        <v>30650445</v>
      </c>
      <c r="K2248" t="s">
        <v>134</v>
      </c>
      <c r="L2248" t="s">
        <v>128</v>
      </c>
      <c r="N2248">
        <v>1</v>
      </c>
      <c r="O2248" s="89">
        <v>17514.54</v>
      </c>
      <c r="P2248" s="89">
        <v>779397.03</v>
      </c>
      <c r="Q2248" t="s">
        <v>135</v>
      </c>
      <c r="R2248" t="s">
        <v>131</v>
      </c>
    </row>
    <row r="2249" spans="3:18" hidden="1" x14ac:dyDescent="0.25">
      <c r="C2249" t="s">
        <v>45</v>
      </c>
      <c r="D2249" t="s">
        <v>21</v>
      </c>
      <c r="E2249" t="s">
        <v>43</v>
      </c>
      <c r="F2249" t="s">
        <v>41</v>
      </c>
      <c r="G2249" s="89">
        <v>153959</v>
      </c>
      <c r="H2249" t="s">
        <v>42</v>
      </c>
      <c r="I2249" t="s">
        <v>126</v>
      </c>
      <c r="J2249" s="89">
        <v>2463344</v>
      </c>
      <c r="K2249" t="s">
        <v>127</v>
      </c>
      <c r="L2249" t="s">
        <v>128</v>
      </c>
      <c r="M2249" t="s">
        <v>152</v>
      </c>
      <c r="N2249">
        <v>1</v>
      </c>
      <c r="O2249" s="89">
        <v>6158.36</v>
      </c>
      <c r="P2249" s="89">
        <v>73900.320000000007</v>
      </c>
      <c r="Q2249" t="s">
        <v>142</v>
      </c>
      <c r="R2249" t="s">
        <v>42</v>
      </c>
    </row>
    <row r="2250" spans="3:18" hidden="1" x14ac:dyDescent="0.25">
      <c r="C2250" t="s">
        <v>45</v>
      </c>
      <c r="D2250" t="s">
        <v>22</v>
      </c>
      <c r="E2250" t="s">
        <v>40</v>
      </c>
      <c r="F2250" t="s">
        <v>41</v>
      </c>
      <c r="G2250" s="89">
        <v>12135</v>
      </c>
      <c r="H2250" t="s">
        <v>42</v>
      </c>
      <c r="I2250" t="s">
        <v>141</v>
      </c>
      <c r="J2250" s="89">
        <v>84945</v>
      </c>
      <c r="K2250" t="s">
        <v>127</v>
      </c>
      <c r="L2250" t="s">
        <v>128</v>
      </c>
      <c r="M2250" t="s">
        <v>129</v>
      </c>
      <c r="N2250">
        <v>1</v>
      </c>
      <c r="O2250" s="89">
        <v>364.05</v>
      </c>
      <c r="P2250" s="89">
        <v>1820.25</v>
      </c>
      <c r="Q2250" t="s">
        <v>130</v>
      </c>
      <c r="R2250" t="s">
        <v>131</v>
      </c>
    </row>
    <row r="2251" spans="3:18" hidden="1" x14ac:dyDescent="0.25">
      <c r="C2251" t="s">
        <v>45</v>
      </c>
      <c r="D2251" t="s">
        <v>23</v>
      </c>
      <c r="E2251" t="s">
        <v>48</v>
      </c>
      <c r="F2251" t="s">
        <v>41</v>
      </c>
      <c r="G2251" s="89">
        <v>426861</v>
      </c>
      <c r="H2251" t="s">
        <v>146</v>
      </c>
      <c r="I2251" t="s">
        <v>133</v>
      </c>
      <c r="J2251" s="89">
        <v>13232691</v>
      </c>
      <c r="K2251" t="s">
        <v>144</v>
      </c>
      <c r="N2251">
        <v>1</v>
      </c>
      <c r="O2251" s="89">
        <v>12805.83</v>
      </c>
      <c r="P2251" s="89">
        <v>106715.25</v>
      </c>
      <c r="Q2251" t="s">
        <v>130</v>
      </c>
      <c r="R2251" t="s">
        <v>131</v>
      </c>
    </row>
    <row r="2252" spans="3:18" x14ac:dyDescent="0.25">
      <c r="C2252" t="s">
        <v>47</v>
      </c>
      <c r="D2252" t="s">
        <v>22</v>
      </c>
      <c r="E2252" t="s">
        <v>40</v>
      </c>
      <c r="F2252" t="s">
        <v>41</v>
      </c>
      <c r="G2252" s="89">
        <v>945044</v>
      </c>
      <c r="H2252" t="s">
        <v>132</v>
      </c>
      <c r="I2252" t="s">
        <v>126</v>
      </c>
      <c r="J2252" s="89">
        <v>11340528</v>
      </c>
      <c r="K2252" t="s">
        <v>127</v>
      </c>
      <c r="L2252" t="s">
        <v>128</v>
      </c>
      <c r="N2252">
        <v>1</v>
      </c>
      <c r="O2252" s="89">
        <v>37801.760000000002</v>
      </c>
      <c r="P2252" s="89">
        <v>633179.48</v>
      </c>
      <c r="Q2252" t="s">
        <v>137</v>
      </c>
      <c r="R2252" t="s">
        <v>131</v>
      </c>
    </row>
    <row r="2253" spans="3:18" hidden="1" x14ac:dyDescent="0.25">
      <c r="C2253" t="s">
        <v>45</v>
      </c>
      <c r="D2253" t="s">
        <v>25</v>
      </c>
      <c r="E2253" t="s">
        <v>43</v>
      </c>
      <c r="F2253" t="s">
        <v>41</v>
      </c>
      <c r="G2253" s="89">
        <v>223521</v>
      </c>
      <c r="H2253" t="s">
        <v>42</v>
      </c>
      <c r="I2253" t="s">
        <v>133</v>
      </c>
      <c r="J2253" s="89">
        <v>4917462</v>
      </c>
      <c r="K2253" t="s">
        <v>127</v>
      </c>
      <c r="L2253" t="s">
        <v>128</v>
      </c>
      <c r="M2253" t="s">
        <v>155</v>
      </c>
      <c r="N2253">
        <v>1</v>
      </c>
      <c r="O2253" s="89">
        <v>6705.63</v>
      </c>
      <c r="P2253" s="89">
        <v>75997.14</v>
      </c>
      <c r="Q2253" t="s">
        <v>130</v>
      </c>
      <c r="R2253" t="s">
        <v>131</v>
      </c>
    </row>
    <row r="2254" spans="3:18" hidden="1" x14ac:dyDescent="0.25">
      <c r="C2254" t="s">
        <v>45</v>
      </c>
      <c r="D2254" t="s">
        <v>138</v>
      </c>
      <c r="E2254" t="s">
        <v>40</v>
      </c>
      <c r="F2254" t="s">
        <v>41</v>
      </c>
      <c r="G2254" s="89">
        <v>895448</v>
      </c>
      <c r="H2254" t="s">
        <v>42</v>
      </c>
      <c r="I2254" t="s">
        <v>147</v>
      </c>
      <c r="J2254" s="89">
        <v>1790896</v>
      </c>
      <c r="K2254" t="s">
        <v>127</v>
      </c>
      <c r="L2254" t="s">
        <v>128</v>
      </c>
      <c r="M2254" t="s">
        <v>139</v>
      </c>
      <c r="N2254">
        <v>1</v>
      </c>
      <c r="O2254" s="89">
        <v>35817.919999999998</v>
      </c>
      <c r="P2254" s="89">
        <v>107453.75999999999</v>
      </c>
      <c r="Q2254" t="s">
        <v>130</v>
      </c>
      <c r="R2254" t="s">
        <v>131</v>
      </c>
    </row>
    <row r="2255" spans="3:18" hidden="1" x14ac:dyDescent="0.25">
      <c r="C2255" t="s">
        <v>45</v>
      </c>
      <c r="D2255" t="s">
        <v>21</v>
      </c>
      <c r="E2255" t="s">
        <v>43</v>
      </c>
      <c r="F2255" t="s">
        <v>41</v>
      </c>
      <c r="G2255" s="89">
        <v>15935180</v>
      </c>
      <c r="H2255" t="s">
        <v>132</v>
      </c>
      <c r="I2255" t="s">
        <v>133</v>
      </c>
      <c r="J2255" s="89">
        <v>478055400</v>
      </c>
      <c r="K2255" t="s">
        <v>144</v>
      </c>
      <c r="N2255">
        <v>1</v>
      </c>
      <c r="O2255" s="89">
        <v>478055.4</v>
      </c>
      <c r="P2255" s="89">
        <v>11154626</v>
      </c>
      <c r="Q2255" t="s">
        <v>137</v>
      </c>
      <c r="R2255" t="s">
        <v>131</v>
      </c>
    </row>
    <row r="2256" spans="3:18" hidden="1" x14ac:dyDescent="0.25">
      <c r="C2256" t="s">
        <v>45</v>
      </c>
      <c r="D2256" t="s">
        <v>22</v>
      </c>
      <c r="E2256" t="s">
        <v>46</v>
      </c>
      <c r="F2256" t="s">
        <v>41</v>
      </c>
      <c r="G2256" s="89">
        <v>220623</v>
      </c>
      <c r="H2256" t="s">
        <v>42</v>
      </c>
      <c r="I2256" t="s">
        <v>126</v>
      </c>
      <c r="J2256" s="89">
        <v>4191837</v>
      </c>
      <c r="K2256" t="s">
        <v>144</v>
      </c>
      <c r="N2256">
        <v>1</v>
      </c>
      <c r="O2256" s="89">
        <v>8824.92</v>
      </c>
      <c r="P2256" s="89">
        <v>176498.4</v>
      </c>
      <c r="Q2256" t="s">
        <v>135</v>
      </c>
      <c r="R2256" t="s">
        <v>42</v>
      </c>
    </row>
    <row r="2257" spans="3:18" hidden="1" x14ac:dyDescent="0.25">
      <c r="C2257" t="s">
        <v>45</v>
      </c>
      <c r="D2257" t="s">
        <v>21</v>
      </c>
      <c r="E2257" t="s">
        <v>40</v>
      </c>
      <c r="F2257" t="s">
        <v>41</v>
      </c>
      <c r="G2257" s="89">
        <v>592946</v>
      </c>
      <c r="H2257" t="s">
        <v>132</v>
      </c>
      <c r="I2257" t="s">
        <v>126</v>
      </c>
      <c r="J2257" s="89">
        <v>8894190</v>
      </c>
      <c r="K2257" t="s">
        <v>127</v>
      </c>
      <c r="L2257" t="s">
        <v>128</v>
      </c>
      <c r="N2257">
        <v>1</v>
      </c>
      <c r="O2257" s="89">
        <v>23717.84</v>
      </c>
      <c r="P2257" s="89">
        <v>385414.9</v>
      </c>
      <c r="Q2257" t="s">
        <v>137</v>
      </c>
      <c r="R2257" t="s">
        <v>131</v>
      </c>
    </row>
    <row r="2258" spans="3:18" hidden="1" x14ac:dyDescent="0.25">
      <c r="C2258" t="s">
        <v>45</v>
      </c>
      <c r="D2258" t="s">
        <v>21</v>
      </c>
      <c r="E2258" t="s">
        <v>43</v>
      </c>
      <c r="F2258" t="s">
        <v>41</v>
      </c>
      <c r="G2258" s="89">
        <v>213214</v>
      </c>
      <c r="H2258" t="s">
        <v>132</v>
      </c>
      <c r="I2258" t="s">
        <v>141</v>
      </c>
      <c r="J2258" s="89">
        <v>2132140</v>
      </c>
      <c r="K2258" t="s">
        <v>134</v>
      </c>
      <c r="L2258" t="s">
        <v>128</v>
      </c>
      <c r="N2258">
        <v>1</v>
      </c>
      <c r="O2258" s="89">
        <v>6396.42</v>
      </c>
      <c r="P2258" s="89">
        <v>91682.02</v>
      </c>
      <c r="Q2258" t="s">
        <v>142</v>
      </c>
      <c r="R2258" t="s">
        <v>131</v>
      </c>
    </row>
    <row r="2259" spans="3:18" hidden="1" x14ac:dyDescent="0.25">
      <c r="C2259" t="s">
        <v>45</v>
      </c>
      <c r="D2259" t="s">
        <v>22</v>
      </c>
      <c r="E2259" t="s">
        <v>40</v>
      </c>
      <c r="F2259" t="s">
        <v>41</v>
      </c>
      <c r="G2259" s="89">
        <v>611411</v>
      </c>
      <c r="H2259" t="s">
        <v>145</v>
      </c>
      <c r="I2259" t="s">
        <v>133</v>
      </c>
      <c r="J2259" s="89">
        <v>17119508</v>
      </c>
      <c r="K2259" t="s">
        <v>134</v>
      </c>
      <c r="L2259" t="s">
        <v>128</v>
      </c>
      <c r="N2259">
        <v>1</v>
      </c>
      <c r="O2259" s="89">
        <v>18342.330000000002</v>
      </c>
      <c r="P2259" s="89">
        <v>415759.48</v>
      </c>
      <c r="Q2259" t="s">
        <v>137</v>
      </c>
      <c r="R2259" t="s">
        <v>131</v>
      </c>
    </row>
    <row r="2260" spans="3:18" x14ac:dyDescent="0.25">
      <c r="C2260" t="s">
        <v>47</v>
      </c>
      <c r="D2260" t="s">
        <v>20</v>
      </c>
      <c r="E2260" t="s">
        <v>40</v>
      </c>
      <c r="F2260" t="s">
        <v>41</v>
      </c>
      <c r="G2260" s="89">
        <v>569414</v>
      </c>
      <c r="H2260" t="s">
        <v>146</v>
      </c>
      <c r="I2260" t="s">
        <v>141</v>
      </c>
      <c r="J2260" s="89">
        <v>4555312</v>
      </c>
      <c r="K2260" t="s">
        <v>127</v>
      </c>
      <c r="L2260" t="s">
        <v>128</v>
      </c>
      <c r="N2260">
        <v>1</v>
      </c>
      <c r="O2260" s="89">
        <v>22776.560000000001</v>
      </c>
      <c r="P2260" s="89">
        <v>261930.44</v>
      </c>
      <c r="Q2260" t="s">
        <v>142</v>
      </c>
      <c r="R2260" t="s">
        <v>131</v>
      </c>
    </row>
    <row r="2261" spans="3:18" hidden="1" x14ac:dyDescent="0.25">
      <c r="C2261" t="s">
        <v>45</v>
      </c>
      <c r="D2261" t="s">
        <v>22</v>
      </c>
      <c r="E2261" t="s">
        <v>40</v>
      </c>
      <c r="F2261" t="s">
        <v>41</v>
      </c>
      <c r="G2261" s="89">
        <v>13992</v>
      </c>
      <c r="H2261" t="s">
        <v>140</v>
      </c>
      <c r="I2261" t="s">
        <v>133</v>
      </c>
      <c r="J2261" s="89">
        <v>307824</v>
      </c>
      <c r="K2261" t="s">
        <v>127</v>
      </c>
      <c r="L2261" t="s">
        <v>151</v>
      </c>
      <c r="N2261">
        <v>1</v>
      </c>
      <c r="O2261" s="89">
        <v>139.91999999999999</v>
      </c>
      <c r="P2261" s="89">
        <v>1259.28</v>
      </c>
      <c r="Q2261" t="s">
        <v>130</v>
      </c>
      <c r="R2261" t="s">
        <v>131</v>
      </c>
    </row>
    <row r="2262" spans="3:18" x14ac:dyDescent="0.25">
      <c r="C2262" t="s">
        <v>47</v>
      </c>
      <c r="D2262" t="s">
        <v>149</v>
      </c>
      <c r="E2262" t="s">
        <v>43</v>
      </c>
      <c r="F2262" t="s">
        <v>41</v>
      </c>
      <c r="G2262" s="89">
        <v>141478</v>
      </c>
      <c r="H2262" t="s">
        <v>140</v>
      </c>
      <c r="I2262" t="s">
        <v>147</v>
      </c>
      <c r="J2262" s="89">
        <v>565912</v>
      </c>
      <c r="K2262" t="s">
        <v>127</v>
      </c>
      <c r="L2262" t="s">
        <v>128</v>
      </c>
      <c r="N2262">
        <v>1</v>
      </c>
      <c r="O2262" s="89">
        <v>5659.12</v>
      </c>
      <c r="P2262" s="89">
        <v>11318.24</v>
      </c>
      <c r="Q2262" t="s">
        <v>130</v>
      </c>
      <c r="R2262" t="s">
        <v>131</v>
      </c>
    </row>
    <row r="2263" spans="3:18" hidden="1" x14ac:dyDescent="0.25">
      <c r="C2263" t="s">
        <v>45</v>
      </c>
      <c r="D2263" t="s">
        <v>23</v>
      </c>
      <c r="E2263" t="s">
        <v>48</v>
      </c>
      <c r="F2263" t="s">
        <v>41</v>
      </c>
      <c r="G2263" s="89">
        <v>39163084</v>
      </c>
      <c r="H2263" t="s">
        <v>42</v>
      </c>
      <c r="I2263" t="s">
        <v>133</v>
      </c>
      <c r="J2263" s="89">
        <v>1331544856</v>
      </c>
      <c r="K2263" t="s">
        <v>144</v>
      </c>
      <c r="N2263">
        <v>1</v>
      </c>
      <c r="O2263" s="89">
        <v>1174892.52</v>
      </c>
      <c r="P2263" s="89">
        <v>28197420.48</v>
      </c>
      <c r="Q2263" t="s">
        <v>137</v>
      </c>
      <c r="R2263" t="s">
        <v>42</v>
      </c>
    </row>
    <row r="2264" spans="3:18" x14ac:dyDescent="0.25">
      <c r="C2264" t="s">
        <v>47</v>
      </c>
      <c r="D2264" t="s">
        <v>23</v>
      </c>
      <c r="E2264" t="s">
        <v>48</v>
      </c>
      <c r="F2264" t="s">
        <v>41</v>
      </c>
      <c r="G2264" s="89">
        <v>311294</v>
      </c>
      <c r="H2264" t="s">
        <v>140</v>
      </c>
      <c r="I2264" t="s">
        <v>126</v>
      </c>
      <c r="J2264" s="89">
        <v>3735528</v>
      </c>
      <c r="K2264" t="s">
        <v>127</v>
      </c>
      <c r="L2264" t="s">
        <v>128</v>
      </c>
      <c r="N2264">
        <v>1</v>
      </c>
      <c r="O2264" s="89">
        <v>12451.76</v>
      </c>
      <c r="P2264" s="89">
        <v>158759.94</v>
      </c>
      <c r="Q2264" t="s">
        <v>142</v>
      </c>
      <c r="R2264" t="s">
        <v>131</v>
      </c>
    </row>
    <row r="2265" spans="3:18" hidden="1" x14ac:dyDescent="0.25">
      <c r="C2265" t="s">
        <v>45</v>
      </c>
      <c r="D2265" t="s">
        <v>21</v>
      </c>
      <c r="E2265" t="s">
        <v>44</v>
      </c>
      <c r="F2265" t="s">
        <v>41</v>
      </c>
      <c r="G2265" s="89">
        <v>158781</v>
      </c>
      <c r="H2265" t="s">
        <v>42</v>
      </c>
      <c r="I2265" t="s">
        <v>133</v>
      </c>
      <c r="J2265" s="89">
        <v>4604649</v>
      </c>
      <c r="K2265" t="s">
        <v>144</v>
      </c>
      <c r="N2265">
        <v>1</v>
      </c>
      <c r="O2265" s="89">
        <v>4763.43</v>
      </c>
      <c r="P2265" s="89">
        <v>60336.78</v>
      </c>
      <c r="Q2265" t="s">
        <v>130</v>
      </c>
      <c r="R2265" t="s">
        <v>42</v>
      </c>
    </row>
    <row r="2266" spans="3:18" hidden="1" x14ac:dyDescent="0.25">
      <c r="C2266" t="s">
        <v>45</v>
      </c>
      <c r="D2266" t="s">
        <v>19</v>
      </c>
      <c r="E2266" t="s">
        <v>43</v>
      </c>
      <c r="F2266" t="s">
        <v>41</v>
      </c>
      <c r="G2266" s="89">
        <v>431538</v>
      </c>
      <c r="H2266" t="s">
        <v>42</v>
      </c>
      <c r="I2266" t="s">
        <v>126</v>
      </c>
      <c r="J2266" s="89">
        <v>7767684</v>
      </c>
      <c r="K2266" t="s">
        <v>127</v>
      </c>
      <c r="L2266" t="s">
        <v>128</v>
      </c>
      <c r="M2266" t="s">
        <v>129</v>
      </c>
      <c r="N2266">
        <v>1</v>
      </c>
      <c r="O2266" s="89">
        <v>12946.14</v>
      </c>
      <c r="P2266" s="89">
        <v>220084.38</v>
      </c>
      <c r="Q2266" t="s">
        <v>142</v>
      </c>
      <c r="R2266" t="s">
        <v>131</v>
      </c>
    </row>
    <row r="2267" spans="3:18" x14ac:dyDescent="0.25">
      <c r="C2267" t="s">
        <v>47</v>
      </c>
      <c r="D2267" t="s">
        <v>138</v>
      </c>
      <c r="E2267" t="s">
        <v>43</v>
      </c>
      <c r="F2267" t="s">
        <v>41</v>
      </c>
      <c r="G2267" s="89">
        <v>15038</v>
      </c>
      <c r="H2267" t="s">
        <v>146</v>
      </c>
      <c r="I2267" t="s">
        <v>133</v>
      </c>
      <c r="J2267" s="89">
        <v>330836</v>
      </c>
      <c r="K2267" t="s">
        <v>127</v>
      </c>
      <c r="L2267" t="s">
        <v>128</v>
      </c>
      <c r="N2267">
        <v>1</v>
      </c>
      <c r="O2267" s="89">
        <v>451.14</v>
      </c>
      <c r="P2267" s="89">
        <v>1954.94</v>
      </c>
      <c r="Q2267" t="s">
        <v>130</v>
      </c>
      <c r="R2267" t="s">
        <v>131</v>
      </c>
    </row>
    <row r="2268" spans="3:18" hidden="1" x14ac:dyDescent="0.25">
      <c r="C2268" t="s">
        <v>45</v>
      </c>
      <c r="D2268" t="s">
        <v>23</v>
      </c>
      <c r="E2268" t="s">
        <v>48</v>
      </c>
      <c r="F2268" t="s">
        <v>53</v>
      </c>
      <c r="G2268" s="89">
        <v>27489</v>
      </c>
      <c r="H2268" t="s">
        <v>140</v>
      </c>
      <c r="I2268" t="s">
        <v>147</v>
      </c>
      <c r="J2268" s="89">
        <v>82467</v>
      </c>
      <c r="K2268" t="s">
        <v>127</v>
      </c>
      <c r="L2268" t="s">
        <v>128</v>
      </c>
      <c r="N2268">
        <v>1</v>
      </c>
      <c r="O2268" s="89">
        <v>1099.56</v>
      </c>
      <c r="P2268" s="89">
        <v>3023.79</v>
      </c>
      <c r="Q2268" t="s">
        <v>130</v>
      </c>
      <c r="R2268" t="s">
        <v>131</v>
      </c>
    </row>
    <row r="2269" spans="3:18" x14ac:dyDescent="0.25">
      <c r="C2269" t="s">
        <v>47</v>
      </c>
      <c r="D2269" t="s">
        <v>24</v>
      </c>
      <c r="E2269" t="s">
        <v>48</v>
      </c>
      <c r="F2269" t="s">
        <v>41</v>
      </c>
      <c r="G2269" s="89">
        <v>2165000</v>
      </c>
      <c r="H2269" t="s">
        <v>146</v>
      </c>
      <c r="I2269" t="s">
        <v>141</v>
      </c>
      <c r="J2269" s="89">
        <v>15155000</v>
      </c>
      <c r="K2269" t="s">
        <v>144</v>
      </c>
      <c r="N2269">
        <v>1</v>
      </c>
      <c r="O2269" s="89">
        <v>86600</v>
      </c>
      <c r="P2269" s="89">
        <v>3247500</v>
      </c>
      <c r="Q2269" t="s">
        <v>150</v>
      </c>
      <c r="R2269" t="s">
        <v>131</v>
      </c>
    </row>
    <row r="2270" spans="3:18" hidden="1" x14ac:dyDescent="0.25">
      <c r="C2270" t="s">
        <v>45</v>
      </c>
      <c r="D2270" t="s">
        <v>24</v>
      </c>
      <c r="E2270" t="s">
        <v>48</v>
      </c>
      <c r="F2270" t="s">
        <v>41</v>
      </c>
      <c r="G2270" s="89">
        <v>974657</v>
      </c>
      <c r="H2270" t="s">
        <v>42</v>
      </c>
      <c r="I2270" t="s">
        <v>147</v>
      </c>
      <c r="J2270" s="89">
        <v>2923971</v>
      </c>
      <c r="K2270" t="s">
        <v>127</v>
      </c>
      <c r="L2270" t="s">
        <v>128</v>
      </c>
      <c r="M2270" t="s">
        <v>148</v>
      </c>
      <c r="N2270">
        <v>1</v>
      </c>
      <c r="O2270" s="89">
        <v>38986.28</v>
      </c>
      <c r="P2270" s="89">
        <v>126705.41</v>
      </c>
      <c r="Q2270" t="s">
        <v>130</v>
      </c>
      <c r="R2270" t="s">
        <v>131</v>
      </c>
    </row>
    <row r="2271" spans="3:18" hidden="1" x14ac:dyDescent="0.25">
      <c r="C2271" t="s">
        <v>45</v>
      </c>
      <c r="D2271" t="s">
        <v>20</v>
      </c>
      <c r="E2271" t="s">
        <v>43</v>
      </c>
      <c r="F2271" t="s">
        <v>41</v>
      </c>
      <c r="G2271" s="89">
        <v>106447</v>
      </c>
      <c r="H2271" t="s">
        <v>140</v>
      </c>
      <c r="I2271" t="s">
        <v>133</v>
      </c>
      <c r="J2271" s="89">
        <v>2767622</v>
      </c>
      <c r="K2271" t="s">
        <v>134</v>
      </c>
      <c r="N2271">
        <v>1</v>
      </c>
      <c r="O2271" s="89">
        <v>3193.41</v>
      </c>
      <c r="P2271" s="89">
        <v>38320.92</v>
      </c>
      <c r="Q2271" t="s">
        <v>130</v>
      </c>
      <c r="R2271" t="s">
        <v>131</v>
      </c>
    </row>
    <row r="2272" spans="3:18" hidden="1" x14ac:dyDescent="0.25">
      <c r="C2272" t="s">
        <v>45</v>
      </c>
      <c r="D2272" t="s">
        <v>22</v>
      </c>
      <c r="E2272" t="s">
        <v>40</v>
      </c>
      <c r="F2272" t="s">
        <v>41</v>
      </c>
      <c r="G2272" s="89">
        <v>7908370</v>
      </c>
      <c r="H2272" t="s">
        <v>146</v>
      </c>
      <c r="I2272" t="s">
        <v>141</v>
      </c>
      <c r="J2272" s="89">
        <v>63266960</v>
      </c>
      <c r="K2272" t="s">
        <v>127</v>
      </c>
      <c r="L2272" t="s">
        <v>128</v>
      </c>
      <c r="N2272">
        <v>1</v>
      </c>
      <c r="O2272" s="89">
        <v>237251.1</v>
      </c>
      <c r="P2272" s="89">
        <v>3558766.5</v>
      </c>
      <c r="Q2272" t="s">
        <v>142</v>
      </c>
      <c r="R2272" t="s">
        <v>131</v>
      </c>
    </row>
    <row r="2273" spans="3:18" hidden="1" x14ac:dyDescent="0.25">
      <c r="C2273" t="s">
        <v>45</v>
      </c>
      <c r="D2273" t="s">
        <v>19</v>
      </c>
      <c r="E2273" t="s">
        <v>43</v>
      </c>
      <c r="F2273" t="s">
        <v>41</v>
      </c>
      <c r="G2273" s="89">
        <v>4592201</v>
      </c>
      <c r="H2273" t="s">
        <v>145</v>
      </c>
      <c r="I2273" t="s">
        <v>133</v>
      </c>
      <c r="J2273" s="89">
        <v>142358231</v>
      </c>
      <c r="K2273" t="s">
        <v>127</v>
      </c>
      <c r="L2273" t="s">
        <v>128</v>
      </c>
      <c r="N2273">
        <v>1</v>
      </c>
      <c r="O2273" s="89">
        <v>137766.03</v>
      </c>
      <c r="P2273" s="89">
        <v>3857448.84</v>
      </c>
      <c r="Q2273" t="s">
        <v>135</v>
      </c>
      <c r="R2273" t="s">
        <v>131</v>
      </c>
    </row>
    <row r="2274" spans="3:18" hidden="1" x14ac:dyDescent="0.25">
      <c r="C2274" t="s">
        <v>45</v>
      </c>
      <c r="D2274" t="s">
        <v>23</v>
      </c>
      <c r="E2274" t="s">
        <v>40</v>
      </c>
      <c r="F2274" t="s">
        <v>41</v>
      </c>
      <c r="G2274" s="89">
        <v>25055</v>
      </c>
      <c r="H2274" t="s">
        <v>145</v>
      </c>
      <c r="I2274" t="s">
        <v>147</v>
      </c>
      <c r="J2274" s="89">
        <v>125275</v>
      </c>
      <c r="K2274" t="s">
        <v>144</v>
      </c>
      <c r="N2274">
        <v>1</v>
      </c>
      <c r="O2274" s="89">
        <v>751.65</v>
      </c>
      <c r="P2274" s="89">
        <v>3758.25</v>
      </c>
      <c r="Q2274" t="s">
        <v>130</v>
      </c>
      <c r="R2274" t="s">
        <v>131</v>
      </c>
    </row>
    <row r="2275" spans="3:18" hidden="1" x14ac:dyDescent="0.25">
      <c r="C2275" t="s">
        <v>45</v>
      </c>
      <c r="D2275" t="s">
        <v>25</v>
      </c>
      <c r="E2275" t="s">
        <v>44</v>
      </c>
      <c r="F2275" t="s">
        <v>41</v>
      </c>
      <c r="G2275" s="89">
        <v>46040</v>
      </c>
      <c r="H2275" t="s">
        <v>146</v>
      </c>
      <c r="I2275" t="s">
        <v>141</v>
      </c>
      <c r="J2275" s="89">
        <v>414360</v>
      </c>
      <c r="K2275" t="s">
        <v>127</v>
      </c>
      <c r="L2275" t="s">
        <v>128</v>
      </c>
      <c r="N2275">
        <v>1</v>
      </c>
      <c r="O2275" s="89">
        <v>2762.4</v>
      </c>
      <c r="P2275" s="89">
        <v>30386.400000000001</v>
      </c>
      <c r="Q2275" t="s">
        <v>137</v>
      </c>
      <c r="R2275" t="s">
        <v>131</v>
      </c>
    </row>
    <row r="2276" spans="3:18" hidden="1" x14ac:dyDescent="0.25">
      <c r="C2276" t="s">
        <v>45</v>
      </c>
      <c r="D2276" t="s">
        <v>24</v>
      </c>
      <c r="E2276" t="s">
        <v>48</v>
      </c>
      <c r="F2276" t="s">
        <v>41</v>
      </c>
      <c r="G2276" s="89">
        <v>146789</v>
      </c>
      <c r="H2276" t="s">
        <v>145</v>
      </c>
      <c r="I2276" t="s">
        <v>141</v>
      </c>
      <c r="J2276" s="89">
        <v>1174312</v>
      </c>
      <c r="K2276" t="s">
        <v>144</v>
      </c>
      <c r="N2276">
        <v>1</v>
      </c>
      <c r="O2276" s="89">
        <v>4403.67</v>
      </c>
      <c r="P2276" s="89">
        <v>35229.360000000001</v>
      </c>
      <c r="Q2276" t="s">
        <v>130</v>
      </c>
      <c r="R2276" t="s">
        <v>131</v>
      </c>
    </row>
    <row r="2277" spans="3:18" hidden="1" x14ac:dyDescent="0.25">
      <c r="C2277" t="s">
        <v>45</v>
      </c>
      <c r="D2277" t="s">
        <v>23</v>
      </c>
      <c r="E2277" t="s">
        <v>40</v>
      </c>
      <c r="F2277" t="s">
        <v>41</v>
      </c>
      <c r="G2277" s="89">
        <v>176987</v>
      </c>
      <c r="H2277" t="s">
        <v>145</v>
      </c>
      <c r="I2277" t="s">
        <v>133</v>
      </c>
      <c r="J2277" s="89">
        <v>6017558</v>
      </c>
      <c r="K2277" t="s">
        <v>127</v>
      </c>
      <c r="L2277" t="s">
        <v>151</v>
      </c>
      <c r="N2277">
        <v>1</v>
      </c>
      <c r="O2277" s="89">
        <v>5309.61</v>
      </c>
      <c r="P2277" s="89">
        <v>113271.67999999999</v>
      </c>
      <c r="Q2277" t="s">
        <v>137</v>
      </c>
      <c r="R2277" t="s">
        <v>131</v>
      </c>
    </row>
    <row r="2278" spans="3:18" hidden="1" x14ac:dyDescent="0.25">
      <c r="C2278" t="s">
        <v>45</v>
      </c>
      <c r="D2278" t="s">
        <v>21</v>
      </c>
      <c r="E2278" t="s">
        <v>48</v>
      </c>
      <c r="F2278" t="s">
        <v>41</v>
      </c>
      <c r="G2278" s="89">
        <v>59620343</v>
      </c>
      <c r="H2278" t="s">
        <v>42</v>
      </c>
      <c r="I2278" t="s">
        <v>133</v>
      </c>
      <c r="J2278" s="89">
        <v>2205952691</v>
      </c>
      <c r="K2278" t="s">
        <v>144</v>
      </c>
      <c r="N2278">
        <v>1</v>
      </c>
      <c r="O2278" s="89">
        <v>1788610.29</v>
      </c>
      <c r="P2278" s="89">
        <v>53658308.700000003</v>
      </c>
      <c r="Q2278" t="s">
        <v>135</v>
      </c>
      <c r="R2278" t="s">
        <v>42</v>
      </c>
    </row>
    <row r="2279" spans="3:18" x14ac:dyDescent="0.25">
      <c r="C2279" t="s">
        <v>47</v>
      </c>
      <c r="D2279" t="s">
        <v>21</v>
      </c>
      <c r="E2279" t="s">
        <v>43</v>
      </c>
      <c r="F2279" t="s">
        <v>41</v>
      </c>
      <c r="G2279" s="89">
        <v>2152982</v>
      </c>
      <c r="H2279" t="s">
        <v>146</v>
      </c>
      <c r="I2279" t="s">
        <v>126</v>
      </c>
      <c r="J2279" s="89">
        <v>27988766</v>
      </c>
      <c r="K2279" t="s">
        <v>127</v>
      </c>
      <c r="L2279" t="s">
        <v>128</v>
      </c>
      <c r="N2279">
        <v>1</v>
      </c>
      <c r="O2279" s="89">
        <v>86119.28</v>
      </c>
      <c r="P2279" s="89">
        <v>1162610.28</v>
      </c>
      <c r="Q2279" t="s">
        <v>142</v>
      </c>
      <c r="R2279" t="s">
        <v>131</v>
      </c>
    </row>
    <row r="2280" spans="3:18" hidden="1" x14ac:dyDescent="0.25">
      <c r="C2280" t="s">
        <v>45</v>
      </c>
      <c r="D2280" t="s">
        <v>19</v>
      </c>
      <c r="E2280" t="s">
        <v>43</v>
      </c>
      <c r="F2280" t="s">
        <v>41</v>
      </c>
      <c r="G2280" s="89">
        <v>159912</v>
      </c>
      <c r="H2280" t="s">
        <v>154</v>
      </c>
      <c r="I2280" t="s">
        <v>147</v>
      </c>
      <c r="J2280" s="89">
        <v>639648</v>
      </c>
      <c r="K2280" t="s">
        <v>127</v>
      </c>
      <c r="L2280" t="s">
        <v>128</v>
      </c>
      <c r="N2280">
        <v>1</v>
      </c>
      <c r="O2280" s="89">
        <v>7995.6</v>
      </c>
      <c r="P2280" s="89">
        <v>7995.6</v>
      </c>
      <c r="Q2280" t="s">
        <v>130</v>
      </c>
      <c r="R2280" t="s">
        <v>131</v>
      </c>
    </row>
    <row r="2281" spans="3:18" hidden="1" x14ac:dyDescent="0.25">
      <c r="C2281" t="s">
        <v>45</v>
      </c>
      <c r="D2281" t="s">
        <v>21</v>
      </c>
      <c r="E2281" t="s">
        <v>43</v>
      </c>
      <c r="F2281" t="s">
        <v>41</v>
      </c>
      <c r="G2281" s="89">
        <v>4282532</v>
      </c>
      <c r="H2281" t="s">
        <v>42</v>
      </c>
      <c r="I2281" t="s">
        <v>126</v>
      </c>
      <c r="J2281" s="89">
        <v>72803044</v>
      </c>
      <c r="K2281" t="s">
        <v>127</v>
      </c>
      <c r="L2281" t="s">
        <v>128</v>
      </c>
      <c r="M2281" t="s">
        <v>129</v>
      </c>
      <c r="N2281">
        <v>1</v>
      </c>
      <c r="O2281" s="89">
        <v>128475.96</v>
      </c>
      <c r="P2281" s="89">
        <v>2826471.12</v>
      </c>
      <c r="Q2281" t="s">
        <v>137</v>
      </c>
      <c r="R2281" t="s">
        <v>42</v>
      </c>
    </row>
    <row r="2282" spans="3:18" hidden="1" x14ac:dyDescent="0.25">
      <c r="C2282" t="s">
        <v>45</v>
      </c>
      <c r="D2282" t="s">
        <v>24</v>
      </c>
      <c r="E2282" t="s">
        <v>44</v>
      </c>
      <c r="F2282" t="s">
        <v>41</v>
      </c>
      <c r="G2282" s="89">
        <v>75836</v>
      </c>
      <c r="H2282" t="s">
        <v>145</v>
      </c>
      <c r="I2282" t="s">
        <v>133</v>
      </c>
      <c r="J2282" s="89">
        <v>2730096</v>
      </c>
      <c r="K2282" t="s">
        <v>144</v>
      </c>
      <c r="N2282">
        <v>1</v>
      </c>
      <c r="O2282" s="89">
        <v>2275.08</v>
      </c>
      <c r="P2282" s="89">
        <v>88728.12</v>
      </c>
      <c r="Q2282" t="s">
        <v>150</v>
      </c>
      <c r="R2282" t="s">
        <v>131</v>
      </c>
    </row>
    <row r="2283" spans="3:18" hidden="1" x14ac:dyDescent="0.25">
      <c r="C2283" t="s">
        <v>45</v>
      </c>
      <c r="D2283" t="s">
        <v>24</v>
      </c>
      <c r="E2283" t="s">
        <v>48</v>
      </c>
      <c r="F2283" t="s">
        <v>41</v>
      </c>
      <c r="G2283" s="89">
        <v>96556</v>
      </c>
      <c r="H2283" t="s">
        <v>145</v>
      </c>
      <c r="I2283" t="s">
        <v>126</v>
      </c>
      <c r="J2283" s="89">
        <v>1351784</v>
      </c>
      <c r="K2283" t="s">
        <v>127</v>
      </c>
      <c r="L2283" t="s">
        <v>128</v>
      </c>
      <c r="N2283">
        <v>1</v>
      </c>
      <c r="O2283" s="89">
        <v>3862.24</v>
      </c>
      <c r="P2283" s="89">
        <v>85934.84</v>
      </c>
      <c r="Q2283" t="s">
        <v>135</v>
      </c>
      <c r="R2283" t="s">
        <v>131</v>
      </c>
    </row>
    <row r="2284" spans="3:18" hidden="1" x14ac:dyDescent="0.25">
      <c r="C2284" t="s">
        <v>45</v>
      </c>
      <c r="D2284" t="s">
        <v>21</v>
      </c>
      <c r="E2284" t="s">
        <v>43</v>
      </c>
      <c r="F2284" t="s">
        <v>41</v>
      </c>
      <c r="G2284" s="89">
        <v>45328</v>
      </c>
      <c r="H2284" t="s">
        <v>132</v>
      </c>
      <c r="I2284" t="s">
        <v>133</v>
      </c>
      <c r="J2284" s="89">
        <v>1359840</v>
      </c>
      <c r="K2284" t="s">
        <v>134</v>
      </c>
      <c r="L2284" t="s">
        <v>151</v>
      </c>
      <c r="N2284">
        <v>1</v>
      </c>
      <c r="O2284" s="89">
        <v>1359.84</v>
      </c>
      <c r="P2284" s="89">
        <v>16771.36</v>
      </c>
      <c r="Q2284" t="s">
        <v>130</v>
      </c>
      <c r="R2284" t="s">
        <v>131</v>
      </c>
    </row>
    <row r="2285" spans="3:18" hidden="1" x14ac:dyDescent="0.25">
      <c r="C2285" t="s">
        <v>45</v>
      </c>
      <c r="D2285" t="s">
        <v>19</v>
      </c>
      <c r="E2285" t="s">
        <v>43</v>
      </c>
      <c r="F2285" t="s">
        <v>41</v>
      </c>
      <c r="G2285" s="89">
        <v>62944</v>
      </c>
      <c r="H2285" t="s">
        <v>140</v>
      </c>
      <c r="I2285" t="s">
        <v>126</v>
      </c>
      <c r="J2285" s="89">
        <v>1007104</v>
      </c>
      <c r="K2285" t="s">
        <v>127</v>
      </c>
      <c r="L2285" t="s">
        <v>128</v>
      </c>
      <c r="N2285">
        <v>1</v>
      </c>
      <c r="O2285" s="89">
        <v>3776.64</v>
      </c>
      <c r="P2285" s="89">
        <v>57279.040000000001</v>
      </c>
      <c r="Q2285" t="s">
        <v>135</v>
      </c>
      <c r="R2285" t="s">
        <v>131</v>
      </c>
    </row>
    <row r="2286" spans="3:18" hidden="1" x14ac:dyDescent="0.25">
      <c r="C2286" t="s">
        <v>45</v>
      </c>
      <c r="D2286" t="s">
        <v>23</v>
      </c>
      <c r="E2286" t="s">
        <v>40</v>
      </c>
      <c r="F2286" t="s">
        <v>41</v>
      </c>
      <c r="G2286" s="89">
        <v>58570</v>
      </c>
      <c r="H2286" t="s">
        <v>42</v>
      </c>
      <c r="I2286" t="s">
        <v>133</v>
      </c>
      <c r="J2286" s="89">
        <v>1522820</v>
      </c>
      <c r="K2286" t="s">
        <v>127</v>
      </c>
      <c r="L2286" t="s">
        <v>128</v>
      </c>
      <c r="M2286" t="s">
        <v>143</v>
      </c>
      <c r="N2286">
        <v>1</v>
      </c>
      <c r="O2286" s="89">
        <v>1757.1</v>
      </c>
      <c r="P2286" s="89">
        <v>17571</v>
      </c>
      <c r="Q2286" t="s">
        <v>130</v>
      </c>
      <c r="R2286" t="s">
        <v>131</v>
      </c>
    </row>
    <row r="2287" spans="3:18" hidden="1" x14ac:dyDescent="0.25">
      <c r="C2287" t="s">
        <v>45</v>
      </c>
      <c r="D2287" t="s">
        <v>23</v>
      </c>
      <c r="E2287" t="s">
        <v>40</v>
      </c>
      <c r="F2287" t="s">
        <v>41</v>
      </c>
      <c r="G2287" s="89">
        <v>266157</v>
      </c>
      <c r="H2287" t="s">
        <v>140</v>
      </c>
      <c r="I2287" t="s">
        <v>126</v>
      </c>
      <c r="J2287" s="89">
        <v>4524669</v>
      </c>
      <c r="K2287" t="s">
        <v>127</v>
      </c>
      <c r="L2287" t="s">
        <v>128</v>
      </c>
      <c r="N2287">
        <v>1</v>
      </c>
      <c r="O2287" s="89">
        <v>7984.71</v>
      </c>
      <c r="P2287" s="89">
        <v>308742.12</v>
      </c>
      <c r="Q2287" t="s">
        <v>150</v>
      </c>
      <c r="R2287" t="s">
        <v>131</v>
      </c>
    </row>
    <row r="2288" spans="3:18" hidden="1" x14ac:dyDescent="0.25">
      <c r="C2288" t="s">
        <v>45</v>
      </c>
      <c r="D2288" t="s">
        <v>21</v>
      </c>
      <c r="E2288" t="s">
        <v>40</v>
      </c>
      <c r="F2288" t="s">
        <v>41</v>
      </c>
      <c r="G2288" s="89">
        <v>4243792</v>
      </c>
      <c r="H2288" t="s">
        <v>42</v>
      </c>
      <c r="I2288" t="s">
        <v>133</v>
      </c>
      <c r="J2288" s="89">
        <v>140045136</v>
      </c>
      <c r="K2288" t="s">
        <v>144</v>
      </c>
      <c r="N2288">
        <v>1</v>
      </c>
      <c r="O2288" s="89">
        <v>127313.76</v>
      </c>
      <c r="P2288" s="89">
        <v>3013092.32</v>
      </c>
      <c r="Q2288" t="s">
        <v>137</v>
      </c>
      <c r="R2288" t="s">
        <v>131</v>
      </c>
    </row>
    <row r="2289" spans="3:18" hidden="1" x14ac:dyDescent="0.25">
      <c r="C2289" t="s">
        <v>45</v>
      </c>
      <c r="D2289" t="s">
        <v>20</v>
      </c>
      <c r="E2289" t="s">
        <v>43</v>
      </c>
      <c r="F2289" t="s">
        <v>41</v>
      </c>
      <c r="G2289" s="89">
        <v>108019</v>
      </c>
      <c r="H2289" t="s">
        <v>42</v>
      </c>
      <c r="I2289" t="s">
        <v>141</v>
      </c>
      <c r="J2289" s="89">
        <v>864152</v>
      </c>
      <c r="K2289" t="s">
        <v>134</v>
      </c>
      <c r="L2289" t="s">
        <v>128</v>
      </c>
      <c r="M2289" t="s">
        <v>139</v>
      </c>
      <c r="N2289">
        <v>1</v>
      </c>
      <c r="O2289" s="89">
        <v>3240.57</v>
      </c>
      <c r="P2289" s="89">
        <v>69132.160000000003</v>
      </c>
      <c r="Q2289" t="s">
        <v>137</v>
      </c>
      <c r="R2289" t="s">
        <v>131</v>
      </c>
    </row>
    <row r="2290" spans="3:18" hidden="1" x14ac:dyDescent="0.25">
      <c r="C2290" t="s">
        <v>45</v>
      </c>
      <c r="D2290" t="s">
        <v>21</v>
      </c>
      <c r="E2290" t="s">
        <v>40</v>
      </c>
      <c r="F2290" t="s">
        <v>41</v>
      </c>
      <c r="G2290" s="89">
        <v>123514</v>
      </c>
      <c r="H2290" t="s">
        <v>42</v>
      </c>
      <c r="I2290" t="s">
        <v>126</v>
      </c>
      <c r="J2290" s="89">
        <v>1976224</v>
      </c>
      <c r="K2290" t="s">
        <v>127</v>
      </c>
      <c r="L2290" t="s">
        <v>128</v>
      </c>
      <c r="M2290" t="s">
        <v>139</v>
      </c>
      <c r="N2290">
        <v>1</v>
      </c>
      <c r="O2290" s="89">
        <v>3705.42</v>
      </c>
      <c r="P2290" s="89">
        <v>66697.56</v>
      </c>
      <c r="Q2290" t="s">
        <v>142</v>
      </c>
      <c r="R2290" t="s">
        <v>42</v>
      </c>
    </row>
    <row r="2291" spans="3:18" x14ac:dyDescent="0.25">
      <c r="C2291" t="s">
        <v>47</v>
      </c>
      <c r="D2291" t="s">
        <v>22</v>
      </c>
      <c r="E2291" t="s">
        <v>43</v>
      </c>
      <c r="F2291" t="s">
        <v>41</v>
      </c>
      <c r="G2291" s="89">
        <v>179041</v>
      </c>
      <c r="H2291" t="s">
        <v>42</v>
      </c>
      <c r="I2291" t="s">
        <v>147</v>
      </c>
      <c r="J2291" s="89">
        <v>716164</v>
      </c>
      <c r="K2291" t="s">
        <v>127</v>
      </c>
      <c r="L2291" t="s">
        <v>128</v>
      </c>
      <c r="M2291" t="s">
        <v>143</v>
      </c>
      <c r="N2291">
        <v>1</v>
      </c>
      <c r="O2291" s="89">
        <v>3580.82</v>
      </c>
      <c r="P2291" s="89">
        <v>41179.43</v>
      </c>
      <c r="Q2291" t="s">
        <v>130</v>
      </c>
      <c r="R2291" t="s">
        <v>42</v>
      </c>
    </row>
    <row r="2292" spans="3:18" hidden="1" x14ac:dyDescent="0.25">
      <c r="C2292" t="s">
        <v>45</v>
      </c>
      <c r="D2292" t="s">
        <v>25</v>
      </c>
      <c r="E2292" t="s">
        <v>48</v>
      </c>
      <c r="F2292" t="s">
        <v>41</v>
      </c>
      <c r="G2292" s="89">
        <v>97691</v>
      </c>
      <c r="H2292" t="s">
        <v>146</v>
      </c>
      <c r="I2292" t="s">
        <v>126</v>
      </c>
      <c r="J2292" s="89">
        <v>1367674</v>
      </c>
      <c r="K2292" t="s">
        <v>144</v>
      </c>
      <c r="N2292">
        <v>1</v>
      </c>
      <c r="O2292" s="89">
        <v>2930.73</v>
      </c>
      <c r="P2292" s="89">
        <v>47868.59</v>
      </c>
      <c r="Q2292" t="s">
        <v>142</v>
      </c>
      <c r="R2292" t="s">
        <v>131</v>
      </c>
    </row>
    <row r="2293" spans="3:18" x14ac:dyDescent="0.25">
      <c r="C2293" t="s">
        <v>47</v>
      </c>
      <c r="D2293" t="s">
        <v>138</v>
      </c>
      <c r="E2293" t="s">
        <v>43</v>
      </c>
      <c r="F2293" t="s">
        <v>41</v>
      </c>
      <c r="G2293" s="89">
        <v>756</v>
      </c>
      <c r="H2293" t="s">
        <v>146</v>
      </c>
      <c r="I2293" t="s">
        <v>147</v>
      </c>
      <c r="J2293" s="89">
        <v>756</v>
      </c>
      <c r="K2293" t="s">
        <v>127</v>
      </c>
      <c r="L2293" t="s">
        <v>128</v>
      </c>
      <c r="N2293">
        <v>1</v>
      </c>
      <c r="O2293" s="89">
        <v>60.48</v>
      </c>
      <c r="P2293" s="89">
        <v>45.36</v>
      </c>
      <c r="Q2293" t="s">
        <v>130</v>
      </c>
      <c r="R2293" t="s">
        <v>131</v>
      </c>
    </row>
    <row r="2294" spans="3:18" hidden="1" x14ac:dyDescent="0.25">
      <c r="C2294" t="s">
        <v>45</v>
      </c>
      <c r="D2294" t="s">
        <v>21</v>
      </c>
      <c r="E2294" t="s">
        <v>40</v>
      </c>
      <c r="F2294" t="s">
        <v>41</v>
      </c>
      <c r="G2294" s="89">
        <v>9785</v>
      </c>
      <c r="H2294" t="s">
        <v>145</v>
      </c>
      <c r="I2294" t="s">
        <v>147</v>
      </c>
      <c r="J2294" s="89">
        <v>29355</v>
      </c>
      <c r="K2294" t="s">
        <v>127</v>
      </c>
      <c r="L2294" t="s">
        <v>128</v>
      </c>
      <c r="N2294">
        <v>1</v>
      </c>
      <c r="O2294" s="89">
        <v>293.55</v>
      </c>
      <c r="P2294" s="89">
        <v>5283.9</v>
      </c>
      <c r="Q2294" t="s">
        <v>142</v>
      </c>
      <c r="R2294" t="s">
        <v>131</v>
      </c>
    </row>
    <row r="2295" spans="3:18" x14ac:dyDescent="0.25">
      <c r="C2295" t="s">
        <v>47</v>
      </c>
      <c r="D2295" t="s">
        <v>20</v>
      </c>
      <c r="E2295" t="s">
        <v>43</v>
      </c>
      <c r="F2295" t="s">
        <v>41</v>
      </c>
      <c r="G2295" s="89">
        <v>93244</v>
      </c>
      <c r="H2295" t="s">
        <v>42</v>
      </c>
      <c r="I2295" t="s">
        <v>126</v>
      </c>
      <c r="J2295" s="89">
        <v>1398660</v>
      </c>
      <c r="K2295" t="s">
        <v>127</v>
      </c>
      <c r="L2295" t="s">
        <v>128</v>
      </c>
      <c r="M2295" t="s">
        <v>139</v>
      </c>
      <c r="N2295">
        <v>1</v>
      </c>
      <c r="O2295" s="89">
        <v>2797.32</v>
      </c>
      <c r="P2295" s="89">
        <v>25175.88</v>
      </c>
      <c r="Q2295" t="s">
        <v>130</v>
      </c>
      <c r="R2295" t="s">
        <v>131</v>
      </c>
    </row>
    <row r="2296" spans="3:18" x14ac:dyDescent="0.25">
      <c r="C2296" t="s">
        <v>47</v>
      </c>
      <c r="D2296" t="s">
        <v>20</v>
      </c>
      <c r="E2296" t="s">
        <v>40</v>
      </c>
      <c r="F2296" t="s">
        <v>41</v>
      </c>
      <c r="G2296" s="89">
        <v>1007037</v>
      </c>
      <c r="H2296" t="s">
        <v>145</v>
      </c>
      <c r="I2296" t="s">
        <v>147</v>
      </c>
      <c r="J2296" s="89">
        <v>2014074</v>
      </c>
      <c r="K2296" t="s">
        <v>127</v>
      </c>
      <c r="L2296" t="s">
        <v>128</v>
      </c>
      <c r="N2296">
        <v>1</v>
      </c>
      <c r="O2296" s="89">
        <v>50351.85</v>
      </c>
      <c r="P2296" s="89">
        <v>191337.03</v>
      </c>
      <c r="Q2296" t="s">
        <v>130</v>
      </c>
      <c r="R2296" t="s">
        <v>131</v>
      </c>
    </row>
    <row r="2297" spans="3:18" hidden="1" x14ac:dyDescent="0.25">
      <c r="C2297" t="s">
        <v>45</v>
      </c>
      <c r="D2297" t="s">
        <v>20</v>
      </c>
      <c r="E2297" t="s">
        <v>40</v>
      </c>
      <c r="F2297" t="s">
        <v>41</v>
      </c>
      <c r="G2297" s="89">
        <v>255654</v>
      </c>
      <c r="H2297" t="s">
        <v>42</v>
      </c>
      <c r="I2297" t="s">
        <v>133</v>
      </c>
      <c r="J2297" s="89">
        <v>7669620</v>
      </c>
      <c r="K2297" t="s">
        <v>144</v>
      </c>
      <c r="N2297">
        <v>1</v>
      </c>
      <c r="O2297" s="89">
        <v>7669.62</v>
      </c>
      <c r="P2297" s="89">
        <v>122713.92</v>
      </c>
      <c r="Q2297" t="s">
        <v>142</v>
      </c>
      <c r="R2297" t="s">
        <v>131</v>
      </c>
    </row>
    <row r="2298" spans="3:18" x14ac:dyDescent="0.25">
      <c r="C2298" t="s">
        <v>47</v>
      </c>
      <c r="D2298" t="s">
        <v>138</v>
      </c>
      <c r="E2298" t="s">
        <v>40</v>
      </c>
      <c r="F2298" t="s">
        <v>41</v>
      </c>
      <c r="G2298" s="89">
        <v>1358225</v>
      </c>
      <c r="H2298" t="s">
        <v>146</v>
      </c>
      <c r="I2298" t="s">
        <v>153</v>
      </c>
      <c r="J2298" s="89"/>
      <c r="K2298" t="s">
        <v>144</v>
      </c>
      <c r="N2298">
        <v>0</v>
      </c>
      <c r="O2298" s="89">
        <v>40746.75</v>
      </c>
      <c r="P2298" s="89">
        <v>258062.75</v>
      </c>
      <c r="Q2298" t="s">
        <v>130</v>
      </c>
      <c r="R2298" t="s">
        <v>131</v>
      </c>
    </row>
    <row r="2299" spans="3:18" hidden="1" x14ac:dyDescent="0.25">
      <c r="C2299" t="s">
        <v>45</v>
      </c>
      <c r="D2299" t="s">
        <v>24</v>
      </c>
      <c r="E2299" t="s">
        <v>48</v>
      </c>
      <c r="F2299" t="s">
        <v>41</v>
      </c>
      <c r="G2299" s="89">
        <v>291874</v>
      </c>
      <c r="H2299" t="s">
        <v>42</v>
      </c>
      <c r="I2299" t="s">
        <v>126</v>
      </c>
      <c r="J2299" s="89">
        <v>5545606</v>
      </c>
      <c r="K2299" t="s">
        <v>144</v>
      </c>
      <c r="N2299">
        <v>1</v>
      </c>
      <c r="O2299" s="89">
        <v>8756.2199999999993</v>
      </c>
      <c r="P2299" s="89">
        <v>67131.02</v>
      </c>
      <c r="Q2299" t="s">
        <v>130</v>
      </c>
      <c r="R2299" t="s">
        <v>42</v>
      </c>
    </row>
    <row r="2300" spans="3:18" hidden="1" x14ac:dyDescent="0.25">
      <c r="C2300" t="s">
        <v>45</v>
      </c>
      <c r="D2300" t="s">
        <v>23</v>
      </c>
      <c r="E2300" t="s">
        <v>48</v>
      </c>
      <c r="F2300" t="s">
        <v>41</v>
      </c>
      <c r="G2300" s="89">
        <v>45256</v>
      </c>
      <c r="H2300" t="s">
        <v>42</v>
      </c>
      <c r="I2300" t="s">
        <v>141</v>
      </c>
      <c r="J2300" s="89">
        <v>362048</v>
      </c>
      <c r="K2300" t="s">
        <v>144</v>
      </c>
      <c r="N2300">
        <v>1</v>
      </c>
      <c r="O2300" s="89">
        <v>1357.68</v>
      </c>
      <c r="P2300" s="89">
        <v>4978.16</v>
      </c>
      <c r="Q2300" t="s">
        <v>130</v>
      </c>
      <c r="R2300" t="s">
        <v>131</v>
      </c>
    </row>
    <row r="2301" spans="3:18" hidden="1" x14ac:dyDescent="0.25">
      <c r="C2301" t="s">
        <v>45</v>
      </c>
      <c r="D2301" t="s">
        <v>22</v>
      </c>
      <c r="E2301" t="s">
        <v>40</v>
      </c>
      <c r="F2301" t="s">
        <v>41</v>
      </c>
      <c r="G2301" s="89">
        <v>11979693</v>
      </c>
      <c r="H2301" t="s">
        <v>145</v>
      </c>
      <c r="I2301" t="s">
        <v>126</v>
      </c>
      <c r="J2301" s="89">
        <v>203654781</v>
      </c>
      <c r="K2301" t="s">
        <v>127</v>
      </c>
      <c r="L2301" t="s">
        <v>128</v>
      </c>
      <c r="N2301">
        <v>1</v>
      </c>
      <c r="O2301" s="89">
        <v>359390.79</v>
      </c>
      <c r="P2301" s="89">
        <v>7906597.3799999999</v>
      </c>
      <c r="Q2301" t="s">
        <v>137</v>
      </c>
      <c r="R2301" t="s">
        <v>131</v>
      </c>
    </row>
    <row r="2302" spans="3:18" hidden="1" x14ac:dyDescent="0.25">
      <c r="C2302" t="s">
        <v>45</v>
      </c>
      <c r="D2302" t="s">
        <v>22</v>
      </c>
      <c r="E2302" t="s">
        <v>40</v>
      </c>
      <c r="F2302" t="s">
        <v>53</v>
      </c>
      <c r="G2302" s="89">
        <v>492099</v>
      </c>
      <c r="H2302" t="s">
        <v>42</v>
      </c>
      <c r="I2302" t="s">
        <v>133</v>
      </c>
      <c r="J2302" s="89">
        <v>13286673</v>
      </c>
      <c r="K2302" t="s">
        <v>134</v>
      </c>
      <c r="N2302">
        <v>1</v>
      </c>
      <c r="O2302" s="89">
        <v>14762.97</v>
      </c>
      <c r="P2302" s="89">
        <v>334627.32</v>
      </c>
      <c r="Q2302" t="s">
        <v>137</v>
      </c>
      <c r="R2302" t="s">
        <v>42</v>
      </c>
    </row>
    <row r="2303" spans="3:18" hidden="1" x14ac:dyDescent="0.25">
      <c r="C2303" t="s">
        <v>45</v>
      </c>
      <c r="D2303" t="s">
        <v>138</v>
      </c>
      <c r="E2303" t="s">
        <v>43</v>
      </c>
      <c r="F2303" t="s">
        <v>41</v>
      </c>
      <c r="G2303" s="89">
        <v>4343957</v>
      </c>
      <c r="H2303" t="s">
        <v>140</v>
      </c>
      <c r="I2303" t="s">
        <v>126</v>
      </c>
      <c r="J2303" s="89">
        <v>73847269</v>
      </c>
      <c r="K2303" t="s">
        <v>127</v>
      </c>
      <c r="L2303" t="s">
        <v>128</v>
      </c>
      <c r="N2303">
        <v>1</v>
      </c>
      <c r="O2303" s="89">
        <v>130318.71</v>
      </c>
      <c r="P2303" s="89">
        <v>2953890.76</v>
      </c>
      <c r="Q2303" t="s">
        <v>137</v>
      </c>
      <c r="R2303" t="s">
        <v>131</v>
      </c>
    </row>
    <row r="2304" spans="3:18" hidden="1" x14ac:dyDescent="0.25">
      <c r="C2304" t="s">
        <v>45</v>
      </c>
      <c r="D2304" t="s">
        <v>24</v>
      </c>
      <c r="E2304" t="s">
        <v>46</v>
      </c>
      <c r="F2304" t="s">
        <v>41</v>
      </c>
      <c r="G2304" s="89">
        <v>60133</v>
      </c>
      <c r="H2304" t="s">
        <v>140</v>
      </c>
      <c r="I2304" t="s">
        <v>126</v>
      </c>
      <c r="J2304" s="89">
        <v>1142527</v>
      </c>
      <c r="K2304" t="s">
        <v>144</v>
      </c>
      <c r="N2304">
        <v>1</v>
      </c>
      <c r="O2304" s="89">
        <v>1803.99</v>
      </c>
      <c r="P2304" s="89">
        <v>27059.85</v>
      </c>
      <c r="Q2304" t="s">
        <v>142</v>
      </c>
      <c r="R2304" t="s">
        <v>131</v>
      </c>
    </row>
    <row r="2305" spans="3:18" hidden="1" x14ac:dyDescent="0.25">
      <c r="C2305" t="s">
        <v>45</v>
      </c>
      <c r="D2305" t="s">
        <v>138</v>
      </c>
      <c r="E2305" t="s">
        <v>43</v>
      </c>
      <c r="F2305" t="s">
        <v>41</v>
      </c>
      <c r="G2305" s="89">
        <v>82692</v>
      </c>
      <c r="H2305" t="s">
        <v>140</v>
      </c>
      <c r="I2305" t="s">
        <v>126</v>
      </c>
      <c r="J2305" s="89">
        <v>1405764</v>
      </c>
      <c r="K2305" t="s">
        <v>127</v>
      </c>
      <c r="L2305" t="s">
        <v>151</v>
      </c>
      <c r="N2305">
        <v>1</v>
      </c>
      <c r="O2305" s="89">
        <v>2480.7600000000002</v>
      </c>
      <c r="P2305" s="89">
        <v>20673</v>
      </c>
      <c r="Q2305" t="s">
        <v>130</v>
      </c>
      <c r="R2305" t="s">
        <v>131</v>
      </c>
    </row>
    <row r="2306" spans="3:18" hidden="1" x14ac:dyDescent="0.25">
      <c r="C2306" t="s">
        <v>45</v>
      </c>
      <c r="D2306" t="s">
        <v>20</v>
      </c>
      <c r="E2306" t="s">
        <v>43</v>
      </c>
      <c r="F2306" t="s">
        <v>41</v>
      </c>
      <c r="G2306" s="89">
        <v>462424</v>
      </c>
      <c r="H2306" t="s">
        <v>42</v>
      </c>
      <c r="I2306" t="s">
        <v>133</v>
      </c>
      <c r="J2306" s="89">
        <v>14335144</v>
      </c>
      <c r="K2306" t="s">
        <v>127</v>
      </c>
      <c r="L2306" t="s">
        <v>128</v>
      </c>
      <c r="M2306" t="s">
        <v>152</v>
      </c>
      <c r="N2306">
        <v>1</v>
      </c>
      <c r="O2306" s="89">
        <v>13872.72</v>
      </c>
      <c r="P2306" s="89">
        <v>323696.8</v>
      </c>
      <c r="Q2306" t="s">
        <v>137</v>
      </c>
      <c r="R2306" t="s">
        <v>42</v>
      </c>
    </row>
    <row r="2307" spans="3:18" hidden="1" x14ac:dyDescent="0.25">
      <c r="C2307" t="s">
        <v>45</v>
      </c>
      <c r="D2307" t="s">
        <v>24</v>
      </c>
      <c r="E2307" t="s">
        <v>48</v>
      </c>
      <c r="F2307" t="s">
        <v>41</v>
      </c>
      <c r="G2307" s="89">
        <v>27924</v>
      </c>
      <c r="H2307" t="s">
        <v>132</v>
      </c>
      <c r="I2307" t="s">
        <v>141</v>
      </c>
      <c r="J2307" s="89">
        <v>195468</v>
      </c>
      <c r="K2307" t="s">
        <v>127</v>
      </c>
      <c r="L2307" t="s">
        <v>128</v>
      </c>
      <c r="N2307">
        <v>1</v>
      </c>
      <c r="O2307" s="89">
        <v>1116.96</v>
      </c>
      <c r="P2307" s="89">
        <v>16754.400000000001</v>
      </c>
      <c r="Q2307" t="s">
        <v>137</v>
      </c>
      <c r="R2307" t="s">
        <v>131</v>
      </c>
    </row>
    <row r="2308" spans="3:18" hidden="1" x14ac:dyDescent="0.25">
      <c r="C2308" t="s">
        <v>45</v>
      </c>
      <c r="D2308" t="s">
        <v>19</v>
      </c>
      <c r="E2308" t="s">
        <v>43</v>
      </c>
      <c r="F2308" t="s">
        <v>53</v>
      </c>
      <c r="G2308" s="89">
        <v>49498</v>
      </c>
      <c r="H2308" t="s">
        <v>140</v>
      </c>
      <c r="I2308" t="s">
        <v>141</v>
      </c>
      <c r="J2308" s="89">
        <v>296988</v>
      </c>
      <c r="K2308" t="s">
        <v>127</v>
      </c>
      <c r="L2308" t="s">
        <v>128</v>
      </c>
      <c r="N2308">
        <v>1</v>
      </c>
      <c r="O2308" s="89">
        <v>1484.94</v>
      </c>
      <c r="P2308" s="89">
        <v>6929.72</v>
      </c>
      <c r="Q2308" t="s">
        <v>130</v>
      </c>
      <c r="R2308" t="s">
        <v>131</v>
      </c>
    </row>
    <row r="2309" spans="3:18" hidden="1" x14ac:dyDescent="0.25">
      <c r="C2309" t="s">
        <v>45</v>
      </c>
      <c r="D2309" t="s">
        <v>22</v>
      </c>
      <c r="E2309" t="s">
        <v>40</v>
      </c>
      <c r="F2309" t="s">
        <v>41</v>
      </c>
      <c r="G2309" s="89">
        <v>172844</v>
      </c>
      <c r="H2309" t="s">
        <v>145</v>
      </c>
      <c r="I2309" t="s">
        <v>133</v>
      </c>
      <c r="J2309" s="89">
        <v>3975412</v>
      </c>
      <c r="K2309" t="s">
        <v>134</v>
      </c>
      <c r="L2309" t="s">
        <v>128</v>
      </c>
      <c r="N2309">
        <v>1</v>
      </c>
      <c r="O2309" s="89">
        <v>5185.32</v>
      </c>
      <c r="P2309" s="89">
        <v>63952.28</v>
      </c>
      <c r="Q2309" t="s">
        <v>130</v>
      </c>
      <c r="R2309" t="s">
        <v>131</v>
      </c>
    </row>
    <row r="2310" spans="3:18" hidden="1" x14ac:dyDescent="0.25">
      <c r="C2310" t="s">
        <v>45</v>
      </c>
      <c r="D2310" t="s">
        <v>22</v>
      </c>
      <c r="E2310" t="s">
        <v>48</v>
      </c>
      <c r="F2310" t="s">
        <v>41</v>
      </c>
      <c r="G2310" s="89">
        <v>135041</v>
      </c>
      <c r="H2310" t="s">
        <v>42</v>
      </c>
      <c r="I2310" t="s">
        <v>133</v>
      </c>
      <c r="J2310" s="89">
        <v>4591394</v>
      </c>
      <c r="K2310" t="s">
        <v>134</v>
      </c>
      <c r="N2310">
        <v>1</v>
      </c>
      <c r="O2310" s="89">
        <v>4051.23</v>
      </c>
      <c r="P2310" s="89">
        <v>112084.03</v>
      </c>
      <c r="Q2310" t="s">
        <v>135</v>
      </c>
      <c r="R2310" t="s">
        <v>42</v>
      </c>
    </row>
    <row r="2311" spans="3:18" x14ac:dyDescent="0.25">
      <c r="C2311" t="s">
        <v>47</v>
      </c>
      <c r="D2311" t="s">
        <v>20</v>
      </c>
      <c r="E2311" t="s">
        <v>43</v>
      </c>
      <c r="F2311" t="s">
        <v>41</v>
      </c>
      <c r="G2311" s="89">
        <v>134975</v>
      </c>
      <c r="H2311" t="s">
        <v>42</v>
      </c>
      <c r="I2311" t="s">
        <v>141</v>
      </c>
      <c r="J2311" s="89">
        <v>809850</v>
      </c>
      <c r="K2311" t="s">
        <v>127</v>
      </c>
      <c r="L2311" t="s">
        <v>128</v>
      </c>
      <c r="M2311" t="s">
        <v>139</v>
      </c>
      <c r="N2311">
        <v>1</v>
      </c>
      <c r="O2311" s="89">
        <v>5399</v>
      </c>
      <c r="P2311" s="89">
        <v>113379</v>
      </c>
      <c r="Q2311" t="s">
        <v>135</v>
      </c>
      <c r="R2311" t="s">
        <v>42</v>
      </c>
    </row>
    <row r="2312" spans="3:18" x14ac:dyDescent="0.25">
      <c r="C2312" t="s">
        <v>47</v>
      </c>
      <c r="D2312" t="s">
        <v>50</v>
      </c>
      <c r="E2312" t="s">
        <v>50</v>
      </c>
      <c r="F2312" t="s">
        <v>41</v>
      </c>
      <c r="G2312" s="89">
        <v>196073</v>
      </c>
      <c r="H2312" t="s">
        <v>51</v>
      </c>
      <c r="I2312" t="s">
        <v>147</v>
      </c>
      <c r="J2312" s="89">
        <v>392146</v>
      </c>
      <c r="K2312" t="s">
        <v>127</v>
      </c>
      <c r="N2312">
        <v>1</v>
      </c>
      <c r="O2312" s="89">
        <v>9803.65</v>
      </c>
      <c r="P2312" s="89">
        <v>37253.870000000003</v>
      </c>
      <c r="Q2312" t="s">
        <v>130</v>
      </c>
    </row>
    <row r="2313" spans="3:18" x14ac:dyDescent="0.25">
      <c r="C2313" t="s">
        <v>47</v>
      </c>
      <c r="D2313" t="s">
        <v>22</v>
      </c>
      <c r="E2313" t="s">
        <v>40</v>
      </c>
      <c r="F2313" t="s">
        <v>41</v>
      </c>
      <c r="G2313" s="89">
        <v>276624</v>
      </c>
      <c r="H2313" t="s">
        <v>145</v>
      </c>
      <c r="I2313" t="s">
        <v>133</v>
      </c>
      <c r="J2313" s="89">
        <v>6915600</v>
      </c>
      <c r="K2313" t="s">
        <v>127</v>
      </c>
      <c r="L2313" t="s">
        <v>128</v>
      </c>
      <c r="N2313">
        <v>1</v>
      </c>
      <c r="O2313" s="89">
        <v>11064.96</v>
      </c>
      <c r="P2313" s="89">
        <v>143844.48000000001</v>
      </c>
      <c r="Q2313" t="s">
        <v>142</v>
      </c>
      <c r="R2313" t="s">
        <v>131</v>
      </c>
    </row>
    <row r="2314" spans="3:18" hidden="1" x14ac:dyDescent="0.25">
      <c r="C2314" t="s">
        <v>45</v>
      </c>
      <c r="D2314" t="s">
        <v>21</v>
      </c>
      <c r="E2314" t="s">
        <v>43</v>
      </c>
      <c r="F2314" t="s">
        <v>41</v>
      </c>
      <c r="G2314" s="89">
        <v>150051</v>
      </c>
      <c r="H2314" t="s">
        <v>146</v>
      </c>
      <c r="I2314" t="s">
        <v>126</v>
      </c>
      <c r="J2314" s="89">
        <v>2700918</v>
      </c>
      <c r="K2314" t="s">
        <v>127</v>
      </c>
      <c r="L2314" t="s">
        <v>128</v>
      </c>
      <c r="N2314">
        <v>1</v>
      </c>
      <c r="O2314" s="89">
        <v>4501.53</v>
      </c>
      <c r="P2314" s="89">
        <v>168057.12</v>
      </c>
      <c r="Q2314" t="s">
        <v>150</v>
      </c>
      <c r="R2314" t="s">
        <v>131</v>
      </c>
    </row>
    <row r="2315" spans="3:18" hidden="1" x14ac:dyDescent="0.25">
      <c r="C2315" t="s">
        <v>45</v>
      </c>
      <c r="D2315" t="s">
        <v>22</v>
      </c>
      <c r="E2315" t="s">
        <v>40</v>
      </c>
      <c r="F2315" t="s">
        <v>41</v>
      </c>
      <c r="G2315" s="89">
        <v>76046405</v>
      </c>
      <c r="H2315" t="s">
        <v>132</v>
      </c>
      <c r="I2315" t="s">
        <v>126</v>
      </c>
      <c r="J2315" s="89">
        <v>1292788885</v>
      </c>
      <c r="K2315" t="s">
        <v>127</v>
      </c>
      <c r="L2315" t="s">
        <v>128</v>
      </c>
      <c r="N2315">
        <v>1</v>
      </c>
      <c r="O2315" s="89">
        <v>2281392.15</v>
      </c>
      <c r="P2315" s="89">
        <v>38023202.5</v>
      </c>
      <c r="Q2315" t="s">
        <v>142</v>
      </c>
      <c r="R2315" t="s">
        <v>131</v>
      </c>
    </row>
    <row r="2316" spans="3:18" hidden="1" x14ac:dyDescent="0.25">
      <c r="C2316" t="s">
        <v>45</v>
      </c>
      <c r="D2316" t="s">
        <v>24</v>
      </c>
      <c r="E2316" t="s">
        <v>40</v>
      </c>
      <c r="F2316" t="s">
        <v>41</v>
      </c>
      <c r="G2316" s="89">
        <v>1107982</v>
      </c>
      <c r="H2316" t="s">
        <v>140</v>
      </c>
      <c r="I2316" t="s">
        <v>126</v>
      </c>
      <c r="J2316" s="89">
        <v>16619730</v>
      </c>
      <c r="K2316" t="s">
        <v>127</v>
      </c>
      <c r="L2316" t="s">
        <v>128</v>
      </c>
      <c r="N2316">
        <v>1</v>
      </c>
      <c r="O2316" s="89">
        <v>33239.46</v>
      </c>
      <c r="P2316" s="89">
        <v>509671.72</v>
      </c>
      <c r="Q2316" t="s">
        <v>142</v>
      </c>
      <c r="R2316" t="s">
        <v>131</v>
      </c>
    </row>
    <row r="2317" spans="3:18" hidden="1" x14ac:dyDescent="0.25">
      <c r="C2317" t="s">
        <v>45</v>
      </c>
      <c r="D2317" t="s">
        <v>21</v>
      </c>
      <c r="E2317" t="s">
        <v>40</v>
      </c>
      <c r="F2317" t="s">
        <v>41</v>
      </c>
      <c r="G2317" s="89">
        <v>347113</v>
      </c>
      <c r="H2317" t="s">
        <v>42</v>
      </c>
      <c r="I2317" t="s">
        <v>141</v>
      </c>
      <c r="J2317" s="89">
        <v>2776904</v>
      </c>
      <c r="K2317" t="s">
        <v>144</v>
      </c>
      <c r="N2317">
        <v>1</v>
      </c>
      <c r="O2317" s="89">
        <v>10413.39</v>
      </c>
      <c r="P2317" s="89">
        <v>100662.77</v>
      </c>
      <c r="Q2317" t="s">
        <v>130</v>
      </c>
      <c r="R2317" t="s">
        <v>42</v>
      </c>
    </row>
    <row r="2318" spans="3:18" hidden="1" x14ac:dyDescent="0.25">
      <c r="C2318" t="s">
        <v>45</v>
      </c>
      <c r="D2318" t="s">
        <v>23</v>
      </c>
      <c r="E2318" t="s">
        <v>40</v>
      </c>
      <c r="F2318" t="s">
        <v>41</v>
      </c>
      <c r="G2318" s="89">
        <v>27281455</v>
      </c>
      <c r="H2318" t="s">
        <v>42</v>
      </c>
      <c r="I2318" t="s">
        <v>126</v>
      </c>
      <c r="J2318" s="89">
        <v>409221825</v>
      </c>
      <c r="K2318" t="s">
        <v>127</v>
      </c>
      <c r="L2318" t="s">
        <v>128</v>
      </c>
      <c r="M2318" t="s">
        <v>152</v>
      </c>
      <c r="N2318">
        <v>1</v>
      </c>
      <c r="O2318" s="89">
        <v>818443.65</v>
      </c>
      <c r="P2318" s="89">
        <v>7638807.4000000004</v>
      </c>
      <c r="Q2318" t="s">
        <v>130</v>
      </c>
      <c r="R2318" t="s">
        <v>131</v>
      </c>
    </row>
    <row r="2319" spans="3:18" hidden="1" x14ac:dyDescent="0.25">
      <c r="C2319" t="s">
        <v>45</v>
      </c>
      <c r="D2319" t="s">
        <v>22</v>
      </c>
      <c r="E2319" t="s">
        <v>43</v>
      </c>
      <c r="F2319" t="s">
        <v>41</v>
      </c>
      <c r="G2319" s="89">
        <v>315224</v>
      </c>
      <c r="H2319" t="s">
        <v>146</v>
      </c>
      <c r="I2319" t="s">
        <v>126</v>
      </c>
      <c r="J2319" s="89">
        <v>5674032</v>
      </c>
      <c r="K2319" t="s">
        <v>144</v>
      </c>
      <c r="N2319">
        <v>1</v>
      </c>
      <c r="O2319" s="89">
        <v>9456.7199999999993</v>
      </c>
      <c r="P2319" s="89">
        <v>88262.720000000001</v>
      </c>
      <c r="Q2319" t="s">
        <v>130</v>
      </c>
      <c r="R2319" t="s">
        <v>131</v>
      </c>
    </row>
    <row r="2320" spans="3:18" hidden="1" x14ac:dyDescent="0.25">
      <c r="C2320" t="s">
        <v>45</v>
      </c>
      <c r="D2320" t="s">
        <v>19</v>
      </c>
      <c r="E2320" t="s">
        <v>43</v>
      </c>
      <c r="F2320" t="s">
        <v>41</v>
      </c>
      <c r="G2320" s="89">
        <v>682842</v>
      </c>
      <c r="H2320" t="s">
        <v>140</v>
      </c>
      <c r="I2320" t="s">
        <v>141</v>
      </c>
      <c r="J2320" s="89">
        <v>4779894</v>
      </c>
      <c r="K2320" t="s">
        <v>144</v>
      </c>
      <c r="N2320">
        <v>1</v>
      </c>
      <c r="O2320" s="89">
        <v>20485.259999999998</v>
      </c>
      <c r="P2320" s="89">
        <v>307278.90000000002</v>
      </c>
      <c r="Q2320" t="s">
        <v>142</v>
      </c>
      <c r="R2320" t="s">
        <v>131</v>
      </c>
    </row>
    <row r="2321" spans="3:18" hidden="1" x14ac:dyDescent="0.25">
      <c r="C2321" t="s">
        <v>45</v>
      </c>
      <c r="D2321" t="s">
        <v>23</v>
      </c>
      <c r="E2321" t="s">
        <v>40</v>
      </c>
      <c r="F2321" t="s">
        <v>41</v>
      </c>
      <c r="G2321" s="89">
        <v>1236454</v>
      </c>
      <c r="H2321" t="s">
        <v>145</v>
      </c>
      <c r="I2321" t="s">
        <v>141</v>
      </c>
      <c r="J2321" s="89">
        <v>9891632</v>
      </c>
      <c r="K2321" t="s">
        <v>127</v>
      </c>
      <c r="L2321" t="s">
        <v>128</v>
      </c>
      <c r="N2321">
        <v>1</v>
      </c>
      <c r="O2321" s="89">
        <v>49458.16</v>
      </c>
      <c r="P2321" s="89">
        <v>581133.38</v>
      </c>
      <c r="Q2321" t="s">
        <v>142</v>
      </c>
      <c r="R2321" t="s">
        <v>131</v>
      </c>
    </row>
    <row r="2322" spans="3:18" hidden="1" x14ac:dyDescent="0.25">
      <c r="C2322" t="s">
        <v>45</v>
      </c>
      <c r="D2322" t="s">
        <v>22</v>
      </c>
      <c r="E2322" t="s">
        <v>43</v>
      </c>
      <c r="F2322" t="s">
        <v>41</v>
      </c>
      <c r="G2322" s="89">
        <v>66477</v>
      </c>
      <c r="H2322" t="s">
        <v>42</v>
      </c>
      <c r="I2322" t="s">
        <v>133</v>
      </c>
      <c r="J2322" s="89">
        <v>2393172</v>
      </c>
      <c r="K2322" t="s">
        <v>127</v>
      </c>
      <c r="L2322" t="s">
        <v>128</v>
      </c>
      <c r="M2322" t="s">
        <v>129</v>
      </c>
      <c r="N2322">
        <v>1</v>
      </c>
      <c r="O2322" s="89">
        <v>2659.08</v>
      </c>
      <c r="P2322" s="89">
        <v>57170.22</v>
      </c>
      <c r="Q2322" t="s">
        <v>135</v>
      </c>
      <c r="R2322" t="s">
        <v>42</v>
      </c>
    </row>
    <row r="2323" spans="3:18" hidden="1" x14ac:dyDescent="0.25">
      <c r="C2323" t="s">
        <v>45</v>
      </c>
      <c r="D2323" t="s">
        <v>22</v>
      </c>
      <c r="E2323" t="s">
        <v>40</v>
      </c>
      <c r="F2323" t="s">
        <v>41</v>
      </c>
      <c r="G2323" s="89">
        <v>601185</v>
      </c>
      <c r="H2323" t="s">
        <v>42</v>
      </c>
      <c r="I2323" t="s">
        <v>141</v>
      </c>
      <c r="J2323" s="89">
        <v>4809480</v>
      </c>
      <c r="K2323" t="s">
        <v>127</v>
      </c>
      <c r="L2323" t="s">
        <v>128</v>
      </c>
      <c r="M2323" t="s">
        <v>143</v>
      </c>
      <c r="N2323">
        <v>1</v>
      </c>
      <c r="O2323" s="89">
        <v>24047.4</v>
      </c>
      <c r="P2323" s="89">
        <v>144284.4</v>
      </c>
      <c r="Q2323" t="s">
        <v>130</v>
      </c>
      <c r="R2323" t="s">
        <v>42</v>
      </c>
    </row>
    <row r="2324" spans="3:18" x14ac:dyDescent="0.25">
      <c r="C2324" t="s">
        <v>47</v>
      </c>
      <c r="D2324" t="s">
        <v>21</v>
      </c>
      <c r="E2324" t="s">
        <v>40</v>
      </c>
      <c r="F2324" t="s">
        <v>41</v>
      </c>
      <c r="G2324" s="89">
        <v>306600</v>
      </c>
      <c r="H2324" t="s">
        <v>146</v>
      </c>
      <c r="I2324" t="s">
        <v>126</v>
      </c>
      <c r="J2324" s="89">
        <v>4292400</v>
      </c>
      <c r="K2324" t="s">
        <v>127</v>
      </c>
      <c r="L2324" t="s">
        <v>128</v>
      </c>
      <c r="N2324">
        <v>1</v>
      </c>
      <c r="O2324" s="89">
        <v>9198</v>
      </c>
      <c r="P2324" s="89">
        <v>459900</v>
      </c>
      <c r="Q2324" t="s">
        <v>150</v>
      </c>
      <c r="R2324" t="s">
        <v>131</v>
      </c>
    </row>
    <row r="2325" spans="3:18" x14ac:dyDescent="0.25">
      <c r="C2325" t="s">
        <v>47</v>
      </c>
      <c r="D2325" t="s">
        <v>21</v>
      </c>
      <c r="E2325" t="s">
        <v>43</v>
      </c>
      <c r="F2325" t="s">
        <v>41</v>
      </c>
      <c r="G2325" s="89">
        <v>576103</v>
      </c>
      <c r="H2325" t="s">
        <v>140</v>
      </c>
      <c r="I2325" t="s">
        <v>147</v>
      </c>
      <c r="J2325" s="89">
        <v>1728309</v>
      </c>
      <c r="K2325" t="s">
        <v>144</v>
      </c>
      <c r="N2325">
        <v>1</v>
      </c>
      <c r="O2325" s="89">
        <v>28805.15</v>
      </c>
      <c r="P2325" s="89">
        <v>109459.57</v>
      </c>
      <c r="Q2325" t="s">
        <v>130</v>
      </c>
      <c r="R2325" t="s">
        <v>131</v>
      </c>
    </row>
    <row r="2326" spans="3:18" hidden="1" x14ac:dyDescent="0.25">
      <c r="C2326" t="s">
        <v>45</v>
      </c>
      <c r="D2326" t="s">
        <v>149</v>
      </c>
      <c r="E2326" t="s">
        <v>43</v>
      </c>
      <c r="F2326" t="s">
        <v>41</v>
      </c>
      <c r="G2326" s="89">
        <v>11866</v>
      </c>
      <c r="H2326" t="s">
        <v>146</v>
      </c>
      <c r="I2326" t="s">
        <v>147</v>
      </c>
      <c r="J2326" s="89">
        <v>35598</v>
      </c>
      <c r="K2326" t="s">
        <v>127</v>
      </c>
      <c r="L2326" t="s">
        <v>128</v>
      </c>
      <c r="N2326">
        <v>1</v>
      </c>
      <c r="O2326" s="89">
        <v>355.98</v>
      </c>
      <c r="P2326" s="89">
        <v>4983.72</v>
      </c>
      <c r="Q2326" t="s">
        <v>142</v>
      </c>
      <c r="R2326" t="s">
        <v>131</v>
      </c>
    </row>
    <row r="2327" spans="3:18" hidden="1" x14ac:dyDescent="0.25">
      <c r="C2327" t="s">
        <v>45</v>
      </c>
      <c r="D2327" t="s">
        <v>138</v>
      </c>
      <c r="E2327" t="s">
        <v>43</v>
      </c>
      <c r="F2327" t="s">
        <v>41</v>
      </c>
      <c r="G2327" s="89">
        <v>74112</v>
      </c>
      <c r="H2327" t="s">
        <v>42</v>
      </c>
      <c r="I2327" t="s">
        <v>126</v>
      </c>
      <c r="J2327" s="89">
        <v>1334016</v>
      </c>
      <c r="K2327" t="s">
        <v>127</v>
      </c>
      <c r="L2327" t="s">
        <v>128</v>
      </c>
      <c r="M2327" t="s">
        <v>139</v>
      </c>
      <c r="N2327">
        <v>1</v>
      </c>
      <c r="O2327" s="89">
        <v>2223.36</v>
      </c>
      <c r="P2327" s="89">
        <v>64477.440000000002</v>
      </c>
      <c r="Q2327" t="s">
        <v>135</v>
      </c>
      <c r="R2327" t="s">
        <v>42</v>
      </c>
    </row>
    <row r="2328" spans="3:18" x14ac:dyDescent="0.25">
      <c r="C2328" t="s">
        <v>47</v>
      </c>
      <c r="D2328" t="s">
        <v>23</v>
      </c>
      <c r="E2328" t="s">
        <v>40</v>
      </c>
      <c r="F2328" t="s">
        <v>41</v>
      </c>
      <c r="G2328" s="89">
        <v>19791</v>
      </c>
      <c r="H2328" t="s">
        <v>140</v>
      </c>
      <c r="I2328" t="s">
        <v>147</v>
      </c>
      <c r="J2328" s="89"/>
      <c r="K2328" t="s">
        <v>127</v>
      </c>
      <c r="L2328" t="s">
        <v>128</v>
      </c>
      <c r="N2328">
        <v>0</v>
      </c>
      <c r="O2328" s="89">
        <v>395.82</v>
      </c>
      <c r="P2328" s="89">
        <v>0</v>
      </c>
      <c r="Q2328" t="s">
        <v>130</v>
      </c>
      <c r="R2328" t="s">
        <v>131</v>
      </c>
    </row>
    <row r="2329" spans="3:18" hidden="1" x14ac:dyDescent="0.25">
      <c r="C2329" t="s">
        <v>45</v>
      </c>
      <c r="D2329" t="s">
        <v>22</v>
      </c>
      <c r="E2329" t="s">
        <v>40</v>
      </c>
      <c r="F2329" t="s">
        <v>41</v>
      </c>
      <c r="G2329" s="89">
        <v>48076943</v>
      </c>
      <c r="H2329" t="s">
        <v>146</v>
      </c>
      <c r="I2329" t="s">
        <v>133</v>
      </c>
      <c r="J2329" s="89">
        <v>1346154404</v>
      </c>
      <c r="K2329" t="s">
        <v>127</v>
      </c>
      <c r="L2329" t="s">
        <v>128</v>
      </c>
      <c r="N2329">
        <v>1</v>
      </c>
      <c r="O2329" s="89">
        <v>1442308.29</v>
      </c>
      <c r="P2329" s="89">
        <v>33173090.670000002</v>
      </c>
      <c r="Q2329" t="s">
        <v>137</v>
      </c>
      <c r="R2329" t="s">
        <v>131</v>
      </c>
    </row>
    <row r="2330" spans="3:18" x14ac:dyDescent="0.25">
      <c r="C2330" t="s">
        <v>47</v>
      </c>
      <c r="D2330" t="s">
        <v>19</v>
      </c>
      <c r="E2330" t="s">
        <v>43</v>
      </c>
      <c r="F2330" t="s">
        <v>41</v>
      </c>
      <c r="G2330" s="89">
        <v>1373237</v>
      </c>
      <c r="H2330" t="s">
        <v>140</v>
      </c>
      <c r="I2330" t="s">
        <v>126</v>
      </c>
      <c r="J2330" s="89">
        <v>16478844</v>
      </c>
      <c r="K2330" t="s">
        <v>127</v>
      </c>
      <c r="L2330" t="s">
        <v>128</v>
      </c>
      <c r="N2330">
        <v>1</v>
      </c>
      <c r="O2330" s="89">
        <v>68661.850000000006</v>
      </c>
      <c r="P2330" s="89">
        <v>370773.99</v>
      </c>
      <c r="Q2330" t="s">
        <v>130</v>
      </c>
      <c r="R2330" t="s">
        <v>131</v>
      </c>
    </row>
    <row r="2331" spans="3:18" hidden="1" x14ac:dyDescent="0.25">
      <c r="C2331" t="s">
        <v>45</v>
      </c>
      <c r="D2331" t="s">
        <v>24</v>
      </c>
      <c r="E2331" t="s">
        <v>48</v>
      </c>
      <c r="F2331" t="s">
        <v>41</v>
      </c>
      <c r="G2331" s="89">
        <v>46898211</v>
      </c>
      <c r="H2331" t="s">
        <v>140</v>
      </c>
      <c r="I2331" t="s">
        <v>126</v>
      </c>
      <c r="J2331" s="89">
        <v>750371376</v>
      </c>
      <c r="K2331" t="s">
        <v>127</v>
      </c>
      <c r="L2331" t="s">
        <v>128</v>
      </c>
      <c r="N2331">
        <v>1</v>
      </c>
      <c r="O2331" s="89">
        <v>1406946.33</v>
      </c>
      <c r="P2331" s="89">
        <v>22980123.390000001</v>
      </c>
      <c r="Q2331" t="s">
        <v>142</v>
      </c>
      <c r="R2331" t="s">
        <v>131</v>
      </c>
    </row>
    <row r="2332" spans="3:18" hidden="1" x14ac:dyDescent="0.25">
      <c r="C2332" t="s">
        <v>45</v>
      </c>
      <c r="D2332" t="s">
        <v>50</v>
      </c>
      <c r="E2332" t="s">
        <v>50</v>
      </c>
      <c r="F2332" t="s">
        <v>53</v>
      </c>
      <c r="G2332" s="89">
        <v>27488</v>
      </c>
      <c r="H2332" t="s">
        <v>79</v>
      </c>
      <c r="I2332" t="s">
        <v>126</v>
      </c>
      <c r="J2332" s="89">
        <v>522272</v>
      </c>
      <c r="K2332" t="s">
        <v>134</v>
      </c>
      <c r="N2332">
        <v>1</v>
      </c>
      <c r="O2332" s="89">
        <v>824.64</v>
      </c>
      <c r="P2332" s="89">
        <v>30786.560000000001</v>
      </c>
      <c r="Q2332" t="s">
        <v>150</v>
      </c>
      <c r="R2332" t="s">
        <v>79</v>
      </c>
    </row>
    <row r="2333" spans="3:18" hidden="1" x14ac:dyDescent="0.25">
      <c r="C2333" t="s">
        <v>45</v>
      </c>
      <c r="D2333" t="s">
        <v>22</v>
      </c>
      <c r="E2333" t="s">
        <v>40</v>
      </c>
      <c r="F2333" t="s">
        <v>41</v>
      </c>
      <c r="G2333" s="89">
        <v>38632</v>
      </c>
      <c r="H2333" t="s">
        <v>132</v>
      </c>
      <c r="I2333" t="s">
        <v>126</v>
      </c>
      <c r="J2333" s="89">
        <v>734008</v>
      </c>
      <c r="K2333" t="s">
        <v>127</v>
      </c>
      <c r="L2333" t="s">
        <v>151</v>
      </c>
      <c r="N2333">
        <v>1</v>
      </c>
      <c r="O2333" s="89">
        <v>772.64</v>
      </c>
      <c r="P2333" s="89">
        <v>19702.32</v>
      </c>
      <c r="Q2333" t="s">
        <v>142</v>
      </c>
      <c r="R2333" t="s">
        <v>131</v>
      </c>
    </row>
    <row r="2334" spans="3:18" hidden="1" x14ac:dyDescent="0.25">
      <c r="C2334" t="s">
        <v>45</v>
      </c>
      <c r="D2334" t="s">
        <v>21</v>
      </c>
      <c r="E2334" t="s">
        <v>43</v>
      </c>
      <c r="F2334" t="s">
        <v>41</v>
      </c>
      <c r="G2334" s="89">
        <v>6605142</v>
      </c>
      <c r="H2334" t="s">
        <v>145</v>
      </c>
      <c r="I2334" t="s">
        <v>126</v>
      </c>
      <c r="J2334" s="89">
        <v>105682272</v>
      </c>
      <c r="K2334" t="s">
        <v>134</v>
      </c>
      <c r="L2334" t="s">
        <v>128</v>
      </c>
      <c r="N2334">
        <v>1</v>
      </c>
      <c r="O2334" s="89">
        <v>198154.26</v>
      </c>
      <c r="P2334" s="89">
        <v>3170468.16</v>
      </c>
      <c r="Q2334" t="s">
        <v>142</v>
      </c>
      <c r="R2334" t="s">
        <v>131</v>
      </c>
    </row>
    <row r="2335" spans="3:18" x14ac:dyDescent="0.25">
      <c r="C2335" t="s">
        <v>47</v>
      </c>
      <c r="D2335" t="s">
        <v>138</v>
      </c>
      <c r="E2335" t="s">
        <v>40</v>
      </c>
      <c r="F2335" t="s">
        <v>41</v>
      </c>
      <c r="G2335" s="89">
        <v>680247</v>
      </c>
      <c r="H2335" t="s">
        <v>132</v>
      </c>
      <c r="I2335" t="s">
        <v>141</v>
      </c>
      <c r="J2335" s="89">
        <v>6122223</v>
      </c>
      <c r="K2335" t="s">
        <v>127</v>
      </c>
      <c r="L2335" t="s">
        <v>128</v>
      </c>
      <c r="N2335">
        <v>1</v>
      </c>
      <c r="O2335" s="89">
        <v>27209.88</v>
      </c>
      <c r="P2335" s="89">
        <v>442160.55</v>
      </c>
      <c r="Q2335" t="s">
        <v>137</v>
      </c>
      <c r="R2335" t="s">
        <v>131</v>
      </c>
    </row>
    <row r="2336" spans="3:18" hidden="1" x14ac:dyDescent="0.25">
      <c r="C2336" t="s">
        <v>45</v>
      </c>
      <c r="D2336" t="s">
        <v>19</v>
      </c>
      <c r="E2336" t="s">
        <v>43</v>
      </c>
      <c r="F2336" t="s">
        <v>41</v>
      </c>
      <c r="G2336" s="89">
        <v>398568</v>
      </c>
      <c r="H2336" t="s">
        <v>42</v>
      </c>
      <c r="I2336" t="s">
        <v>126</v>
      </c>
      <c r="J2336" s="89">
        <v>7174224</v>
      </c>
      <c r="K2336" t="s">
        <v>127</v>
      </c>
      <c r="L2336" t="s">
        <v>128</v>
      </c>
      <c r="M2336" t="s">
        <v>129</v>
      </c>
      <c r="N2336">
        <v>1</v>
      </c>
      <c r="O2336" s="89">
        <v>15942.72</v>
      </c>
      <c r="P2336" s="89">
        <v>207255.36</v>
      </c>
      <c r="Q2336" t="s">
        <v>142</v>
      </c>
      <c r="R2336" t="s">
        <v>42</v>
      </c>
    </row>
    <row r="2337" spans="3:18" hidden="1" x14ac:dyDescent="0.25">
      <c r="C2337" t="s">
        <v>45</v>
      </c>
      <c r="D2337" t="s">
        <v>138</v>
      </c>
      <c r="E2337" t="s">
        <v>43</v>
      </c>
      <c r="F2337" t="s">
        <v>41</v>
      </c>
      <c r="G2337" s="89">
        <v>22026</v>
      </c>
      <c r="H2337" t="s">
        <v>145</v>
      </c>
      <c r="I2337" t="s">
        <v>141</v>
      </c>
      <c r="J2337" s="89">
        <v>176208</v>
      </c>
      <c r="K2337" t="s">
        <v>127</v>
      </c>
      <c r="L2337" t="s">
        <v>151</v>
      </c>
      <c r="N2337">
        <v>1</v>
      </c>
      <c r="O2337" s="89">
        <v>660.78</v>
      </c>
      <c r="P2337" s="89">
        <v>3964.68</v>
      </c>
      <c r="Q2337" t="s">
        <v>130</v>
      </c>
      <c r="R2337" t="s">
        <v>131</v>
      </c>
    </row>
    <row r="2338" spans="3:18" hidden="1" x14ac:dyDescent="0.25">
      <c r="C2338" t="s">
        <v>45</v>
      </c>
      <c r="D2338" t="s">
        <v>24</v>
      </c>
      <c r="E2338" t="s">
        <v>48</v>
      </c>
      <c r="F2338" t="s">
        <v>41</v>
      </c>
      <c r="G2338" s="89">
        <v>209215</v>
      </c>
      <c r="H2338" t="s">
        <v>146</v>
      </c>
      <c r="I2338" t="s">
        <v>133</v>
      </c>
      <c r="J2338" s="89">
        <v>7950170</v>
      </c>
      <c r="K2338" t="s">
        <v>134</v>
      </c>
      <c r="L2338" t="s">
        <v>128</v>
      </c>
      <c r="N2338">
        <v>1</v>
      </c>
      <c r="O2338" s="89">
        <v>4184.3</v>
      </c>
      <c r="P2338" s="89">
        <v>123436.85</v>
      </c>
      <c r="Q2338" t="s">
        <v>142</v>
      </c>
      <c r="R2338" t="s">
        <v>131</v>
      </c>
    </row>
    <row r="2339" spans="3:18" x14ac:dyDescent="0.25">
      <c r="C2339" t="s">
        <v>47</v>
      </c>
      <c r="D2339" t="s">
        <v>21</v>
      </c>
      <c r="E2339" t="s">
        <v>43</v>
      </c>
      <c r="F2339" t="s">
        <v>41</v>
      </c>
      <c r="G2339" s="89">
        <v>39936515</v>
      </c>
      <c r="H2339" t="s">
        <v>132</v>
      </c>
      <c r="I2339" t="s">
        <v>147</v>
      </c>
      <c r="J2339" s="89">
        <v>199682575</v>
      </c>
      <c r="K2339" t="s">
        <v>144</v>
      </c>
      <c r="N2339">
        <v>1</v>
      </c>
      <c r="O2339" s="89">
        <v>1597460.6</v>
      </c>
      <c r="P2339" s="89">
        <v>23163178.699999999</v>
      </c>
      <c r="Q2339" t="s">
        <v>142</v>
      </c>
      <c r="R2339" t="s">
        <v>131</v>
      </c>
    </row>
    <row r="2340" spans="3:18" x14ac:dyDescent="0.25">
      <c r="C2340" t="s">
        <v>47</v>
      </c>
      <c r="D2340" t="s">
        <v>138</v>
      </c>
      <c r="E2340" t="s">
        <v>40</v>
      </c>
      <c r="F2340" t="s">
        <v>41</v>
      </c>
      <c r="G2340" s="89">
        <v>2937314</v>
      </c>
      <c r="H2340" t="s">
        <v>42</v>
      </c>
      <c r="I2340" t="s">
        <v>141</v>
      </c>
      <c r="J2340" s="89">
        <v>26435826</v>
      </c>
      <c r="K2340" t="s">
        <v>127</v>
      </c>
      <c r="L2340" t="s">
        <v>128</v>
      </c>
      <c r="M2340" t="s">
        <v>129</v>
      </c>
      <c r="N2340">
        <v>1</v>
      </c>
      <c r="O2340" s="89">
        <v>88119.42</v>
      </c>
      <c r="P2340" s="89">
        <v>1821134.68</v>
      </c>
      <c r="Q2340" t="s">
        <v>137</v>
      </c>
      <c r="R2340" t="s">
        <v>131</v>
      </c>
    </row>
    <row r="2341" spans="3:18" hidden="1" x14ac:dyDescent="0.25">
      <c r="C2341" t="s">
        <v>45</v>
      </c>
      <c r="D2341" t="s">
        <v>21</v>
      </c>
      <c r="E2341" t="s">
        <v>40</v>
      </c>
      <c r="F2341" t="s">
        <v>53</v>
      </c>
      <c r="G2341" s="89">
        <v>664187</v>
      </c>
      <c r="H2341" t="s">
        <v>42</v>
      </c>
      <c r="I2341" t="s">
        <v>133</v>
      </c>
      <c r="J2341" s="89">
        <v>23910732</v>
      </c>
      <c r="K2341" t="s">
        <v>127</v>
      </c>
      <c r="L2341" t="s">
        <v>128</v>
      </c>
      <c r="M2341" t="s">
        <v>129</v>
      </c>
      <c r="N2341">
        <v>1</v>
      </c>
      <c r="O2341" s="89">
        <v>19925.61</v>
      </c>
      <c r="P2341" s="89">
        <v>557917.07999999996</v>
      </c>
      <c r="Q2341" t="s">
        <v>135</v>
      </c>
      <c r="R2341" t="s">
        <v>42</v>
      </c>
    </row>
    <row r="2342" spans="3:18" hidden="1" x14ac:dyDescent="0.25">
      <c r="C2342" t="s">
        <v>45</v>
      </c>
      <c r="D2342" t="s">
        <v>19</v>
      </c>
      <c r="E2342" t="s">
        <v>43</v>
      </c>
      <c r="F2342" t="s">
        <v>41</v>
      </c>
      <c r="G2342" s="89">
        <v>66955984</v>
      </c>
      <c r="H2342" t="s">
        <v>42</v>
      </c>
      <c r="I2342" t="s">
        <v>133</v>
      </c>
      <c r="J2342" s="89">
        <v>2142591488</v>
      </c>
      <c r="K2342" t="s">
        <v>144</v>
      </c>
      <c r="N2342">
        <v>1</v>
      </c>
      <c r="O2342" s="89">
        <v>2008679.52</v>
      </c>
      <c r="P2342" s="89">
        <v>34817111.68</v>
      </c>
      <c r="Q2342" t="s">
        <v>142</v>
      </c>
      <c r="R2342" t="s">
        <v>42</v>
      </c>
    </row>
    <row r="2343" spans="3:18" hidden="1" x14ac:dyDescent="0.25">
      <c r="C2343" t="s">
        <v>45</v>
      </c>
      <c r="D2343" t="s">
        <v>22</v>
      </c>
      <c r="E2343" t="s">
        <v>43</v>
      </c>
      <c r="F2343" t="s">
        <v>41</v>
      </c>
      <c r="G2343" s="89">
        <v>634053</v>
      </c>
      <c r="H2343" t="s">
        <v>145</v>
      </c>
      <c r="I2343" t="s">
        <v>126</v>
      </c>
      <c r="J2343" s="89">
        <v>10778901</v>
      </c>
      <c r="K2343" t="s">
        <v>127</v>
      </c>
      <c r="L2343" t="s">
        <v>128</v>
      </c>
      <c r="N2343">
        <v>1</v>
      </c>
      <c r="O2343" s="89">
        <v>19021.59</v>
      </c>
      <c r="P2343" s="89">
        <v>405793.92</v>
      </c>
      <c r="Q2343" t="s">
        <v>137</v>
      </c>
      <c r="R2343" t="s">
        <v>131</v>
      </c>
    </row>
    <row r="2344" spans="3:18" hidden="1" x14ac:dyDescent="0.25">
      <c r="C2344" t="s">
        <v>45</v>
      </c>
      <c r="D2344" t="s">
        <v>23</v>
      </c>
      <c r="E2344" t="s">
        <v>40</v>
      </c>
      <c r="F2344" t="s">
        <v>41</v>
      </c>
      <c r="G2344" s="89">
        <v>390604</v>
      </c>
      <c r="H2344" t="s">
        <v>42</v>
      </c>
      <c r="I2344" t="s">
        <v>147</v>
      </c>
      <c r="J2344" s="89">
        <v>1562416</v>
      </c>
      <c r="K2344" t="s">
        <v>127</v>
      </c>
      <c r="L2344" t="s">
        <v>128</v>
      </c>
      <c r="M2344" t="s">
        <v>152</v>
      </c>
      <c r="N2344">
        <v>1</v>
      </c>
      <c r="O2344" s="89">
        <v>15624.16</v>
      </c>
      <c r="P2344" s="89">
        <v>203114.08</v>
      </c>
      <c r="Q2344" t="s">
        <v>142</v>
      </c>
      <c r="R2344" t="s">
        <v>131</v>
      </c>
    </row>
    <row r="2345" spans="3:18" hidden="1" x14ac:dyDescent="0.25">
      <c r="C2345" t="s">
        <v>45</v>
      </c>
      <c r="D2345" t="s">
        <v>20</v>
      </c>
      <c r="E2345" t="s">
        <v>43</v>
      </c>
      <c r="F2345" t="s">
        <v>53</v>
      </c>
      <c r="G2345" s="89">
        <v>4085523</v>
      </c>
      <c r="H2345" t="s">
        <v>42</v>
      </c>
      <c r="I2345" t="s">
        <v>126</v>
      </c>
      <c r="J2345" s="89">
        <v>65368368</v>
      </c>
      <c r="K2345" t="s">
        <v>144</v>
      </c>
      <c r="N2345">
        <v>1</v>
      </c>
      <c r="O2345" s="89">
        <v>122565.69</v>
      </c>
      <c r="P2345" s="89">
        <v>2206182.42</v>
      </c>
      <c r="Q2345" t="s">
        <v>142</v>
      </c>
      <c r="R2345" t="s">
        <v>42</v>
      </c>
    </row>
    <row r="2346" spans="3:18" x14ac:dyDescent="0.25">
      <c r="C2346" t="s">
        <v>47</v>
      </c>
      <c r="D2346" t="s">
        <v>20</v>
      </c>
      <c r="E2346" t="s">
        <v>43</v>
      </c>
      <c r="F2346" t="s">
        <v>41</v>
      </c>
      <c r="G2346" s="89">
        <v>54885</v>
      </c>
      <c r="H2346" t="s">
        <v>145</v>
      </c>
      <c r="I2346" t="s">
        <v>147</v>
      </c>
      <c r="J2346" s="89">
        <v>219540</v>
      </c>
      <c r="K2346" t="s">
        <v>127</v>
      </c>
      <c r="L2346" t="s">
        <v>128</v>
      </c>
      <c r="N2346">
        <v>1</v>
      </c>
      <c r="O2346" s="89">
        <v>2195.4</v>
      </c>
      <c r="P2346" s="89">
        <v>13721.25</v>
      </c>
      <c r="Q2346" t="s">
        <v>130</v>
      </c>
      <c r="R2346" t="s">
        <v>131</v>
      </c>
    </row>
    <row r="2347" spans="3:18" hidden="1" x14ac:dyDescent="0.25">
      <c r="C2347" t="s">
        <v>45</v>
      </c>
      <c r="D2347" t="s">
        <v>20</v>
      </c>
      <c r="E2347" t="s">
        <v>43</v>
      </c>
      <c r="F2347" t="s">
        <v>41</v>
      </c>
      <c r="G2347" s="89">
        <v>132411270</v>
      </c>
      <c r="H2347" t="s">
        <v>42</v>
      </c>
      <c r="I2347" t="s">
        <v>133</v>
      </c>
      <c r="J2347" s="89">
        <v>3839926830</v>
      </c>
      <c r="K2347" t="s">
        <v>127</v>
      </c>
      <c r="L2347" t="s">
        <v>128</v>
      </c>
      <c r="M2347" t="s">
        <v>139</v>
      </c>
      <c r="N2347">
        <v>1</v>
      </c>
      <c r="O2347" s="89">
        <v>3972338.1</v>
      </c>
      <c r="P2347" s="89">
        <v>67529747.700000003</v>
      </c>
      <c r="Q2347" t="s">
        <v>142</v>
      </c>
      <c r="R2347" t="s">
        <v>131</v>
      </c>
    </row>
    <row r="2348" spans="3:18" hidden="1" x14ac:dyDescent="0.25">
      <c r="C2348" t="s">
        <v>45</v>
      </c>
      <c r="D2348" t="s">
        <v>21</v>
      </c>
      <c r="E2348" t="s">
        <v>48</v>
      </c>
      <c r="F2348" t="s">
        <v>41</v>
      </c>
      <c r="G2348" s="89">
        <v>928499</v>
      </c>
      <c r="H2348" t="s">
        <v>42</v>
      </c>
      <c r="I2348" t="s">
        <v>126</v>
      </c>
      <c r="J2348" s="89">
        <v>14855984</v>
      </c>
      <c r="K2348" t="s">
        <v>127</v>
      </c>
      <c r="L2348" t="s">
        <v>128</v>
      </c>
      <c r="M2348" t="s">
        <v>129</v>
      </c>
      <c r="N2348">
        <v>1</v>
      </c>
      <c r="O2348" s="89">
        <v>27854.97</v>
      </c>
      <c r="P2348" s="89">
        <v>324974.65000000002</v>
      </c>
      <c r="Q2348" t="s">
        <v>130</v>
      </c>
      <c r="R2348" t="s">
        <v>131</v>
      </c>
    </row>
    <row r="2349" spans="3:18" hidden="1" x14ac:dyDescent="0.25">
      <c r="C2349" t="s">
        <v>45</v>
      </c>
      <c r="D2349" t="s">
        <v>22</v>
      </c>
      <c r="E2349" t="s">
        <v>40</v>
      </c>
      <c r="F2349" t="s">
        <v>41</v>
      </c>
      <c r="G2349" s="89">
        <v>47700</v>
      </c>
      <c r="H2349" t="s">
        <v>42</v>
      </c>
      <c r="I2349" t="s">
        <v>126</v>
      </c>
      <c r="J2349" s="89">
        <v>858600</v>
      </c>
      <c r="K2349" t="s">
        <v>127</v>
      </c>
      <c r="L2349" t="s">
        <v>128</v>
      </c>
      <c r="M2349" t="s">
        <v>143</v>
      </c>
      <c r="N2349">
        <v>1</v>
      </c>
      <c r="O2349" s="89">
        <v>1431</v>
      </c>
      <c r="P2349" s="89">
        <v>54378</v>
      </c>
      <c r="Q2349" t="s">
        <v>150</v>
      </c>
      <c r="R2349" t="s">
        <v>131</v>
      </c>
    </row>
    <row r="2350" spans="3:18" hidden="1" x14ac:dyDescent="0.25">
      <c r="C2350" t="s">
        <v>45</v>
      </c>
      <c r="D2350" t="s">
        <v>23</v>
      </c>
      <c r="E2350" t="s">
        <v>40</v>
      </c>
      <c r="F2350" t="s">
        <v>53</v>
      </c>
      <c r="G2350" s="89">
        <v>684728</v>
      </c>
      <c r="H2350" t="s">
        <v>42</v>
      </c>
      <c r="I2350" t="s">
        <v>133</v>
      </c>
      <c r="J2350" s="89">
        <v>24650208</v>
      </c>
      <c r="K2350" t="s">
        <v>144</v>
      </c>
      <c r="N2350">
        <v>1</v>
      </c>
      <c r="O2350" s="89">
        <v>20541.84</v>
      </c>
      <c r="P2350" s="89">
        <v>527240.56000000006</v>
      </c>
      <c r="Q2350" t="s">
        <v>137</v>
      </c>
      <c r="R2350" t="s">
        <v>42</v>
      </c>
    </row>
    <row r="2351" spans="3:18" hidden="1" x14ac:dyDescent="0.25">
      <c r="C2351" t="s">
        <v>45</v>
      </c>
      <c r="D2351" t="s">
        <v>50</v>
      </c>
      <c r="E2351" t="s">
        <v>50</v>
      </c>
      <c r="F2351" t="s">
        <v>41</v>
      </c>
      <c r="G2351" s="89">
        <v>70335</v>
      </c>
      <c r="H2351" t="s">
        <v>51</v>
      </c>
      <c r="I2351" t="s">
        <v>126</v>
      </c>
      <c r="J2351" s="89">
        <v>773685</v>
      </c>
      <c r="K2351" t="s">
        <v>127</v>
      </c>
      <c r="N2351">
        <v>1</v>
      </c>
      <c r="O2351" s="89">
        <v>3516.75</v>
      </c>
      <c r="P2351" s="89">
        <v>32354.1</v>
      </c>
      <c r="Q2351" t="s">
        <v>142</v>
      </c>
    </row>
    <row r="2352" spans="3:18" hidden="1" x14ac:dyDescent="0.25">
      <c r="C2352" t="s">
        <v>45</v>
      </c>
      <c r="D2352" t="s">
        <v>22</v>
      </c>
      <c r="E2352" t="s">
        <v>46</v>
      </c>
      <c r="F2352" t="s">
        <v>41</v>
      </c>
      <c r="G2352" s="89">
        <v>292550</v>
      </c>
      <c r="H2352" t="s">
        <v>42</v>
      </c>
      <c r="I2352" t="s">
        <v>133</v>
      </c>
      <c r="J2352" s="89">
        <v>9946700</v>
      </c>
      <c r="K2352" t="s">
        <v>134</v>
      </c>
      <c r="L2352" t="s">
        <v>128</v>
      </c>
      <c r="M2352" t="s">
        <v>143</v>
      </c>
      <c r="N2352">
        <v>1</v>
      </c>
      <c r="O2352" s="89">
        <v>8776.5</v>
      </c>
      <c r="P2352" s="89">
        <v>146275</v>
      </c>
      <c r="Q2352" t="s">
        <v>142</v>
      </c>
      <c r="R2352" t="s">
        <v>42</v>
      </c>
    </row>
    <row r="2353" spans="3:18" x14ac:dyDescent="0.25">
      <c r="C2353" t="s">
        <v>47</v>
      </c>
      <c r="D2353" t="s">
        <v>21</v>
      </c>
      <c r="E2353" t="s">
        <v>40</v>
      </c>
      <c r="F2353" t="s">
        <v>41</v>
      </c>
      <c r="G2353" s="89">
        <v>188409</v>
      </c>
      <c r="H2353" t="s">
        <v>42</v>
      </c>
      <c r="I2353" t="s">
        <v>147</v>
      </c>
      <c r="J2353" s="89"/>
      <c r="K2353" t="s">
        <v>127</v>
      </c>
      <c r="L2353" t="s">
        <v>128</v>
      </c>
      <c r="M2353" t="s">
        <v>129</v>
      </c>
      <c r="N2353">
        <v>0</v>
      </c>
      <c r="O2353" s="89">
        <v>3768.18</v>
      </c>
      <c r="P2353" s="89">
        <v>16956.810000000001</v>
      </c>
      <c r="Q2353" t="s">
        <v>130</v>
      </c>
      <c r="R2353" t="s">
        <v>131</v>
      </c>
    </row>
    <row r="2354" spans="3:18" x14ac:dyDescent="0.25">
      <c r="C2354" t="s">
        <v>47</v>
      </c>
      <c r="D2354" t="s">
        <v>22</v>
      </c>
      <c r="E2354" t="s">
        <v>40</v>
      </c>
      <c r="F2354" t="s">
        <v>41</v>
      </c>
      <c r="G2354" s="89">
        <v>490069</v>
      </c>
      <c r="H2354" t="s">
        <v>42</v>
      </c>
      <c r="I2354" t="s">
        <v>147</v>
      </c>
      <c r="J2354" s="89">
        <v>1470207</v>
      </c>
      <c r="K2354" t="s">
        <v>127</v>
      </c>
      <c r="L2354" t="s">
        <v>128</v>
      </c>
      <c r="M2354" t="s">
        <v>143</v>
      </c>
      <c r="N2354">
        <v>1</v>
      </c>
      <c r="O2354" s="89">
        <v>19602.759999999998</v>
      </c>
      <c r="P2354" s="89">
        <v>142120.01</v>
      </c>
      <c r="Q2354" t="s">
        <v>130</v>
      </c>
      <c r="R2354" t="s">
        <v>131</v>
      </c>
    </row>
    <row r="2355" spans="3:18" x14ac:dyDescent="0.25">
      <c r="C2355" t="s">
        <v>47</v>
      </c>
      <c r="D2355" t="s">
        <v>21</v>
      </c>
      <c r="E2355" t="s">
        <v>40</v>
      </c>
      <c r="F2355" t="s">
        <v>41</v>
      </c>
      <c r="G2355" s="89">
        <v>13982</v>
      </c>
      <c r="H2355" t="s">
        <v>132</v>
      </c>
      <c r="I2355" t="s">
        <v>133</v>
      </c>
      <c r="J2355" s="89">
        <v>279640</v>
      </c>
      <c r="K2355" t="s">
        <v>127</v>
      </c>
      <c r="L2355" t="s">
        <v>128</v>
      </c>
      <c r="N2355">
        <v>1</v>
      </c>
      <c r="O2355" s="89">
        <v>559.28</v>
      </c>
      <c r="P2355" s="89">
        <v>12164.34</v>
      </c>
      <c r="Q2355" t="s">
        <v>135</v>
      </c>
      <c r="R2355" t="s">
        <v>131</v>
      </c>
    </row>
    <row r="2356" spans="3:18" hidden="1" x14ac:dyDescent="0.25">
      <c r="C2356" t="s">
        <v>45</v>
      </c>
      <c r="D2356" t="s">
        <v>24</v>
      </c>
      <c r="E2356" t="s">
        <v>48</v>
      </c>
      <c r="F2356" t="s">
        <v>41</v>
      </c>
      <c r="G2356" s="89">
        <v>29954</v>
      </c>
      <c r="H2356" t="s">
        <v>42</v>
      </c>
      <c r="I2356" t="s">
        <v>126</v>
      </c>
      <c r="J2356" s="89">
        <v>539172</v>
      </c>
      <c r="K2356" t="s">
        <v>144</v>
      </c>
      <c r="N2356">
        <v>1</v>
      </c>
      <c r="O2356" s="89">
        <v>898.62</v>
      </c>
      <c r="P2356" s="89">
        <v>21866.42</v>
      </c>
      <c r="Q2356" t="s">
        <v>137</v>
      </c>
      <c r="R2356" t="s">
        <v>131</v>
      </c>
    </row>
    <row r="2357" spans="3:18" hidden="1" x14ac:dyDescent="0.25">
      <c r="C2357" t="s">
        <v>45</v>
      </c>
      <c r="D2357" t="s">
        <v>24</v>
      </c>
      <c r="E2357" t="s">
        <v>40</v>
      </c>
      <c r="F2357" t="s">
        <v>41</v>
      </c>
      <c r="G2357" s="89">
        <v>50380</v>
      </c>
      <c r="H2357" t="s">
        <v>42</v>
      </c>
      <c r="I2357" t="s">
        <v>133</v>
      </c>
      <c r="J2357" s="89">
        <v>1662540</v>
      </c>
      <c r="K2357" t="s">
        <v>127</v>
      </c>
      <c r="L2357" t="s">
        <v>128</v>
      </c>
      <c r="M2357" t="s">
        <v>139</v>
      </c>
      <c r="N2357">
        <v>1</v>
      </c>
      <c r="O2357" s="89">
        <v>2015.2</v>
      </c>
      <c r="P2357" s="89">
        <v>41311.599999999999</v>
      </c>
      <c r="Q2357" t="s">
        <v>135</v>
      </c>
      <c r="R2357" t="s">
        <v>131</v>
      </c>
    </row>
    <row r="2358" spans="3:18" x14ac:dyDescent="0.25">
      <c r="C2358" t="s">
        <v>47</v>
      </c>
      <c r="D2358" t="s">
        <v>25</v>
      </c>
      <c r="E2358" t="s">
        <v>44</v>
      </c>
      <c r="F2358" t="s">
        <v>41</v>
      </c>
      <c r="G2358" s="89">
        <v>61543</v>
      </c>
      <c r="H2358" t="s">
        <v>146</v>
      </c>
      <c r="I2358" t="s">
        <v>126</v>
      </c>
      <c r="J2358" s="89">
        <v>738516</v>
      </c>
      <c r="K2358" t="s">
        <v>127</v>
      </c>
      <c r="L2358" t="s">
        <v>128</v>
      </c>
      <c r="N2358">
        <v>1</v>
      </c>
      <c r="O2358" s="89">
        <v>2461.7199999999998</v>
      </c>
      <c r="P2358" s="89">
        <v>20309.189999999999</v>
      </c>
      <c r="Q2358" t="s">
        <v>130</v>
      </c>
      <c r="R2358" t="s">
        <v>131</v>
      </c>
    </row>
    <row r="2359" spans="3:18" hidden="1" x14ac:dyDescent="0.25">
      <c r="C2359" t="s">
        <v>45</v>
      </c>
      <c r="D2359" t="s">
        <v>22</v>
      </c>
      <c r="E2359" t="s">
        <v>40</v>
      </c>
      <c r="F2359" t="s">
        <v>53</v>
      </c>
      <c r="G2359" s="89">
        <v>5327</v>
      </c>
      <c r="H2359" t="s">
        <v>146</v>
      </c>
      <c r="I2359" t="s">
        <v>147</v>
      </c>
      <c r="J2359" s="89">
        <v>10654</v>
      </c>
      <c r="K2359" t="s">
        <v>127</v>
      </c>
      <c r="L2359" t="s">
        <v>128</v>
      </c>
      <c r="N2359">
        <v>1</v>
      </c>
      <c r="O2359" s="89">
        <v>213.08</v>
      </c>
      <c r="P2359" s="89">
        <v>426.16</v>
      </c>
      <c r="Q2359" t="s">
        <v>130</v>
      </c>
      <c r="R2359" t="s">
        <v>131</v>
      </c>
    </row>
    <row r="2360" spans="3:18" hidden="1" x14ac:dyDescent="0.25">
      <c r="C2360" t="s">
        <v>45</v>
      </c>
      <c r="D2360" t="s">
        <v>19</v>
      </c>
      <c r="E2360" t="s">
        <v>40</v>
      </c>
      <c r="F2360" t="s">
        <v>41</v>
      </c>
      <c r="G2360" s="89">
        <v>6910809</v>
      </c>
      <c r="H2360" t="s">
        <v>42</v>
      </c>
      <c r="I2360" t="s">
        <v>133</v>
      </c>
      <c r="J2360" s="89">
        <v>207324270</v>
      </c>
      <c r="K2360" t="s">
        <v>127</v>
      </c>
      <c r="L2360" t="s">
        <v>128</v>
      </c>
      <c r="M2360" t="s">
        <v>136</v>
      </c>
      <c r="N2360">
        <v>1</v>
      </c>
      <c r="O2360" s="89">
        <v>207324.27</v>
      </c>
      <c r="P2360" s="89">
        <v>3455404.5</v>
      </c>
      <c r="Q2360" t="s">
        <v>142</v>
      </c>
      <c r="R2360" t="s">
        <v>131</v>
      </c>
    </row>
    <row r="2361" spans="3:18" hidden="1" x14ac:dyDescent="0.25">
      <c r="C2361" t="s">
        <v>45</v>
      </c>
      <c r="D2361" t="s">
        <v>24</v>
      </c>
      <c r="E2361" t="s">
        <v>48</v>
      </c>
      <c r="F2361" t="s">
        <v>41</v>
      </c>
      <c r="G2361" s="89">
        <v>29796</v>
      </c>
      <c r="H2361" t="s">
        <v>42</v>
      </c>
      <c r="I2361" t="s">
        <v>126</v>
      </c>
      <c r="J2361" s="89">
        <v>417144</v>
      </c>
      <c r="K2361" t="s">
        <v>127</v>
      </c>
      <c r="L2361" t="s">
        <v>128</v>
      </c>
      <c r="M2361" t="s">
        <v>148</v>
      </c>
      <c r="N2361">
        <v>1</v>
      </c>
      <c r="O2361" s="89">
        <v>1191.8399999999999</v>
      </c>
      <c r="P2361" s="89">
        <v>5065.32</v>
      </c>
      <c r="Q2361" t="s">
        <v>130</v>
      </c>
      <c r="R2361" t="s">
        <v>42</v>
      </c>
    </row>
    <row r="2362" spans="3:18" x14ac:dyDescent="0.25">
      <c r="C2362" t="s">
        <v>47</v>
      </c>
      <c r="D2362" t="s">
        <v>19</v>
      </c>
      <c r="E2362" t="s">
        <v>40</v>
      </c>
      <c r="F2362" t="s">
        <v>41</v>
      </c>
      <c r="G2362" s="89">
        <v>171182</v>
      </c>
      <c r="H2362" t="s">
        <v>145</v>
      </c>
      <c r="I2362" t="s">
        <v>141</v>
      </c>
      <c r="J2362" s="89">
        <v>855910</v>
      </c>
      <c r="K2362" t="s">
        <v>127</v>
      </c>
      <c r="L2362" t="s">
        <v>128</v>
      </c>
      <c r="N2362">
        <v>1</v>
      </c>
      <c r="O2362" s="89">
        <v>8559.1</v>
      </c>
      <c r="P2362" s="89">
        <v>68472.800000000003</v>
      </c>
      <c r="Q2362" t="s">
        <v>142</v>
      </c>
      <c r="R2362" t="s">
        <v>131</v>
      </c>
    </row>
    <row r="2363" spans="3:18" hidden="1" x14ac:dyDescent="0.25">
      <c r="C2363" t="s">
        <v>45</v>
      </c>
      <c r="D2363" t="s">
        <v>20</v>
      </c>
      <c r="E2363" t="s">
        <v>43</v>
      </c>
      <c r="F2363" t="s">
        <v>41</v>
      </c>
      <c r="G2363" s="89">
        <v>2425819</v>
      </c>
      <c r="H2363" t="s">
        <v>145</v>
      </c>
      <c r="I2363" t="s">
        <v>126</v>
      </c>
      <c r="J2363" s="89">
        <v>26684009</v>
      </c>
      <c r="K2363" t="s">
        <v>144</v>
      </c>
      <c r="N2363">
        <v>1</v>
      </c>
      <c r="O2363" s="89">
        <v>72774.570000000007</v>
      </c>
      <c r="P2363" s="89">
        <v>2037687.96</v>
      </c>
      <c r="Q2363" t="s">
        <v>135</v>
      </c>
      <c r="R2363" t="s">
        <v>131</v>
      </c>
    </row>
    <row r="2364" spans="3:18" hidden="1" x14ac:dyDescent="0.25">
      <c r="C2364" t="s">
        <v>45</v>
      </c>
      <c r="D2364" t="s">
        <v>138</v>
      </c>
      <c r="E2364" t="s">
        <v>40</v>
      </c>
      <c r="F2364" t="s">
        <v>41</v>
      </c>
      <c r="G2364" s="89">
        <v>111959</v>
      </c>
      <c r="H2364" t="s">
        <v>132</v>
      </c>
      <c r="I2364" t="s">
        <v>126</v>
      </c>
      <c r="J2364" s="89">
        <v>2127221</v>
      </c>
      <c r="K2364" t="s">
        <v>127</v>
      </c>
      <c r="L2364" t="s">
        <v>128</v>
      </c>
      <c r="N2364">
        <v>1</v>
      </c>
      <c r="O2364" s="89">
        <v>3358.77</v>
      </c>
      <c r="P2364" s="89">
        <v>64936.22</v>
      </c>
      <c r="Q2364" t="s">
        <v>142</v>
      </c>
      <c r="R2364" t="s">
        <v>131</v>
      </c>
    </row>
    <row r="2365" spans="3:18" hidden="1" x14ac:dyDescent="0.25">
      <c r="C2365" t="s">
        <v>45</v>
      </c>
      <c r="D2365" t="s">
        <v>138</v>
      </c>
      <c r="E2365" t="s">
        <v>43</v>
      </c>
      <c r="F2365" t="s">
        <v>41</v>
      </c>
      <c r="G2365" s="89">
        <v>2134340</v>
      </c>
      <c r="H2365" t="s">
        <v>132</v>
      </c>
      <c r="I2365" t="s">
        <v>133</v>
      </c>
      <c r="J2365" s="89">
        <v>57627180</v>
      </c>
      <c r="K2365" t="s">
        <v>144</v>
      </c>
      <c r="N2365">
        <v>1</v>
      </c>
      <c r="O2365" s="89">
        <v>64030.2</v>
      </c>
      <c r="P2365" s="89">
        <v>661645.4</v>
      </c>
      <c r="Q2365" t="s">
        <v>130</v>
      </c>
      <c r="R2365" t="s">
        <v>131</v>
      </c>
    </row>
    <row r="2366" spans="3:18" hidden="1" x14ac:dyDescent="0.25">
      <c r="C2366" t="s">
        <v>45</v>
      </c>
      <c r="D2366" t="s">
        <v>21</v>
      </c>
      <c r="E2366" t="s">
        <v>43</v>
      </c>
      <c r="F2366" t="s">
        <v>41</v>
      </c>
      <c r="G2366" s="89">
        <v>266000</v>
      </c>
      <c r="H2366" t="s">
        <v>42</v>
      </c>
      <c r="I2366" t="s">
        <v>153</v>
      </c>
      <c r="J2366" s="89"/>
      <c r="K2366" t="s">
        <v>127</v>
      </c>
      <c r="L2366" t="s">
        <v>128</v>
      </c>
      <c r="M2366" t="s">
        <v>129</v>
      </c>
      <c r="N2366">
        <v>0</v>
      </c>
      <c r="O2366" s="89">
        <v>10640</v>
      </c>
      <c r="P2366" s="89">
        <v>284620</v>
      </c>
      <c r="Q2366" t="s">
        <v>150</v>
      </c>
      <c r="R2366" t="s">
        <v>131</v>
      </c>
    </row>
    <row r="2367" spans="3:18" hidden="1" x14ac:dyDescent="0.25">
      <c r="C2367" t="s">
        <v>45</v>
      </c>
      <c r="D2367" t="s">
        <v>23</v>
      </c>
      <c r="E2367" t="s">
        <v>48</v>
      </c>
      <c r="F2367" t="s">
        <v>41</v>
      </c>
      <c r="G2367" s="89">
        <v>132425</v>
      </c>
      <c r="H2367" t="s">
        <v>145</v>
      </c>
      <c r="I2367" t="s">
        <v>126</v>
      </c>
      <c r="J2367" s="89">
        <v>2383650</v>
      </c>
      <c r="K2367" t="s">
        <v>144</v>
      </c>
      <c r="N2367">
        <v>1</v>
      </c>
      <c r="O2367" s="89">
        <v>3972.75</v>
      </c>
      <c r="P2367" s="89">
        <v>88724.75</v>
      </c>
      <c r="Q2367" t="s">
        <v>137</v>
      </c>
      <c r="R2367" t="s">
        <v>131</v>
      </c>
    </row>
    <row r="2368" spans="3:18" x14ac:dyDescent="0.25">
      <c r="C2368" t="s">
        <v>47</v>
      </c>
      <c r="D2368" t="s">
        <v>21</v>
      </c>
      <c r="E2368" t="s">
        <v>40</v>
      </c>
      <c r="F2368" t="s">
        <v>41</v>
      </c>
      <c r="G2368" s="89">
        <v>1259415</v>
      </c>
      <c r="H2368" t="s">
        <v>154</v>
      </c>
      <c r="I2368" t="s">
        <v>141</v>
      </c>
      <c r="J2368" s="89">
        <v>7556490</v>
      </c>
      <c r="K2368" t="s">
        <v>144</v>
      </c>
      <c r="N2368">
        <v>1</v>
      </c>
      <c r="O2368" s="89">
        <v>50376.6</v>
      </c>
      <c r="P2368" s="89">
        <v>100753.2</v>
      </c>
      <c r="Q2368" t="s">
        <v>130</v>
      </c>
      <c r="R2368" t="s">
        <v>131</v>
      </c>
    </row>
    <row r="2369" spans="3:18" hidden="1" x14ac:dyDescent="0.25">
      <c r="C2369" t="s">
        <v>45</v>
      </c>
      <c r="D2369" t="s">
        <v>21</v>
      </c>
      <c r="E2369" t="s">
        <v>48</v>
      </c>
      <c r="F2369" t="s">
        <v>41</v>
      </c>
      <c r="G2369" s="89">
        <v>5993411</v>
      </c>
      <c r="H2369" t="s">
        <v>42</v>
      </c>
      <c r="I2369" t="s">
        <v>133</v>
      </c>
      <c r="J2369" s="89">
        <v>173808919</v>
      </c>
      <c r="K2369" t="s">
        <v>127</v>
      </c>
      <c r="L2369" t="s">
        <v>128</v>
      </c>
      <c r="M2369" t="s">
        <v>129</v>
      </c>
      <c r="N2369">
        <v>1</v>
      </c>
      <c r="O2369" s="89">
        <v>179802.33</v>
      </c>
      <c r="P2369" s="89">
        <v>3116573.72</v>
      </c>
      <c r="Q2369" t="s">
        <v>142</v>
      </c>
      <c r="R2369" t="s">
        <v>42</v>
      </c>
    </row>
    <row r="2370" spans="3:18" hidden="1" x14ac:dyDescent="0.25">
      <c r="C2370" t="s">
        <v>45</v>
      </c>
      <c r="D2370" t="s">
        <v>22</v>
      </c>
      <c r="E2370" t="s">
        <v>43</v>
      </c>
      <c r="F2370" t="s">
        <v>41</v>
      </c>
      <c r="G2370" s="89">
        <v>235148</v>
      </c>
      <c r="H2370" t="s">
        <v>42</v>
      </c>
      <c r="I2370" t="s">
        <v>133</v>
      </c>
      <c r="J2370" s="89">
        <v>7524736</v>
      </c>
      <c r="K2370" t="s">
        <v>127</v>
      </c>
      <c r="L2370" t="s">
        <v>128</v>
      </c>
      <c r="M2370" t="s">
        <v>152</v>
      </c>
      <c r="N2370">
        <v>1</v>
      </c>
      <c r="O2370" s="89">
        <v>4702.96</v>
      </c>
      <c r="P2370" s="89">
        <v>134034.35999999999</v>
      </c>
      <c r="Q2370" t="s">
        <v>142</v>
      </c>
      <c r="R2370" t="s">
        <v>42</v>
      </c>
    </row>
    <row r="2371" spans="3:18" hidden="1" x14ac:dyDescent="0.25">
      <c r="C2371" t="s">
        <v>45</v>
      </c>
      <c r="D2371" t="s">
        <v>19</v>
      </c>
      <c r="E2371" t="s">
        <v>43</v>
      </c>
      <c r="F2371" t="s">
        <v>41</v>
      </c>
      <c r="G2371" s="89">
        <v>89635</v>
      </c>
      <c r="H2371" t="s">
        <v>42</v>
      </c>
      <c r="I2371" t="s">
        <v>133</v>
      </c>
      <c r="J2371" s="89">
        <v>2151240</v>
      </c>
      <c r="K2371" t="s">
        <v>127</v>
      </c>
      <c r="L2371" t="s">
        <v>128</v>
      </c>
      <c r="M2371" t="s">
        <v>152</v>
      </c>
      <c r="N2371">
        <v>1</v>
      </c>
      <c r="O2371" s="89">
        <v>3585.4</v>
      </c>
      <c r="P2371" s="89">
        <v>25994.15</v>
      </c>
      <c r="Q2371" t="s">
        <v>130</v>
      </c>
      <c r="R2371" t="s">
        <v>42</v>
      </c>
    </row>
    <row r="2372" spans="3:18" hidden="1" x14ac:dyDescent="0.25">
      <c r="C2372" t="s">
        <v>45</v>
      </c>
      <c r="D2372" t="s">
        <v>21</v>
      </c>
      <c r="E2372" t="s">
        <v>43</v>
      </c>
      <c r="F2372" t="s">
        <v>41</v>
      </c>
      <c r="G2372" s="89">
        <v>15595</v>
      </c>
      <c r="H2372" t="s">
        <v>42</v>
      </c>
      <c r="I2372" t="s">
        <v>147</v>
      </c>
      <c r="J2372" s="89">
        <v>46785</v>
      </c>
      <c r="K2372" t="s">
        <v>127</v>
      </c>
      <c r="L2372" t="s">
        <v>128</v>
      </c>
      <c r="M2372" t="s">
        <v>129</v>
      </c>
      <c r="N2372">
        <v>1</v>
      </c>
      <c r="O2372" s="89">
        <v>467.85</v>
      </c>
      <c r="P2372" s="89">
        <v>10448.65</v>
      </c>
      <c r="Q2372" t="s">
        <v>137</v>
      </c>
      <c r="R2372" t="s">
        <v>131</v>
      </c>
    </row>
    <row r="2373" spans="3:18" x14ac:dyDescent="0.25">
      <c r="C2373" t="s">
        <v>47</v>
      </c>
      <c r="D2373" t="s">
        <v>23</v>
      </c>
      <c r="E2373" t="s">
        <v>48</v>
      </c>
      <c r="F2373" t="s">
        <v>41</v>
      </c>
      <c r="G2373" s="89">
        <v>2696826</v>
      </c>
      <c r="H2373" t="s">
        <v>146</v>
      </c>
      <c r="I2373" t="s">
        <v>141</v>
      </c>
      <c r="J2373" s="89">
        <v>18877782</v>
      </c>
      <c r="K2373" t="s">
        <v>127</v>
      </c>
      <c r="L2373" t="s">
        <v>128</v>
      </c>
      <c r="N2373">
        <v>1</v>
      </c>
      <c r="O2373" s="89">
        <v>80904.78</v>
      </c>
      <c r="P2373" s="89">
        <v>1672032.12</v>
      </c>
      <c r="Q2373" t="s">
        <v>137</v>
      </c>
      <c r="R2373" t="s">
        <v>131</v>
      </c>
    </row>
    <row r="2374" spans="3:18" hidden="1" x14ac:dyDescent="0.25">
      <c r="C2374" t="s">
        <v>45</v>
      </c>
      <c r="D2374" t="s">
        <v>21</v>
      </c>
      <c r="E2374" t="s">
        <v>43</v>
      </c>
      <c r="F2374" t="s">
        <v>41</v>
      </c>
      <c r="G2374" s="89">
        <v>0</v>
      </c>
      <c r="H2374" t="s">
        <v>132</v>
      </c>
      <c r="I2374" t="s">
        <v>126</v>
      </c>
      <c r="J2374" s="89">
        <v>0</v>
      </c>
      <c r="K2374" t="s">
        <v>134</v>
      </c>
      <c r="L2374" t="s">
        <v>151</v>
      </c>
      <c r="N2374">
        <v>1</v>
      </c>
      <c r="O2374" s="89">
        <v>0</v>
      </c>
      <c r="P2374" s="89">
        <v>0</v>
      </c>
      <c r="Q2374" t="s">
        <v>150</v>
      </c>
      <c r="R2374" t="s">
        <v>131</v>
      </c>
    </row>
    <row r="2375" spans="3:18" hidden="1" x14ac:dyDescent="0.25">
      <c r="C2375" t="s">
        <v>45</v>
      </c>
      <c r="D2375" t="s">
        <v>20</v>
      </c>
      <c r="E2375" t="s">
        <v>43</v>
      </c>
      <c r="F2375" t="s">
        <v>41</v>
      </c>
      <c r="G2375" s="89">
        <v>466652</v>
      </c>
      <c r="H2375" t="s">
        <v>42</v>
      </c>
      <c r="I2375" t="s">
        <v>126</v>
      </c>
      <c r="J2375" s="89">
        <v>7933084</v>
      </c>
      <c r="K2375" t="s">
        <v>127</v>
      </c>
      <c r="L2375" t="s">
        <v>128</v>
      </c>
      <c r="M2375" t="s">
        <v>139</v>
      </c>
      <c r="N2375">
        <v>1</v>
      </c>
      <c r="O2375" s="89">
        <v>13999.56</v>
      </c>
      <c r="P2375" s="89">
        <v>405987.24</v>
      </c>
      <c r="Q2375" t="s">
        <v>135</v>
      </c>
      <c r="R2375" t="s">
        <v>131</v>
      </c>
    </row>
    <row r="2376" spans="3:18" hidden="1" x14ac:dyDescent="0.25">
      <c r="C2376" t="s">
        <v>45</v>
      </c>
      <c r="D2376" t="s">
        <v>23</v>
      </c>
      <c r="E2376" t="s">
        <v>48</v>
      </c>
      <c r="F2376" t="s">
        <v>41</v>
      </c>
      <c r="G2376" s="89">
        <v>3298</v>
      </c>
      <c r="H2376" t="s">
        <v>140</v>
      </c>
      <c r="I2376" t="s">
        <v>147</v>
      </c>
      <c r="J2376" s="89"/>
      <c r="K2376" t="s">
        <v>127</v>
      </c>
      <c r="L2376" t="s">
        <v>128</v>
      </c>
      <c r="N2376">
        <v>0</v>
      </c>
      <c r="O2376" s="89">
        <v>98.94</v>
      </c>
      <c r="P2376" s="89">
        <v>0</v>
      </c>
      <c r="Q2376" t="s">
        <v>130</v>
      </c>
      <c r="R2376" t="s">
        <v>131</v>
      </c>
    </row>
    <row r="2377" spans="3:18" hidden="1" x14ac:dyDescent="0.25">
      <c r="C2377" t="s">
        <v>45</v>
      </c>
      <c r="D2377" t="s">
        <v>50</v>
      </c>
      <c r="E2377" t="s">
        <v>50</v>
      </c>
      <c r="F2377" t="s">
        <v>41</v>
      </c>
      <c r="G2377" s="89">
        <v>188927</v>
      </c>
      <c r="H2377" t="s">
        <v>79</v>
      </c>
      <c r="I2377" t="s">
        <v>133</v>
      </c>
      <c r="J2377" s="89">
        <v>5478883</v>
      </c>
      <c r="K2377" t="s">
        <v>127</v>
      </c>
      <c r="N2377">
        <v>1</v>
      </c>
      <c r="O2377" s="89">
        <v>7557.08</v>
      </c>
      <c r="P2377" s="89">
        <v>134138.17000000001</v>
      </c>
      <c r="Q2377" t="s">
        <v>137</v>
      </c>
      <c r="R2377" t="s">
        <v>79</v>
      </c>
    </row>
    <row r="2378" spans="3:18" hidden="1" x14ac:dyDescent="0.25">
      <c r="C2378" t="s">
        <v>45</v>
      </c>
      <c r="D2378" t="s">
        <v>24</v>
      </c>
      <c r="E2378" t="s">
        <v>48</v>
      </c>
      <c r="F2378" t="s">
        <v>41</v>
      </c>
      <c r="G2378" s="89">
        <v>8601</v>
      </c>
      <c r="H2378" t="s">
        <v>145</v>
      </c>
      <c r="I2378" t="s">
        <v>141</v>
      </c>
      <c r="J2378" s="89">
        <v>60207</v>
      </c>
      <c r="K2378" t="s">
        <v>127</v>
      </c>
      <c r="L2378" t="s">
        <v>128</v>
      </c>
      <c r="N2378">
        <v>1</v>
      </c>
      <c r="O2378" s="89">
        <v>430.05</v>
      </c>
      <c r="P2378" s="89">
        <v>5246.61</v>
      </c>
      <c r="Q2378" t="s">
        <v>137</v>
      </c>
      <c r="R2378" t="s">
        <v>131</v>
      </c>
    </row>
    <row r="2379" spans="3:18" hidden="1" x14ac:dyDescent="0.25">
      <c r="C2379" t="s">
        <v>45</v>
      </c>
      <c r="D2379" t="s">
        <v>23</v>
      </c>
      <c r="E2379" t="s">
        <v>48</v>
      </c>
      <c r="F2379" t="s">
        <v>41</v>
      </c>
      <c r="G2379" s="89">
        <v>51004</v>
      </c>
      <c r="H2379" t="s">
        <v>140</v>
      </c>
      <c r="I2379" t="s">
        <v>126</v>
      </c>
      <c r="J2379" s="89">
        <v>765060</v>
      </c>
      <c r="K2379" t="s">
        <v>134</v>
      </c>
      <c r="L2379" t="s">
        <v>128</v>
      </c>
      <c r="N2379">
        <v>1</v>
      </c>
      <c r="O2379" s="89">
        <v>1530.12</v>
      </c>
      <c r="P2379" s="89">
        <v>13261.04</v>
      </c>
      <c r="Q2379" t="s">
        <v>130</v>
      </c>
      <c r="R2379" t="s">
        <v>131</v>
      </c>
    </row>
    <row r="2380" spans="3:18" hidden="1" x14ac:dyDescent="0.25">
      <c r="C2380" t="s">
        <v>45</v>
      </c>
      <c r="D2380" t="s">
        <v>25</v>
      </c>
      <c r="E2380" t="s">
        <v>48</v>
      </c>
      <c r="F2380" t="s">
        <v>41</v>
      </c>
      <c r="G2380" s="89">
        <v>190652</v>
      </c>
      <c r="H2380" t="s">
        <v>145</v>
      </c>
      <c r="I2380" t="s">
        <v>133</v>
      </c>
      <c r="J2380" s="89">
        <v>5910212</v>
      </c>
      <c r="K2380" t="s">
        <v>144</v>
      </c>
      <c r="N2380">
        <v>1</v>
      </c>
      <c r="O2380" s="89">
        <v>5719.56</v>
      </c>
      <c r="P2380" s="89">
        <v>110578.16</v>
      </c>
      <c r="Q2380" t="s">
        <v>142</v>
      </c>
      <c r="R2380" t="s">
        <v>131</v>
      </c>
    </row>
    <row r="2381" spans="3:18" x14ac:dyDescent="0.25">
      <c r="C2381" t="s">
        <v>47</v>
      </c>
      <c r="D2381" t="s">
        <v>21</v>
      </c>
      <c r="E2381" t="s">
        <v>43</v>
      </c>
      <c r="F2381" t="s">
        <v>41</v>
      </c>
      <c r="G2381" s="89">
        <v>787671</v>
      </c>
      <c r="H2381" t="s">
        <v>42</v>
      </c>
      <c r="I2381" t="s">
        <v>141</v>
      </c>
      <c r="J2381" s="89">
        <v>7089039</v>
      </c>
      <c r="K2381" t="s">
        <v>144</v>
      </c>
      <c r="N2381">
        <v>1</v>
      </c>
      <c r="O2381" s="89">
        <v>31506.84</v>
      </c>
      <c r="P2381" s="89">
        <v>543492.99</v>
      </c>
      <c r="Q2381" t="s">
        <v>137</v>
      </c>
      <c r="R2381" t="s">
        <v>42</v>
      </c>
    </row>
    <row r="2382" spans="3:18" hidden="1" x14ac:dyDescent="0.25">
      <c r="C2382" t="s">
        <v>45</v>
      </c>
      <c r="D2382" t="s">
        <v>22</v>
      </c>
      <c r="E2382" t="s">
        <v>48</v>
      </c>
      <c r="F2382" t="s">
        <v>41</v>
      </c>
      <c r="G2382" s="89">
        <v>73273</v>
      </c>
      <c r="H2382" t="s">
        <v>140</v>
      </c>
      <c r="I2382" t="s">
        <v>126</v>
      </c>
      <c r="J2382" s="89">
        <v>1318914</v>
      </c>
      <c r="K2382" t="s">
        <v>144</v>
      </c>
      <c r="N2382">
        <v>1</v>
      </c>
      <c r="O2382" s="89">
        <v>2930.92</v>
      </c>
      <c r="P2382" s="89">
        <v>22714.63</v>
      </c>
      <c r="Q2382" t="s">
        <v>130</v>
      </c>
      <c r="R2382" t="s">
        <v>131</v>
      </c>
    </row>
    <row r="2383" spans="3:18" x14ac:dyDescent="0.25">
      <c r="C2383" t="s">
        <v>47</v>
      </c>
      <c r="D2383" t="s">
        <v>21</v>
      </c>
      <c r="E2383" t="s">
        <v>43</v>
      </c>
      <c r="F2383" t="s">
        <v>41</v>
      </c>
      <c r="G2383" s="89">
        <v>36309</v>
      </c>
      <c r="H2383" t="s">
        <v>146</v>
      </c>
      <c r="I2383" t="s">
        <v>141</v>
      </c>
      <c r="J2383" s="89">
        <v>181545</v>
      </c>
      <c r="K2383" t="s">
        <v>127</v>
      </c>
      <c r="L2383" t="s">
        <v>128</v>
      </c>
      <c r="N2383">
        <v>1</v>
      </c>
      <c r="O2383" s="89">
        <v>1815.45</v>
      </c>
      <c r="P2383" s="89">
        <v>40302.99</v>
      </c>
      <c r="Q2383" t="s">
        <v>150</v>
      </c>
      <c r="R2383" t="s">
        <v>131</v>
      </c>
    </row>
    <row r="2384" spans="3:18" hidden="1" x14ac:dyDescent="0.25">
      <c r="C2384" t="s">
        <v>45</v>
      </c>
      <c r="D2384" t="s">
        <v>23</v>
      </c>
      <c r="E2384" t="s">
        <v>43</v>
      </c>
      <c r="F2384" t="s">
        <v>41</v>
      </c>
      <c r="G2384" s="89">
        <v>57485</v>
      </c>
      <c r="H2384" t="s">
        <v>42</v>
      </c>
      <c r="I2384" t="s">
        <v>141</v>
      </c>
      <c r="J2384" s="89">
        <v>517365</v>
      </c>
      <c r="K2384" t="s">
        <v>144</v>
      </c>
      <c r="N2384">
        <v>1</v>
      </c>
      <c r="O2384" s="89">
        <v>1724.55</v>
      </c>
      <c r="P2384" s="89">
        <v>27017.95</v>
      </c>
      <c r="Q2384" t="s">
        <v>142</v>
      </c>
      <c r="R2384" t="s">
        <v>131</v>
      </c>
    </row>
    <row r="2385" spans="3:18" x14ac:dyDescent="0.25">
      <c r="C2385" t="s">
        <v>47</v>
      </c>
      <c r="D2385" t="s">
        <v>138</v>
      </c>
      <c r="E2385" t="s">
        <v>40</v>
      </c>
      <c r="F2385" t="s">
        <v>41</v>
      </c>
      <c r="G2385" s="89">
        <v>4732555</v>
      </c>
      <c r="H2385" t="s">
        <v>42</v>
      </c>
      <c r="I2385" t="s">
        <v>126</v>
      </c>
      <c r="J2385" s="89">
        <v>52058105</v>
      </c>
      <c r="K2385" t="s">
        <v>127</v>
      </c>
      <c r="L2385" t="s">
        <v>128</v>
      </c>
      <c r="M2385" t="s">
        <v>139</v>
      </c>
      <c r="N2385">
        <v>1</v>
      </c>
      <c r="O2385" s="89">
        <v>189302.2</v>
      </c>
      <c r="P2385" s="89">
        <v>2413603.0499999998</v>
      </c>
      <c r="Q2385" t="s">
        <v>142</v>
      </c>
      <c r="R2385" t="s">
        <v>131</v>
      </c>
    </row>
    <row r="2386" spans="3:18" hidden="1" x14ac:dyDescent="0.25">
      <c r="C2386" t="s">
        <v>45</v>
      </c>
      <c r="D2386" t="s">
        <v>23</v>
      </c>
      <c r="E2386" t="s">
        <v>46</v>
      </c>
      <c r="F2386" t="s">
        <v>41</v>
      </c>
      <c r="G2386" s="89">
        <v>473539</v>
      </c>
      <c r="H2386" t="s">
        <v>42</v>
      </c>
      <c r="I2386" t="s">
        <v>126</v>
      </c>
      <c r="J2386" s="89">
        <v>8523702</v>
      </c>
      <c r="K2386" t="s">
        <v>144</v>
      </c>
      <c r="N2386">
        <v>1</v>
      </c>
      <c r="O2386" s="89">
        <v>14206.17</v>
      </c>
      <c r="P2386" s="89">
        <v>322006.52</v>
      </c>
      <c r="Q2386" t="s">
        <v>137</v>
      </c>
      <c r="R2386" t="s">
        <v>42</v>
      </c>
    </row>
    <row r="2387" spans="3:18" hidden="1" x14ac:dyDescent="0.25">
      <c r="C2387" t="s">
        <v>45</v>
      </c>
      <c r="D2387" t="s">
        <v>21</v>
      </c>
      <c r="E2387" t="s">
        <v>43</v>
      </c>
      <c r="F2387" t="s">
        <v>41</v>
      </c>
      <c r="G2387" s="89">
        <v>19159</v>
      </c>
      <c r="H2387" t="s">
        <v>42</v>
      </c>
      <c r="I2387" t="s">
        <v>141</v>
      </c>
      <c r="J2387" s="89">
        <v>134113</v>
      </c>
      <c r="K2387" t="s">
        <v>127</v>
      </c>
      <c r="L2387" t="s">
        <v>151</v>
      </c>
      <c r="M2387" t="s">
        <v>156</v>
      </c>
      <c r="N2387">
        <v>1</v>
      </c>
      <c r="O2387" s="89">
        <v>574.77</v>
      </c>
      <c r="P2387" s="89">
        <v>6322.47</v>
      </c>
      <c r="Q2387" t="s">
        <v>130</v>
      </c>
      <c r="R2387" t="s">
        <v>131</v>
      </c>
    </row>
    <row r="2388" spans="3:18" hidden="1" x14ac:dyDescent="0.25">
      <c r="C2388" t="s">
        <v>45</v>
      </c>
      <c r="D2388" t="s">
        <v>138</v>
      </c>
      <c r="E2388" t="s">
        <v>43</v>
      </c>
      <c r="F2388" t="s">
        <v>41</v>
      </c>
      <c r="G2388" s="89">
        <v>321578</v>
      </c>
      <c r="H2388" t="s">
        <v>42</v>
      </c>
      <c r="I2388" t="s">
        <v>126</v>
      </c>
      <c r="J2388" s="89">
        <v>5145248</v>
      </c>
      <c r="K2388" t="s">
        <v>134</v>
      </c>
      <c r="L2388" t="s">
        <v>128</v>
      </c>
      <c r="M2388" t="s">
        <v>139</v>
      </c>
      <c r="N2388">
        <v>1</v>
      </c>
      <c r="O2388" s="89">
        <v>9647.34</v>
      </c>
      <c r="P2388" s="89">
        <v>209025.7</v>
      </c>
      <c r="Q2388" t="s">
        <v>137</v>
      </c>
      <c r="R2388" t="s">
        <v>131</v>
      </c>
    </row>
    <row r="2389" spans="3:18" hidden="1" x14ac:dyDescent="0.25">
      <c r="C2389" t="s">
        <v>45</v>
      </c>
      <c r="D2389" t="s">
        <v>22</v>
      </c>
      <c r="E2389" t="s">
        <v>40</v>
      </c>
      <c r="F2389" t="s">
        <v>41</v>
      </c>
      <c r="G2389" s="89">
        <v>46207</v>
      </c>
      <c r="H2389" t="s">
        <v>132</v>
      </c>
      <c r="I2389" t="s">
        <v>133</v>
      </c>
      <c r="J2389" s="89">
        <v>1802073</v>
      </c>
      <c r="K2389" t="s">
        <v>127</v>
      </c>
      <c r="L2389" t="s">
        <v>151</v>
      </c>
      <c r="N2389">
        <v>1</v>
      </c>
      <c r="O2389" s="89">
        <v>1848.28</v>
      </c>
      <c r="P2389" s="89">
        <v>39738.019999999997</v>
      </c>
      <c r="Q2389" t="s">
        <v>135</v>
      </c>
      <c r="R2389" t="s">
        <v>131</v>
      </c>
    </row>
    <row r="2390" spans="3:18" hidden="1" x14ac:dyDescent="0.25">
      <c r="C2390" t="s">
        <v>45</v>
      </c>
      <c r="D2390" t="s">
        <v>20</v>
      </c>
      <c r="E2390" t="s">
        <v>43</v>
      </c>
      <c r="F2390" t="s">
        <v>41</v>
      </c>
      <c r="G2390" s="89">
        <v>1219558</v>
      </c>
      <c r="H2390" t="s">
        <v>42</v>
      </c>
      <c r="I2390" t="s">
        <v>133</v>
      </c>
      <c r="J2390" s="89">
        <v>32928066</v>
      </c>
      <c r="K2390" t="s">
        <v>127</v>
      </c>
      <c r="L2390" t="s">
        <v>128</v>
      </c>
      <c r="M2390" t="s">
        <v>143</v>
      </c>
      <c r="N2390">
        <v>1</v>
      </c>
      <c r="O2390" s="89">
        <v>36586.74</v>
      </c>
      <c r="P2390" s="89">
        <v>573192.26</v>
      </c>
      <c r="Q2390" t="s">
        <v>142</v>
      </c>
      <c r="R2390" t="s">
        <v>42</v>
      </c>
    </row>
    <row r="2391" spans="3:18" hidden="1" x14ac:dyDescent="0.25">
      <c r="C2391" t="s">
        <v>45</v>
      </c>
      <c r="D2391" t="s">
        <v>23</v>
      </c>
      <c r="E2391" t="s">
        <v>48</v>
      </c>
      <c r="F2391" t="s">
        <v>53</v>
      </c>
      <c r="G2391" s="89">
        <v>184312</v>
      </c>
      <c r="H2391" t="s">
        <v>42</v>
      </c>
      <c r="I2391" t="s">
        <v>126</v>
      </c>
      <c r="J2391" s="89">
        <v>2764680</v>
      </c>
      <c r="K2391" t="s">
        <v>144</v>
      </c>
      <c r="N2391">
        <v>1</v>
      </c>
      <c r="O2391" s="89">
        <v>5529.36</v>
      </c>
      <c r="P2391" s="89">
        <v>71881.679999999993</v>
      </c>
      <c r="Q2391" t="s">
        <v>130</v>
      </c>
      <c r="R2391" t="s">
        <v>42</v>
      </c>
    </row>
    <row r="2392" spans="3:18" hidden="1" x14ac:dyDescent="0.25">
      <c r="C2392" t="s">
        <v>45</v>
      </c>
      <c r="D2392" t="s">
        <v>20</v>
      </c>
      <c r="E2392" t="s">
        <v>43</v>
      </c>
      <c r="F2392" t="s">
        <v>53</v>
      </c>
      <c r="G2392" s="89">
        <v>150136</v>
      </c>
      <c r="H2392" t="s">
        <v>42</v>
      </c>
      <c r="I2392" t="s">
        <v>133</v>
      </c>
      <c r="J2392" s="89">
        <v>6005440</v>
      </c>
      <c r="K2392" t="s">
        <v>144</v>
      </c>
      <c r="N2392">
        <v>1</v>
      </c>
      <c r="O2392" s="89">
        <v>4504.08</v>
      </c>
      <c r="P2392" s="89">
        <v>79572.08</v>
      </c>
      <c r="Q2392" t="s">
        <v>142</v>
      </c>
      <c r="R2392" t="s">
        <v>131</v>
      </c>
    </row>
    <row r="2393" spans="3:18" hidden="1" x14ac:dyDescent="0.25">
      <c r="C2393" t="s">
        <v>45</v>
      </c>
      <c r="D2393" t="s">
        <v>24</v>
      </c>
      <c r="E2393" t="s">
        <v>48</v>
      </c>
      <c r="F2393" t="s">
        <v>41</v>
      </c>
      <c r="G2393" s="89">
        <v>740402</v>
      </c>
      <c r="H2393" t="s">
        <v>146</v>
      </c>
      <c r="I2393" t="s">
        <v>133</v>
      </c>
      <c r="J2393" s="89">
        <v>23692864</v>
      </c>
      <c r="K2393" t="s">
        <v>144</v>
      </c>
      <c r="N2393">
        <v>1</v>
      </c>
      <c r="O2393" s="89">
        <v>22212.06</v>
      </c>
      <c r="P2393" s="89">
        <v>481261.3</v>
      </c>
      <c r="Q2393" t="s">
        <v>137</v>
      </c>
      <c r="R2393" t="s">
        <v>131</v>
      </c>
    </row>
    <row r="2394" spans="3:18" x14ac:dyDescent="0.25">
      <c r="C2394" t="s">
        <v>47</v>
      </c>
      <c r="D2394" t="s">
        <v>25</v>
      </c>
      <c r="E2394" t="s">
        <v>48</v>
      </c>
      <c r="F2394" t="s">
        <v>41</v>
      </c>
      <c r="G2394" s="89">
        <v>24958</v>
      </c>
      <c r="H2394" t="s">
        <v>145</v>
      </c>
      <c r="I2394" t="s">
        <v>147</v>
      </c>
      <c r="J2394" s="89">
        <v>49916</v>
      </c>
      <c r="K2394" t="s">
        <v>127</v>
      </c>
      <c r="L2394" t="s">
        <v>128</v>
      </c>
      <c r="N2394">
        <v>1</v>
      </c>
      <c r="O2394" s="89">
        <v>1747.06</v>
      </c>
      <c r="P2394" s="89">
        <v>2495.8000000000002</v>
      </c>
      <c r="Q2394" t="s">
        <v>130</v>
      </c>
      <c r="R2394" t="s">
        <v>131</v>
      </c>
    </row>
    <row r="2395" spans="3:18" x14ac:dyDescent="0.25">
      <c r="C2395" t="s">
        <v>47</v>
      </c>
      <c r="D2395" t="s">
        <v>22</v>
      </c>
      <c r="E2395" t="s">
        <v>40</v>
      </c>
      <c r="F2395" t="s">
        <v>41</v>
      </c>
      <c r="G2395" s="89">
        <v>8760491</v>
      </c>
      <c r="H2395" t="s">
        <v>146</v>
      </c>
      <c r="I2395" t="s">
        <v>126</v>
      </c>
      <c r="J2395" s="89">
        <v>96365401</v>
      </c>
      <c r="K2395" t="s">
        <v>127</v>
      </c>
      <c r="L2395" t="s">
        <v>128</v>
      </c>
      <c r="N2395">
        <v>1</v>
      </c>
      <c r="O2395" s="89">
        <v>350419.64</v>
      </c>
      <c r="P2395" s="89">
        <v>4205035.68</v>
      </c>
      <c r="Q2395" t="s">
        <v>142</v>
      </c>
      <c r="R2395" t="s">
        <v>131</v>
      </c>
    </row>
    <row r="2396" spans="3:18" hidden="1" x14ac:dyDescent="0.25">
      <c r="C2396" t="s">
        <v>45</v>
      </c>
      <c r="D2396" t="s">
        <v>19</v>
      </c>
      <c r="E2396" t="s">
        <v>43</v>
      </c>
      <c r="F2396" t="s">
        <v>41</v>
      </c>
      <c r="G2396" s="89">
        <v>633188</v>
      </c>
      <c r="H2396" t="s">
        <v>42</v>
      </c>
      <c r="I2396" t="s">
        <v>133</v>
      </c>
      <c r="J2396" s="89">
        <v>20262016</v>
      </c>
      <c r="K2396" t="s">
        <v>127</v>
      </c>
      <c r="L2396" t="s">
        <v>128</v>
      </c>
      <c r="M2396" t="s">
        <v>129</v>
      </c>
      <c r="N2396">
        <v>1</v>
      </c>
      <c r="O2396" s="89">
        <v>18995.64</v>
      </c>
      <c r="P2396" s="89">
        <v>525546.04</v>
      </c>
      <c r="Q2396" t="s">
        <v>135</v>
      </c>
      <c r="R2396" t="s">
        <v>131</v>
      </c>
    </row>
    <row r="2397" spans="3:18" x14ac:dyDescent="0.25">
      <c r="C2397" t="s">
        <v>47</v>
      </c>
      <c r="D2397" t="s">
        <v>22</v>
      </c>
      <c r="E2397" t="s">
        <v>40</v>
      </c>
      <c r="F2397" t="s">
        <v>41</v>
      </c>
      <c r="G2397" s="89">
        <v>129</v>
      </c>
      <c r="H2397" t="s">
        <v>140</v>
      </c>
      <c r="I2397" t="s">
        <v>147</v>
      </c>
      <c r="J2397" s="89"/>
      <c r="K2397" t="s">
        <v>127</v>
      </c>
      <c r="L2397" t="s">
        <v>151</v>
      </c>
      <c r="N2397">
        <v>0</v>
      </c>
      <c r="O2397" s="89">
        <v>0</v>
      </c>
      <c r="P2397" s="89">
        <v>0</v>
      </c>
      <c r="Q2397" t="s">
        <v>130</v>
      </c>
      <c r="R2397" t="s">
        <v>131</v>
      </c>
    </row>
    <row r="2398" spans="3:18" hidden="1" x14ac:dyDescent="0.25">
      <c r="C2398" t="s">
        <v>45</v>
      </c>
      <c r="D2398" t="s">
        <v>21</v>
      </c>
      <c r="E2398" t="s">
        <v>43</v>
      </c>
      <c r="F2398" t="s">
        <v>41</v>
      </c>
      <c r="G2398" s="89">
        <v>80400631</v>
      </c>
      <c r="H2398" t="s">
        <v>42</v>
      </c>
      <c r="I2398" t="s">
        <v>126</v>
      </c>
      <c r="J2398" s="89">
        <v>1286410096</v>
      </c>
      <c r="K2398" t="s">
        <v>127</v>
      </c>
      <c r="L2398" t="s">
        <v>128</v>
      </c>
      <c r="M2398" t="s">
        <v>129</v>
      </c>
      <c r="N2398">
        <v>1</v>
      </c>
      <c r="O2398" s="89">
        <v>2412018.9300000002</v>
      </c>
      <c r="P2398" s="89">
        <v>40200315.5</v>
      </c>
      <c r="Q2398" t="s">
        <v>142</v>
      </c>
      <c r="R2398" t="s">
        <v>131</v>
      </c>
    </row>
    <row r="2399" spans="3:18" hidden="1" x14ac:dyDescent="0.25">
      <c r="C2399" t="s">
        <v>45</v>
      </c>
      <c r="D2399" t="s">
        <v>21</v>
      </c>
      <c r="E2399" t="s">
        <v>40</v>
      </c>
      <c r="F2399" t="s">
        <v>53</v>
      </c>
      <c r="G2399" s="89">
        <v>168643</v>
      </c>
      <c r="H2399" t="s">
        <v>140</v>
      </c>
      <c r="I2399" t="s">
        <v>133</v>
      </c>
      <c r="J2399" s="89">
        <v>4047432</v>
      </c>
      <c r="K2399" t="s">
        <v>144</v>
      </c>
      <c r="N2399">
        <v>1</v>
      </c>
      <c r="O2399" s="89">
        <v>8432.15</v>
      </c>
      <c r="P2399" s="89">
        <v>134914.4</v>
      </c>
      <c r="Q2399" t="s">
        <v>135</v>
      </c>
      <c r="R2399" t="s">
        <v>131</v>
      </c>
    </row>
    <row r="2400" spans="3:18" hidden="1" x14ac:dyDescent="0.25">
      <c r="C2400" t="s">
        <v>45</v>
      </c>
      <c r="D2400" t="s">
        <v>22</v>
      </c>
      <c r="E2400" t="s">
        <v>48</v>
      </c>
      <c r="F2400" t="s">
        <v>41</v>
      </c>
      <c r="G2400" s="89">
        <v>4904659</v>
      </c>
      <c r="H2400" t="s">
        <v>42</v>
      </c>
      <c r="I2400" t="s">
        <v>126</v>
      </c>
      <c r="J2400" s="89">
        <v>78474544</v>
      </c>
      <c r="K2400" t="s">
        <v>127</v>
      </c>
      <c r="L2400" t="s">
        <v>128</v>
      </c>
      <c r="M2400" t="s">
        <v>143</v>
      </c>
      <c r="N2400">
        <v>1</v>
      </c>
      <c r="O2400" s="89">
        <v>147139.76999999999</v>
      </c>
      <c r="P2400" s="89">
        <v>2403282.91</v>
      </c>
      <c r="Q2400" t="s">
        <v>142</v>
      </c>
      <c r="R2400" t="s">
        <v>42</v>
      </c>
    </row>
    <row r="2401" spans="3:18" hidden="1" x14ac:dyDescent="0.25">
      <c r="C2401" t="s">
        <v>45</v>
      </c>
      <c r="D2401" t="s">
        <v>149</v>
      </c>
      <c r="E2401" t="s">
        <v>43</v>
      </c>
      <c r="F2401" t="s">
        <v>41</v>
      </c>
      <c r="G2401" s="89">
        <v>2508543</v>
      </c>
      <c r="H2401" t="s">
        <v>140</v>
      </c>
      <c r="I2401" t="s">
        <v>126</v>
      </c>
      <c r="J2401" s="89">
        <v>40136688</v>
      </c>
      <c r="K2401" t="s">
        <v>127</v>
      </c>
      <c r="L2401" t="s">
        <v>128</v>
      </c>
      <c r="N2401">
        <v>1</v>
      </c>
      <c r="O2401" s="89">
        <v>75256.289999999994</v>
      </c>
      <c r="P2401" s="89">
        <v>1680723.81</v>
      </c>
      <c r="Q2401" t="s">
        <v>137</v>
      </c>
      <c r="R2401" t="s">
        <v>131</v>
      </c>
    </row>
    <row r="2402" spans="3:18" hidden="1" x14ac:dyDescent="0.25">
      <c r="C2402" t="s">
        <v>45</v>
      </c>
      <c r="D2402" t="s">
        <v>23</v>
      </c>
      <c r="E2402" t="s">
        <v>48</v>
      </c>
      <c r="F2402" t="s">
        <v>41</v>
      </c>
      <c r="G2402" s="89">
        <v>196987</v>
      </c>
      <c r="H2402" t="s">
        <v>145</v>
      </c>
      <c r="I2402" t="s">
        <v>126</v>
      </c>
      <c r="J2402" s="89">
        <v>3348779</v>
      </c>
      <c r="K2402" t="s">
        <v>144</v>
      </c>
      <c r="N2402">
        <v>1</v>
      </c>
      <c r="O2402" s="89">
        <v>5909.61</v>
      </c>
      <c r="P2402" s="89">
        <v>61065.97</v>
      </c>
      <c r="Q2402" t="s">
        <v>130</v>
      </c>
      <c r="R2402" t="s">
        <v>131</v>
      </c>
    </row>
    <row r="2403" spans="3:18" hidden="1" x14ac:dyDescent="0.25">
      <c r="C2403" t="s">
        <v>45</v>
      </c>
      <c r="D2403" t="s">
        <v>23</v>
      </c>
      <c r="E2403" t="s">
        <v>48</v>
      </c>
      <c r="F2403" t="s">
        <v>41</v>
      </c>
      <c r="G2403" s="89">
        <v>67058448</v>
      </c>
      <c r="H2403" t="s">
        <v>140</v>
      </c>
      <c r="I2403" t="s">
        <v>133</v>
      </c>
      <c r="J2403" s="89">
        <v>1877636544</v>
      </c>
      <c r="K2403" t="s">
        <v>127</v>
      </c>
      <c r="L2403" t="s">
        <v>128</v>
      </c>
      <c r="N2403">
        <v>1</v>
      </c>
      <c r="O2403" s="89">
        <v>2011753.44</v>
      </c>
      <c r="P2403" s="89">
        <v>46270329.119999997</v>
      </c>
      <c r="Q2403" t="s">
        <v>137</v>
      </c>
      <c r="R2403" t="s">
        <v>131</v>
      </c>
    </row>
    <row r="2404" spans="3:18" hidden="1" x14ac:dyDescent="0.25">
      <c r="C2404" t="s">
        <v>45</v>
      </c>
      <c r="D2404" t="s">
        <v>22</v>
      </c>
      <c r="E2404" t="s">
        <v>40</v>
      </c>
      <c r="F2404" t="s">
        <v>53</v>
      </c>
      <c r="G2404" s="89">
        <v>5207502</v>
      </c>
      <c r="H2404" t="s">
        <v>42</v>
      </c>
      <c r="I2404" t="s">
        <v>133</v>
      </c>
      <c r="J2404" s="89">
        <v>171847566</v>
      </c>
      <c r="K2404" t="s">
        <v>144</v>
      </c>
      <c r="N2404">
        <v>1</v>
      </c>
      <c r="O2404" s="89">
        <v>156225.06</v>
      </c>
      <c r="P2404" s="89">
        <v>3749401.44</v>
      </c>
      <c r="Q2404" t="s">
        <v>137</v>
      </c>
      <c r="R2404" t="s">
        <v>42</v>
      </c>
    </row>
    <row r="2405" spans="3:18" hidden="1" x14ac:dyDescent="0.25">
      <c r="C2405" t="s">
        <v>45</v>
      </c>
      <c r="D2405" t="s">
        <v>22</v>
      </c>
      <c r="E2405" t="s">
        <v>43</v>
      </c>
      <c r="F2405" t="s">
        <v>41</v>
      </c>
      <c r="G2405" s="89">
        <v>110796</v>
      </c>
      <c r="H2405" t="s">
        <v>140</v>
      </c>
      <c r="I2405" t="s">
        <v>133</v>
      </c>
      <c r="J2405" s="89">
        <v>2769900</v>
      </c>
      <c r="K2405" t="s">
        <v>127</v>
      </c>
      <c r="L2405" t="s">
        <v>151</v>
      </c>
      <c r="N2405">
        <v>1</v>
      </c>
      <c r="O2405" s="89">
        <v>5539.8</v>
      </c>
      <c r="P2405" s="89">
        <v>63153.72</v>
      </c>
      <c r="Q2405" t="s">
        <v>142</v>
      </c>
      <c r="R2405" t="s">
        <v>131</v>
      </c>
    </row>
    <row r="2406" spans="3:18" hidden="1" x14ac:dyDescent="0.25">
      <c r="C2406" t="s">
        <v>45</v>
      </c>
      <c r="D2406" t="s">
        <v>149</v>
      </c>
      <c r="E2406" t="s">
        <v>43</v>
      </c>
      <c r="F2406" t="s">
        <v>41</v>
      </c>
      <c r="G2406" s="89">
        <v>1194574</v>
      </c>
      <c r="H2406" t="s">
        <v>145</v>
      </c>
      <c r="I2406" t="s">
        <v>133</v>
      </c>
      <c r="J2406" s="89">
        <v>35837220</v>
      </c>
      <c r="K2406" t="s">
        <v>144</v>
      </c>
      <c r="N2406">
        <v>1</v>
      </c>
      <c r="O2406" s="89">
        <v>35837.22</v>
      </c>
      <c r="P2406" s="89">
        <v>394209.42</v>
      </c>
      <c r="Q2406" t="s">
        <v>130</v>
      </c>
      <c r="R2406" t="s">
        <v>131</v>
      </c>
    </row>
    <row r="2407" spans="3:18" hidden="1" x14ac:dyDescent="0.25">
      <c r="C2407" t="s">
        <v>45</v>
      </c>
      <c r="D2407" t="s">
        <v>20</v>
      </c>
      <c r="E2407" t="s">
        <v>40</v>
      </c>
      <c r="F2407" t="s">
        <v>41</v>
      </c>
      <c r="G2407" s="89">
        <v>210982</v>
      </c>
      <c r="H2407" t="s">
        <v>42</v>
      </c>
      <c r="I2407" t="s">
        <v>133</v>
      </c>
      <c r="J2407" s="89">
        <v>7173388</v>
      </c>
      <c r="K2407" t="s">
        <v>134</v>
      </c>
      <c r="L2407" t="s">
        <v>128</v>
      </c>
      <c r="M2407" t="s">
        <v>139</v>
      </c>
      <c r="N2407">
        <v>1</v>
      </c>
      <c r="O2407" s="89">
        <v>6329.46</v>
      </c>
      <c r="P2407" s="89">
        <v>164565.96</v>
      </c>
      <c r="Q2407" t="s">
        <v>137</v>
      </c>
      <c r="R2407" t="s">
        <v>131</v>
      </c>
    </row>
    <row r="2408" spans="3:18" hidden="1" x14ac:dyDescent="0.25">
      <c r="C2408" t="s">
        <v>45</v>
      </c>
      <c r="D2408" t="s">
        <v>21</v>
      </c>
      <c r="E2408" t="s">
        <v>43</v>
      </c>
      <c r="F2408" t="s">
        <v>41</v>
      </c>
      <c r="G2408" s="89">
        <v>73713631</v>
      </c>
      <c r="H2408" t="s">
        <v>42</v>
      </c>
      <c r="I2408" t="s">
        <v>133</v>
      </c>
      <c r="J2408" s="89">
        <v>2506263454</v>
      </c>
      <c r="K2408" t="s">
        <v>144</v>
      </c>
      <c r="N2408">
        <v>1</v>
      </c>
      <c r="O2408" s="89">
        <v>2211408.9300000002</v>
      </c>
      <c r="P2408" s="89">
        <v>53073814.32</v>
      </c>
      <c r="Q2408" t="s">
        <v>137</v>
      </c>
      <c r="R2408" t="s">
        <v>42</v>
      </c>
    </row>
    <row r="2409" spans="3:18" x14ac:dyDescent="0.25">
      <c r="C2409" t="s">
        <v>47</v>
      </c>
      <c r="D2409" t="s">
        <v>21</v>
      </c>
      <c r="E2409" t="s">
        <v>48</v>
      </c>
      <c r="F2409" t="s">
        <v>41</v>
      </c>
      <c r="G2409" s="89">
        <v>0</v>
      </c>
      <c r="H2409" t="s">
        <v>146</v>
      </c>
      <c r="I2409" t="s">
        <v>153</v>
      </c>
      <c r="J2409" s="89"/>
      <c r="K2409" t="s">
        <v>127</v>
      </c>
      <c r="L2409" t="s">
        <v>128</v>
      </c>
      <c r="N2409">
        <v>0</v>
      </c>
      <c r="O2409" s="89">
        <v>0</v>
      </c>
      <c r="P2409" s="89">
        <v>0</v>
      </c>
      <c r="Q2409" t="s">
        <v>130</v>
      </c>
      <c r="R2409" t="s">
        <v>131</v>
      </c>
    </row>
    <row r="2410" spans="3:18" x14ac:dyDescent="0.25">
      <c r="C2410" t="s">
        <v>47</v>
      </c>
      <c r="D2410" t="s">
        <v>24</v>
      </c>
      <c r="E2410" t="s">
        <v>48</v>
      </c>
      <c r="F2410" t="s">
        <v>41</v>
      </c>
      <c r="G2410" s="89">
        <v>691740</v>
      </c>
      <c r="H2410" t="s">
        <v>140</v>
      </c>
      <c r="I2410" t="s">
        <v>141</v>
      </c>
      <c r="J2410" s="89">
        <v>5533920</v>
      </c>
      <c r="K2410" t="s">
        <v>127</v>
      </c>
      <c r="L2410" t="s">
        <v>128</v>
      </c>
      <c r="N2410">
        <v>1</v>
      </c>
      <c r="O2410" s="89">
        <v>20752.2</v>
      </c>
      <c r="P2410" s="89">
        <v>394291.8</v>
      </c>
      <c r="Q2410" t="s">
        <v>142</v>
      </c>
      <c r="R2410" t="s">
        <v>131</v>
      </c>
    </row>
    <row r="2411" spans="3:18" x14ac:dyDescent="0.25">
      <c r="C2411" t="s">
        <v>47</v>
      </c>
      <c r="D2411" t="s">
        <v>20</v>
      </c>
      <c r="E2411" t="s">
        <v>40</v>
      </c>
      <c r="F2411" t="s">
        <v>41</v>
      </c>
      <c r="G2411" s="89">
        <v>1417876</v>
      </c>
      <c r="H2411" t="s">
        <v>132</v>
      </c>
      <c r="I2411" t="s">
        <v>126</v>
      </c>
      <c r="J2411" s="89">
        <v>15596636</v>
      </c>
      <c r="K2411" t="s">
        <v>127</v>
      </c>
      <c r="L2411" t="s">
        <v>128</v>
      </c>
      <c r="N2411">
        <v>1</v>
      </c>
      <c r="O2411" s="89">
        <v>42536.28</v>
      </c>
      <c r="P2411" s="89">
        <v>680580.48</v>
      </c>
      <c r="Q2411" t="s">
        <v>142</v>
      </c>
      <c r="R2411" t="s">
        <v>131</v>
      </c>
    </row>
    <row r="2412" spans="3:18" hidden="1" x14ac:dyDescent="0.25">
      <c r="C2412" t="s">
        <v>45</v>
      </c>
      <c r="D2412" t="s">
        <v>23</v>
      </c>
      <c r="E2412" t="s">
        <v>40</v>
      </c>
      <c r="F2412" t="s">
        <v>41</v>
      </c>
      <c r="G2412" s="89">
        <v>122217</v>
      </c>
      <c r="H2412" t="s">
        <v>146</v>
      </c>
      <c r="I2412" t="s">
        <v>141</v>
      </c>
      <c r="J2412" s="89">
        <v>977736</v>
      </c>
      <c r="K2412" t="s">
        <v>127</v>
      </c>
      <c r="L2412" t="s">
        <v>128</v>
      </c>
      <c r="N2412">
        <v>1</v>
      </c>
      <c r="O2412" s="89">
        <v>4888.68</v>
      </c>
      <c r="P2412" s="89">
        <v>58664.160000000003</v>
      </c>
      <c r="Q2412" t="s">
        <v>142</v>
      </c>
      <c r="R2412" t="s">
        <v>131</v>
      </c>
    </row>
    <row r="2413" spans="3:18" hidden="1" x14ac:dyDescent="0.25">
      <c r="C2413" t="s">
        <v>45</v>
      </c>
      <c r="D2413" t="s">
        <v>20</v>
      </c>
      <c r="E2413" t="s">
        <v>43</v>
      </c>
      <c r="F2413" t="s">
        <v>41</v>
      </c>
      <c r="G2413" s="89">
        <v>840000</v>
      </c>
      <c r="H2413" t="s">
        <v>145</v>
      </c>
      <c r="I2413" t="s">
        <v>141</v>
      </c>
      <c r="J2413" s="89">
        <v>7560000</v>
      </c>
      <c r="K2413" t="s">
        <v>127</v>
      </c>
      <c r="L2413" t="s">
        <v>128</v>
      </c>
      <c r="N2413">
        <v>1</v>
      </c>
      <c r="O2413" s="89">
        <v>25200</v>
      </c>
      <c r="P2413" s="89">
        <v>1260000</v>
      </c>
      <c r="Q2413" t="s">
        <v>150</v>
      </c>
      <c r="R2413" t="s">
        <v>131</v>
      </c>
    </row>
    <row r="2414" spans="3:18" hidden="1" x14ac:dyDescent="0.25">
      <c r="C2414" t="s">
        <v>45</v>
      </c>
      <c r="D2414" t="s">
        <v>149</v>
      </c>
      <c r="E2414" t="s">
        <v>43</v>
      </c>
      <c r="F2414" t="s">
        <v>41</v>
      </c>
      <c r="G2414" s="89">
        <v>303076</v>
      </c>
      <c r="H2414" t="s">
        <v>42</v>
      </c>
      <c r="I2414" t="s">
        <v>141</v>
      </c>
      <c r="J2414" s="89">
        <v>2727684</v>
      </c>
      <c r="K2414" t="s">
        <v>144</v>
      </c>
      <c r="N2414">
        <v>1</v>
      </c>
      <c r="O2414" s="89">
        <v>9092.2800000000007</v>
      </c>
      <c r="P2414" s="89">
        <v>57584.44</v>
      </c>
      <c r="Q2414" t="s">
        <v>130</v>
      </c>
      <c r="R2414" t="s">
        <v>42</v>
      </c>
    </row>
    <row r="2415" spans="3:18" x14ac:dyDescent="0.25">
      <c r="C2415" t="s">
        <v>47</v>
      </c>
      <c r="D2415" t="s">
        <v>21</v>
      </c>
      <c r="E2415" t="s">
        <v>40</v>
      </c>
      <c r="F2415" t="s">
        <v>41</v>
      </c>
      <c r="G2415" s="89">
        <v>156222</v>
      </c>
      <c r="H2415" t="s">
        <v>140</v>
      </c>
      <c r="I2415" t="s">
        <v>133</v>
      </c>
      <c r="J2415" s="89">
        <v>4374216</v>
      </c>
      <c r="K2415" t="s">
        <v>127</v>
      </c>
      <c r="L2415" t="s">
        <v>128</v>
      </c>
      <c r="N2415">
        <v>1</v>
      </c>
      <c r="O2415" s="89">
        <v>3124.44</v>
      </c>
      <c r="P2415" s="89">
        <v>29682.18</v>
      </c>
      <c r="Q2415" t="s">
        <v>130</v>
      </c>
      <c r="R2415" t="s">
        <v>131</v>
      </c>
    </row>
    <row r="2416" spans="3:18" x14ac:dyDescent="0.25">
      <c r="C2416" t="s">
        <v>47</v>
      </c>
      <c r="D2416" t="s">
        <v>138</v>
      </c>
      <c r="E2416" t="s">
        <v>40</v>
      </c>
      <c r="F2416" t="s">
        <v>41</v>
      </c>
      <c r="G2416" s="89">
        <v>704350</v>
      </c>
      <c r="H2416" t="s">
        <v>146</v>
      </c>
      <c r="I2416" t="s">
        <v>126</v>
      </c>
      <c r="J2416" s="89">
        <v>7747850</v>
      </c>
      <c r="K2416" t="s">
        <v>127</v>
      </c>
      <c r="L2416" t="s">
        <v>128</v>
      </c>
      <c r="N2416">
        <v>1</v>
      </c>
      <c r="O2416" s="89">
        <v>28174</v>
      </c>
      <c r="P2416" s="89">
        <v>338088</v>
      </c>
      <c r="Q2416" t="s">
        <v>142</v>
      </c>
      <c r="R2416" t="s">
        <v>131</v>
      </c>
    </row>
    <row r="2417" spans="3:18" x14ac:dyDescent="0.25">
      <c r="C2417" t="s">
        <v>47</v>
      </c>
      <c r="D2417" t="s">
        <v>138</v>
      </c>
      <c r="E2417" t="s">
        <v>43</v>
      </c>
      <c r="F2417" t="s">
        <v>41</v>
      </c>
      <c r="G2417" s="89">
        <v>271</v>
      </c>
      <c r="H2417" t="s">
        <v>140</v>
      </c>
      <c r="I2417" t="s">
        <v>147</v>
      </c>
      <c r="J2417" s="89"/>
      <c r="K2417" t="s">
        <v>127</v>
      </c>
      <c r="L2417" t="s">
        <v>128</v>
      </c>
      <c r="N2417">
        <v>0</v>
      </c>
      <c r="O2417" s="89">
        <v>0</v>
      </c>
      <c r="P2417" s="89">
        <v>0</v>
      </c>
      <c r="Q2417" t="s">
        <v>130</v>
      </c>
      <c r="R2417" t="s">
        <v>131</v>
      </c>
    </row>
    <row r="2418" spans="3:18" hidden="1" x14ac:dyDescent="0.25">
      <c r="C2418" t="s">
        <v>45</v>
      </c>
      <c r="D2418" t="s">
        <v>24</v>
      </c>
      <c r="E2418" t="s">
        <v>40</v>
      </c>
      <c r="F2418" t="s">
        <v>41</v>
      </c>
      <c r="G2418" s="89">
        <v>32466</v>
      </c>
      <c r="H2418" t="s">
        <v>140</v>
      </c>
      <c r="I2418" t="s">
        <v>126</v>
      </c>
      <c r="J2418" s="89">
        <v>486990</v>
      </c>
      <c r="K2418" t="s">
        <v>144</v>
      </c>
      <c r="N2418">
        <v>1</v>
      </c>
      <c r="O2418" s="89">
        <v>973.98</v>
      </c>
      <c r="P2418" s="89">
        <v>13960.38</v>
      </c>
      <c r="Q2418" t="s">
        <v>142</v>
      </c>
      <c r="R2418" t="s">
        <v>131</v>
      </c>
    </row>
    <row r="2419" spans="3:18" hidden="1" x14ac:dyDescent="0.25">
      <c r="C2419" t="s">
        <v>45</v>
      </c>
      <c r="D2419" t="s">
        <v>22</v>
      </c>
      <c r="E2419" t="s">
        <v>48</v>
      </c>
      <c r="F2419" t="s">
        <v>41</v>
      </c>
      <c r="G2419" s="89">
        <v>345258</v>
      </c>
      <c r="H2419" t="s">
        <v>42</v>
      </c>
      <c r="I2419" t="s">
        <v>133</v>
      </c>
      <c r="J2419" s="89">
        <v>9321966</v>
      </c>
      <c r="K2419" t="s">
        <v>127</v>
      </c>
      <c r="L2419" t="s">
        <v>128</v>
      </c>
      <c r="M2419" t="s">
        <v>129</v>
      </c>
      <c r="N2419">
        <v>1</v>
      </c>
      <c r="O2419" s="89">
        <v>10357.74</v>
      </c>
      <c r="P2419" s="89">
        <v>248585.76</v>
      </c>
      <c r="Q2419" t="s">
        <v>137</v>
      </c>
      <c r="R2419" t="s">
        <v>42</v>
      </c>
    </row>
    <row r="2420" spans="3:18" hidden="1" x14ac:dyDescent="0.25">
      <c r="C2420" t="s">
        <v>45</v>
      </c>
      <c r="D2420" t="s">
        <v>20</v>
      </c>
      <c r="E2420" t="s">
        <v>43</v>
      </c>
      <c r="F2420" t="s">
        <v>41</v>
      </c>
      <c r="G2420" s="89">
        <v>4529791</v>
      </c>
      <c r="H2420" t="s">
        <v>140</v>
      </c>
      <c r="I2420" t="s">
        <v>133</v>
      </c>
      <c r="J2420" s="89">
        <v>135893730</v>
      </c>
      <c r="K2420" t="s">
        <v>144</v>
      </c>
      <c r="N2420">
        <v>1</v>
      </c>
      <c r="O2420" s="89">
        <v>135893.73000000001</v>
      </c>
      <c r="P2420" s="89">
        <v>2264895.5</v>
      </c>
      <c r="Q2420" t="s">
        <v>142</v>
      </c>
      <c r="R2420" t="s">
        <v>131</v>
      </c>
    </row>
    <row r="2421" spans="3:18" hidden="1" x14ac:dyDescent="0.25">
      <c r="C2421" t="s">
        <v>45</v>
      </c>
      <c r="D2421" t="s">
        <v>23</v>
      </c>
      <c r="E2421" t="s">
        <v>48</v>
      </c>
      <c r="F2421" t="s">
        <v>41</v>
      </c>
      <c r="G2421" s="89">
        <v>14490</v>
      </c>
      <c r="H2421" t="s">
        <v>140</v>
      </c>
      <c r="I2421" t="s">
        <v>147</v>
      </c>
      <c r="J2421" s="89">
        <v>28980</v>
      </c>
      <c r="K2421" t="s">
        <v>127</v>
      </c>
      <c r="L2421" t="s">
        <v>128</v>
      </c>
      <c r="N2421">
        <v>1</v>
      </c>
      <c r="O2421" s="89">
        <v>434.7</v>
      </c>
      <c r="P2421" s="89">
        <v>10287.9</v>
      </c>
      <c r="Q2421" t="s">
        <v>137</v>
      </c>
      <c r="R2421" t="s">
        <v>131</v>
      </c>
    </row>
    <row r="2422" spans="3:18" hidden="1" x14ac:dyDescent="0.25">
      <c r="C2422" t="s">
        <v>45</v>
      </c>
      <c r="D2422" t="s">
        <v>23</v>
      </c>
      <c r="E2422" t="s">
        <v>40</v>
      </c>
      <c r="F2422" t="s">
        <v>41</v>
      </c>
      <c r="G2422" s="89">
        <v>129317</v>
      </c>
      <c r="H2422" t="s">
        <v>42</v>
      </c>
      <c r="I2422" t="s">
        <v>126</v>
      </c>
      <c r="J2422" s="89">
        <v>2457023</v>
      </c>
      <c r="K2422" t="s">
        <v>134</v>
      </c>
      <c r="L2422" t="s">
        <v>128</v>
      </c>
      <c r="M2422" t="s">
        <v>152</v>
      </c>
      <c r="N2422">
        <v>1</v>
      </c>
      <c r="O2422" s="89">
        <v>3879.51</v>
      </c>
      <c r="P2422" s="89">
        <v>91815.07</v>
      </c>
      <c r="Q2422" t="s">
        <v>137</v>
      </c>
      <c r="R2422" t="s">
        <v>131</v>
      </c>
    </row>
    <row r="2423" spans="3:18" hidden="1" x14ac:dyDescent="0.25">
      <c r="C2423" t="s">
        <v>45</v>
      </c>
      <c r="D2423" t="s">
        <v>24</v>
      </c>
      <c r="E2423" t="s">
        <v>46</v>
      </c>
      <c r="F2423" t="s">
        <v>53</v>
      </c>
      <c r="G2423" s="89">
        <v>597126</v>
      </c>
      <c r="H2423" t="s">
        <v>42</v>
      </c>
      <c r="I2423" t="s">
        <v>133</v>
      </c>
      <c r="J2423" s="89">
        <v>16719528</v>
      </c>
      <c r="K2423" t="s">
        <v>144</v>
      </c>
      <c r="N2423">
        <v>1</v>
      </c>
      <c r="O2423" s="89">
        <v>17913.78</v>
      </c>
      <c r="P2423" s="89">
        <v>394103.16</v>
      </c>
      <c r="Q2423" t="s">
        <v>137</v>
      </c>
      <c r="R2423" t="s">
        <v>42</v>
      </c>
    </row>
    <row r="2424" spans="3:18" hidden="1" x14ac:dyDescent="0.25">
      <c r="C2424" t="s">
        <v>45</v>
      </c>
      <c r="D2424" t="s">
        <v>22</v>
      </c>
      <c r="E2424" t="s">
        <v>40</v>
      </c>
      <c r="F2424" t="s">
        <v>41</v>
      </c>
      <c r="G2424" s="89">
        <v>230000</v>
      </c>
      <c r="H2424" t="s">
        <v>42</v>
      </c>
      <c r="I2424" t="s">
        <v>133</v>
      </c>
      <c r="J2424" s="89">
        <v>8510000</v>
      </c>
      <c r="K2424" t="s">
        <v>144</v>
      </c>
      <c r="N2424">
        <v>1</v>
      </c>
      <c r="O2424" s="89">
        <v>6900</v>
      </c>
      <c r="P2424" s="89">
        <v>230000</v>
      </c>
      <c r="Q2424" t="s">
        <v>150</v>
      </c>
      <c r="R2424" t="s">
        <v>131</v>
      </c>
    </row>
    <row r="2425" spans="3:18" hidden="1" x14ac:dyDescent="0.25">
      <c r="C2425" t="s">
        <v>45</v>
      </c>
      <c r="D2425" t="s">
        <v>19</v>
      </c>
      <c r="E2425" t="s">
        <v>43</v>
      </c>
      <c r="F2425" t="s">
        <v>53</v>
      </c>
      <c r="G2425" s="89">
        <v>1199819</v>
      </c>
      <c r="H2425" t="s">
        <v>42</v>
      </c>
      <c r="I2425" t="s">
        <v>133</v>
      </c>
      <c r="J2425" s="89">
        <v>41993665</v>
      </c>
      <c r="K2425" t="s">
        <v>127</v>
      </c>
      <c r="L2425" t="s">
        <v>128</v>
      </c>
      <c r="M2425" t="s">
        <v>136</v>
      </c>
      <c r="N2425">
        <v>1</v>
      </c>
      <c r="O2425" s="89">
        <v>35994.57</v>
      </c>
      <c r="P2425" s="89">
        <v>887866.06</v>
      </c>
      <c r="Q2425" t="s">
        <v>137</v>
      </c>
      <c r="R2425" t="s">
        <v>42</v>
      </c>
    </row>
    <row r="2426" spans="3:18" hidden="1" x14ac:dyDescent="0.25">
      <c r="C2426" t="s">
        <v>45</v>
      </c>
      <c r="D2426" t="s">
        <v>22</v>
      </c>
      <c r="E2426" t="s">
        <v>46</v>
      </c>
      <c r="F2426" t="s">
        <v>41</v>
      </c>
      <c r="G2426" s="89">
        <v>52073</v>
      </c>
      <c r="H2426" t="s">
        <v>42</v>
      </c>
      <c r="I2426" t="s">
        <v>126</v>
      </c>
      <c r="J2426" s="89">
        <v>729022</v>
      </c>
      <c r="K2426" t="s">
        <v>127</v>
      </c>
      <c r="L2426" t="s">
        <v>128</v>
      </c>
      <c r="M2426" t="s">
        <v>143</v>
      </c>
      <c r="N2426">
        <v>1</v>
      </c>
      <c r="O2426" s="89">
        <v>1562.19</v>
      </c>
      <c r="P2426" s="89">
        <v>29160.880000000001</v>
      </c>
      <c r="Q2426" t="s">
        <v>142</v>
      </c>
      <c r="R2426" t="s">
        <v>131</v>
      </c>
    </row>
    <row r="2427" spans="3:18" hidden="1" x14ac:dyDescent="0.25">
      <c r="C2427" t="s">
        <v>45</v>
      </c>
      <c r="D2427" t="s">
        <v>21</v>
      </c>
      <c r="E2427" t="s">
        <v>43</v>
      </c>
      <c r="F2427" t="s">
        <v>41</v>
      </c>
      <c r="G2427" s="89">
        <v>3132655</v>
      </c>
      <c r="H2427" t="s">
        <v>140</v>
      </c>
      <c r="I2427" t="s">
        <v>133</v>
      </c>
      <c r="J2427" s="89">
        <v>97112305</v>
      </c>
      <c r="K2427" t="s">
        <v>134</v>
      </c>
      <c r="L2427" t="s">
        <v>128</v>
      </c>
      <c r="N2427">
        <v>1</v>
      </c>
      <c r="O2427" s="89">
        <v>93979.65</v>
      </c>
      <c r="P2427" s="89">
        <v>2130205.4</v>
      </c>
      <c r="Q2427" t="s">
        <v>137</v>
      </c>
      <c r="R2427" t="s">
        <v>131</v>
      </c>
    </row>
    <row r="2428" spans="3:18" hidden="1" x14ac:dyDescent="0.25">
      <c r="C2428" t="s">
        <v>45</v>
      </c>
      <c r="D2428" t="s">
        <v>23</v>
      </c>
      <c r="E2428" t="s">
        <v>48</v>
      </c>
      <c r="F2428" t="s">
        <v>53</v>
      </c>
      <c r="G2428" s="89">
        <v>251097</v>
      </c>
      <c r="H2428" t="s">
        <v>140</v>
      </c>
      <c r="I2428" t="s">
        <v>133</v>
      </c>
      <c r="J2428" s="89">
        <v>7532910</v>
      </c>
      <c r="K2428" t="s">
        <v>144</v>
      </c>
      <c r="N2428">
        <v>1</v>
      </c>
      <c r="O2428" s="89">
        <v>7532.91</v>
      </c>
      <c r="P2428" s="89">
        <v>210921.48</v>
      </c>
      <c r="Q2428" t="s">
        <v>135</v>
      </c>
      <c r="R2428" t="s">
        <v>131</v>
      </c>
    </row>
    <row r="2429" spans="3:18" hidden="1" x14ac:dyDescent="0.25">
      <c r="C2429" t="s">
        <v>45</v>
      </c>
      <c r="D2429" t="s">
        <v>19</v>
      </c>
      <c r="E2429" t="s">
        <v>43</v>
      </c>
      <c r="F2429" t="s">
        <v>41</v>
      </c>
      <c r="G2429" s="89">
        <v>13869</v>
      </c>
      <c r="H2429" t="s">
        <v>42</v>
      </c>
      <c r="I2429" t="s">
        <v>126</v>
      </c>
      <c r="J2429" s="89">
        <v>152559</v>
      </c>
      <c r="K2429" t="s">
        <v>127</v>
      </c>
      <c r="L2429" t="s">
        <v>128</v>
      </c>
      <c r="M2429" t="s">
        <v>148</v>
      </c>
      <c r="N2429">
        <v>1</v>
      </c>
      <c r="O2429" s="89">
        <v>416.07</v>
      </c>
      <c r="P2429" s="89">
        <v>970.83</v>
      </c>
      <c r="Q2429" t="s">
        <v>130</v>
      </c>
      <c r="R2429" t="s">
        <v>131</v>
      </c>
    </row>
    <row r="2430" spans="3:18" hidden="1" x14ac:dyDescent="0.25">
      <c r="C2430" t="s">
        <v>45</v>
      </c>
      <c r="D2430" t="s">
        <v>138</v>
      </c>
      <c r="E2430" t="s">
        <v>43</v>
      </c>
      <c r="F2430" t="s">
        <v>41</v>
      </c>
      <c r="G2430" s="89">
        <v>259463</v>
      </c>
      <c r="H2430" t="s">
        <v>140</v>
      </c>
      <c r="I2430" t="s">
        <v>126</v>
      </c>
      <c r="J2430" s="89">
        <v>4410871</v>
      </c>
      <c r="K2430" t="s">
        <v>127</v>
      </c>
      <c r="L2430" t="s">
        <v>128</v>
      </c>
      <c r="N2430">
        <v>1</v>
      </c>
      <c r="O2430" s="89">
        <v>10378.52</v>
      </c>
      <c r="P2430" s="89">
        <v>228327.44</v>
      </c>
      <c r="Q2430" t="s">
        <v>135</v>
      </c>
      <c r="R2430" t="s">
        <v>131</v>
      </c>
    </row>
    <row r="2431" spans="3:18" hidden="1" x14ac:dyDescent="0.25">
      <c r="C2431" t="s">
        <v>45</v>
      </c>
      <c r="D2431" t="s">
        <v>22</v>
      </c>
      <c r="E2431" t="s">
        <v>40</v>
      </c>
      <c r="F2431" t="s">
        <v>41</v>
      </c>
      <c r="G2431" s="89">
        <v>42403</v>
      </c>
      <c r="H2431" t="s">
        <v>140</v>
      </c>
      <c r="I2431" t="s">
        <v>133</v>
      </c>
      <c r="J2431" s="89">
        <v>975269</v>
      </c>
      <c r="K2431" t="s">
        <v>134</v>
      </c>
      <c r="N2431">
        <v>1</v>
      </c>
      <c r="O2431" s="89">
        <v>1272.0899999999999</v>
      </c>
      <c r="P2431" s="89">
        <v>16961.2</v>
      </c>
      <c r="Q2431" t="s">
        <v>142</v>
      </c>
      <c r="R2431" t="s">
        <v>131</v>
      </c>
    </row>
    <row r="2432" spans="3:18" hidden="1" x14ac:dyDescent="0.25">
      <c r="C2432" t="s">
        <v>45</v>
      </c>
      <c r="D2432" t="s">
        <v>20</v>
      </c>
      <c r="E2432" t="s">
        <v>40</v>
      </c>
      <c r="F2432" t="s">
        <v>41</v>
      </c>
      <c r="G2432" s="89">
        <v>135381</v>
      </c>
      <c r="H2432" t="s">
        <v>140</v>
      </c>
      <c r="I2432" t="s">
        <v>133</v>
      </c>
      <c r="J2432" s="89">
        <v>3249144</v>
      </c>
      <c r="K2432" t="s">
        <v>144</v>
      </c>
      <c r="N2432">
        <v>1</v>
      </c>
      <c r="O2432" s="89">
        <v>5415.24</v>
      </c>
      <c r="P2432" s="89">
        <v>36552.870000000003</v>
      </c>
      <c r="Q2432" t="s">
        <v>130</v>
      </c>
      <c r="R2432" t="s">
        <v>131</v>
      </c>
    </row>
    <row r="2433" spans="3:18" x14ac:dyDescent="0.25">
      <c r="C2433" t="s">
        <v>47</v>
      </c>
      <c r="D2433" t="s">
        <v>21</v>
      </c>
      <c r="E2433" t="s">
        <v>43</v>
      </c>
      <c r="F2433" t="s">
        <v>41</v>
      </c>
      <c r="G2433" s="89">
        <v>459004</v>
      </c>
      <c r="H2433" t="s">
        <v>145</v>
      </c>
      <c r="I2433" t="s">
        <v>126</v>
      </c>
      <c r="J2433" s="89">
        <v>6426056</v>
      </c>
      <c r="K2433" t="s">
        <v>127</v>
      </c>
      <c r="L2433" t="s">
        <v>128</v>
      </c>
      <c r="N2433">
        <v>1</v>
      </c>
      <c r="O2433" s="89">
        <v>13770.12</v>
      </c>
      <c r="P2433" s="89">
        <v>394743.44</v>
      </c>
      <c r="Q2433" t="s">
        <v>135</v>
      </c>
      <c r="R2433" t="s">
        <v>131</v>
      </c>
    </row>
    <row r="2434" spans="3:18" hidden="1" x14ac:dyDescent="0.25">
      <c r="C2434" t="s">
        <v>45</v>
      </c>
      <c r="D2434" t="s">
        <v>22</v>
      </c>
      <c r="E2434" t="s">
        <v>40</v>
      </c>
      <c r="F2434" t="s">
        <v>41</v>
      </c>
      <c r="G2434" s="89">
        <v>617061</v>
      </c>
      <c r="H2434" t="s">
        <v>42</v>
      </c>
      <c r="I2434" t="s">
        <v>141</v>
      </c>
      <c r="J2434" s="89">
        <v>5553549</v>
      </c>
      <c r="K2434" t="s">
        <v>144</v>
      </c>
      <c r="N2434">
        <v>1</v>
      </c>
      <c r="O2434" s="89">
        <v>18511.830000000002</v>
      </c>
      <c r="P2434" s="89">
        <v>333212.94</v>
      </c>
      <c r="Q2434" t="s">
        <v>142</v>
      </c>
      <c r="R2434" t="s">
        <v>131</v>
      </c>
    </row>
    <row r="2435" spans="3:18" x14ac:dyDescent="0.25">
      <c r="C2435" t="s">
        <v>47</v>
      </c>
      <c r="D2435" t="s">
        <v>23</v>
      </c>
      <c r="E2435" t="s">
        <v>48</v>
      </c>
      <c r="F2435" t="s">
        <v>41</v>
      </c>
      <c r="G2435" s="89">
        <v>2127113</v>
      </c>
      <c r="H2435" t="s">
        <v>146</v>
      </c>
      <c r="I2435" t="s">
        <v>126</v>
      </c>
      <c r="J2435" s="89">
        <v>27652469</v>
      </c>
      <c r="K2435" t="s">
        <v>127</v>
      </c>
      <c r="L2435" t="s">
        <v>128</v>
      </c>
      <c r="N2435">
        <v>1</v>
      </c>
      <c r="O2435" s="89">
        <v>85084.52</v>
      </c>
      <c r="P2435" s="89">
        <v>1510250.23</v>
      </c>
      <c r="Q2435" t="s">
        <v>137</v>
      </c>
      <c r="R2435" t="s">
        <v>131</v>
      </c>
    </row>
    <row r="2436" spans="3:18" hidden="1" x14ac:dyDescent="0.25">
      <c r="C2436" t="s">
        <v>45</v>
      </c>
      <c r="D2436" t="s">
        <v>23</v>
      </c>
      <c r="E2436" t="s">
        <v>48</v>
      </c>
      <c r="F2436" t="s">
        <v>41</v>
      </c>
      <c r="G2436" s="89">
        <v>75873</v>
      </c>
      <c r="H2436" t="s">
        <v>42</v>
      </c>
      <c r="I2436" t="s">
        <v>133</v>
      </c>
      <c r="J2436" s="89">
        <v>1745079</v>
      </c>
      <c r="K2436" t="s">
        <v>127</v>
      </c>
      <c r="L2436" t="s">
        <v>128</v>
      </c>
      <c r="M2436" t="s">
        <v>129</v>
      </c>
      <c r="N2436">
        <v>1</v>
      </c>
      <c r="O2436" s="89">
        <v>2276.19</v>
      </c>
      <c r="P2436" s="89">
        <v>42488.88</v>
      </c>
      <c r="Q2436" t="s">
        <v>142</v>
      </c>
      <c r="R2436" t="s">
        <v>42</v>
      </c>
    </row>
    <row r="2437" spans="3:18" hidden="1" x14ac:dyDescent="0.25">
      <c r="C2437" t="s">
        <v>45</v>
      </c>
      <c r="D2437" t="s">
        <v>22</v>
      </c>
      <c r="E2437" t="s">
        <v>43</v>
      </c>
      <c r="F2437" t="s">
        <v>41</v>
      </c>
      <c r="G2437" s="89">
        <v>89895</v>
      </c>
      <c r="H2437" t="s">
        <v>42</v>
      </c>
      <c r="I2437" t="s">
        <v>133</v>
      </c>
      <c r="J2437" s="89">
        <v>2786745</v>
      </c>
      <c r="K2437" t="s">
        <v>127</v>
      </c>
      <c r="L2437" t="s">
        <v>128</v>
      </c>
      <c r="M2437" t="s">
        <v>148</v>
      </c>
      <c r="N2437">
        <v>1</v>
      </c>
      <c r="O2437" s="89">
        <v>3595.8</v>
      </c>
      <c r="P2437" s="89">
        <v>64724.4</v>
      </c>
      <c r="Q2437" t="s">
        <v>137</v>
      </c>
      <c r="R2437" t="s">
        <v>42</v>
      </c>
    </row>
    <row r="2438" spans="3:18" x14ac:dyDescent="0.25">
      <c r="C2438" t="s">
        <v>47</v>
      </c>
      <c r="D2438" t="s">
        <v>24</v>
      </c>
      <c r="E2438" t="s">
        <v>44</v>
      </c>
      <c r="F2438" t="s">
        <v>41</v>
      </c>
      <c r="G2438" s="89">
        <v>1582301</v>
      </c>
      <c r="H2438" t="s">
        <v>140</v>
      </c>
      <c r="I2438" t="s">
        <v>141</v>
      </c>
      <c r="J2438" s="89">
        <v>12658408</v>
      </c>
      <c r="K2438" t="s">
        <v>127</v>
      </c>
      <c r="L2438" t="s">
        <v>128</v>
      </c>
      <c r="N2438">
        <v>1</v>
      </c>
      <c r="O2438" s="89">
        <v>47469.03</v>
      </c>
      <c r="P2438" s="89">
        <v>537982.34</v>
      </c>
      <c r="Q2438" t="s">
        <v>130</v>
      </c>
      <c r="R2438" t="s">
        <v>131</v>
      </c>
    </row>
    <row r="2439" spans="3:18" x14ac:dyDescent="0.25">
      <c r="C2439" t="s">
        <v>47</v>
      </c>
      <c r="D2439" t="s">
        <v>50</v>
      </c>
      <c r="E2439" t="s">
        <v>50</v>
      </c>
      <c r="F2439" t="s">
        <v>41</v>
      </c>
      <c r="G2439" s="89">
        <v>0</v>
      </c>
      <c r="H2439" t="s">
        <v>51</v>
      </c>
      <c r="I2439" t="s">
        <v>147</v>
      </c>
      <c r="J2439" s="89">
        <v>0</v>
      </c>
      <c r="K2439" t="s">
        <v>127</v>
      </c>
      <c r="N2439">
        <v>1</v>
      </c>
      <c r="O2439" s="89">
        <v>0</v>
      </c>
      <c r="P2439" s="89">
        <v>0</v>
      </c>
      <c r="Q2439" t="s">
        <v>142</v>
      </c>
    </row>
    <row r="2440" spans="3:18" hidden="1" x14ac:dyDescent="0.25">
      <c r="C2440" t="s">
        <v>45</v>
      </c>
      <c r="D2440" t="s">
        <v>149</v>
      </c>
      <c r="E2440" t="s">
        <v>43</v>
      </c>
      <c r="F2440" t="s">
        <v>41</v>
      </c>
      <c r="G2440" s="89">
        <v>393238</v>
      </c>
      <c r="H2440" t="s">
        <v>42</v>
      </c>
      <c r="I2440" t="s">
        <v>133</v>
      </c>
      <c r="J2440" s="89">
        <v>14156568</v>
      </c>
      <c r="K2440" t="s">
        <v>127</v>
      </c>
      <c r="L2440" t="s">
        <v>128</v>
      </c>
      <c r="M2440" t="s">
        <v>148</v>
      </c>
      <c r="N2440">
        <v>1</v>
      </c>
      <c r="O2440" s="89">
        <v>11797.14</v>
      </c>
      <c r="P2440" s="89">
        <v>314590.40000000002</v>
      </c>
      <c r="Q2440" t="s">
        <v>135</v>
      </c>
      <c r="R2440" t="s">
        <v>131</v>
      </c>
    </row>
    <row r="2441" spans="3:18" x14ac:dyDescent="0.25">
      <c r="C2441" t="s">
        <v>47</v>
      </c>
      <c r="D2441" t="s">
        <v>23</v>
      </c>
      <c r="E2441" t="s">
        <v>40</v>
      </c>
      <c r="F2441" t="s">
        <v>41</v>
      </c>
      <c r="G2441" s="89">
        <v>984471</v>
      </c>
      <c r="H2441" t="s">
        <v>132</v>
      </c>
      <c r="I2441" t="s">
        <v>141</v>
      </c>
      <c r="J2441" s="89">
        <v>7875768</v>
      </c>
      <c r="K2441" t="s">
        <v>127</v>
      </c>
      <c r="L2441" t="s">
        <v>128</v>
      </c>
      <c r="N2441">
        <v>1</v>
      </c>
      <c r="O2441" s="89">
        <v>39378.839999999997</v>
      </c>
      <c r="P2441" s="89">
        <v>620216.73</v>
      </c>
      <c r="Q2441" t="s">
        <v>137</v>
      </c>
      <c r="R2441" t="s">
        <v>131</v>
      </c>
    </row>
    <row r="2442" spans="3:18" hidden="1" x14ac:dyDescent="0.25">
      <c r="C2442" t="s">
        <v>45</v>
      </c>
      <c r="D2442" t="s">
        <v>20</v>
      </c>
      <c r="E2442" t="s">
        <v>43</v>
      </c>
      <c r="F2442" t="s">
        <v>41</v>
      </c>
      <c r="G2442" s="89">
        <v>1605967</v>
      </c>
      <c r="H2442" t="s">
        <v>42</v>
      </c>
      <c r="I2442" t="s">
        <v>126</v>
      </c>
      <c r="J2442" s="89">
        <v>25695472</v>
      </c>
      <c r="K2442" t="s">
        <v>144</v>
      </c>
      <c r="N2442">
        <v>1</v>
      </c>
      <c r="O2442" s="89">
        <v>48179.01</v>
      </c>
      <c r="P2442" s="89">
        <v>401491.75</v>
      </c>
      <c r="Q2442" t="s">
        <v>130</v>
      </c>
      <c r="R2442" t="s">
        <v>42</v>
      </c>
    </row>
    <row r="2443" spans="3:18" hidden="1" x14ac:dyDescent="0.25">
      <c r="C2443" t="s">
        <v>45</v>
      </c>
      <c r="D2443" t="s">
        <v>24</v>
      </c>
      <c r="E2443" t="s">
        <v>48</v>
      </c>
      <c r="F2443" t="s">
        <v>41</v>
      </c>
      <c r="G2443" s="89">
        <v>263100</v>
      </c>
      <c r="H2443" t="s">
        <v>132</v>
      </c>
      <c r="I2443" t="s">
        <v>141</v>
      </c>
      <c r="J2443" s="89">
        <v>1841700</v>
      </c>
      <c r="K2443" t="s">
        <v>144</v>
      </c>
      <c r="N2443">
        <v>1</v>
      </c>
      <c r="O2443" s="89">
        <v>7893</v>
      </c>
      <c r="P2443" s="89">
        <v>128919</v>
      </c>
      <c r="Q2443" t="s">
        <v>142</v>
      </c>
      <c r="R2443" t="s">
        <v>131</v>
      </c>
    </row>
    <row r="2444" spans="3:18" hidden="1" x14ac:dyDescent="0.25">
      <c r="C2444" t="s">
        <v>45</v>
      </c>
      <c r="D2444" t="s">
        <v>138</v>
      </c>
      <c r="E2444" t="s">
        <v>43</v>
      </c>
      <c r="F2444" t="s">
        <v>41</v>
      </c>
      <c r="G2444" s="89">
        <v>1841462</v>
      </c>
      <c r="H2444" t="s">
        <v>140</v>
      </c>
      <c r="I2444" t="s">
        <v>133</v>
      </c>
      <c r="J2444" s="89">
        <v>55243860</v>
      </c>
      <c r="K2444" t="s">
        <v>144</v>
      </c>
      <c r="N2444">
        <v>1</v>
      </c>
      <c r="O2444" s="89">
        <v>55243.86</v>
      </c>
      <c r="P2444" s="89">
        <v>1307438.02</v>
      </c>
      <c r="Q2444" t="s">
        <v>137</v>
      </c>
      <c r="R2444" t="s">
        <v>131</v>
      </c>
    </row>
    <row r="2445" spans="3:18" x14ac:dyDescent="0.25">
      <c r="C2445" t="s">
        <v>47</v>
      </c>
      <c r="D2445" t="s">
        <v>138</v>
      </c>
      <c r="E2445" t="s">
        <v>40</v>
      </c>
      <c r="F2445" t="s">
        <v>41</v>
      </c>
      <c r="G2445" s="89">
        <v>1458219</v>
      </c>
      <c r="H2445" t="s">
        <v>140</v>
      </c>
      <c r="I2445" t="s">
        <v>126</v>
      </c>
      <c r="J2445" s="89">
        <v>16040409</v>
      </c>
      <c r="K2445" t="s">
        <v>144</v>
      </c>
      <c r="N2445">
        <v>1</v>
      </c>
      <c r="O2445" s="89">
        <v>58328.76</v>
      </c>
      <c r="P2445" s="89">
        <v>481212.27</v>
      </c>
      <c r="Q2445" t="s">
        <v>130</v>
      </c>
      <c r="R2445" t="s">
        <v>131</v>
      </c>
    </row>
    <row r="2446" spans="3:18" x14ac:dyDescent="0.25">
      <c r="C2446" t="s">
        <v>47</v>
      </c>
      <c r="D2446" t="s">
        <v>21</v>
      </c>
      <c r="E2446" t="s">
        <v>40</v>
      </c>
      <c r="F2446" t="s">
        <v>41</v>
      </c>
      <c r="G2446" s="89">
        <v>36085</v>
      </c>
      <c r="H2446" t="s">
        <v>132</v>
      </c>
      <c r="I2446" t="s">
        <v>141</v>
      </c>
      <c r="J2446" s="89">
        <v>288680</v>
      </c>
      <c r="K2446" t="s">
        <v>144</v>
      </c>
      <c r="N2446">
        <v>1</v>
      </c>
      <c r="O2446" s="89">
        <v>1443.4</v>
      </c>
      <c r="P2446" s="89">
        <v>19846.75</v>
      </c>
      <c r="Q2446" t="s">
        <v>142</v>
      </c>
      <c r="R2446" t="s">
        <v>131</v>
      </c>
    </row>
    <row r="2447" spans="3:18" x14ac:dyDescent="0.25">
      <c r="C2447" t="s">
        <v>47</v>
      </c>
      <c r="D2447" t="s">
        <v>138</v>
      </c>
      <c r="E2447" t="s">
        <v>43</v>
      </c>
      <c r="F2447" t="s">
        <v>41</v>
      </c>
      <c r="G2447" s="89">
        <v>147984</v>
      </c>
      <c r="H2447" t="s">
        <v>42</v>
      </c>
      <c r="I2447" t="s">
        <v>133</v>
      </c>
      <c r="J2447" s="89">
        <v>3699600</v>
      </c>
      <c r="K2447" t="s">
        <v>127</v>
      </c>
      <c r="L2447" t="s">
        <v>128</v>
      </c>
      <c r="M2447" t="s">
        <v>139</v>
      </c>
      <c r="N2447">
        <v>1</v>
      </c>
      <c r="O2447" s="89">
        <v>4439.5200000000004</v>
      </c>
      <c r="P2447" s="89">
        <v>75471.839999999997</v>
      </c>
      <c r="Q2447" t="s">
        <v>142</v>
      </c>
      <c r="R2447" t="s">
        <v>131</v>
      </c>
    </row>
    <row r="2448" spans="3:18" hidden="1" x14ac:dyDescent="0.25">
      <c r="C2448" t="s">
        <v>45</v>
      </c>
      <c r="D2448" t="s">
        <v>20</v>
      </c>
      <c r="E2448" t="s">
        <v>43</v>
      </c>
      <c r="F2448" t="s">
        <v>41</v>
      </c>
      <c r="G2448" s="89">
        <v>1556929</v>
      </c>
      <c r="H2448" t="s">
        <v>146</v>
      </c>
      <c r="I2448" t="s">
        <v>133</v>
      </c>
      <c r="J2448" s="89">
        <v>48264799</v>
      </c>
      <c r="K2448" t="s">
        <v>144</v>
      </c>
      <c r="N2448">
        <v>1</v>
      </c>
      <c r="O2448" s="89">
        <v>46707.87</v>
      </c>
      <c r="P2448" s="89">
        <v>778464.5</v>
      </c>
      <c r="Q2448" t="s">
        <v>142</v>
      </c>
      <c r="R2448" t="s">
        <v>131</v>
      </c>
    </row>
    <row r="2449" spans="3:18" hidden="1" x14ac:dyDescent="0.25">
      <c r="C2449" t="s">
        <v>45</v>
      </c>
      <c r="D2449" t="s">
        <v>149</v>
      </c>
      <c r="E2449" t="s">
        <v>43</v>
      </c>
      <c r="F2449" t="s">
        <v>41</v>
      </c>
      <c r="G2449" s="89">
        <v>88203</v>
      </c>
      <c r="H2449" t="s">
        <v>42</v>
      </c>
      <c r="I2449" t="s">
        <v>126</v>
      </c>
      <c r="J2449" s="89">
        <v>1234842</v>
      </c>
      <c r="K2449" t="s">
        <v>134</v>
      </c>
      <c r="L2449" t="s">
        <v>128</v>
      </c>
      <c r="M2449" t="s">
        <v>136</v>
      </c>
      <c r="N2449">
        <v>1</v>
      </c>
      <c r="O2449" s="89">
        <v>2646.09</v>
      </c>
      <c r="P2449" s="89">
        <v>19404.66</v>
      </c>
      <c r="Q2449" t="s">
        <v>130</v>
      </c>
      <c r="R2449" t="s">
        <v>131</v>
      </c>
    </row>
    <row r="2450" spans="3:18" hidden="1" x14ac:dyDescent="0.25">
      <c r="C2450" t="s">
        <v>45</v>
      </c>
      <c r="D2450" t="s">
        <v>21</v>
      </c>
      <c r="E2450" t="s">
        <v>43</v>
      </c>
      <c r="F2450" t="s">
        <v>41</v>
      </c>
      <c r="G2450" s="89">
        <v>92351426</v>
      </c>
      <c r="H2450" t="s">
        <v>140</v>
      </c>
      <c r="I2450" t="s">
        <v>141</v>
      </c>
      <c r="J2450" s="89">
        <v>646459982</v>
      </c>
      <c r="K2450" t="s">
        <v>127</v>
      </c>
      <c r="L2450" t="s">
        <v>128</v>
      </c>
      <c r="N2450">
        <v>1</v>
      </c>
      <c r="O2450" s="89">
        <v>2770542.78</v>
      </c>
      <c r="P2450" s="89">
        <v>19393799.460000001</v>
      </c>
      <c r="Q2450" t="s">
        <v>130</v>
      </c>
      <c r="R2450" t="s">
        <v>131</v>
      </c>
    </row>
    <row r="2451" spans="3:18" hidden="1" x14ac:dyDescent="0.25">
      <c r="C2451" t="s">
        <v>45</v>
      </c>
      <c r="D2451" t="s">
        <v>20</v>
      </c>
      <c r="E2451" t="s">
        <v>43</v>
      </c>
      <c r="F2451" t="s">
        <v>41</v>
      </c>
      <c r="G2451" s="89">
        <v>2481888</v>
      </c>
      <c r="H2451" t="s">
        <v>132</v>
      </c>
      <c r="I2451" t="s">
        <v>141</v>
      </c>
      <c r="J2451" s="89">
        <v>17373216</v>
      </c>
      <c r="K2451" t="s">
        <v>127</v>
      </c>
      <c r="L2451" t="s">
        <v>128</v>
      </c>
      <c r="N2451">
        <v>1</v>
      </c>
      <c r="O2451" s="89">
        <v>74456.639999999999</v>
      </c>
      <c r="P2451" s="89">
        <v>521196.48</v>
      </c>
      <c r="Q2451" t="s">
        <v>130</v>
      </c>
      <c r="R2451" t="s">
        <v>131</v>
      </c>
    </row>
    <row r="2452" spans="3:18" hidden="1" x14ac:dyDescent="0.25">
      <c r="C2452" t="s">
        <v>45</v>
      </c>
      <c r="D2452" t="s">
        <v>22</v>
      </c>
      <c r="E2452" t="s">
        <v>43</v>
      </c>
      <c r="F2452" t="s">
        <v>41</v>
      </c>
      <c r="G2452" s="89">
        <v>15923810</v>
      </c>
      <c r="H2452" t="s">
        <v>146</v>
      </c>
      <c r="I2452" t="s">
        <v>133</v>
      </c>
      <c r="J2452" s="89">
        <v>477714300</v>
      </c>
      <c r="K2452" t="s">
        <v>127</v>
      </c>
      <c r="L2452" t="s">
        <v>128</v>
      </c>
      <c r="N2452">
        <v>1</v>
      </c>
      <c r="O2452" s="89">
        <v>477714.3</v>
      </c>
      <c r="P2452" s="89">
        <v>11146667</v>
      </c>
      <c r="Q2452" t="s">
        <v>137</v>
      </c>
      <c r="R2452" t="s">
        <v>131</v>
      </c>
    </row>
    <row r="2453" spans="3:18" hidden="1" x14ac:dyDescent="0.25">
      <c r="C2453" t="s">
        <v>45</v>
      </c>
      <c r="D2453" t="s">
        <v>138</v>
      </c>
      <c r="E2453" t="s">
        <v>43</v>
      </c>
      <c r="F2453" t="s">
        <v>41</v>
      </c>
      <c r="G2453" s="89">
        <v>1467</v>
      </c>
      <c r="H2453" t="s">
        <v>140</v>
      </c>
      <c r="I2453" t="s">
        <v>147</v>
      </c>
      <c r="J2453" s="89"/>
      <c r="K2453" t="s">
        <v>127</v>
      </c>
      <c r="L2453" t="s">
        <v>128</v>
      </c>
      <c r="N2453">
        <v>0</v>
      </c>
      <c r="O2453" s="89">
        <v>29.34</v>
      </c>
      <c r="P2453" s="89">
        <v>29.34</v>
      </c>
      <c r="Q2453" t="s">
        <v>130</v>
      </c>
      <c r="R2453" t="s">
        <v>131</v>
      </c>
    </row>
    <row r="2454" spans="3:18" hidden="1" x14ac:dyDescent="0.25">
      <c r="C2454" t="s">
        <v>45</v>
      </c>
      <c r="D2454" t="s">
        <v>21</v>
      </c>
      <c r="E2454" t="s">
        <v>43</v>
      </c>
      <c r="F2454" t="s">
        <v>41</v>
      </c>
      <c r="G2454" s="89">
        <v>3246114</v>
      </c>
      <c r="H2454" t="s">
        <v>132</v>
      </c>
      <c r="I2454" t="s">
        <v>133</v>
      </c>
      <c r="J2454" s="89">
        <v>100629534</v>
      </c>
      <c r="K2454" t="s">
        <v>144</v>
      </c>
      <c r="N2454">
        <v>1</v>
      </c>
      <c r="O2454" s="89">
        <v>97383.42</v>
      </c>
      <c r="P2454" s="89">
        <v>2726735.76</v>
      </c>
      <c r="Q2454" t="s">
        <v>135</v>
      </c>
      <c r="R2454" t="s">
        <v>131</v>
      </c>
    </row>
    <row r="2455" spans="3:18" hidden="1" x14ac:dyDescent="0.25">
      <c r="C2455" t="s">
        <v>45</v>
      </c>
      <c r="D2455" t="s">
        <v>24</v>
      </c>
      <c r="E2455" t="s">
        <v>44</v>
      </c>
      <c r="F2455" t="s">
        <v>41</v>
      </c>
      <c r="G2455" s="89">
        <v>0</v>
      </c>
      <c r="H2455" t="s">
        <v>140</v>
      </c>
      <c r="I2455" t="s">
        <v>147</v>
      </c>
      <c r="J2455" s="89">
        <v>0</v>
      </c>
      <c r="K2455" t="s">
        <v>127</v>
      </c>
      <c r="L2455" t="s">
        <v>128</v>
      </c>
      <c r="N2455">
        <v>1</v>
      </c>
      <c r="O2455" s="89">
        <v>0</v>
      </c>
      <c r="P2455" s="89">
        <v>0</v>
      </c>
      <c r="Q2455" t="s">
        <v>150</v>
      </c>
      <c r="R2455" t="s">
        <v>131</v>
      </c>
    </row>
    <row r="2456" spans="3:18" x14ac:dyDescent="0.25">
      <c r="C2456" t="s">
        <v>47</v>
      </c>
      <c r="D2456" t="s">
        <v>22</v>
      </c>
      <c r="E2456" t="s">
        <v>40</v>
      </c>
      <c r="F2456" t="s">
        <v>41</v>
      </c>
      <c r="G2456" s="89">
        <v>35810542</v>
      </c>
      <c r="H2456" t="s">
        <v>140</v>
      </c>
      <c r="I2456" t="s">
        <v>147</v>
      </c>
      <c r="J2456" s="89">
        <v>71621084</v>
      </c>
      <c r="K2456" t="s">
        <v>127</v>
      </c>
      <c r="L2456" t="s">
        <v>128</v>
      </c>
      <c r="N2456">
        <v>1</v>
      </c>
      <c r="O2456" s="89">
        <v>1790527.1</v>
      </c>
      <c r="P2456" s="89">
        <v>5013475.88</v>
      </c>
      <c r="Q2456" t="s">
        <v>130</v>
      </c>
      <c r="R2456" t="s">
        <v>131</v>
      </c>
    </row>
    <row r="2457" spans="3:18" hidden="1" x14ac:dyDescent="0.25">
      <c r="C2457" t="s">
        <v>45</v>
      </c>
      <c r="D2457" t="s">
        <v>19</v>
      </c>
      <c r="E2457" t="s">
        <v>43</v>
      </c>
      <c r="F2457" t="s">
        <v>41</v>
      </c>
      <c r="G2457" s="89">
        <v>3001288</v>
      </c>
      <c r="H2457" t="s">
        <v>145</v>
      </c>
      <c r="I2457" t="s">
        <v>147</v>
      </c>
      <c r="J2457" s="89">
        <v>12005152</v>
      </c>
      <c r="K2457" t="s">
        <v>127</v>
      </c>
      <c r="L2457" t="s">
        <v>128</v>
      </c>
      <c r="N2457">
        <v>1</v>
      </c>
      <c r="O2457" s="89">
        <v>120051.52</v>
      </c>
      <c r="P2457" s="89">
        <v>2401030.4</v>
      </c>
      <c r="Q2457" t="s">
        <v>137</v>
      </c>
      <c r="R2457" t="s">
        <v>131</v>
      </c>
    </row>
    <row r="2458" spans="3:18" hidden="1" x14ac:dyDescent="0.25">
      <c r="C2458" t="s">
        <v>45</v>
      </c>
      <c r="D2458" t="s">
        <v>23</v>
      </c>
      <c r="E2458" t="s">
        <v>40</v>
      </c>
      <c r="F2458" t="s">
        <v>41</v>
      </c>
      <c r="G2458" s="89">
        <v>1072719</v>
      </c>
      <c r="H2458" t="s">
        <v>140</v>
      </c>
      <c r="I2458" t="s">
        <v>141</v>
      </c>
      <c r="J2458" s="89">
        <v>9654471</v>
      </c>
      <c r="K2458" t="s">
        <v>134</v>
      </c>
      <c r="L2458" t="s">
        <v>128</v>
      </c>
      <c r="N2458">
        <v>1</v>
      </c>
      <c r="O2458" s="89">
        <v>42908.76</v>
      </c>
      <c r="P2458" s="89">
        <v>225270.99</v>
      </c>
      <c r="Q2458" t="s">
        <v>130</v>
      </c>
      <c r="R2458" t="s">
        <v>131</v>
      </c>
    </row>
    <row r="2459" spans="3:18" hidden="1" x14ac:dyDescent="0.25">
      <c r="C2459" t="s">
        <v>45</v>
      </c>
      <c r="D2459" t="s">
        <v>24</v>
      </c>
      <c r="E2459" t="s">
        <v>48</v>
      </c>
      <c r="F2459" t="s">
        <v>41</v>
      </c>
      <c r="G2459" s="89">
        <v>74841</v>
      </c>
      <c r="H2459" t="s">
        <v>42</v>
      </c>
      <c r="I2459" t="s">
        <v>126</v>
      </c>
      <c r="J2459" s="89">
        <v>1197456</v>
      </c>
      <c r="K2459" t="s">
        <v>127</v>
      </c>
      <c r="L2459" t="s">
        <v>128</v>
      </c>
      <c r="M2459" t="s">
        <v>148</v>
      </c>
      <c r="N2459">
        <v>1</v>
      </c>
      <c r="O2459" s="89">
        <v>2993.64</v>
      </c>
      <c r="P2459" s="89">
        <v>93551.25</v>
      </c>
      <c r="Q2459" t="s">
        <v>150</v>
      </c>
      <c r="R2459" t="s">
        <v>131</v>
      </c>
    </row>
    <row r="2460" spans="3:18" hidden="1" x14ac:dyDescent="0.25">
      <c r="C2460" t="s">
        <v>45</v>
      </c>
      <c r="D2460" t="s">
        <v>24</v>
      </c>
      <c r="E2460" t="s">
        <v>48</v>
      </c>
      <c r="F2460" t="s">
        <v>41</v>
      </c>
      <c r="G2460" s="89">
        <v>387761</v>
      </c>
      <c r="H2460" t="s">
        <v>140</v>
      </c>
      <c r="I2460" t="s">
        <v>147</v>
      </c>
      <c r="J2460" s="89">
        <v>775522</v>
      </c>
      <c r="K2460" t="s">
        <v>144</v>
      </c>
      <c r="N2460">
        <v>1</v>
      </c>
      <c r="O2460" s="89">
        <v>15510.44</v>
      </c>
      <c r="P2460" s="89">
        <v>77552.2</v>
      </c>
      <c r="Q2460" t="s">
        <v>130</v>
      </c>
      <c r="R2460" t="s">
        <v>131</v>
      </c>
    </row>
    <row r="2461" spans="3:18" hidden="1" x14ac:dyDescent="0.25">
      <c r="C2461" t="s">
        <v>45</v>
      </c>
      <c r="D2461" t="s">
        <v>138</v>
      </c>
      <c r="E2461" t="s">
        <v>43</v>
      </c>
      <c r="F2461" t="s">
        <v>41</v>
      </c>
      <c r="G2461" s="89">
        <v>43948</v>
      </c>
      <c r="H2461" t="s">
        <v>42</v>
      </c>
      <c r="I2461" t="s">
        <v>126</v>
      </c>
      <c r="J2461" s="89">
        <v>571324</v>
      </c>
      <c r="K2461" t="s">
        <v>127</v>
      </c>
      <c r="L2461" t="s">
        <v>128</v>
      </c>
      <c r="M2461" t="s">
        <v>152</v>
      </c>
      <c r="N2461">
        <v>1</v>
      </c>
      <c r="O2461" s="89">
        <v>1757.92</v>
      </c>
      <c r="P2461" s="89">
        <v>10547.52</v>
      </c>
      <c r="Q2461" t="s">
        <v>130</v>
      </c>
      <c r="R2461" t="s">
        <v>42</v>
      </c>
    </row>
    <row r="2462" spans="3:18" x14ac:dyDescent="0.25">
      <c r="C2462" t="s">
        <v>47</v>
      </c>
      <c r="D2462" t="s">
        <v>138</v>
      </c>
      <c r="E2462" t="s">
        <v>40</v>
      </c>
      <c r="F2462" t="s">
        <v>41</v>
      </c>
      <c r="G2462" s="89">
        <v>58</v>
      </c>
      <c r="H2462" t="s">
        <v>146</v>
      </c>
      <c r="I2462" t="s">
        <v>147</v>
      </c>
      <c r="J2462" s="89"/>
      <c r="K2462" t="s">
        <v>127</v>
      </c>
      <c r="L2462" t="s">
        <v>128</v>
      </c>
      <c r="N2462">
        <v>0</v>
      </c>
      <c r="O2462" s="89">
        <v>0</v>
      </c>
      <c r="P2462" s="89">
        <v>0</v>
      </c>
      <c r="Q2462" t="s">
        <v>130</v>
      </c>
      <c r="R2462" t="s">
        <v>131</v>
      </c>
    </row>
    <row r="2463" spans="3:18" hidden="1" x14ac:dyDescent="0.25">
      <c r="C2463" t="s">
        <v>45</v>
      </c>
      <c r="D2463" t="s">
        <v>23</v>
      </c>
      <c r="E2463" t="s">
        <v>43</v>
      </c>
      <c r="F2463" t="s">
        <v>41</v>
      </c>
      <c r="G2463" s="89">
        <v>8179</v>
      </c>
      <c r="H2463" t="s">
        <v>146</v>
      </c>
      <c r="I2463" t="s">
        <v>126</v>
      </c>
      <c r="J2463" s="89">
        <v>106327</v>
      </c>
      <c r="K2463" t="s">
        <v>127</v>
      </c>
      <c r="L2463" t="s">
        <v>128</v>
      </c>
      <c r="N2463">
        <v>1</v>
      </c>
      <c r="O2463" s="89">
        <v>245.37</v>
      </c>
      <c r="P2463" s="89">
        <v>12268.5</v>
      </c>
      <c r="Q2463" t="s">
        <v>150</v>
      </c>
      <c r="R2463" t="s">
        <v>131</v>
      </c>
    </row>
    <row r="2464" spans="3:18" hidden="1" x14ac:dyDescent="0.25">
      <c r="C2464" t="s">
        <v>45</v>
      </c>
      <c r="D2464" t="s">
        <v>23</v>
      </c>
      <c r="E2464" t="s">
        <v>40</v>
      </c>
      <c r="F2464" t="s">
        <v>41</v>
      </c>
      <c r="G2464" s="89">
        <v>236063</v>
      </c>
      <c r="H2464" t="s">
        <v>146</v>
      </c>
      <c r="I2464" t="s">
        <v>133</v>
      </c>
      <c r="J2464" s="89">
        <v>7790079</v>
      </c>
      <c r="K2464" t="s">
        <v>134</v>
      </c>
      <c r="L2464" t="s">
        <v>128</v>
      </c>
      <c r="N2464">
        <v>1</v>
      </c>
      <c r="O2464" s="89">
        <v>7081.89</v>
      </c>
      <c r="P2464" s="89">
        <v>250226.78</v>
      </c>
      <c r="Q2464" t="s">
        <v>150</v>
      </c>
      <c r="R2464" t="s">
        <v>131</v>
      </c>
    </row>
    <row r="2465" spans="3:18" hidden="1" x14ac:dyDescent="0.25">
      <c r="C2465" t="s">
        <v>45</v>
      </c>
      <c r="D2465" t="s">
        <v>20</v>
      </c>
      <c r="E2465" t="s">
        <v>43</v>
      </c>
      <c r="F2465" t="s">
        <v>41</v>
      </c>
      <c r="G2465" s="89">
        <v>136048</v>
      </c>
      <c r="H2465" t="s">
        <v>145</v>
      </c>
      <c r="I2465" t="s">
        <v>133</v>
      </c>
      <c r="J2465" s="89">
        <v>4217488</v>
      </c>
      <c r="K2465" t="s">
        <v>134</v>
      </c>
      <c r="L2465" t="s">
        <v>128</v>
      </c>
      <c r="N2465">
        <v>1</v>
      </c>
      <c r="O2465" s="89">
        <v>4081.44</v>
      </c>
      <c r="P2465" s="89">
        <v>61221.599999999999</v>
      </c>
      <c r="Q2465" t="s">
        <v>142</v>
      </c>
      <c r="R2465" t="s">
        <v>131</v>
      </c>
    </row>
    <row r="2466" spans="3:18" hidden="1" x14ac:dyDescent="0.25">
      <c r="C2466" t="s">
        <v>45</v>
      </c>
      <c r="D2466" t="s">
        <v>20</v>
      </c>
      <c r="E2466" t="s">
        <v>43</v>
      </c>
      <c r="F2466" t="s">
        <v>41</v>
      </c>
      <c r="G2466" s="89">
        <v>23500256</v>
      </c>
      <c r="H2466" t="s">
        <v>146</v>
      </c>
      <c r="I2466" t="s">
        <v>133</v>
      </c>
      <c r="J2466" s="89">
        <v>634506912</v>
      </c>
      <c r="K2466" t="s">
        <v>127</v>
      </c>
      <c r="L2466" t="s">
        <v>128</v>
      </c>
      <c r="N2466">
        <v>1</v>
      </c>
      <c r="O2466" s="89">
        <v>705007.68</v>
      </c>
      <c r="P2466" s="89">
        <v>16215176.640000001</v>
      </c>
      <c r="Q2466" t="s">
        <v>137</v>
      </c>
      <c r="R2466" t="s">
        <v>131</v>
      </c>
    </row>
    <row r="2467" spans="3:18" hidden="1" x14ac:dyDescent="0.25">
      <c r="C2467" t="s">
        <v>45</v>
      </c>
      <c r="D2467" t="s">
        <v>23</v>
      </c>
      <c r="E2467" t="s">
        <v>40</v>
      </c>
      <c r="F2467" t="s">
        <v>53</v>
      </c>
      <c r="G2467" s="89">
        <v>21746</v>
      </c>
      <c r="H2467" t="s">
        <v>42</v>
      </c>
      <c r="I2467" t="s">
        <v>141</v>
      </c>
      <c r="J2467" s="89">
        <v>130476</v>
      </c>
      <c r="K2467" t="s">
        <v>127</v>
      </c>
      <c r="L2467" t="s">
        <v>128</v>
      </c>
      <c r="M2467" t="s">
        <v>152</v>
      </c>
      <c r="N2467">
        <v>1</v>
      </c>
      <c r="O2467" s="89">
        <v>652.38</v>
      </c>
      <c r="P2467" s="89">
        <v>3479.36</v>
      </c>
      <c r="Q2467" t="s">
        <v>130</v>
      </c>
      <c r="R2467" t="s">
        <v>131</v>
      </c>
    </row>
    <row r="2468" spans="3:18" x14ac:dyDescent="0.25">
      <c r="C2468" t="s">
        <v>47</v>
      </c>
      <c r="D2468" t="s">
        <v>22</v>
      </c>
      <c r="E2468" t="s">
        <v>48</v>
      </c>
      <c r="F2468" t="s">
        <v>41</v>
      </c>
      <c r="G2468" s="89">
        <v>118227</v>
      </c>
      <c r="H2468" t="s">
        <v>42</v>
      </c>
      <c r="I2468" t="s">
        <v>147</v>
      </c>
      <c r="J2468" s="89">
        <v>472908</v>
      </c>
      <c r="K2468" t="s">
        <v>127</v>
      </c>
      <c r="L2468" t="s">
        <v>128</v>
      </c>
      <c r="M2468" t="s">
        <v>143</v>
      </c>
      <c r="N2468">
        <v>1</v>
      </c>
      <c r="O2468" s="89">
        <v>9458.16</v>
      </c>
      <c r="P2468" s="89">
        <v>73300.740000000005</v>
      </c>
      <c r="Q2468" t="s">
        <v>137</v>
      </c>
      <c r="R2468" t="s">
        <v>131</v>
      </c>
    </row>
    <row r="2469" spans="3:18" hidden="1" x14ac:dyDescent="0.25">
      <c r="C2469" t="s">
        <v>45</v>
      </c>
      <c r="D2469" t="s">
        <v>20</v>
      </c>
      <c r="E2469" t="s">
        <v>43</v>
      </c>
      <c r="F2469" t="s">
        <v>41</v>
      </c>
      <c r="G2469" s="89">
        <v>568678</v>
      </c>
      <c r="H2469" t="s">
        <v>146</v>
      </c>
      <c r="I2469" t="s">
        <v>126</v>
      </c>
      <c r="J2469" s="89">
        <v>9667526</v>
      </c>
      <c r="K2469" t="s">
        <v>144</v>
      </c>
      <c r="N2469">
        <v>1</v>
      </c>
      <c r="O2469" s="89">
        <v>17060.34</v>
      </c>
      <c r="P2469" s="89">
        <v>443568.84</v>
      </c>
      <c r="Q2469" t="s">
        <v>137</v>
      </c>
      <c r="R2469" t="s">
        <v>131</v>
      </c>
    </row>
    <row r="2470" spans="3:18" hidden="1" x14ac:dyDescent="0.25">
      <c r="C2470" t="s">
        <v>45</v>
      </c>
      <c r="D2470" t="s">
        <v>23</v>
      </c>
      <c r="E2470" t="s">
        <v>43</v>
      </c>
      <c r="F2470" t="s">
        <v>41</v>
      </c>
      <c r="G2470" s="89">
        <v>125644</v>
      </c>
      <c r="H2470" t="s">
        <v>132</v>
      </c>
      <c r="I2470" t="s">
        <v>133</v>
      </c>
      <c r="J2470" s="89">
        <v>3518032</v>
      </c>
      <c r="K2470" t="s">
        <v>127</v>
      </c>
      <c r="L2470" t="s">
        <v>128</v>
      </c>
      <c r="N2470">
        <v>1</v>
      </c>
      <c r="O2470" s="89">
        <v>5025.76</v>
      </c>
      <c r="P2470" s="89">
        <v>104284.52</v>
      </c>
      <c r="Q2470" t="s">
        <v>135</v>
      </c>
      <c r="R2470" t="s">
        <v>131</v>
      </c>
    </row>
    <row r="2471" spans="3:18" hidden="1" x14ac:dyDescent="0.25">
      <c r="C2471" t="s">
        <v>45</v>
      </c>
      <c r="D2471" t="s">
        <v>19</v>
      </c>
      <c r="E2471" t="s">
        <v>43</v>
      </c>
      <c r="F2471" t="s">
        <v>41</v>
      </c>
      <c r="G2471" s="89">
        <v>856961</v>
      </c>
      <c r="H2471" t="s">
        <v>42</v>
      </c>
      <c r="I2471" t="s">
        <v>133</v>
      </c>
      <c r="J2471" s="89">
        <v>23994908</v>
      </c>
      <c r="K2471" t="s">
        <v>134</v>
      </c>
      <c r="L2471" t="s">
        <v>128</v>
      </c>
      <c r="M2471" t="s">
        <v>136</v>
      </c>
      <c r="N2471">
        <v>1</v>
      </c>
      <c r="O2471" s="89">
        <v>25708.83</v>
      </c>
      <c r="P2471" s="89">
        <v>274227.52</v>
      </c>
      <c r="Q2471" t="s">
        <v>130</v>
      </c>
      <c r="R2471" t="s">
        <v>131</v>
      </c>
    </row>
    <row r="2472" spans="3:18" hidden="1" x14ac:dyDescent="0.25">
      <c r="C2472" t="s">
        <v>45</v>
      </c>
      <c r="D2472" t="s">
        <v>19</v>
      </c>
      <c r="E2472" t="s">
        <v>43</v>
      </c>
      <c r="F2472" t="s">
        <v>41</v>
      </c>
      <c r="G2472" s="89">
        <v>14190059</v>
      </c>
      <c r="H2472" t="s">
        <v>146</v>
      </c>
      <c r="I2472" t="s">
        <v>141</v>
      </c>
      <c r="J2472" s="89">
        <v>99330413</v>
      </c>
      <c r="K2472" t="s">
        <v>127</v>
      </c>
      <c r="L2472" t="s">
        <v>128</v>
      </c>
      <c r="N2472">
        <v>1</v>
      </c>
      <c r="O2472" s="89">
        <v>425701.77</v>
      </c>
      <c r="P2472" s="89">
        <v>2696111.21</v>
      </c>
      <c r="Q2472" t="s">
        <v>130</v>
      </c>
      <c r="R2472" t="s">
        <v>131</v>
      </c>
    </row>
    <row r="2473" spans="3:18" hidden="1" x14ac:dyDescent="0.25">
      <c r="C2473" t="s">
        <v>45</v>
      </c>
      <c r="D2473" t="s">
        <v>22</v>
      </c>
      <c r="E2473" t="s">
        <v>40</v>
      </c>
      <c r="F2473" t="s">
        <v>41</v>
      </c>
      <c r="G2473" s="89">
        <v>51899</v>
      </c>
      <c r="H2473" t="s">
        <v>145</v>
      </c>
      <c r="I2473" t="s">
        <v>141</v>
      </c>
      <c r="J2473" s="89">
        <v>467091</v>
      </c>
      <c r="K2473" t="s">
        <v>144</v>
      </c>
      <c r="N2473">
        <v>1</v>
      </c>
      <c r="O2473" s="89">
        <v>1556.97</v>
      </c>
      <c r="P2473" s="89">
        <v>41000.21</v>
      </c>
      <c r="Q2473" t="s">
        <v>137</v>
      </c>
      <c r="R2473" t="s">
        <v>131</v>
      </c>
    </row>
    <row r="2474" spans="3:18" x14ac:dyDescent="0.25">
      <c r="C2474" t="s">
        <v>47</v>
      </c>
      <c r="D2474" t="s">
        <v>22</v>
      </c>
      <c r="E2474" t="s">
        <v>43</v>
      </c>
      <c r="F2474" t="s">
        <v>41</v>
      </c>
      <c r="G2474" s="89">
        <v>130026</v>
      </c>
      <c r="H2474" t="s">
        <v>140</v>
      </c>
      <c r="I2474" t="s">
        <v>126</v>
      </c>
      <c r="J2474" s="89">
        <v>1690338</v>
      </c>
      <c r="K2474" t="s">
        <v>127</v>
      </c>
      <c r="L2474" t="s">
        <v>128</v>
      </c>
      <c r="N2474">
        <v>1</v>
      </c>
      <c r="O2474" s="89">
        <v>7801.56</v>
      </c>
      <c r="P2474" s="89">
        <v>31206.240000000002</v>
      </c>
      <c r="Q2474" t="s">
        <v>130</v>
      </c>
      <c r="R2474" t="s">
        <v>131</v>
      </c>
    </row>
    <row r="2475" spans="3:18" hidden="1" x14ac:dyDescent="0.25">
      <c r="C2475" t="s">
        <v>45</v>
      </c>
      <c r="D2475" t="s">
        <v>24</v>
      </c>
      <c r="E2475" t="s">
        <v>40</v>
      </c>
      <c r="F2475" t="s">
        <v>41</v>
      </c>
      <c r="G2475" s="89">
        <v>12901460</v>
      </c>
      <c r="H2475" t="s">
        <v>42</v>
      </c>
      <c r="I2475" t="s">
        <v>133</v>
      </c>
      <c r="J2475" s="89">
        <v>438649640</v>
      </c>
      <c r="K2475" t="s">
        <v>127</v>
      </c>
      <c r="L2475" t="s">
        <v>128</v>
      </c>
      <c r="M2475" t="s">
        <v>148</v>
      </c>
      <c r="N2475">
        <v>1</v>
      </c>
      <c r="O2475" s="89">
        <v>387043.8</v>
      </c>
      <c r="P2475" s="89">
        <v>10708211.800000001</v>
      </c>
      <c r="Q2475" t="s">
        <v>135</v>
      </c>
      <c r="R2475" t="s">
        <v>131</v>
      </c>
    </row>
    <row r="2476" spans="3:18" x14ac:dyDescent="0.25">
      <c r="C2476" t="s">
        <v>47</v>
      </c>
      <c r="D2476" t="s">
        <v>19</v>
      </c>
      <c r="E2476" t="s">
        <v>43</v>
      </c>
      <c r="F2476" t="s">
        <v>41</v>
      </c>
      <c r="G2476" s="89">
        <v>3934563</v>
      </c>
      <c r="H2476" t="s">
        <v>140</v>
      </c>
      <c r="I2476" t="s">
        <v>147</v>
      </c>
      <c r="J2476" s="89">
        <v>7869126</v>
      </c>
      <c r="K2476" t="s">
        <v>144</v>
      </c>
      <c r="N2476">
        <v>1</v>
      </c>
      <c r="O2476" s="89">
        <v>196728.15</v>
      </c>
      <c r="P2476" s="89">
        <v>747566.97</v>
      </c>
      <c r="Q2476" t="s">
        <v>130</v>
      </c>
      <c r="R2476" t="s">
        <v>131</v>
      </c>
    </row>
    <row r="2477" spans="3:18" hidden="1" x14ac:dyDescent="0.25">
      <c r="C2477" t="s">
        <v>45</v>
      </c>
      <c r="D2477" t="s">
        <v>22</v>
      </c>
      <c r="E2477" t="s">
        <v>40</v>
      </c>
      <c r="F2477" t="s">
        <v>41</v>
      </c>
      <c r="G2477" s="89">
        <v>107120</v>
      </c>
      <c r="H2477" t="s">
        <v>140</v>
      </c>
      <c r="I2477" t="s">
        <v>153</v>
      </c>
      <c r="J2477" s="89"/>
      <c r="K2477" t="s">
        <v>144</v>
      </c>
      <c r="N2477">
        <v>0</v>
      </c>
      <c r="O2477" s="89">
        <v>3213.6</v>
      </c>
      <c r="P2477" s="89">
        <v>6427.2</v>
      </c>
      <c r="Q2477" t="s">
        <v>130</v>
      </c>
      <c r="R2477" t="s">
        <v>131</v>
      </c>
    </row>
    <row r="2478" spans="3:18" x14ac:dyDescent="0.25">
      <c r="C2478" t="s">
        <v>47</v>
      </c>
      <c r="D2478" t="s">
        <v>138</v>
      </c>
      <c r="E2478" t="s">
        <v>40</v>
      </c>
      <c r="F2478" t="s">
        <v>41</v>
      </c>
      <c r="G2478" s="89">
        <v>1955057</v>
      </c>
      <c r="H2478" t="s">
        <v>42</v>
      </c>
      <c r="I2478" t="s">
        <v>126</v>
      </c>
      <c r="J2478" s="89">
        <v>21505627</v>
      </c>
      <c r="K2478" t="s">
        <v>134</v>
      </c>
      <c r="L2478" t="s">
        <v>128</v>
      </c>
      <c r="M2478" t="s">
        <v>139</v>
      </c>
      <c r="N2478">
        <v>1</v>
      </c>
      <c r="O2478" s="89">
        <v>58651.71</v>
      </c>
      <c r="P2478" s="89">
        <v>840674.51</v>
      </c>
      <c r="Q2478" t="s">
        <v>142</v>
      </c>
      <c r="R2478" t="s">
        <v>131</v>
      </c>
    </row>
    <row r="2479" spans="3:18" hidden="1" x14ac:dyDescent="0.25">
      <c r="C2479" t="s">
        <v>45</v>
      </c>
      <c r="D2479" t="s">
        <v>22</v>
      </c>
      <c r="E2479" t="s">
        <v>48</v>
      </c>
      <c r="F2479" t="s">
        <v>41</v>
      </c>
      <c r="G2479" s="89">
        <v>128803</v>
      </c>
      <c r="H2479" t="s">
        <v>42</v>
      </c>
      <c r="I2479" t="s">
        <v>126</v>
      </c>
      <c r="J2479" s="89">
        <v>1932045</v>
      </c>
      <c r="K2479" t="s">
        <v>134</v>
      </c>
      <c r="N2479">
        <v>1</v>
      </c>
      <c r="O2479" s="89">
        <v>3864.09</v>
      </c>
      <c r="P2479" s="89">
        <v>78569.83</v>
      </c>
      <c r="Q2479" t="s">
        <v>137</v>
      </c>
      <c r="R2479" t="s">
        <v>42</v>
      </c>
    </row>
    <row r="2480" spans="3:18" x14ac:dyDescent="0.25">
      <c r="C2480" t="s">
        <v>47</v>
      </c>
      <c r="D2480" t="s">
        <v>138</v>
      </c>
      <c r="E2480" t="s">
        <v>43</v>
      </c>
      <c r="F2480" t="s">
        <v>41</v>
      </c>
      <c r="G2480" s="89">
        <v>127257</v>
      </c>
      <c r="H2480" t="s">
        <v>132</v>
      </c>
      <c r="I2480" t="s">
        <v>141</v>
      </c>
      <c r="J2480" s="89">
        <v>636285</v>
      </c>
      <c r="K2480" t="s">
        <v>127</v>
      </c>
      <c r="L2480" t="s">
        <v>128</v>
      </c>
      <c r="N2480">
        <v>1</v>
      </c>
      <c r="O2480" s="89">
        <v>5090.28</v>
      </c>
      <c r="P2480" s="89">
        <v>24178.83</v>
      </c>
      <c r="Q2480" t="s">
        <v>130</v>
      </c>
      <c r="R2480" t="s">
        <v>131</v>
      </c>
    </row>
    <row r="2481" spans="3:18" hidden="1" x14ac:dyDescent="0.25">
      <c r="C2481" t="s">
        <v>45</v>
      </c>
      <c r="D2481" t="s">
        <v>22</v>
      </c>
      <c r="E2481" t="s">
        <v>40</v>
      </c>
      <c r="F2481" t="s">
        <v>41</v>
      </c>
      <c r="G2481" s="89">
        <v>153241</v>
      </c>
      <c r="H2481" t="s">
        <v>146</v>
      </c>
      <c r="I2481" t="s">
        <v>133</v>
      </c>
      <c r="J2481" s="89">
        <v>3984266</v>
      </c>
      <c r="K2481" t="s">
        <v>127</v>
      </c>
      <c r="L2481" t="s">
        <v>151</v>
      </c>
      <c r="N2481">
        <v>1</v>
      </c>
      <c r="O2481" s="89">
        <v>4597.2299999999996</v>
      </c>
      <c r="P2481" s="89">
        <v>102671.47</v>
      </c>
      <c r="Q2481" t="s">
        <v>137</v>
      </c>
      <c r="R2481" t="s">
        <v>131</v>
      </c>
    </row>
    <row r="2482" spans="3:18" x14ac:dyDescent="0.25">
      <c r="C2482" t="s">
        <v>47</v>
      </c>
      <c r="D2482" t="s">
        <v>24</v>
      </c>
      <c r="E2482" t="s">
        <v>48</v>
      </c>
      <c r="F2482" t="s">
        <v>41</v>
      </c>
      <c r="G2482" s="89">
        <v>58905</v>
      </c>
      <c r="H2482" t="s">
        <v>145</v>
      </c>
      <c r="I2482" t="s">
        <v>126</v>
      </c>
      <c r="J2482" s="89">
        <v>647955</v>
      </c>
      <c r="K2482" t="s">
        <v>144</v>
      </c>
      <c r="N2482">
        <v>1</v>
      </c>
      <c r="O2482" s="89">
        <v>2945.25</v>
      </c>
      <c r="P2482" s="89">
        <v>31219.65</v>
      </c>
      <c r="Q2482" t="s">
        <v>142</v>
      </c>
      <c r="R2482" t="s">
        <v>131</v>
      </c>
    </row>
    <row r="2483" spans="3:18" hidden="1" x14ac:dyDescent="0.25">
      <c r="C2483" t="s">
        <v>45</v>
      </c>
      <c r="D2483" t="s">
        <v>21</v>
      </c>
      <c r="E2483" t="s">
        <v>40</v>
      </c>
      <c r="F2483" t="s">
        <v>41</v>
      </c>
      <c r="G2483" s="89">
        <v>150715</v>
      </c>
      <c r="H2483" t="s">
        <v>145</v>
      </c>
      <c r="I2483" t="s">
        <v>126</v>
      </c>
      <c r="J2483" s="89">
        <v>2110010</v>
      </c>
      <c r="K2483" t="s">
        <v>144</v>
      </c>
      <c r="N2483">
        <v>1</v>
      </c>
      <c r="O2483" s="89">
        <v>4521.45</v>
      </c>
      <c r="P2483" s="89">
        <v>39185.9</v>
      </c>
      <c r="Q2483" t="s">
        <v>130</v>
      </c>
      <c r="R2483" t="s">
        <v>131</v>
      </c>
    </row>
    <row r="2484" spans="3:18" hidden="1" x14ac:dyDescent="0.25">
      <c r="C2484" t="s">
        <v>45</v>
      </c>
      <c r="D2484" t="s">
        <v>23</v>
      </c>
      <c r="E2484" t="s">
        <v>43</v>
      </c>
      <c r="F2484" t="s">
        <v>41</v>
      </c>
      <c r="G2484" s="89">
        <v>84389</v>
      </c>
      <c r="H2484" t="s">
        <v>42</v>
      </c>
      <c r="I2484" t="s">
        <v>133</v>
      </c>
      <c r="J2484" s="89">
        <v>2869226</v>
      </c>
      <c r="K2484" t="s">
        <v>134</v>
      </c>
      <c r="L2484" t="s">
        <v>128</v>
      </c>
      <c r="M2484" t="s">
        <v>152</v>
      </c>
      <c r="N2484">
        <v>1</v>
      </c>
      <c r="O2484" s="89">
        <v>2531.67</v>
      </c>
      <c r="P2484" s="89">
        <v>74262.320000000007</v>
      </c>
      <c r="Q2484" t="s">
        <v>135</v>
      </c>
      <c r="R2484" t="s">
        <v>131</v>
      </c>
    </row>
    <row r="2485" spans="3:18" hidden="1" x14ac:dyDescent="0.25">
      <c r="C2485" t="s">
        <v>45</v>
      </c>
      <c r="D2485" t="s">
        <v>22</v>
      </c>
      <c r="E2485" t="s">
        <v>43</v>
      </c>
      <c r="F2485" t="s">
        <v>41</v>
      </c>
      <c r="G2485" s="89">
        <v>11366237</v>
      </c>
      <c r="H2485" t="s">
        <v>42</v>
      </c>
      <c r="I2485" t="s">
        <v>133</v>
      </c>
      <c r="J2485" s="89">
        <v>352353347</v>
      </c>
      <c r="K2485" t="s">
        <v>127</v>
      </c>
      <c r="L2485" t="s">
        <v>128</v>
      </c>
      <c r="M2485" t="s">
        <v>143</v>
      </c>
      <c r="N2485">
        <v>1</v>
      </c>
      <c r="O2485" s="89">
        <v>340987.11</v>
      </c>
      <c r="P2485" s="89">
        <v>8070028.2699999996</v>
      </c>
      <c r="Q2485" t="s">
        <v>137</v>
      </c>
      <c r="R2485" t="s">
        <v>42</v>
      </c>
    </row>
    <row r="2486" spans="3:18" hidden="1" x14ac:dyDescent="0.25">
      <c r="C2486" t="s">
        <v>45</v>
      </c>
      <c r="D2486" t="s">
        <v>24</v>
      </c>
      <c r="E2486" t="s">
        <v>43</v>
      </c>
      <c r="F2486" t="s">
        <v>41</v>
      </c>
      <c r="G2486" s="89">
        <v>2901247</v>
      </c>
      <c r="H2486" t="s">
        <v>42</v>
      </c>
      <c r="I2486" t="s">
        <v>126</v>
      </c>
      <c r="J2486" s="89">
        <v>46419952</v>
      </c>
      <c r="K2486" t="s">
        <v>134</v>
      </c>
      <c r="L2486" t="s">
        <v>128</v>
      </c>
      <c r="M2486" t="s">
        <v>148</v>
      </c>
      <c r="N2486">
        <v>1</v>
      </c>
      <c r="O2486" s="89">
        <v>87037.41</v>
      </c>
      <c r="P2486" s="89">
        <v>1160498.8</v>
      </c>
      <c r="Q2486" t="s">
        <v>130</v>
      </c>
      <c r="R2486" t="s">
        <v>131</v>
      </c>
    </row>
    <row r="2487" spans="3:18" hidden="1" x14ac:dyDescent="0.25">
      <c r="C2487" t="s">
        <v>45</v>
      </c>
      <c r="D2487" t="s">
        <v>22</v>
      </c>
      <c r="E2487" t="s">
        <v>40</v>
      </c>
      <c r="F2487" t="s">
        <v>41</v>
      </c>
      <c r="G2487" s="89">
        <v>28092</v>
      </c>
      <c r="H2487" t="s">
        <v>140</v>
      </c>
      <c r="I2487" t="s">
        <v>141</v>
      </c>
      <c r="J2487" s="89">
        <v>224736</v>
      </c>
      <c r="K2487" t="s">
        <v>144</v>
      </c>
      <c r="N2487">
        <v>1</v>
      </c>
      <c r="O2487" s="89">
        <v>842.76</v>
      </c>
      <c r="P2487" s="89">
        <v>22473.599999999999</v>
      </c>
      <c r="Q2487" t="s">
        <v>135</v>
      </c>
      <c r="R2487" t="s">
        <v>131</v>
      </c>
    </row>
    <row r="2488" spans="3:18" hidden="1" x14ac:dyDescent="0.25">
      <c r="C2488" t="s">
        <v>45</v>
      </c>
      <c r="D2488" t="s">
        <v>23</v>
      </c>
      <c r="E2488" t="s">
        <v>48</v>
      </c>
      <c r="F2488" t="s">
        <v>41</v>
      </c>
      <c r="G2488" s="89">
        <v>2035685</v>
      </c>
      <c r="H2488" t="s">
        <v>145</v>
      </c>
      <c r="I2488" t="s">
        <v>141</v>
      </c>
      <c r="J2488" s="89">
        <v>14249795</v>
      </c>
      <c r="K2488" t="s">
        <v>127</v>
      </c>
      <c r="L2488" t="s">
        <v>128</v>
      </c>
      <c r="N2488">
        <v>1</v>
      </c>
      <c r="O2488" s="89">
        <v>61070.55</v>
      </c>
      <c r="P2488" s="89">
        <v>529278.1</v>
      </c>
      <c r="Q2488" t="s">
        <v>130</v>
      </c>
      <c r="R2488" t="s">
        <v>131</v>
      </c>
    </row>
    <row r="2489" spans="3:18" hidden="1" x14ac:dyDescent="0.25">
      <c r="C2489" t="s">
        <v>45</v>
      </c>
      <c r="D2489" t="s">
        <v>22</v>
      </c>
      <c r="E2489" t="s">
        <v>48</v>
      </c>
      <c r="F2489" t="s">
        <v>41</v>
      </c>
      <c r="G2489" s="89">
        <v>1606363</v>
      </c>
      <c r="H2489" t="s">
        <v>42</v>
      </c>
      <c r="I2489" t="s">
        <v>133</v>
      </c>
      <c r="J2489" s="89">
        <v>44978164</v>
      </c>
      <c r="K2489" t="s">
        <v>127</v>
      </c>
      <c r="L2489" t="s">
        <v>128</v>
      </c>
      <c r="M2489" t="s">
        <v>143</v>
      </c>
      <c r="N2489">
        <v>1</v>
      </c>
      <c r="O2489" s="89">
        <v>48190.89</v>
      </c>
      <c r="P2489" s="89">
        <v>465845.27</v>
      </c>
      <c r="Q2489" t="s">
        <v>130</v>
      </c>
      <c r="R2489" t="s">
        <v>131</v>
      </c>
    </row>
    <row r="2490" spans="3:18" hidden="1" x14ac:dyDescent="0.25">
      <c r="C2490" t="s">
        <v>45</v>
      </c>
      <c r="D2490" t="s">
        <v>19</v>
      </c>
      <c r="E2490" t="s">
        <v>43</v>
      </c>
      <c r="F2490" t="s">
        <v>53</v>
      </c>
      <c r="G2490" s="89">
        <v>136851</v>
      </c>
      <c r="H2490" t="s">
        <v>132</v>
      </c>
      <c r="I2490" t="s">
        <v>133</v>
      </c>
      <c r="J2490" s="89">
        <v>3831828</v>
      </c>
      <c r="K2490" t="s">
        <v>144</v>
      </c>
      <c r="N2490">
        <v>1</v>
      </c>
      <c r="O2490" s="89">
        <v>6842.55</v>
      </c>
      <c r="P2490" s="89">
        <v>67056.990000000005</v>
      </c>
      <c r="Q2490" t="s">
        <v>142</v>
      </c>
      <c r="R2490" t="s">
        <v>131</v>
      </c>
    </row>
    <row r="2491" spans="3:18" hidden="1" x14ac:dyDescent="0.25">
      <c r="C2491" t="s">
        <v>45</v>
      </c>
      <c r="D2491" t="s">
        <v>23</v>
      </c>
      <c r="E2491" t="s">
        <v>44</v>
      </c>
      <c r="F2491" t="s">
        <v>41</v>
      </c>
      <c r="G2491" s="89">
        <v>26305</v>
      </c>
      <c r="H2491" t="s">
        <v>140</v>
      </c>
      <c r="I2491" t="s">
        <v>126</v>
      </c>
      <c r="J2491" s="89">
        <v>526100</v>
      </c>
      <c r="K2491" t="s">
        <v>144</v>
      </c>
      <c r="N2491">
        <v>1</v>
      </c>
      <c r="O2491" s="89">
        <v>789.15</v>
      </c>
      <c r="P2491" s="89">
        <v>1578.3</v>
      </c>
      <c r="Q2491" t="s">
        <v>130</v>
      </c>
      <c r="R2491" t="s">
        <v>131</v>
      </c>
    </row>
    <row r="2492" spans="3:18" hidden="1" x14ac:dyDescent="0.25">
      <c r="C2492" t="s">
        <v>45</v>
      </c>
      <c r="D2492" t="s">
        <v>21</v>
      </c>
      <c r="E2492" t="s">
        <v>40</v>
      </c>
      <c r="F2492" t="s">
        <v>53</v>
      </c>
      <c r="G2492" s="89">
        <v>135311</v>
      </c>
      <c r="H2492" t="s">
        <v>42</v>
      </c>
      <c r="I2492" t="s">
        <v>133</v>
      </c>
      <c r="J2492" s="89">
        <v>3924019</v>
      </c>
      <c r="K2492" t="s">
        <v>127</v>
      </c>
      <c r="L2492" t="s">
        <v>128</v>
      </c>
      <c r="M2492" t="s">
        <v>129</v>
      </c>
      <c r="N2492">
        <v>1</v>
      </c>
      <c r="O2492" s="89">
        <v>4059.33</v>
      </c>
      <c r="P2492" s="89">
        <v>113661.24</v>
      </c>
      <c r="Q2492" t="s">
        <v>135</v>
      </c>
      <c r="R2492" t="s">
        <v>131</v>
      </c>
    </row>
    <row r="2493" spans="3:18" hidden="1" x14ac:dyDescent="0.25">
      <c r="C2493" t="s">
        <v>45</v>
      </c>
      <c r="D2493" t="s">
        <v>23</v>
      </c>
      <c r="E2493" t="s">
        <v>46</v>
      </c>
      <c r="F2493" t="s">
        <v>53</v>
      </c>
      <c r="G2493" s="89">
        <v>461338</v>
      </c>
      <c r="H2493" t="s">
        <v>42</v>
      </c>
      <c r="I2493" t="s">
        <v>133</v>
      </c>
      <c r="J2493" s="89">
        <v>15685492</v>
      </c>
      <c r="K2493" t="s">
        <v>144</v>
      </c>
      <c r="N2493">
        <v>1</v>
      </c>
      <c r="O2493" s="89">
        <v>13840.14</v>
      </c>
      <c r="P2493" s="89">
        <v>332163.36</v>
      </c>
      <c r="Q2493" t="s">
        <v>137</v>
      </c>
      <c r="R2493" t="s">
        <v>42</v>
      </c>
    </row>
    <row r="2494" spans="3:18" hidden="1" x14ac:dyDescent="0.25">
      <c r="C2494" t="s">
        <v>45</v>
      </c>
      <c r="D2494" t="s">
        <v>149</v>
      </c>
      <c r="E2494" t="s">
        <v>43</v>
      </c>
      <c r="F2494" t="s">
        <v>41</v>
      </c>
      <c r="G2494" s="89">
        <v>105352</v>
      </c>
      <c r="H2494" t="s">
        <v>145</v>
      </c>
      <c r="I2494" t="s">
        <v>133</v>
      </c>
      <c r="J2494" s="89">
        <v>3055208</v>
      </c>
      <c r="K2494" t="s">
        <v>134</v>
      </c>
      <c r="L2494" t="s">
        <v>128</v>
      </c>
      <c r="N2494">
        <v>1</v>
      </c>
      <c r="O2494" s="89">
        <v>3160.56</v>
      </c>
      <c r="P2494" s="89">
        <v>35819.68</v>
      </c>
      <c r="Q2494" t="s">
        <v>130</v>
      </c>
      <c r="R2494" t="s">
        <v>131</v>
      </c>
    </row>
    <row r="2495" spans="3:18" x14ac:dyDescent="0.25">
      <c r="C2495" t="s">
        <v>47</v>
      </c>
      <c r="D2495" t="s">
        <v>25</v>
      </c>
      <c r="E2495" t="s">
        <v>48</v>
      </c>
      <c r="F2495" t="s">
        <v>41</v>
      </c>
      <c r="G2495" s="89">
        <v>815697</v>
      </c>
      <c r="H2495" t="s">
        <v>146</v>
      </c>
      <c r="I2495" t="s">
        <v>141</v>
      </c>
      <c r="J2495" s="89">
        <v>5709879</v>
      </c>
      <c r="K2495" t="s">
        <v>127</v>
      </c>
      <c r="L2495" t="s">
        <v>128</v>
      </c>
      <c r="N2495">
        <v>1</v>
      </c>
      <c r="O2495" s="89">
        <v>32627.88</v>
      </c>
      <c r="P2495" s="89">
        <v>432319.41</v>
      </c>
      <c r="Q2495" t="s">
        <v>142</v>
      </c>
      <c r="R2495" t="s">
        <v>131</v>
      </c>
    </row>
    <row r="2496" spans="3:18" hidden="1" x14ac:dyDescent="0.25">
      <c r="C2496" t="s">
        <v>45</v>
      </c>
      <c r="D2496" t="s">
        <v>22</v>
      </c>
      <c r="E2496" t="s">
        <v>43</v>
      </c>
      <c r="F2496" t="s">
        <v>41</v>
      </c>
      <c r="G2496" s="89">
        <v>37975</v>
      </c>
      <c r="H2496" t="s">
        <v>42</v>
      </c>
      <c r="I2496" t="s">
        <v>126</v>
      </c>
      <c r="J2496" s="89">
        <v>493675</v>
      </c>
      <c r="K2496" t="s">
        <v>127</v>
      </c>
      <c r="L2496" t="s">
        <v>128</v>
      </c>
      <c r="M2496" t="s">
        <v>129</v>
      </c>
      <c r="N2496">
        <v>1</v>
      </c>
      <c r="O2496" s="89">
        <v>1519</v>
      </c>
      <c r="P2496" s="89">
        <v>6835.5</v>
      </c>
      <c r="Q2496" t="s">
        <v>130</v>
      </c>
      <c r="R2496" t="s">
        <v>42</v>
      </c>
    </row>
    <row r="2497" spans="3:18" hidden="1" x14ac:dyDescent="0.25">
      <c r="C2497" t="s">
        <v>45</v>
      </c>
      <c r="D2497" t="s">
        <v>23</v>
      </c>
      <c r="E2497" t="s">
        <v>40</v>
      </c>
      <c r="F2497" t="s">
        <v>41</v>
      </c>
      <c r="G2497" s="89">
        <v>20786</v>
      </c>
      <c r="H2497" t="s">
        <v>42</v>
      </c>
      <c r="I2497" t="s">
        <v>141</v>
      </c>
      <c r="J2497" s="89">
        <v>145502</v>
      </c>
      <c r="K2497" t="s">
        <v>127</v>
      </c>
      <c r="L2497" t="s">
        <v>128</v>
      </c>
      <c r="M2497" t="s">
        <v>152</v>
      </c>
      <c r="N2497">
        <v>1</v>
      </c>
      <c r="O2497" s="89">
        <v>623.58000000000004</v>
      </c>
      <c r="P2497" s="89">
        <v>17460.240000000002</v>
      </c>
      <c r="Q2497" t="s">
        <v>135</v>
      </c>
      <c r="R2497" t="s">
        <v>131</v>
      </c>
    </row>
    <row r="2498" spans="3:18" hidden="1" x14ac:dyDescent="0.25">
      <c r="C2498" t="s">
        <v>45</v>
      </c>
      <c r="D2498" t="s">
        <v>22</v>
      </c>
      <c r="E2498" t="s">
        <v>44</v>
      </c>
      <c r="F2498" t="s">
        <v>41</v>
      </c>
      <c r="G2498" s="89">
        <v>30934</v>
      </c>
      <c r="H2498" t="s">
        <v>42</v>
      </c>
      <c r="I2498" t="s">
        <v>126</v>
      </c>
      <c r="J2498" s="89">
        <v>402142</v>
      </c>
      <c r="K2498" t="s">
        <v>127</v>
      </c>
      <c r="L2498" t="s">
        <v>128</v>
      </c>
      <c r="M2498" t="s">
        <v>143</v>
      </c>
      <c r="N2498">
        <v>1</v>
      </c>
      <c r="O2498" s="89">
        <v>1237.3599999999999</v>
      </c>
      <c r="P2498" s="89">
        <v>13610.96</v>
      </c>
      <c r="Q2498" t="s">
        <v>142</v>
      </c>
      <c r="R2498" t="s">
        <v>131</v>
      </c>
    </row>
    <row r="2499" spans="3:18" hidden="1" x14ac:dyDescent="0.25">
      <c r="C2499" t="s">
        <v>45</v>
      </c>
      <c r="D2499" t="s">
        <v>19</v>
      </c>
      <c r="E2499" t="s">
        <v>43</v>
      </c>
      <c r="F2499" t="s">
        <v>41</v>
      </c>
      <c r="G2499" s="89">
        <v>3618063</v>
      </c>
      <c r="H2499" t="s">
        <v>42</v>
      </c>
      <c r="I2499" t="s">
        <v>126</v>
      </c>
      <c r="J2499" s="89">
        <v>61507071</v>
      </c>
      <c r="K2499" t="s">
        <v>127</v>
      </c>
      <c r="L2499" t="s">
        <v>128</v>
      </c>
      <c r="M2499" t="s">
        <v>136</v>
      </c>
      <c r="N2499">
        <v>1</v>
      </c>
      <c r="O2499" s="89">
        <v>108541.89</v>
      </c>
      <c r="P2499" s="89">
        <v>2496463.4700000002</v>
      </c>
      <c r="Q2499" t="s">
        <v>137</v>
      </c>
      <c r="R2499" t="s">
        <v>42</v>
      </c>
    </row>
    <row r="2500" spans="3:18" hidden="1" x14ac:dyDescent="0.25">
      <c r="C2500" t="s">
        <v>45</v>
      </c>
      <c r="D2500" t="s">
        <v>138</v>
      </c>
      <c r="E2500" t="s">
        <v>48</v>
      </c>
      <c r="F2500" t="s">
        <v>41</v>
      </c>
      <c r="G2500" s="89">
        <v>334996</v>
      </c>
      <c r="H2500" t="s">
        <v>42</v>
      </c>
      <c r="I2500" t="s">
        <v>133</v>
      </c>
      <c r="J2500" s="89">
        <v>10049880</v>
      </c>
      <c r="K2500" t="s">
        <v>127</v>
      </c>
      <c r="L2500" t="s">
        <v>128</v>
      </c>
      <c r="M2500" t="s">
        <v>139</v>
      </c>
      <c r="N2500">
        <v>1</v>
      </c>
      <c r="O2500" s="89">
        <v>10049.879999999999</v>
      </c>
      <c r="P2500" s="89">
        <v>271346.76</v>
      </c>
      <c r="Q2500" t="s">
        <v>135</v>
      </c>
      <c r="R2500" t="s">
        <v>131</v>
      </c>
    </row>
    <row r="2501" spans="3:18" hidden="1" x14ac:dyDescent="0.25">
      <c r="C2501" t="s">
        <v>45</v>
      </c>
      <c r="D2501" t="s">
        <v>149</v>
      </c>
      <c r="E2501" t="s">
        <v>43</v>
      </c>
      <c r="F2501" t="s">
        <v>41</v>
      </c>
      <c r="G2501" s="89">
        <v>3211224</v>
      </c>
      <c r="H2501" t="s">
        <v>140</v>
      </c>
      <c r="I2501" t="s">
        <v>133</v>
      </c>
      <c r="J2501" s="89">
        <v>102759168</v>
      </c>
      <c r="K2501" t="s">
        <v>144</v>
      </c>
      <c r="N2501">
        <v>1</v>
      </c>
      <c r="O2501" s="89">
        <v>96336.72</v>
      </c>
      <c r="P2501" s="89">
        <v>2183632.3199999998</v>
      </c>
      <c r="Q2501" t="s">
        <v>137</v>
      </c>
      <c r="R2501" t="s">
        <v>131</v>
      </c>
    </row>
    <row r="2502" spans="3:18" x14ac:dyDescent="0.25">
      <c r="C2502" t="s">
        <v>47</v>
      </c>
      <c r="D2502" t="s">
        <v>25</v>
      </c>
      <c r="E2502" t="s">
        <v>48</v>
      </c>
      <c r="F2502" t="s">
        <v>41</v>
      </c>
      <c r="G2502" s="89">
        <v>737392</v>
      </c>
      <c r="H2502" t="s">
        <v>140</v>
      </c>
      <c r="I2502" t="s">
        <v>141</v>
      </c>
      <c r="J2502" s="89">
        <v>6636528</v>
      </c>
      <c r="K2502" t="s">
        <v>127</v>
      </c>
      <c r="L2502" t="s">
        <v>128</v>
      </c>
      <c r="N2502">
        <v>1</v>
      </c>
      <c r="O2502" s="89">
        <v>29495.68</v>
      </c>
      <c r="P2502" s="89">
        <v>361322.08</v>
      </c>
      <c r="Q2502" t="s">
        <v>142</v>
      </c>
      <c r="R2502" t="s">
        <v>131</v>
      </c>
    </row>
    <row r="2503" spans="3:18" hidden="1" x14ac:dyDescent="0.25">
      <c r="C2503" t="s">
        <v>45</v>
      </c>
      <c r="D2503" t="s">
        <v>23</v>
      </c>
      <c r="E2503" t="s">
        <v>43</v>
      </c>
      <c r="F2503" t="s">
        <v>41</v>
      </c>
      <c r="G2503" s="89">
        <v>188528</v>
      </c>
      <c r="H2503" t="s">
        <v>132</v>
      </c>
      <c r="I2503" t="s">
        <v>133</v>
      </c>
      <c r="J2503" s="89">
        <v>6221424</v>
      </c>
      <c r="K2503" t="s">
        <v>144</v>
      </c>
      <c r="N2503">
        <v>1</v>
      </c>
      <c r="O2503" s="89">
        <v>5655.84</v>
      </c>
      <c r="P2503" s="89">
        <v>94264</v>
      </c>
      <c r="Q2503" t="s">
        <v>142</v>
      </c>
      <c r="R2503" t="s">
        <v>131</v>
      </c>
    </row>
    <row r="2504" spans="3:18" hidden="1" x14ac:dyDescent="0.25">
      <c r="C2504" t="s">
        <v>45</v>
      </c>
      <c r="D2504" t="s">
        <v>19</v>
      </c>
      <c r="E2504" t="s">
        <v>40</v>
      </c>
      <c r="F2504" t="s">
        <v>41</v>
      </c>
      <c r="G2504" s="89">
        <v>212748</v>
      </c>
      <c r="H2504" t="s">
        <v>42</v>
      </c>
      <c r="I2504" t="s">
        <v>141</v>
      </c>
      <c r="J2504" s="89">
        <v>1701984</v>
      </c>
      <c r="K2504" t="s">
        <v>127</v>
      </c>
      <c r="L2504" t="s">
        <v>128</v>
      </c>
      <c r="M2504" t="s">
        <v>136</v>
      </c>
      <c r="N2504">
        <v>1</v>
      </c>
      <c r="O2504" s="89">
        <v>6382.44</v>
      </c>
      <c r="P2504" s="89">
        <v>46804.56</v>
      </c>
      <c r="Q2504" t="s">
        <v>130</v>
      </c>
      <c r="R2504" t="s">
        <v>131</v>
      </c>
    </row>
    <row r="2505" spans="3:18" x14ac:dyDescent="0.25">
      <c r="C2505" t="s">
        <v>47</v>
      </c>
      <c r="D2505" t="s">
        <v>21</v>
      </c>
      <c r="E2505" t="s">
        <v>40</v>
      </c>
      <c r="F2505" t="s">
        <v>41</v>
      </c>
      <c r="G2505" s="89">
        <v>3194160</v>
      </c>
      <c r="H2505" t="s">
        <v>145</v>
      </c>
      <c r="I2505" t="s">
        <v>126</v>
      </c>
      <c r="J2505" s="89">
        <v>38329920</v>
      </c>
      <c r="K2505" t="s">
        <v>127</v>
      </c>
      <c r="L2505" t="s">
        <v>128</v>
      </c>
      <c r="N2505">
        <v>1</v>
      </c>
      <c r="O2505" s="89">
        <v>127766.39999999999</v>
      </c>
      <c r="P2505" s="89">
        <v>2172028.7999999998</v>
      </c>
      <c r="Q2505" t="s">
        <v>137</v>
      </c>
      <c r="R2505" t="s">
        <v>131</v>
      </c>
    </row>
    <row r="2506" spans="3:18" hidden="1" x14ac:dyDescent="0.25">
      <c r="C2506" t="s">
        <v>45</v>
      </c>
      <c r="D2506" t="s">
        <v>19</v>
      </c>
      <c r="E2506" t="s">
        <v>43</v>
      </c>
      <c r="F2506" t="s">
        <v>41</v>
      </c>
      <c r="G2506" s="89">
        <v>289620</v>
      </c>
      <c r="H2506" t="s">
        <v>42</v>
      </c>
      <c r="I2506" t="s">
        <v>133</v>
      </c>
      <c r="J2506" s="89">
        <v>8398980</v>
      </c>
      <c r="K2506" t="s">
        <v>127</v>
      </c>
      <c r="L2506" t="s">
        <v>128</v>
      </c>
      <c r="M2506" t="s">
        <v>139</v>
      </c>
      <c r="N2506">
        <v>1</v>
      </c>
      <c r="O2506" s="89">
        <v>8688.6</v>
      </c>
      <c r="P2506" s="89">
        <v>147706.20000000001</v>
      </c>
      <c r="Q2506" t="s">
        <v>142</v>
      </c>
      <c r="R2506" t="s">
        <v>131</v>
      </c>
    </row>
    <row r="2507" spans="3:18" hidden="1" x14ac:dyDescent="0.25">
      <c r="C2507" t="s">
        <v>45</v>
      </c>
      <c r="D2507" t="s">
        <v>138</v>
      </c>
      <c r="E2507" t="s">
        <v>43</v>
      </c>
      <c r="F2507" t="s">
        <v>41</v>
      </c>
      <c r="G2507" s="89">
        <v>0</v>
      </c>
      <c r="H2507" t="s">
        <v>145</v>
      </c>
      <c r="I2507" t="s">
        <v>147</v>
      </c>
      <c r="J2507" s="89">
        <v>0</v>
      </c>
      <c r="K2507" t="s">
        <v>127</v>
      </c>
      <c r="L2507" t="s">
        <v>128</v>
      </c>
      <c r="N2507">
        <v>1</v>
      </c>
      <c r="O2507" s="89">
        <v>0</v>
      </c>
      <c r="P2507" s="89">
        <v>0</v>
      </c>
      <c r="Q2507" t="s">
        <v>150</v>
      </c>
      <c r="R2507" t="s">
        <v>131</v>
      </c>
    </row>
    <row r="2508" spans="3:18" x14ac:dyDescent="0.25">
      <c r="C2508" t="s">
        <v>47</v>
      </c>
      <c r="D2508" t="s">
        <v>23</v>
      </c>
      <c r="E2508" t="s">
        <v>48</v>
      </c>
      <c r="F2508" t="s">
        <v>41</v>
      </c>
      <c r="G2508" s="89">
        <v>139745</v>
      </c>
      <c r="H2508" t="s">
        <v>132</v>
      </c>
      <c r="I2508" t="s">
        <v>126</v>
      </c>
      <c r="J2508" s="89">
        <v>1956430</v>
      </c>
      <c r="K2508" t="s">
        <v>127</v>
      </c>
      <c r="L2508" t="s">
        <v>128</v>
      </c>
      <c r="N2508">
        <v>1</v>
      </c>
      <c r="O2508" s="89">
        <v>4192.3500000000004</v>
      </c>
      <c r="P2508" s="89">
        <v>82449.55</v>
      </c>
      <c r="Q2508" t="s">
        <v>142</v>
      </c>
      <c r="R2508" t="s">
        <v>131</v>
      </c>
    </row>
    <row r="2509" spans="3:18" hidden="1" x14ac:dyDescent="0.25">
      <c r="C2509" t="s">
        <v>45</v>
      </c>
      <c r="D2509" t="s">
        <v>24</v>
      </c>
      <c r="E2509" t="s">
        <v>44</v>
      </c>
      <c r="F2509" t="s">
        <v>41</v>
      </c>
      <c r="G2509" s="89">
        <v>113380</v>
      </c>
      <c r="H2509" t="s">
        <v>146</v>
      </c>
      <c r="I2509" t="s">
        <v>126</v>
      </c>
      <c r="J2509" s="89">
        <v>2154220</v>
      </c>
      <c r="K2509" t="s">
        <v>127</v>
      </c>
      <c r="L2509" t="s">
        <v>128</v>
      </c>
      <c r="N2509">
        <v>1</v>
      </c>
      <c r="O2509" s="89">
        <v>2267.6</v>
      </c>
      <c r="P2509" s="89">
        <v>69161.8</v>
      </c>
      <c r="Q2509" t="s">
        <v>137</v>
      </c>
      <c r="R2509" t="s">
        <v>131</v>
      </c>
    </row>
    <row r="2510" spans="3:18" hidden="1" x14ac:dyDescent="0.25">
      <c r="C2510" t="s">
        <v>45</v>
      </c>
      <c r="D2510" t="s">
        <v>24</v>
      </c>
      <c r="E2510" t="s">
        <v>40</v>
      </c>
      <c r="F2510" t="s">
        <v>41</v>
      </c>
      <c r="G2510" s="89">
        <v>19006</v>
      </c>
      <c r="H2510" t="s">
        <v>146</v>
      </c>
      <c r="I2510" t="s">
        <v>126</v>
      </c>
      <c r="J2510" s="89">
        <v>342108</v>
      </c>
      <c r="K2510" t="s">
        <v>127</v>
      </c>
      <c r="L2510" t="s">
        <v>128</v>
      </c>
      <c r="N2510">
        <v>1</v>
      </c>
      <c r="O2510" s="89">
        <v>1520.48</v>
      </c>
      <c r="P2510" s="89">
        <v>13494.26</v>
      </c>
      <c r="Q2510" t="s">
        <v>137</v>
      </c>
      <c r="R2510" t="s">
        <v>131</v>
      </c>
    </row>
    <row r="2511" spans="3:18" hidden="1" x14ac:dyDescent="0.25">
      <c r="C2511" t="s">
        <v>45</v>
      </c>
      <c r="D2511" t="s">
        <v>23</v>
      </c>
      <c r="E2511" t="s">
        <v>40</v>
      </c>
      <c r="F2511" t="s">
        <v>41</v>
      </c>
      <c r="G2511" s="89">
        <v>329877</v>
      </c>
      <c r="H2511" t="s">
        <v>42</v>
      </c>
      <c r="I2511" t="s">
        <v>141</v>
      </c>
      <c r="J2511" s="89">
        <v>2639016</v>
      </c>
      <c r="K2511" t="s">
        <v>144</v>
      </c>
      <c r="N2511">
        <v>1</v>
      </c>
      <c r="O2511" s="89">
        <v>9896.31</v>
      </c>
      <c r="P2511" s="89">
        <v>79170.48</v>
      </c>
      <c r="Q2511" t="s">
        <v>130</v>
      </c>
      <c r="R2511" t="s">
        <v>131</v>
      </c>
    </row>
    <row r="2512" spans="3:18" x14ac:dyDescent="0.25">
      <c r="C2512" t="s">
        <v>47</v>
      </c>
      <c r="D2512" t="s">
        <v>149</v>
      </c>
      <c r="E2512" t="s">
        <v>40</v>
      </c>
      <c r="F2512" t="s">
        <v>41</v>
      </c>
      <c r="G2512" s="89">
        <v>48131</v>
      </c>
      <c r="H2512" t="s">
        <v>42</v>
      </c>
      <c r="I2512" t="s">
        <v>147</v>
      </c>
      <c r="J2512" s="89">
        <v>48131</v>
      </c>
      <c r="K2512" t="s">
        <v>127</v>
      </c>
      <c r="L2512" t="s">
        <v>128</v>
      </c>
      <c r="M2512" t="s">
        <v>136</v>
      </c>
      <c r="N2512">
        <v>1</v>
      </c>
      <c r="O2512" s="89">
        <v>1925.24</v>
      </c>
      <c r="P2512" s="89">
        <v>16845.849999999999</v>
      </c>
      <c r="Q2512" t="s">
        <v>130</v>
      </c>
      <c r="R2512" t="s">
        <v>131</v>
      </c>
    </row>
    <row r="2513" spans="3:18" hidden="1" x14ac:dyDescent="0.25">
      <c r="C2513" t="s">
        <v>45</v>
      </c>
      <c r="D2513" t="s">
        <v>24</v>
      </c>
      <c r="E2513" t="s">
        <v>44</v>
      </c>
      <c r="F2513" t="s">
        <v>53</v>
      </c>
      <c r="G2513" s="89">
        <v>79689</v>
      </c>
      <c r="H2513" t="s">
        <v>140</v>
      </c>
      <c r="I2513" t="s">
        <v>133</v>
      </c>
      <c r="J2513" s="89">
        <v>2789115</v>
      </c>
      <c r="K2513" t="s">
        <v>144</v>
      </c>
      <c r="N2513">
        <v>1</v>
      </c>
      <c r="O2513" s="89">
        <v>2390.67</v>
      </c>
      <c r="P2513" s="89">
        <v>62157.42</v>
      </c>
      <c r="Q2513" t="s">
        <v>137</v>
      </c>
      <c r="R2513" t="s">
        <v>131</v>
      </c>
    </row>
    <row r="2514" spans="3:18" x14ac:dyDescent="0.25">
      <c r="C2514" t="s">
        <v>47</v>
      </c>
      <c r="D2514" t="s">
        <v>24</v>
      </c>
      <c r="E2514" t="s">
        <v>48</v>
      </c>
      <c r="F2514" t="s">
        <v>41</v>
      </c>
      <c r="G2514" s="89">
        <v>637853</v>
      </c>
      <c r="H2514" t="s">
        <v>140</v>
      </c>
      <c r="I2514" t="s">
        <v>126</v>
      </c>
      <c r="J2514" s="89">
        <v>10205648</v>
      </c>
      <c r="K2514" t="s">
        <v>127</v>
      </c>
      <c r="L2514" t="s">
        <v>128</v>
      </c>
      <c r="N2514">
        <v>1</v>
      </c>
      <c r="O2514" s="89">
        <v>25514.12</v>
      </c>
      <c r="P2514" s="89">
        <v>318926.5</v>
      </c>
      <c r="Q2514" t="s">
        <v>142</v>
      </c>
      <c r="R2514" t="s">
        <v>131</v>
      </c>
    </row>
    <row r="2515" spans="3:18" hidden="1" x14ac:dyDescent="0.25">
      <c r="C2515" t="s">
        <v>45</v>
      </c>
      <c r="D2515" t="s">
        <v>21</v>
      </c>
      <c r="E2515" t="s">
        <v>48</v>
      </c>
      <c r="F2515" t="s">
        <v>41</v>
      </c>
      <c r="G2515" s="89">
        <v>29577</v>
      </c>
      <c r="H2515" t="s">
        <v>42</v>
      </c>
      <c r="I2515" t="s">
        <v>133</v>
      </c>
      <c r="J2515" s="89">
        <v>798579</v>
      </c>
      <c r="K2515" t="s">
        <v>144</v>
      </c>
      <c r="N2515">
        <v>1</v>
      </c>
      <c r="O2515" s="89">
        <v>887.31</v>
      </c>
      <c r="P2515" s="89">
        <v>20999.67</v>
      </c>
      <c r="Q2515" t="s">
        <v>137</v>
      </c>
      <c r="R2515" t="s">
        <v>131</v>
      </c>
    </row>
    <row r="2516" spans="3:18" hidden="1" x14ac:dyDescent="0.25">
      <c r="C2516" t="s">
        <v>45</v>
      </c>
      <c r="D2516" t="s">
        <v>21</v>
      </c>
      <c r="E2516" t="s">
        <v>43</v>
      </c>
      <c r="F2516" t="s">
        <v>41</v>
      </c>
      <c r="G2516" s="89">
        <v>22742</v>
      </c>
      <c r="H2516" t="s">
        <v>42</v>
      </c>
      <c r="I2516" t="s">
        <v>126</v>
      </c>
      <c r="J2516" s="89">
        <v>318388</v>
      </c>
      <c r="K2516" t="s">
        <v>134</v>
      </c>
      <c r="L2516" t="s">
        <v>128</v>
      </c>
      <c r="M2516" t="s">
        <v>129</v>
      </c>
      <c r="N2516">
        <v>1</v>
      </c>
      <c r="O2516" s="89">
        <v>682.26</v>
      </c>
      <c r="P2516" s="89">
        <v>7504.86</v>
      </c>
      <c r="Q2516" t="s">
        <v>130</v>
      </c>
      <c r="R2516" t="s">
        <v>42</v>
      </c>
    </row>
    <row r="2517" spans="3:18" hidden="1" x14ac:dyDescent="0.25">
      <c r="C2517" t="s">
        <v>45</v>
      </c>
      <c r="D2517" t="s">
        <v>22</v>
      </c>
      <c r="E2517" t="s">
        <v>40</v>
      </c>
      <c r="F2517" t="s">
        <v>41</v>
      </c>
      <c r="G2517" s="89">
        <v>65898427</v>
      </c>
      <c r="H2517" t="s">
        <v>42</v>
      </c>
      <c r="I2517" t="s">
        <v>126</v>
      </c>
      <c r="J2517" s="89">
        <v>1054374832</v>
      </c>
      <c r="K2517" t="s">
        <v>127</v>
      </c>
      <c r="L2517" t="s">
        <v>128</v>
      </c>
      <c r="M2517" t="s">
        <v>143</v>
      </c>
      <c r="N2517">
        <v>1</v>
      </c>
      <c r="O2517" s="89">
        <v>1976952.81</v>
      </c>
      <c r="P2517" s="89">
        <v>32949213.5</v>
      </c>
      <c r="Q2517" t="s">
        <v>142</v>
      </c>
      <c r="R2517" t="s">
        <v>131</v>
      </c>
    </row>
    <row r="2518" spans="3:18" hidden="1" x14ac:dyDescent="0.25">
      <c r="C2518" t="s">
        <v>45</v>
      </c>
      <c r="D2518" t="s">
        <v>23</v>
      </c>
      <c r="E2518" t="s">
        <v>44</v>
      </c>
      <c r="F2518" t="s">
        <v>41</v>
      </c>
      <c r="G2518" s="89">
        <v>211436</v>
      </c>
      <c r="H2518" t="s">
        <v>140</v>
      </c>
      <c r="I2518" t="s">
        <v>133</v>
      </c>
      <c r="J2518" s="89">
        <v>7188824</v>
      </c>
      <c r="K2518" t="s">
        <v>144</v>
      </c>
      <c r="N2518">
        <v>1</v>
      </c>
      <c r="O2518" s="89">
        <v>6343.08</v>
      </c>
      <c r="P2518" s="89">
        <v>112061.08</v>
      </c>
      <c r="Q2518" t="s">
        <v>142</v>
      </c>
      <c r="R2518" t="s">
        <v>131</v>
      </c>
    </row>
    <row r="2519" spans="3:18" x14ac:dyDescent="0.25">
      <c r="C2519" t="s">
        <v>47</v>
      </c>
      <c r="D2519" t="s">
        <v>21</v>
      </c>
      <c r="E2519" t="s">
        <v>40</v>
      </c>
      <c r="F2519" t="s">
        <v>41</v>
      </c>
      <c r="G2519" s="89">
        <v>25750992</v>
      </c>
      <c r="H2519" t="s">
        <v>140</v>
      </c>
      <c r="I2519" t="s">
        <v>126</v>
      </c>
      <c r="J2519" s="89">
        <v>309011904</v>
      </c>
      <c r="K2519" t="s">
        <v>127</v>
      </c>
      <c r="L2519" t="s">
        <v>128</v>
      </c>
      <c r="N2519">
        <v>1</v>
      </c>
      <c r="O2519" s="89">
        <v>1030039.68</v>
      </c>
      <c r="P2519" s="89">
        <v>13390515.84</v>
      </c>
      <c r="Q2519" t="s">
        <v>142</v>
      </c>
      <c r="R2519" t="s">
        <v>131</v>
      </c>
    </row>
    <row r="2520" spans="3:18" hidden="1" x14ac:dyDescent="0.25">
      <c r="C2520" t="s">
        <v>45</v>
      </c>
      <c r="D2520" t="s">
        <v>24</v>
      </c>
      <c r="E2520" t="s">
        <v>43</v>
      </c>
      <c r="F2520" t="s">
        <v>41</v>
      </c>
      <c r="G2520" s="89">
        <v>514078</v>
      </c>
      <c r="H2520" t="s">
        <v>42</v>
      </c>
      <c r="I2520" t="s">
        <v>133</v>
      </c>
      <c r="J2520" s="89">
        <v>15936418</v>
      </c>
      <c r="K2520" t="s">
        <v>127</v>
      </c>
      <c r="L2520" t="s">
        <v>128</v>
      </c>
      <c r="M2520" t="s">
        <v>148</v>
      </c>
      <c r="N2520">
        <v>1</v>
      </c>
      <c r="O2520" s="89">
        <v>15422.34</v>
      </c>
      <c r="P2520" s="89">
        <v>262179.78000000003</v>
      </c>
      <c r="Q2520" t="s">
        <v>142</v>
      </c>
      <c r="R2520" t="s">
        <v>42</v>
      </c>
    </row>
    <row r="2521" spans="3:18" hidden="1" x14ac:dyDescent="0.25">
      <c r="C2521" t="s">
        <v>45</v>
      </c>
      <c r="D2521" t="s">
        <v>24</v>
      </c>
      <c r="E2521" t="s">
        <v>40</v>
      </c>
      <c r="F2521" t="s">
        <v>41</v>
      </c>
      <c r="G2521" s="89">
        <v>102008</v>
      </c>
      <c r="H2521" t="s">
        <v>145</v>
      </c>
      <c r="I2521" t="s">
        <v>133</v>
      </c>
      <c r="J2521" s="89">
        <v>3366264</v>
      </c>
      <c r="K2521" t="s">
        <v>134</v>
      </c>
      <c r="L2521" t="s">
        <v>128</v>
      </c>
      <c r="N2521">
        <v>1</v>
      </c>
      <c r="O2521" s="89">
        <v>3060.24</v>
      </c>
      <c r="P2521" s="89">
        <v>46923.68</v>
      </c>
      <c r="Q2521" t="s">
        <v>142</v>
      </c>
      <c r="R2521" t="s">
        <v>131</v>
      </c>
    </row>
    <row r="2522" spans="3:18" hidden="1" x14ac:dyDescent="0.25">
      <c r="C2522" t="s">
        <v>45</v>
      </c>
      <c r="D2522" t="s">
        <v>23</v>
      </c>
      <c r="E2522" t="s">
        <v>40</v>
      </c>
      <c r="F2522" t="s">
        <v>41</v>
      </c>
      <c r="G2522" s="89">
        <v>5470</v>
      </c>
      <c r="H2522" t="s">
        <v>132</v>
      </c>
      <c r="I2522" t="s">
        <v>147</v>
      </c>
      <c r="J2522" s="89">
        <v>5470</v>
      </c>
      <c r="K2522" t="s">
        <v>127</v>
      </c>
      <c r="L2522" t="s">
        <v>151</v>
      </c>
      <c r="N2522">
        <v>1</v>
      </c>
      <c r="O2522" s="89">
        <v>109.4</v>
      </c>
      <c r="P2522" s="89">
        <v>218.8</v>
      </c>
      <c r="Q2522" t="s">
        <v>130</v>
      </c>
      <c r="R2522" t="s">
        <v>131</v>
      </c>
    </row>
    <row r="2523" spans="3:18" hidden="1" x14ac:dyDescent="0.25">
      <c r="C2523" t="s">
        <v>45</v>
      </c>
      <c r="D2523" t="s">
        <v>149</v>
      </c>
      <c r="E2523" t="s">
        <v>43</v>
      </c>
      <c r="F2523" t="s">
        <v>41</v>
      </c>
      <c r="G2523" s="89">
        <v>3579075</v>
      </c>
      <c r="H2523" t="s">
        <v>132</v>
      </c>
      <c r="I2523" t="s">
        <v>133</v>
      </c>
      <c r="J2523" s="89">
        <v>100214100</v>
      </c>
      <c r="K2523" t="s">
        <v>127</v>
      </c>
      <c r="L2523" t="s">
        <v>128</v>
      </c>
      <c r="N2523">
        <v>1</v>
      </c>
      <c r="O2523" s="89">
        <v>107372.25</v>
      </c>
      <c r="P2523" s="89">
        <v>1753746.75</v>
      </c>
      <c r="Q2523" t="s">
        <v>142</v>
      </c>
      <c r="R2523" t="s">
        <v>131</v>
      </c>
    </row>
    <row r="2524" spans="3:18" hidden="1" x14ac:dyDescent="0.25">
      <c r="C2524" t="s">
        <v>45</v>
      </c>
      <c r="D2524" t="s">
        <v>24</v>
      </c>
      <c r="E2524" t="s">
        <v>48</v>
      </c>
      <c r="F2524" t="s">
        <v>41</v>
      </c>
      <c r="G2524" s="89">
        <v>42869</v>
      </c>
      <c r="H2524" t="s">
        <v>140</v>
      </c>
      <c r="I2524" t="s">
        <v>141</v>
      </c>
      <c r="J2524" s="89">
        <v>342952</v>
      </c>
      <c r="K2524" t="s">
        <v>144</v>
      </c>
      <c r="N2524">
        <v>1</v>
      </c>
      <c r="O2524" s="89">
        <v>1286.07</v>
      </c>
      <c r="P2524" s="89">
        <v>19291.05</v>
      </c>
      <c r="Q2524" t="s">
        <v>142</v>
      </c>
      <c r="R2524" t="s">
        <v>131</v>
      </c>
    </row>
    <row r="2525" spans="3:18" hidden="1" x14ac:dyDescent="0.25">
      <c r="C2525" t="s">
        <v>45</v>
      </c>
      <c r="D2525" t="s">
        <v>50</v>
      </c>
      <c r="E2525" t="s">
        <v>50</v>
      </c>
      <c r="F2525" t="s">
        <v>41</v>
      </c>
      <c r="G2525" s="89">
        <v>0</v>
      </c>
      <c r="H2525" t="s">
        <v>51</v>
      </c>
      <c r="I2525" t="s">
        <v>126</v>
      </c>
      <c r="J2525" s="89">
        <v>0</v>
      </c>
      <c r="K2525" t="s">
        <v>127</v>
      </c>
      <c r="N2525">
        <v>1</v>
      </c>
      <c r="O2525" s="89">
        <v>0</v>
      </c>
      <c r="P2525" s="89">
        <v>0</v>
      </c>
      <c r="Q2525" t="s">
        <v>150</v>
      </c>
    </row>
    <row r="2526" spans="3:18" hidden="1" x14ac:dyDescent="0.25">
      <c r="C2526" t="s">
        <v>45</v>
      </c>
      <c r="D2526" t="s">
        <v>21</v>
      </c>
      <c r="E2526" t="s">
        <v>40</v>
      </c>
      <c r="F2526" t="s">
        <v>41</v>
      </c>
      <c r="G2526" s="89">
        <v>51350518</v>
      </c>
      <c r="H2526" t="s">
        <v>42</v>
      </c>
      <c r="I2526" t="s">
        <v>133</v>
      </c>
      <c r="J2526" s="89">
        <v>1489165022</v>
      </c>
      <c r="K2526" t="s">
        <v>127</v>
      </c>
      <c r="L2526" t="s">
        <v>128</v>
      </c>
      <c r="M2526" t="s">
        <v>129</v>
      </c>
      <c r="N2526">
        <v>1</v>
      </c>
      <c r="O2526" s="89">
        <v>1540515.54</v>
      </c>
      <c r="P2526" s="89">
        <v>26702269.359999999</v>
      </c>
      <c r="Q2526" t="s">
        <v>142</v>
      </c>
      <c r="R2526" t="s">
        <v>131</v>
      </c>
    </row>
    <row r="2527" spans="3:18" hidden="1" x14ac:dyDescent="0.25">
      <c r="C2527" t="s">
        <v>45</v>
      </c>
      <c r="D2527" t="s">
        <v>24</v>
      </c>
      <c r="E2527" t="s">
        <v>46</v>
      </c>
      <c r="F2527" t="s">
        <v>41</v>
      </c>
      <c r="G2527" s="89">
        <v>24849</v>
      </c>
      <c r="H2527" t="s">
        <v>42</v>
      </c>
      <c r="I2527" t="s">
        <v>141</v>
      </c>
      <c r="J2527" s="89">
        <v>223641</v>
      </c>
      <c r="K2527" t="s">
        <v>127</v>
      </c>
      <c r="L2527" t="s">
        <v>128</v>
      </c>
      <c r="M2527" t="s">
        <v>148</v>
      </c>
      <c r="N2527">
        <v>1</v>
      </c>
      <c r="O2527" s="89">
        <v>993.96</v>
      </c>
      <c r="P2527" s="89">
        <v>10188.09</v>
      </c>
      <c r="Q2527" t="s">
        <v>142</v>
      </c>
      <c r="R2527" t="s">
        <v>42</v>
      </c>
    </row>
    <row r="2528" spans="3:18" hidden="1" x14ac:dyDescent="0.25">
      <c r="C2528" t="s">
        <v>45</v>
      </c>
      <c r="D2528" t="s">
        <v>149</v>
      </c>
      <c r="E2528" t="s">
        <v>43</v>
      </c>
      <c r="F2528" t="s">
        <v>41</v>
      </c>
      <c r="G2528" s="89">
        <v>23836905</v>
      </c>
      <c r="H2528" t="s">
        <v>42</v>
      </c>
      <c r="I2528" t="s">
        <v>133</v>
      </c>
      <c r="J2528" s="89">
        <v>715107150</v>
      </c>
      <c r="K2528" t="s">
        <v>127</v>
      </c>
      <c r="L2528" t="s">
        <v>128</v>
      </c>
      <c r="M2528" t="s">
        <v>136</v>
      </c>
      <c r="N2528">
        <v>1</v>
      </c>
      <c r="O2528" s="89">
        <v>715107.15</v>
      </c>
      <c r="P2528" s="89">
        <v>16447464.449999999</v>
      </c>
      <c r="Q2528" t="s">
        <v>137</v>
      </c>
      <c r="R2528" t="s">
        <v>42</v>
      </c>
    </row>
    <row r="2529" spans="3:18" hidden="1" x14ac:dyDescent="0.25">
      <c r="C2529" t="s">
        <v>45</v>
      </c>
      <c r="D2529" t="s">
        <v>149</v>
      </c>
      <c r="E2529" t="s">
        <v>43</v>
      </c>
      <c r="F2529" t="s">
        <v>41</v>
      </c>
      <c r="G2529" s="89">
        <v>920414</v>
      </c>
      <c r="H2529" t="s">
        <v>42</v>
      </c>
      <c r="I2529" t="s">
        <v>133</v>
      </c>
      <c r="J2529" s="89">
        <v>29453248</v>
      </c>
      <c r="K2529" t="s">
        <v>127</v>
      </c>
      <c r="L2529" t="s">
        <v>128</v>
      </c>
      <c r="M2529" t="s">
        <v>136</v>
      </c>
      <c r="N2529">
        <v>1</v>
      </c>
      <c r="O2529" s="89">
        <v>27612.42</v>
      </c>
      <c r="P2529" s="89">
        <v>1104496.8</v>
      </c>
      <c r="Q2529" t="s">
        <v>150</v>
      </c>
      <c r="R2529" t="s">
        <v>131</v>
      </c>
    </row>
    <row r="2530" spans="3:18" hidden="1" x14ac:dyDescent="0.25">
      <c r="C2530" t="s">
        <v>45</v>
      </c>
      <c r="D2530" t="s">
        <v>21</v>
      </c>
      <c r="E2530" t="s">
        <v>43</v>
      </c>
      <c r="F2530" t="s">
        <v>41</v>
      </c>
      <c r="G2530" s="89">
        <v>74454</v>
      </c>
      <c r="H2530" t="s">
        <v>42</v>
      </c>
      <c r="I2530" t="s">
        <v>126</v>
      </c>
      <c r="J2530" s="89">
        <v>1042356</v>
      </c>
      <c r="K2530" t="s">
        <v>134</v>
      </c>
      <c r="L2530" t="s">
        <v>128</v>
      </c>
      <c r="M2530" t="s">
        <v>129</v>
      </c>
      <c r="N2530">
        <v>1</v>
      </c>
      <c r="O2530" s="89">
        <v>2233.62</v>
      </c>
      <c r="P2530" s="89">
        <v>30526.14</v>
      </c>
      <c r="Q2530" t="s">
        <v>142</v>
      </c>
      <c r="R2530" t="s">
        <v>42</v>
      </c>
    </row>
    <row r="2531" spans="3:18" hidden="1" x14ac:dyDescent="0.25">
      <c r="C2531" t="s">
        <v>45</v>
      </c>
      <c r="D2531" t="s">
        <v>21</v>
      </c>
      <c r="E2531" t="s">
        <v>40</v>
      </c>
      <c r="F2531" t="s">
        <v>41</v>
      </c>
      <c r="G2531" s="89">
        <v>185824</v>
      </c>
      <c r="H2531" t="s">
        <v>42</v>
      </c>
      <c r="I2531" t="s">
        <v>133</v>
      </c>
      <c r="J2531" s="89">
        <v>5203072</v>
      </c>
      <c r="K2531" t="s">
        <v>127</v>
      </c>
      <c r="L2531" t="s">
        <v>128</v>
      </c>
      <c r="M2531" t="s">
        <v>152</v>
      </c>
      <c r="N2531">
        <v>1</v>
      </c>
      <c r="O2531" s="89">
        <v>5574.72</v>
      </c>
      <c r="P2531" s="89">
        <v>91053.759999999995</v>
      </c>
      <c r="Q2531" t="s">
        <v>142</v>
      </c>
      <c r="R2531" t="s">
        <v>42</v>
      </c>
    </row>
    <row r="2532" spans="3:18" hidden="1" x14ac:dyDescent="0.25">
      <c r="C2532" t="s">
        <v>45</v>
      </c>
      <c r="D2532" t="s">
        <v>21</v>
      </c>
      <c r="E2532" t="s">
        <v>43</v>
      </c>
      <c r="F2532" t="s">
        <v>41</v>
      </c>
      <c r="G2532" s="89">
        <v>405208</v>
      </c>
      <c r="H2532" t="s">
        <v>42</v>
      </c>
      <c r="I2532" t="s">
        <v>133</v>
      </c>
      <c r="J2532" s="89">
        <v>13371864</v>
      </c>
      <c r="K2532" t="s">
        <v>127</v>
      </c>
      <c r="L2532" t="s">
        <v>128</v>
      </c>
      <c r="M2532" t="s">
        <v>143</v>
      </c>
      <c r="N2532">
        <v>1</v>
      </c>
      <c r="O2532" s="89">
        <v>12156.24</v>
      </c>
      <c r="P2532" s="89">
        <v>206656.08</v>
      </c>
      <c r="Q2532" t="s">
        <v>142</v>
      </c>
      <c r="R2532" t="s">
        <v>131</v>
      </c>
    </row>
    <row r="2533" spans="3:18" hidden="1" x14ac:dyDescent="0.25">
      <c r="C2533" t="s">
        <v>45</v>
      </c>
      <c r="D2533" t="s">
        <v>25</v>
      </c>
      <c r="E2533" t="s">
        <v>48</v>
      </c>
      <c r="F2533" t="s">
        <v>41</v>
      </c>
      <c r="G2533" s="89">
        <v>177384</v>
      </c>
      <c r="H2533" t="s">
        <v>145</v>
      </c>
      <c r="I2533" t="s">
        <v>133</v>
      </c>
      <c r="J2533" s="89">
        <v>4966752</v>
      </c>
      <c r="K2533" t="s">
        <v>127</v>
      </c>
      <c r="L2533" t="s">
        <v>128</v>
      </c>
      <c r="N2533">
        <v>1</v>
      </c>
      <c r="O2533" s="89">
        <v>5321.52</v>
      </c>
      <c r="P2533" s="89">
        <v>60310.559999999998</v>
      </c>
      <c r="Q2533" t="s">
        <v>130</v>
      </c>
      <c r="R2533" t="s">
        <v>131</v>
      </c>
    </row>
    <row r="2534" spans="3:18" x14ac:dyDescent="0.25">
      <c r="C2534" t="s">
        <v>47</v>
      </c>
      <c r="D2534" t="s">
        <v>21</v>
      </c>
      <c r="E2534" t="s">
        <v>40</v>
      </c>
      <c r="F2534" t="s">
        <v>41</v>
      </c>
      <c r="G2534" s="89">
        <v>456719</v>
      </c>
      <c r="H2534" t="s">
        <v>154</v>
      </c>
      <c r="I2534" t="s">
        <v>126</v>
      </c>
      <c r="J2534" s="89">
        <v>5480628</v>
      </c>
      <c r="K2534" t="s">
        <v>127</v>
      </c>
      <c r="L2534" t="s">
        <v>128</v>
      </c>
      <c r="N2534">
        <v>1</v>
      </c>
      <c r="O2534" s="89">
        <v>22835.95</v>
      </c>
      <c r="P2534" s="89">
        <v>18268.759999999998</v>
      </c>
      <c r="Q2534" t="s">
        <v>130</v>
      </c>
      <c r="R2534" t="s">
        <v>131</v>
      </c>
    </row>
    <row r="2535" spans="3:18" x14ac:dyDescent="0.25">
      <c r="C2535" t="s">
        <v>47</v>
      </c>
      <c r="D2535" t="s">
        <v>20</v>
      </c>
      <c r="E2535" t="s">
        <v>40</v>
      </c>
      <c r="F2535" t="s">
        <v>41</v>
      </c>
      <c r="G2535" s="89">
        <v>2250108</v>
      </c>
      <c r="H2535" t="s">
        <v>132</v>
      </c>
      <c r="I2535" t="s">
        <v>147</v>
      </c>
      <c r="J2535" s="89">
        <v>6750324</v>
      </c>
      <c r="K2535" t="s">
        <v>127</v>
      </c>
      <c r="L2535" t="s">
        <v>128</v>
      </c>
      <c r="N2535">
        <v>1</v>
      </c>
      <c r="O2535" s="89">
        <v>90004.32</v>
      </c>
      <c r="P2535" s="89">
        <v>540025.92000000004</v>
      </c>
      <c r="Q2535" t="s">
        <v>130</v>
      </c>
      <c r="R2535" t="s">
        <v>131</v>
      </c>
    </row>
    <row r="2536" spans="3:18" hidden="1" x14ac:dyDescent="0.25">
      <c r="C2536" t="s">
        <v>45</v>
      </c>
      <c r="D2536" t="s">
        <v>24</v>
      </c>
      <c r="E2536" t="s">
        <v>48</v>
      </c>
      <c r="F2536" t="s">
        <v>41</v>
      </c>
      <c r="G2536" s="89">
        <v>280143</v>
      </c>
      <c r="H2536" t="s">
        <v>42</v>
      </c>
      <c r="I2536" t="s">
        <v>126</v>
      </c>
      <c r="J2536" s="89">
        <v>2801430</v>
      </c>
      <c r="K2536" t="s">
        <v>144</v>
      </c>
      <c r="N2536">
        <v>1</v>
      </c>
      <c r="O2536" s="89">
        <v>5602.86</v>
      </c>
      <c r="P2536" s="89">
        <v>221312.97</v>
      </c>
      <c r="Q2536" t="s">
        <v>137</v>
      </c>
      <c r="R2536" t="s">
        <v>42</v>
      </c>
    </row>
    <row r="2537" spans="3:18" hidden="1" x14ac:dyDescent="0.25">
      <c r="C2537" t="s">
        <v>45</v>
      </c>
      <c r="D2537" t="s">
        <v>22</v>
      </c>
      <c r="E2537" t="s">
        <v>48</v>
      </c>
      <c r="F2537" t="s">
        <v>41</v>
      </c>
      <c r="G2537" s="89">
        <v>101463</v>
      </c>
      <c r="H2537" t="s">
        <v>146</v>
      </c>
      <c r="I2537" t="s">
        <v>133</v>
      </c>
      <c r="J2537" s="89">
        <v>2435112</v>
      </c>
      <c r="K2537" t="s">
        <v>127</v>
      </c>
      <c r="L2537" t="s">
        <v>128</v>
      </c>
      <c r="N2537">
        <v>1</v>
      </c>
      <c r="O2537" s="89">
        <v>3043.89</v>
      </c>
      <c r="P2537" s="89">
        <v>55804.65</v>
      </c>
      <c r="Q2537" t="s">
        <v>142</v>
      </c>
      <c r="R2537" t="s">
        <v>131</v>
      </c>
    </row>
    <row r="2538" spans="3:18" x14ac:dyDescent="0.25">
      <c r="C2538" t="s">
        <v>47</v>
      </c>
      <c r="D2538" t="s">
        <v>22</v>
      </c>
      <c r="E2538" t="s">
        <v>40</v>
      </c>
      <c r="F2538" t="s">
        <v>41</v>
      </c>
      <c r="G2538" s="89">
        <v>10697</v>
      </c>
      <c r="H2538" t="s">
        <v>146</v>
      </c>
      <c r="I2538" t="s">
        <v>133</v>
      </c>
      <c r="J2538" s="89">
        <v>320910</v>
      </c>
      <c r="K2538" t="s">
        <v>127</v>
      </c>
      <c r="L2538" t="s">
        <v>128</v>
      </c>
      <c r="N2538">
        <v>1</v>
      </c>
      <c r="O2538" s="89">
        <v>534.85</v>
      </c>
      <c r="P2538" s="89">
        <v>1497.58</v>
      </c>
      <c r="Q2538" t="s">
        <v>130</v>
      </c>
      <c r="R2538" t="s">
        <v>131</v>
      </c>
    </row>
    <row r="2539" spans="3:18" hidden="1" x14ac:dyDescent="0.25">
      <c r="C2539" t="s">
        <v>45</v>
      </c>
      <c r="D2539" t="s">
        <v>23</v>
      </c>
      <c r="E2539" t="s">
        <v>40</v>
      </c>
      <c r="F2539" t="s">
        <v>41</v>
      </c>
      <c r="G2539" s="89">
        <v>281388</v>
      </c>
      <c r="H2539" t="s">
        <v>42</v>
      </c>
      <c r="I2539" t="s">
        <v>133</v>
      </c>
      <c r="J2539" s="89">
        <v>8160252</v>
      </c>
      <c r="K2539" t="s">
        <v>127</v>
      </c>
      <c r="L2539" t="s">
        <v>128</v>
      </c>
      <c r="M2539" t="s">
        <v>148</v>
      </c>
      <c r="N2539">
        <v>1</v>
      </c>
      <c r="O2539" s="89">
        <v>8441.64</v>
      </c>
      <c r="P2539" s="89">
        <v>188529.96</v>
      </c>
      <c r="Q2539" t="s">
        <v>137</v>
      </c>
      <c r="R2539" t="s">
        <v>131</v>
      </c>
    </row>
    <row r="2540" spans="3:18" hidden="1" x14ac:dyDescent="0.25">
      <c r="C2540" t="s">
        <v>45</v>
      </c>
      <c r="D2540" t="s">
        <v>23</v>
      </c>
      <c r="E2540" t="s">
        <v>44</v>
      </c>
      <c r="F2540" t="s">
        <v>41</v>
      </c>
      <c r="G2540" s="89">
        <v>1643143</v>
      </c>
      <c r="H2540" t="s">
        <v>42</v>
      </c>
      <c r="I2540" t="s">
        <v>126</v>
      </c>
      <c r="J2540" s="89">
        <v>27933431</v>
      </c>
      <c r="K2540" t="s">
        <v>144</v>
      </c>
      <c r="N2540">
        <v>1</v>
      </c>
      <c r="O2540" s="89">
        <v>49294.29</v>
      </c>
      <c r="P2540" s="89">
        <v>1117337.24</v>
      </c>
      <c r="Q2540" t="s">
        <v>137</v>
      </c>
      <c r="R2540" t="s">
        <v>42</v>
      </c>
    </row>
    <row r="2541" spans="3:18" hidden="1" x14ac:dyDescent="0.25">
      <c r="C2541" t="s">
        <v>45</v>
      </c>
      <c r="D2541" t="s">
        <v>138</v>
      </c>
      <c r="E2541" t="s">
        <v>40</v>
      </c>
      <c r="F2541" t="s">
        <v>41</v>
      </c>
      <c r="G2541" s="89">
        <v>191615</v>
      </c>
      <c r="H2541" t="s">
        <v>42</v>
      </c>
      <c r="I2541" t="s">
        <v>133</v>
      </c>
      <c r="J2541" s="89">
        <v>4981990</v>
      </c>
      <c r="K2541" t="s">
        <v>144</v>
      </c>
      <c r="N2541">
        <v>1</v>
      </c>
      <c r="O2541" s="89">
        <v>3832.3</v>
      </c>
      <c r="P2541" s="89">
        <v>137962.79999999999</v>
      </c>
      <c r="Q2541" t="s">
        <v>137</v>
      </c>
      <c r="R2541" t="s">
        <v>131</v>
      </c>
    </row>
    <row r="2542" spans="3:18" x14ac:dyDescent="0.25">
      <c r="C2542" t="s">
        <v>47</v>
      </c>
      <c r="D2542" t="s">
        <v>20</v>
      </c>
      <c r="E2542" t="s">
        <v>43</v>
      </c>
      <c r="F2542" t="s">
        <v>41</v>
      </c>
      <c r="G2542" s="89">
        <v>250563</v>
      </c>
      <c r="H2542" t="s">
        <v>146</v>
      </c>
      <c r="I2542" t="s">
        <v>147</v>
      </c>
      <c r="J2542" s="89">
        <v>501126</v>
      </c>
      <c r="K2542" t="s">
        <v>127</v>
      </c>
      <c r="L2542" t="s">
        <v>128</v>
      </c>
      <c r="N2542">
        <v>1</v>
      </c>
      <c r="O2542" s="89">
        <v>10022.52</v>
      </c>
      <c r="P2542" s="89">
        <v>22550.67</v>
      </c>
      <c r="Q2542" t="s">
        <v>130</v>
      </c>
      <c r="R2542" t="s">
        <v>131</v>
      </c>
    </row>
    <row r="2543" spans="3:18" hidden="1" x14ac:dyDescent="0.25">
      <c r="C2543" t="s">
        <v>45</v>
      </c>
      <c r="D2543" t="s">
        <v>23</v>
      </c>
      <c r="E2543" t="s">
        <v>43</v>
      </c>
      <c r="F2543" t="s">
        <v>41</v>
      </c>
      <c r="G2543" s="89">
        <v>144319</v>
      </c>
      <c r="H2543" t="s">
        <v>140</v>
      </c>
      <c r="I2543" t="s">
        <v>126</v>
      </c>
      <c r="J2543" s="89">
        <v>2020466</v>
      </c>
      <c r="K2543" t="s">
        <v>144</v>
      </c>
      <c r="N2543">
        <v>1</v>
      </c>
      <c r="O2543" s="89">
        <v>4329.57</v>
      </c>
      <c r="P2543" s="89">
        <v>38966.129999999997</v>
      </c>
      <c r="Q2543" t="s">
        <v>130</v>
      </c>
      <c r="R2543" t="s">
        <v>131</v>
      </c>
    </row>
    <row r="2544" spans="3:18" hidden="1" x14ac:dyDescent="0.25">
      <c r="C2544" t="s">
        <v>45</v>
      </c>
      <c r="D2544" t="s">
        <v>19</v>
      </c>
      <c r="E2544" t="s">
        <v>43</v>
      </c>
      <c r="F2544" t="s">
        <v>41</v>
      </c>
      <c r="G2544" s="89">
        <v>244837</v>
      </c>
      <c r="I2544" t="s">
        <v>133</v>
      </c>
      <c r="J2544" s="89">
        <v>5141577</v>
      </c>
      <c r="K2544" t="s">
        <v>134</v>
      </c>
      <c r="L2544" t="s">
        <v>128</v>
      </c>
      <c r="N2544">
        <v>1</v>
      </c>
      <c r="O2544" s="89">
        <v>7345.11</v>
      </c>
      <c r="P2544" s="89">
        <v>166489.16</v>
      </c>
      <c r="Q2544" t="s">
        <v>137</v>
      </c>
      <c r="R2544" t="s">
        <v>131</v>
      </c>
    </row>
    <row r="2545" spans="3:18" x14ac:dyDescent="0.25">
      <c r="C2545" t="s">
        <v>47</v>
      </c>
      <c r="D2545" t="s">
        <v>23</v>
      </c>
      <c r="E2545" t="s">
        <v>43</v>
      </c>
      <c r="F2545" t="s">
        <v>41</v>
      </c>
      <c r="G2545" s="89">
        <v>241374</v>
      </c>
      <c r="H2545" t="s">
        <v>140</v>
      </c>
      <c r="I2545" t="s">
        <v>141</v>
      </c>
      <c r="J2545" s="89">
        <v>1689618</v>
      </c>
      <c r="K2545" t="s">
        <v>127</v>
      </c>
      <c r="L2545" t="s">
        <v>128</v>
      </c>
      <c r="N2545">
        <v>1</v>
      </c>
      <c r="O2545" s="89">
        <v>12068.7</v>
      </c>
      <c r="P2545" s="89">
        <v>67584.72</v>
      </c>
      <c r="Q2545" t="s">
        <v>130</v>
      </c>
      <c r="R2545" t="s">
        <v>131</v>
      </c>
    </row>
    <row r="2546" spans="3:18" hidden="1" x14ac:dyDescent="0.25">
      <c r="C2546" t="s">
        <v>45</v>
      </c>
      <c r="D2546" t="s">
        <v>21</v>
      </c>
      <c r="E2546" t="s">
        <v>44</v>
      </c>
      <c r="F2546" t="s">
        <v>53</v>
      </c>
      <c r="G2546" s="89">
        <v>549808</v>
      </c>
      <c r="H2546" t="s">
        <v>42</v>
      </c>
      <c r="I2546" t="s">
        <v>133</v>
      </c>
      <c r="J2546" s="89">
        <v>12645584</v>
      </c>
      <c r="K2546" t="s">
        <v>144</v>
      </c>
      <c r="N2546">
        <v>1</v>
      </c>
      <c r="O2546" s="89">
        <v>16494.240000000002</v>
      </c>
      <c r="P2546" s="89">
        <v>384865.6</v>
      </c>
      <c r="Q2546" t="s">
        <v>137</v>
      </c>
      <c r="R2546" t="s">
        <v>42</v>
      </c>
    </row>
    <row r="2547" spans="3:18" hidden="1" x14ac:dyDescent="0.25">
      <c r="C2547" t="s">
        <v>45</v>
      </c>
      <c r="D2547" t="s">
        <v>22</v>
      </c>
      <c r="E2547" t="s">
        <v>40</v>
      </c>
      <c r="F2547" t="s">
        <v>41</v>
      </c>
      <c r="G2547" s="89">
        <v>108653</v>
      </c>
      <c r="H2547" t="s">
        <v>132</v>
      </c>
      <c r="I2547" t="s">
        <v>126</v>
      </c>
      <c r="J2547" s="89">
        <v>1847101</v>
      </c>
      <c r="K2547" t="s">
        <v>127</v>
      </c>
      <c r="L2547" t="s">
        <v>128</v>
      </c>
      <c r="N2547">
        <v>1</v>
      </c>
      <c r="O2547" s="89">
        <v>5432.65</v>
      </c>
      <c r="P2547" s="89">
        <v>127124.01</v>
      </c>
      <c r="Q2547" t="s">
        <v>150</v>
      </c>
      <c r="R2547" t="s">
        <v>131</v>
      </c>
    </row>
    <row r="2548" spans="3:18" x14ac:dyDescent="0.25">
      <c r="C2548" t="s">
        <v>47</v>
      </c>
      <c r="D2548" t="s">
        <v>24</v>
      </c>
      <c r="E2548" t="s">
        <v>43</v>
      </c>
      <c r="F2548" t="s">
        <v>41</v>
      </c>
      <c r="G2548" s="89">
        <v>600934</v>
      </c>
      <c r="H2548" t="s">
        <v>42</v>
      </c>
      <c r="I2548" t="s">
        <v>147</v>
      </c>
      <c r="J2548" s="89">
        <v>600934</v>
      </c>
      <c r="K2548" t="s">
        <v>127</v>
      </c>
      <c r="L2548" t="s">
        <v>128</v>
      </c>
      <c r="M2548" t="s">
        <v>148</v>
      </c>
      <c r="N2548">
        <v>1</v>
      </c>
      <c r="O2548" s="89">
        <v>24037.360000000001</v>
      </c>
      <c r="P2548" s="89">
        <v>270420.3</v>
      </c>
      <c r="Q2548" t="s">
        <v>142</v>
      </c>
      <c r="R2548" t="s">
        <v>131</v>
      </c>
    </row>
    <row r="2549" spans="3:18" x14ac:dyDescent="0.25">
      <c r="C2549" t="s">
        <v>47</v>
      </c>
      <c r="D2549" t="s">
        <v>22</v>
      </c>
      <c r="E2549" t="s">
        <v>40</v>
      </c>
      <c r="F2549" t="s">
        <v>41</v>
      </c>
      <c r="G2549" s="89">
        <v>22752466</v>
      </c>
      <c r="H2549" t="s">
        <v>140</v>
      </c>
      <c r="I2549" t="s">
        <v>147</v>
      </c>
      <c r="J2549" s="89">
        <v>45504932</v>
      </c>
      <c r="K2549" t="s">
        <v>127</v>
      </c>
      <c r="L2549" t="s">
        <v>128</v>
      </c>
      <c r="N2549">
        <v>1</v>
      </c>
      <c r="O2549" s="89">
        <v>910098.64</v>
      </c>
      <c r="P2549" s="89">
        <v>14561578.24</v>
      </c>
      <c r="Q2549" t="s">
        <v>137</v>
      </c>
      <c r="R2549" t="s">
        <v>131</v>
      </c>
    </row>
    <row r="2550" spans="3:18" hidden="1" x14ac:dyDescent="0.25">
      <c r="C2550" t="s">
        <v>45</v>
      </c>
      <c r="D2550" t="s">
        <v>23</v>
      </c>
      <c r="E2550" t="s">
        <v>40</v>
      </c>
      <c r="F2550" t="s">
        <v>41</v>
      </c>
      <c r="G2550" s="89">
        <v>121784</v>
      </c>
      <c r="H2550" t="s">
        <v>132</v>
      </c>
      <c r="I2550" t="s">
        <v>126</v>
      </c>
      <c r="J2550" s="89">
        <v>2070328</v>
      </c>
      <c r="K2550" t="s">
        <v>134</v>
      </c>
      <c r="L2550" t="s">
        <v>128</v>
      </c>
      <c r="N2550">
        <v>1</v>
      </c>
      <c r="O2550" s="89">
        <v>3653.52</v>
      </c>
      <c r="P2550" s="89">
        <v>45060.08</v>
      </c>
      <c r="Q2550" t="s">
        <v>130</v>
      </c>
      <c r="R2550" t="s">
        <v>131</v>
      </c>
    </row>
    <row r="2551" spans="3:18" hidden="1" x14ac:dyDescent="0.25">
      <c r="C2551" t="s">
        <v>45</v>
      </c>
      <c r="D2551" t="s">
        <v>24</v>
      </c>
      <c r="E2551" t="s">
        <v>48</v>
      </c>
      <c r="F2551" t="s">
        <v>53</v>
      </c>
      <c r="G2551" s="89">
        <v>99739</v>
      </c>
      <c r="H2551" t="s">
        <v>42</v>
      </c>
      <c r="I2551" t="s">
        <v>126</v>
      </c>
      <c r="J2551" s="89">
        <v>1695563</v>
      </c>
      <c r="K2551" t="s">
        <v>144</v>
      </c>
      <c r="N2551">
        <v>1</v>
      </c>
      <c r="O2551" s="89">
        <v>2992.17</v>
      </c>
      <c r="P2551" s="89">
        <v>67822.52</v>
      </c>
      <c r="Q2551" t="s">
        <v>137</v>
      </c>
      <c r="R2551" t="s">
        <v>42</v>
      </c>
    </row>
    <row r="2552" spans="3:18" hidden="1" x14ac:dyDescent="0.25">
      <c r="C2552" t="s">
        <v>45</v>
      </c>
      <c r="D2552" t="s">
        <v>23</v>
      </c>
      <c r="E2552" t="s">
        <v>48</v>
      </c>
      <c r="F2552" t="s">
        <v>41</v>
      </c>
      <c r="G2552" s="89">
        <v>212020</v>
      </c>
      <c r="H2552" t="s">
        <v>146</v>
      </c>
      <c r="I2552" t="s">
        <v>126</v>
      </c>
      <c r="J2552" s="89">
        <v>4028380</v>
      </c>
      <c r="K2552" t="s">
        <v>127</v>
      </c>
      <c r="L2552" t="s">
        <v>128</v>
      </c>
      <c r="N2552">
        <v>1</v>
      </c>
      <c r="O2552" s="89">
        <v>8480.7999999999993</v>
      </c>
      <c r="P2552" s="89">
        <v>173856.4</v>
      </c>
      <c r="Q2552" t="s">
        <v>135</v>
      </c>
      <c r="R2552" t="s">
        <v>131</v>
      </c>
    </row>
    <row r="2553" spans="3:18" hidden="1" x14ac:dyDescent="0.25">
      <c r="C2553" t="s">
        <v>45</v>
      </c>
      <c r="D2553" t="s">
        <v>22</v>
      </c>
      <c r="E2553" t="s">
        <v>48</v>
      </c>
      <c r="F2553" t="s">
        <v>41</v>
      </c>
      <c r="G2553" s="89">
        <v>167347</v>
      </c>
      <c r="H2553" t="s">
        <v>140</v>
      </c>
      <c r="I2553" t="s">
        <v>133</v>
      </c>
      <c r="J2553" s="89">
        <v>5355104</v>
      </c>
      <c r="K2553" t="s">
        <v>127</v>
      </c>
      <c r="L2553" t="s">
        <v>128</v>
      </c>
      <c r="N2553">
        <v>1</v>
      </c>
      <c r="O2553" s="89">
        <v>5020.41</v>
      </c>
      <c r="P2553" s="89">
        <v>135551.07</v>
      </c>
      <c r="Q2553" t="s">
        <v>135</v>
      </c>
      <c r="R2553" t="s">
        <v>131</v>
      </c>
    </row>
    <row r="2554" spans="3:18" hidden="1" x14ac:dyDescent="0.25">
      <c r="C2554" t="s">
        <v>45</v>
      </c>
      <c r="D2554" t="s">
        <v>23</v>
      </c>
      <c r="E2554" t="s">
        <v>40</v>
      </c>
      <c r="F2554" t="s">
        <v>41</v>
      </c>
      <c r="G2554" s="89">
        <v>227817</v>
      </c>
      <c r="H2554" t="s">
        <v>140</v>
      </c>
      <c r="I2554" t="s">
        <v>141</v>
      </c>
      <c r="J2554" s="89">
        <v>1822536</v>
      </c>
      <c r="K2554" t="s">
        <v>144</v>
      </c>
      <c r="N2554">
        <v>1</v>
      </c>
      <c r="O2554" s="89">
        <v>6834.51</v>
      </c>
      <c r="P2554" s="89">
        <v>54676.08</v>
      </c>
      <c r="Q2554" t="s">
        <v>130</v>
      </c>
      <c r="R2554" t="s">
        <v>131</v>
      </c>
    </row>
    <row r="2555" spans="3:18" hidden="1" x14ac:dyDescent="0.25">
      <c r="C2555" t="s">
        <v>45</v>
      </c>
      <c r="D2555" t="s">
        <v>138</v>
      </c>
      <c r="E2555" t="s">
        <v>40</v>
      </c>
      <c r="F2555" t="s">
        <v>41</v>
      </c>
      <c r="G2555" s="89">
        <v>502363</v>
      </c>
      <c r="H2555" t="s">
        <v>132</v>
      </c>
      <c r="I2555" t="s">
        <v>133</v>
      </c>
      <c r="J2555" s="89">
        <v>14568527</v>
      </c>
      <c r="K2555" t="s">
        <v>127</v>
      </c>
      <c r="L2555" t="s">
        <v>128</v>
      </c>
      <c r="N2555">
        <v>1</v>
      </c>
      <c r="O2555" s="89">
        <v>20094.52</v>
      </c>
      <c r="P2555" s="89">
        <v>361701.36</v>
      </c>
      <c r="Q2555" t="s">
        <v>137</v>
      </c>
      <c r="R2555" t="s">
        <v>131</v>
      </c>
    </row>
    <row r="2556" spans="3:18" x14ac:dyDescent="0.25">
      <c r="C2556" t="s">
        <v>47</v>
      </c>
      <c r="D2556" t="s">
        <v>22</v>
      </c>
      <c r="E2556" t="s">
        <v>40</v>
      </c>
      <c r="F2556" t="s">
        <v>41</v>
      </c>
      <c r="G2556" s="89">
        <v>2624742</v>
      </c>
      <c r="H2556" t="s">
        <v>140</v>
      </c>
      <c r="I2556" t="s">
        <v>141</v>
      </c>
      <c r="J2556" s="89">
        <v>23622678</v>
      </c>
      <c r="K2556" t="s">
        <v>144</v>
      </c>
      <c r="N2556">
        <v>1</v>
      </c>
      <c r="O2556" s="89">
        <v>104989.68</v>
      </c>
      <c r="P2556" s="89">
        <v>551195.81999999995</v>
      </c>
      <c r="Q2556" t="s">
        <v>130</v>
      </c>
      <c r="R2556" t="s">
        <v>131</v>
      </c>
    </row>
    <row r="2557" spans="3:18" hidden="1" x14ac:dyDescent="0.25">
      <c r="C2557" t="s">
        <v>45</v>
      </c>
      <c r="D2557" t="s">
        <v>149</v>
      </c>
      <c r="E2557" t="s">
        <v>43</v>
      </c>
      <c r="F2557" t="s">
        <v>41</v>
      </c>
      <c r="G2557" s="89">
        <v>46740</v>
      </c>
      <c r="H2557" t="s">
        <v>145</v>
      </c>
      <c r="I2557" t="s">
        <v>147</v>
      </c>
      <c r="J2557" s="89">
        <v>93480</v>
      </c>
      <c r="K2557" t="s">
        <v>127</v>
      </c>
      <c r="L2557" t="s">
        <v>128</v>
      </c>
      <c r="N2557">
        <v>1</v>
      </c>
      <c r="O2557" s="89">
        <v>1402.2</v>
      </c>
      <c r="P2557" s="89">
        <v>5608.8</v>
      </c>
      <c r="Q2557" t="s">
        <v>130</v>
      </c>
      <c r="R2557" t="s">
        <v>131</v>
      </c>
    </row>
    <row r="2558" spans="3:18" hidden="1" x14ac:dyDescent="0.25">
      <c r="C2558" t="s">
        <v>45</v>
      </c>
      <c r="D2558" t="s">
        <v>20</v>
      </c>
      <c r="E2558" t="s">
        <v>43</v>
      </c>
      <c r="F2558" t="s">
        <v>41</v>
      </c>
      <c r="G2558" s="89">
        <v>683145</v>
      </c>
      <c r="H2558" t="s">
        <v>146</v>
      </c>
      <c r="I2558" t="s">
        <v>133</v>
      </c>
      <c r="J2558" s="89">
        <v>19128060</v>
      </c>
      <c r="K2558" t="s">
        <v>134</v>
      </c>
      <c r="L2558" t="s">
        <v>128</v>
      </c>
      <c r="N2558">
        <v>1</v>
      </c>
      <c r="O2558" s="89">
        <v>20494.349999999999</v>
      </c>
      <c r="P2558" s="89">
        <v>457707.15</v>
      </c>
      <c r="Q2558" t="s">
        <v>137</v>
      </c>
      <c r="R2558" t="s">
        <v>131</v>
      </c>
    </row>
    <row r="2559" spans="3:18" hidden="1" x14ac:dyDescent="0.25">
      <c r="C2559" t="s">
        <v>45</v>
      </c>
      <c r="D2559" t="s">
        <v>22</v>
      </c>
      <c r="E2559" t="s">
        <v>40</v>
      </c>
      <c r="F2559" t="s">
        <v>41</v>
      </c>
      <c r="G2559" s="89">
        <v>3199402</v>
      </c>
      <c r="H2559" t="s">
        <v>42</v>
      </c>
      <c r="I2559" t="s">
        <v>133</v>
      </c>
      <c r="J2559" s="89">
        <v>99181462</v>
      </c>
      <c r="K2559" t="s">
        <v>127</v>
      </c>
      <c r="L2559" t="s">
        <v>128</v>
      </c>
      <c r="M2559" t="s">
        <v>143</v>
      </c>
      <c r="N2559">
        <v>1</v>
      </c>
      <c r="O2559" s="89">
        <v>95982.06</v>
      </c>
      <c r="P2559" s="89">
        <v>3647318.28</v>
      </c>
      <c r="Q2559" t="s">
        <v>150</v>
      </c>
      <c r="R2559" t="s">
        <v>131</v>
      </c>
    </row>
    <row r="2560" spans="3:18" hidden="1" x14ac:dyDescent="0.25">
      <c r="C2560" t="s">
        <v>45</v>
      </c>
      <c r="D2560" t="s">
        <v>19</v>
      </c>
      <c r="E2560" t="s">
        <v>43</v>
      </c>
      <c r="F2560" t="s">
        <v>41</v>
      </c>
      <c r="G2560" s="89">
        <v>397215</v>
      </c>
      <c r="H2560" t="s">
        <v>42</v>
      </c>
      <c r="I2560" t="s">
        <v>133</v>
      </c>
      <c r="J2560" s="89">
        <v>13108095</v>
      </c>
      <c r="K2560" t="s">
        <v>127</v>
      </c>
      <c r="L2560" t="s">
        <v>128</v>
      </c>
      <c r="M2560" t="s">
        <v>148</v>
      </c>
      <c r="N2560">
        <v>1</v>
      </c>
      <c r="O2560" s="89">
        <v>11916.45</v>
      </c>
      <c r="P2560" s="89">
        <v>325716.3</v>
      </c>
      <c r="Q2560" t="s">
        <v>135</v>
      </c>
      <c r="R2560" t="s">
        <v>131</v>
      </c>
    </row>
    <row r="2561" spans="3:18" hidden="1" x14ac:dyDescent="0.25">
      <c r="C2561" t="s">
        <v>45</v>
      </c>
      <c r="D2561" t="s">
        <v>25</v>
      </c>
      <c r="E2561" t="s">
        <v>44</v>
      </c>
      <c r="F2561" t="s">
        <v>41</v>
      </c>
      <c r="G2561" s="89">
        <v>850</v>
      </c>
      <c r="H2561" t="s">
        <v>145</v>
      </c>
      <c r="I2561" t="s">
        <v>126</v>
      </c>
      <c r="J2561" s="89">
        <v>17000</v>
      </c>
      <c r="K2561" t="s">
        <v>127</v>
      </c>
      <c r="L2561" t="s">
        <v>128</v>
      </c>
      <c r="N2561">
        <v>1</v>
      </c>
      <c r="O2561" s="89">
        <v>25.5</v>
      </c>
      <c r="P2561" s="89">
        <v>8.5</v>
      </c>
      <c r="Q2561" t="s">
        <v>130</v>
      </c>
      <c r="R2561" t="s">
        <v>131</v>
      </c>
    </row>
    <row r="2562" spans="3:18" hidden="1" x14ac:dyDescent="0.25">
      <c r="C2562" t="s">
        <v>45</v>
      </c>
      <c r="D2562" t="s">
        <v>21</v>
      </c>
      <c r="E2562" t="s">
        <v>43</v>
      </c>
      <c r="F2562" t="s">
        <v>41</v>
      </c>
      <c r="G2562" s="89">
        <v>79920</v>
      </c>
      <c r="H2562" t="s">
        <v>146</v>
      </c>
      <c r="I2562" t="s">
        <v>147</v>
      </c>
      <c r="J2562" s="89">
        <v>239760</v>
      </c>
      <c r="K2562" t="s">
        <v>127</v>
      </c>
      <c r="L2562" t="s">
        <v>128</v>
      </c>
      <c r="N2562">
        <v>1</v>
      </c>
      <c r="O2562" s="89">
        <v>3196.8</v>
      </c>
      <c r="P2562" s="89">
        <v>110289.60000000001</v>
      </c>
      <c r="Q2562" t="s">
        <v>150</v>
      </c>
      <c r="R2562" t="s">
        <v>131</v>
      </c>
    </row>
    <row r="2563" spans="3:18" hidden="1" x14ac:dyDescent="0.25">
      <c r="C2563" t="s">
        <v>45</v>
      </c>
      <c r="D2563" t="s">
        <v>24</v>
      </c>
      <c r="E2563" t="s">
        <v>48</v>
      </c>
      <c r="F2563" t="s">
        <v>41</v>
      </c>
      <c r="G2563" s="89">
        <v>287642</v>
      </c>
      <c r="H2563" t="s">
        <v>132</v>
      </c>
      <c r="I2563" t="s">
        <v>133</v>
      </c>
      <c r="J2563" s="89">
        <v>7766334</v>
      </c>
      <c r="K2563" t="s">
        <v>144</v>
      </c>
      <c r="N2563">
        <v>1</v>
      </c>
      <c r="O2563" s="89">
        <v>8629.26</v>
      </c>
      <c r="P2563" s="89">
        <v>80539.759999999995</v>
      </c>
      <c r="Q2563" t="s">
        <v>130</v>
      </c>
      <c r="R2563" t="s">
        <v>131</v>
      </c>
    </row>
    <row r="2564" spans="3:18" hidden="1" x14ac:dyDescent="0.25">
      <c r="C2564" t="s">
        <v>45</v>
      </c>
      <c r="D2564" t="s">
        <v>24</v>
      </c>
      <c r="E2564" t="s">
        <v>44</v>
      </c>
      <c r="F2564" t="s">
        <v>41</v>
      </c>
      <c r="G2564" s="89">
        <v>78126</v>
      </c>
      <c r="H2564" t="s">
        <v>145</v>
      </c>
      <c r="I2564" t="s">
        <v>147</v>
      </c>
      <c r="J2564" s="89">
        <v>312504</v>
      </c>
      <c r="K2564" t="s">
        <v>127</v>
      </c>
      <c r="L2564" t="s">
        <v>128</v>
      </c>
      <c r="N2564">
        <v>1</v>
      </c>
      <c r="O2564" s="89">
        <v>3125.04</v>
      </c>
      <c r="P2564" s="89">
        <v>11718.9</v>
      </c>
      <c r="Q2564" t="s">
        <v>130</v>
      </c>
      <c r="R2564" t="s">
        <v>131</v>
      </c>
    </row>
    <row r="2565" spans="3:18" x14ac:dyDescent="0.25">
      <c r="C2565" t="s">
        <v>47</v>
      </c>
      <c r="D2565" t="s">
        <v>23</v>
      </c>
      <c r="E2565" t="s">
        <v>40</v>
      </c>
      <c r="F2565" t="s">
        <v>41</v>
      </c>
      <c r="G2565" s="89">
        <v>23322</v>
      </c>
      <c r="H2565" t="s">
        <v>132</v>
      </c>
      <c r="I2565" t="s">
        <v>153</v>
      </c>
      <c r="J2565" s="89"/>
      <c r="K2565" t="s">
        <v>127</v>
      </c>
      <c r="L2565" t="s">
        <v>128</v>
      </c>
      <c r="N2565">
        <v>0</v>
      </c>
      <c r="O2565" s="89">
        <v>932.88</v>
      </c>
      <c r="P2565" s="89">
        <v>4664.3999999999996</v>
      </c>
      <c r="Q2565" t="s">
        <v>130</v>
      </c>
      <c r="R2565" t="s">
        <v>131</v>
      </c>
    </row>
    <row r="2566" spans="3:18" hidden="1" x14ac:dyDescent="0.25">
      <c r="C2566" t="s">
        <v>45</v>
      </c>
      <c r="D2566" t="s">
        <v>21</v>
      </c>
      <c r="E2566" t="s">
        <v>43</v>
      </c>
      <c r="F2566" t="s">
        <v>53</v>
      </c>
      <c r="G2566" s="89">
        <v>3594</v>
      </c>
      <c r="H2566" t="s">
        <v>132</v>
      </c>
      <c r="I2566" t="s">
        <v>147</v>
      </c>
      <c r="J2566" s="89">
        <v>3594</v>
      </c>
      <c r="K2566" t="s">
        <v>127</v>
      </c>
      <c r="L2566" t="s">
        <v>128</v>
      </c>
      <c r="N2566">
        <v>1</v>
      </c>
      <c r="O2566" s="89">
        <v>107.82</v>
      </c>
      <c r="P2566" s="89">
        <v>323.45999999999998</v>
      </c>
      <c r="Q2566" t="s">
        <v>130</v>
      </c>
      <c r="R2566" t="s">
        <v>131</v>
      </c>
    </row>
    <row r="2567" spans="3:18" x14ac:dyDescent="0.25">
      <c r="C2567" t="s">
        <v>47</v>
      </c>
      <c r="D2567" t="s">
        <v>20</v>
      </c>
      <c r="E2567" t="s">
        <v>48</v>
      </c>
      <c r="F2567" t="s">
        <v>41</v>
      </c>
      <c r="G2567" s="89">
        <v>257379</v>
      </c>
      <c r="H2567" t="s">
        <v>42</v>
      </c>
      <c r="I2567" t="s">
        <v>141</v>
      </c>
      <c r="J2567" s="89">
        <v>1801653</v>
      </c>
      <c r="K2567" t="s">
        <v>127</v>
      </c>
      <c r="L2567" t="s">
        <v>128</v>
      </c>
      <c r="M2567" t="s">
        <v>139</v>
      </c>
      <c r="N2567">
        <v>1</v>
      </c>
      <c r="O2567" s="89">
        <v>10295.16</v>
      </c>
      <c r="P2567" s="89">
        <v>87508.86</v>
      </c>
      <c r="Q2567" t="s">
        <v>130</v>
      </c>
      <c r="R2567" t="s">
        <v>131</v>
      </c>
    </row>
    <row r="2568" spans="3:18" x14ac:dyDescent="0.25">
      <c r="C2568" t="s">
        <v>47</v>
      </c>
      <c r="D2568" t="s">
        <v>20</v>
      </c>
      <c r="E2568" t="s">
        <v>40</v>
      </c>
      <c r="F2568" t="s">
        <v>41</v>
      </c>
      <c r="G2568" s="89">
        <v>95273</v>
      </c>
      <c r="H2568" t="s">
        <v>145</v>
      </c>
      <c r="I2568" t="s">
        <v>153</v>
      </c>
      <c r="J2568" s="89"/>
      <c r="K2568" t="s">
        <v>127</v>
      </c>
      <c r="L2568" t="s">
        <v>128</v>
      </c>
      <c r="N2568">
        <v>0</v>
      </c>
      <c r="O2568" s="89">
        <v>3810.92</v>
      </c>
      <c r="P2568" s="89">
        <v>77171.13</v>
      </c>
      <c r="Q2568" t="s">
        <v>135</v>
      </c>
      <c r="R2568" t="s">
        <v>131</v>
      </c>
    </row>
    <row r="2569" spans="3:18" x14ac:dyDescent="0.25">
      <c r="C2569" t="s">
        <v>47</v>
      </c>
      <c r="D2569" t="s">
        <v>21</v>
      </c>
      <c r="E2569" t="s">
        <v>40</v>
      </c>
      <c r="F2569" t="s">
        <v>41</v>
      </c>
      <c r="G2569" s="89">
        <v>542066</v>
      </c>
      <c r="H2569" t="s">
        <v>146</v>
      </c>
      <c r="I2569" t="s">
        <v>126</v>
      </c>
      <c r="J2569" s="89">
        <v>7046858</v>
      </c>
      <c r="K2569" t="s">
        <v>144</v>
      </c>
      <c r="N2569">
        <v>1</v>
      </c>
      <c r="O2569" s="89">
        <v>21682.639999999999</v>
      </c>
      <c r="P2569" s="89">
        <v>119254.52</v>
      </c>
      <c r="Q2569" t="s">
        <v>130</v>
      </c>
      <c r="R2569" t="s">
        <v>131</v>
      </c>
    </row>
    <row r="2570" spans="3:18" hidden="1" x14ac:dyDescent="0.25">
      <c r="C2570" t="s">
        <v>45</v>
      </c>
      <c r="D2570" t="s">
        <v>25</v>
      </c>
      <c r="E2570" t="s">
        <v>44</v>
      </c>
      <c r="F2570" t="s">
        <v>41</v>
      </c>
      <c r="G2570" s="89">
        <v>755345</v>
      </c>
      <c r="H2570" t="s">
        <v>146</v>
      </c>
      <c r="I2570" t="s">
        <v>126</v>
      </c>
      <c r="J2570" s="89">
        <v>12085520</v>
      </c>
      <c r="K2570" t="s">
        <v>127</v>
      </c>
      <c r="L2570" t="s">
        <v>128</v>
      </c>
      <c r="N2570">
        <v>1</v>
      </c>
      <c r="O2570" s="89">
        <v>22660.35</v>
      </c>
      <c r="P2570" s="89">
        <v>377672.5</v>
      </c>
      <c r="Q2570" t="s">
        <v>142</v>
      </c>
      <c r="R2570" t="s">
        <v>131</v>
      </c>
    </row>
    <row r="2571" spans="3:18" hidden="1" x14ac:dyDescent="0.25">
      <c r="C2571" t="s">
        <v>45</v>
      </c>
      <c r="D2571" t="s">
        <v>20</v>
      </c>
      <c r="E2571" t="s">
        <v>43</v>
      </c>
      <c r="F2571" t="s">
        <v>41</v>
      </c>
      <c r="G2571" s="89">
        <v>975256</v>
      </c>
      <c r="H2571" t="s">
        <v>42</v>
      </c>
      <c r="I2571" t="s">
        <v>147</v>
      </c>
      <c r="J2571" s="89">
        <v>2925768</v>
      </c>
      <c r="K2571" t="s">
        <v>127</v>
      </c>
      <c r="L2571" t="s">
        <v>128</v>
      </c>
      <c r="M2571" t="s">
        <v>139</v>
      </c>
      <c r="N2571">
        <v>1</v>
      </c>
      <c r="O2571" s="89">
        <v>29257.68</v>
      </c>
      <c r="P2571" s="89">
        <v>117030.72</v>
      </c>
      <c r="Q2571" t="s">
        <v>130</v>
      </c>
      <c r="R2571" t="s">
        <v>131</v>
      </c>
    </row>
    <row r="2572" spans="3:18" hidden="1" x14ac:dyDescent="0.25">
      <c r="C2572" t="s">
        <v>45</v>
      </c>
      <c r="D2572" t="s">
        <v>22</v>
      </c>
      <c r="E2572" t="s">
        <v>40</v>
      </c>
      <c r="F2572" t="s">
        <v>41</v>
      </c>
      <c r="G2572" s="89">
        <v>32664777</v>
      </c>
      <c r="H2572" t="s">
        <v>132</v>
      </c>
      <c r="I2572" t="s">
        <v>141</v>
      </c>
      <c r="J2572" s="89">
        <v>228653439</v>
      </c>
      <c r="K2572" t="s">
        <v>127</v>
      </c>
      <c r="L2572" t="s">
        <v>128</v>
      </c>
      <c r="N2572">
        <v>1</v>
      </c>
      <c r="O2572" s="89">
        <v>979943.31</v>
      </c>
      <c r="P2572" s="89">
        <v>7512898.71</v>
      </c>
      <c r="Q2572" t="s">
        <v>130</v>
      </c>
      <c r="R2572" t="s">
        <v>131</v>
      </c>
    </row>
    <row r="2573" spans="3:18" hidden="1" x14ac:dyDescent="0.25">
      <c r="C2573" t="s">
        <v>45</v>
      </c>
      <c r="D2573" t="s">
        <v>21</v>
      </c>
      <c r="E2573" t="s">
        <v>40</v>
      </c>
      <c r="F2573" t="s">
        <v>41</v>
      </c>
      <c r="G2573" s="89">
        <v>179958</v>
      </c>
      <c r="H2573" t="s">
        <v>140</v>
      </c>
      <c r="I2573" t="s">
        <v>126</v>
      </c>
      <c r="J2573" s="89">
        <v>3239244</v>
      </c>
      <c r="K2573" t="s">
        <v>134</v>
      </c>
      <c r="L2573" t="s">
        <v>128</v>
      </c>
      <c r="N2573">
        <v>1</v>
      </c>
      <c r="O2573" s="89">
        <v>5398.74</v>
      </c>
      <c r="P2573" s="89">
        <v>86379.839999999997</v>
      </c>
      <c r="Q2573" t="s">
        <v>142</v>
      </c>
      <c r="R2573" t="s">
        <v>131</v>
      </c>
    </row>
    <row r="2574" spans="3:18" hidden="1" x14ac:dyDescent="0.25">
      <c r="C2574" t="s">
        <v>45</v>
      </c>
      <c r="D2574" t="s">
        <v>21</v>
      </c>
      <c r="E2574" t="s">
        <v>48</v>
      </c>
      <c r="F2574" t="s">
        <v>41</v>
      </c>
      <c r="G2574" s="89">
        <v>96926</v>
      </c>
      <c r="H2574" t="s">
        <v>140</v>
      </c>
      <c r="I2574" t="s">
        <v>141</v>
      </c>
      <c r="J2574" s="89">
        <v>775408</v>
      </c>
      <c r="K2574" t="s">
        <v>127</v>
      </c>
      <c r="L2574" t="s">
        <v>128</v>
      </c>
      <c r="N2574">
        <v>1</v>
      </c>
      <c r="O2574" s="89">
        <v>2907.78</v>
      </c>
      <c r="P2574" s="89">
        <v>20354.46</v>
      </c>
      <c r="Q2574" t="s">
        <v>130</v>
      </c>
      <c r="R2574" t="s">
        <v>131</v>
      </c>
    </row>
    <row r="2575" spans="3:18" x14ac:dyDescent="0.25">
      <c r="C2575" t="s">
        <v>47</v>
      </c>
      <c r="D2575" t="s">
        <v>22</v>
      </c>
      <c r="E2575" t="s">
        <v>40</v>
      </c>
      <c r="F2575" t="s">
        <v>41</v>
      </c>
      <c r="G2575" s="89">
        <v>78786</v>
      </c>
      <c r="H2575" t="s">
        <v>146</v>
      </c>
      <c r="I2575" t="s">
        <v>147</v>
      </c>
      <c r="J2575" s="89">
        <v>315144</v>
      </c>
      <c r="K2575" t="s">
        <v>144</v>
      </c>
      <c r="N2575">
        <v>1</v>
      </c>
      <c r="O2575" s="89">
        <v>3151.44</v>
      </c>
      <c r="P2575" s="89">
        <v>18120.78</v>
      </c>
      <c r="Q2575" t="s">
        <v>130</v>
      </c>
      <c r="R2575" t="s">
        <v>131</v>
      </c>
    </row>
    <row r="2576" spans="3:18" hidden="1" x14ac:dyDescent="0.25">
      <c r="C2576" t="s">
        <v>45</v>
      </c>
      <c r="D2576" t="s">
        <v>20</v>
      </c>
      <c r="E2576" t="s">
        <v>40</v>
      </c>
      <c r="F2576" t="s">
        <v>41</v>
      </c>
      <c r="G2576" s="89">
        <v>158359</v>
      </c>
      <c r="H2576" t="s">
        <v>42</v>
      </c>
      <c r="I2576" t="s">
        <v>126</v>
      </c>
      <c r="J2576" s="89">
        <v>2375385</v>
      </c>
      <c r="K2576" t="s">
        <v>144</v>
      </c>
      <c r="N2576">
        <v>1</v>
      </c>
      <c r="O2576" s="89">
        <v>4750.7700000000004</v>
      </c>
      <c r="P2576" s="89">
        <v>41173.339999999997</v>
      </c>
      <c r="Q2576" t="s">
        <v>130</v>
      </c>
      <c r="R2576" t="s">
        <v>42</v>
      </c>
    </row>
    <row r="2577" spans="3:18" hidden="1" x14ac:dyDescent="0.25">
      <c r="C2577" t="s">
        <v>45</v>
      </c>
      <c r="D2577" t="s">
        <v>22</v>
      </c>
      <c r="E2577" t="s">
        <v>40</v>
      </c>
      <c r="F2577" t="s">
        <v>41</v>
      </c>
      <c r="G2577" s="89">
        <v>118707591</v>
      </c>
      <c r="H2577" t="s">
        <v>132</v>
      </c>
      <c r="I2577" t="s">
        <v>133</v>
      </c>
      <c r="J2577" s="89">
        <v>3086397366</v>
      </c>
      <c r="K2577" t="s">
        <v>127</v>
      </c>
      <c r="L2577" t="s">
        <v>128</v>
      </c>
      <c r="N2577">
        <v>1</v>
      </c>
      <c r="O2577" s="89">
        <v>3561227.73</v>
      </c>
      <c r="P2577" s="89">
        <v>61727947.32</v>
      </c>
      <c r="Q2577" t="s">
        <v>142</v>
      </c>
      <c r="R2577" t="s">
        <v>131</v>
      </c>
    </row>
    <row r="2578" spans="3:18" hidden="1" x14ac:dyDescent="0.25">
      <c r="C2578" t="s">
        <v>45</v>
      </c>
      <c r="D2578" t="s">
        <v>23</v>
      </c>
      <c r="E2578" t="s">
        <v>40</v>
      </c>
      <c r="F2578" t="s">
        <v>41</v>
      </c>
      <c r="G2578" s="89">
        <v>213859</v>
      </c>
      <c r="H2578" t="s">
        <v>42</v>
      </c>
      <c r="I2578" t="s">
        <v>133</v>
      </c>
      <c r="J2578" s="89">
        <v>7057347</v>
      </c>
      <c r="K2578" t="s">
        <v>127</v>
      </c>
      <c r="L2578" t="s">
        <v>128</v>
      </c>
      <c r="M2578" t="s">
        <v>129</v>
      </c>
      <c r="N2578">
        <v>1</v>
      </c>
      <c r="O2578" s="89">
        <v>8554.36</v>
      </c>
      <c r="P2578" s="89">
        <v>147562.71</v>
      </c>
      <c r="Q2578" t="s">
        <v>137</v>
      </c>
      <c r="R2578" t="s">
        <v>42</v>
      </c>
    </row>
    <row r="2579" spans="3:18" hidden="1" x14ac:dyDescent="0.25">
      <c r="C2579" t="s">
        <v>45</v>
      </c>
      <c r="D2579" t="s">
        <v>138</v>
      </c>
      <c r="E2579" t="s">
        <v>43</v>
      </c>
      <c r="F2579" t="s">
        <v>41</v>
      </c>
      <c r="G2579" s="89">
        <v>84387</v>
      </c>
      <c r="H2579" t="s">
        <v>132</v>
      </c>
      <c r="I2579" t="s">
        <v>126</v>
      </c>
      <c r="J2579" s="89">
        <v>1687740</v>
      </c>
      <c r="K2579" t="s">
        <v>144</v>
      </c>
      <c r="N2579">
        <v>1</v>
      </c>
      <c r="O2579" s="89">
        <v>2531.61</v>
      </c>
      <c r="P2579" s="89">
        <v>52319.94</v>
      </c>
      <c r="Q2579" t="s">
        <v>137</v>
      </c>
      <c r="R2579" t="s">
        <v>131</v>
      </c>
    </row>
    <row r="2580" spans="3:18" x14ac:dyDescent="0.25">
      <c r="C2580" t="s">
        <v>47</v>
      </c>
      <c r="D2580" t="s">
        <v>22</v>
      </c>
      <c r="E2580" t="s">
        <v>43</v>
      </c>
      <c r="F2580" t="s">
        <v>41</v>
      </c>
      <c r="G2580" s="89">
        <v>68419</v>
      </c>
      <c r="H2580" t="s">
        <v>140</v>
      </c>
      <c r="I2580" t="s">
        <v>133</v>
      </c>
      <c r="J2580" s="89">
        <v>1778894</v>
      </c>
      <c r="K2580" t="s">
        <v>127</v>
      </c>
      <c r="L2580" t="s">
        <v>128</v>
      </c>
      <c r="N2580">
        <v>1</v>
      </c>
      <c r="O2580" s="89">
        <v>2052.5700000000002</v>
      </c>
      <c r="P2580" s="89">
        <v>11631.23</v>
      </c>
      <c r="Q2580" t="s">
        <v>130</v>
      </c>
      <c r="R2580" t="s">
        <v>131</v>
      </c>
    </row>
    <row r="2581" spans="3:18" x14ac:dyDescent="0.25">
      <c r="C2581" t="s">
        <v>47</v>
      </c>
      <c r="D2581" t="s">
        <v>21</v>
      </c>
      <c r="E2581" t="s">
        <v>43</v>
      </c>
      <c r="F2581" t="s">
        <v>41</v>
      </c>
      <c r="G2581" s="89">
        <v>1544995</v>
      </c>
      <c r="H2581" t="s">
        <v>145</v>
      </c>
      <c r="I2581" t="s">
        <v>147</v>
      </c>
      <c r="J2581" s="89">
        <v>4634985</v>
      </c>
      <c r="K2581" t="s">
        <v>127</v>
      </c>
      <c r="L2581" t="s">
        <v>128</v>
      </c>
      <c r="N2581">
        <v>1</v>
      </c>
      <c r="O2581" s="89">
        <v>77249.75</v>
      </c>
      <c r="P2581" s="89">
        <v>355348.85</v>
      </c>
      <c r="Q2581" t="s">
        <v>130</v>
      </c>
      <c r="R2581" t="s">
        <v>131</v>
      </c>
    </row>
    <row r="2582" spans="3:18" hidden="1" x14ac:dyDescent="0.25">
      <c r="C2582" t="s">
        <v>45</v>
      </c>
      <c r="D2582" t="s">
        <v>20</v>
      </c>
      <c r="E2582" t="s">
        <v>43</v>
      </c>
      <c r="F2582" t="s">
        <v>41</v>
      </c>
      <c r="G2582" s="89">
        <v>257380</v>
      </c>
      <c r="H2582" t="s">
        <v>42</v>
      </c>
      <c r="I2582" t="s">
        <v>133</v>
      </c>
      <c r="J2582" s="89">
        <v>9008300</v>
      </c>
      <c r="K2582" t="s">
        <v>127</v>
      </c>
      <c r="L2582" t="s">
        <v>128</v>
      </c>
      <c r="M2582" t="s">
        <v>143</v>
      </c>
      <c r="N2582">
        <v>1</v>
      </c>
      <c r="O2582" s="89">
        <v>7721.4</v>
      </c>
      <c r="P2582" s="89">
        <v>164723.20000000001</v>
      </c>
      <c r="Q2582" t="s">
        <v>137</v>
      </c>
      <c r="R2582" t="s">
        <v>131</v>
      </c>
    </row>
    <row r="2583" spans="3:18" hidden="1" x14ac:dyDescent="0.25">
      <c r="C2583" t="s">
        <v>45</v>
      </c>
      <c r="D2583" t="s">
        <v>21</v>
      </c>
      <c r="E2583" t="s">
        <v>43</v>
      </c>
      <c r="F2583" t="s">
        <v>41</v>
      </c>
      <c r="G2583" s="89">
        <v>83435046</v>
      </c>
      <c r="H2583" t="s">
        <v>145</v>
      </c>
      <c r="I2583" t="s">
        <v>126</v>
      </c>
      <c r="J2583" s="89">
        <v>1334960736</v>
      </c>
      <c r="K2583" t="s">
        <v>127</v>
      </c>
      <c r="L2583" t="s">
        <v>128</v>
      </c>
      <c r="N2583">
        <v>1</v>
      </c>
      <c r="O2583" s="89">
        <v>2503051.38</v>
      </c>
      <c r="P2583" s="89">
        <v>41717523</v>
      </c>
      <c r="Q2583" t="s">
        <v>142</v>
      </c>
      <c r="R2583" t="s">
        <v>131</v>
      </c>
    </row>
    <row r="2584" spans="3:18" x14ac:dyDescent="0.25">
      <c r="C2584" t="s">
        <v>47</v>
      </c>
      <c r="D2584" t="s">
        <v>21</v>
      </c>
      <c r="E2584" t="s">
        <v>40</v>
      </c>
      <c r="F2584" t="s">
        <v>41</v>
      </c>
      <c r="G2584" s="89">
        <v>7590782</v>
      </c>
      <c r="H2584" t="s">
        <v>140</v>
      </c>
      <c r="I2584" t="s">
        <v>147</v>
      </c>
      <c r="J2584" s="89">
        <v>22772346</v>
      </c>
      <c r="K2584" t="s">
        <v>127</v>
      </c>
      <c r="L2584" t="s">
        <v>128</v>
      </c>
      <c r="N2584">
        <v>1</v>
      </c>
      <c r="O2584" s="89">
        <v>379539.1</v>
      </c>
      <c r="P2584" s="89">
        <v>9868016.5999999996</v>
      </c>
      <c r="Q2584" t="s">
        <v>150</v>
      </c>
      <c r="R2584" t="s">
        <v>131</v>
      </c>
    </row>
    <row r="2585" spans="3:18" hidden="1" x14ac:dyDescent="0.25">
      <c r="C2585" t="s">
        <v>45</v>
      </c>
      <c r="D2585" t="s">
        <v>23</v>
      </c>
      <c r="E2585" t="s">
        <v>48</v>
      </c>
      <c r="F2585" t="s">
        <v>41</v>
      </c>
      <c r="G2585" s="89">
        <v>1025257</v>
      </c>
      <c r="H2585" t="s">
        <v>42</v>
      </c>
      <c r="I2585" t="s">
        <v>126</v>
      </c>
      <c r="J2585" s="89">
        <v>17429369</v>
      </c>
      <c r="K2585" t="s">
        <v>144</v>
      </c>
      <c r="N2585">
        <v>1</v>
      </c>
      <c r="O2585" s="89">
        <v>30757.71</v>
      </c>
      <c r="P2585" s="89">
        <v>738185.04</v>
      </c>
      <c r="Q2585" t="s">
        <v>137</v>
      </c>
      <c r="R2585" t="s">
        <v>42</v>
      </c>
    </row>
    <row r="2586" spans="3:18" hidden="1" x14ac:dyDescent="0.25">
      <c r="C2586" t="s">
        <v>45</v>
      </c>
      <c r="D2586" t="s">
        <v>22</v>
      </c>
      <c r="E2586" t="s">
        <v>48</v>
      </c>
      <c r="F2586" t="s">
        <v>41</v>
      </c>
      <c r="G2586" s="89">
        <v>143920</v>
      </c>
      <c r="H2586" t="s">
        <v>146</v>
      </c>
      <c r="I2586" t="s">
        <v>133</v>
      </c>
      <c r="J2586" s="89">
        <v>4029760</v>
      </c>
      <c r="K2586" t="s">
        <v>144</v>
      </c>
      <c r="N2586">
        <v>1</v>
      </c>
      <c r="O2586" s="89">
        <v>4317.6000000000004</v>
      </c>
      <c r="P2586" s="89">
        <v>71960</v>
      </c>
      <c r="Q2586" t="s">
        <v>142</v>
      </c>
      <c r="R2586" t="s">
        <v>131</v>
      </c>
    </row>
    <row r="2587" spans="3:18" hidden="1" x14ac:dyDescent="0.25">
      <c r="C2587" t="s">
        <v>45</v>
      </c>
      <c r="D2587" t="s">
        <v>22</v>
      </c>
      <c r="E2587" t="s">
        <v>43</v>
      </c>
      <c r="F2587" t="s">
        <v>41</v>
      </c>
      <c r="G2587" s="89">
        <v>35700</v>
      </c>
      <c r="H2587" t="s">
        <v>140</v>
      </c>
      <c r="I2587" t="s">
        <v>141</v>
      </c>
      <c r="J2587" s="89">
        <v>285600</v>
      </c>
      <c r="K2587" t="s">
        <v>127</v>
      </c>
      <c r="L2587" t="s">
        <v>128</v>
      </c>
      <c r="N2587">
        <v>1</v>
      </c>
      <c r="O2587" s="89">
        <v>714</v>
      </c>
      <c r="P2587" s="89">
        <v>51051</v>
      </c>
      <c r="Q2587" t="s">
        <v>150</v>
      </c>
      <c r="R2587" t="s">
        <v>131</v>
      </c>
    </row>
    <row r="2588" spans="3:18" hidden="1" x14ac:dyDescent="0.25">
      <c r="C2588" t="s">
        <v>45</v>
      </c>
      <c r="D2588" t="s">
        <v>23</v>
      </c>
      <c r="E2588" t="s">
        <v>43</v>
      </c>
      <c r="F2588" t="s">
        <v>41</v>
      </c>
      <c r="G2588" s="89">
        <v>2949822</v>
      </c>
      <c r="H2588" t="s">
        <v>140</v>
      </c>
      <c r="I2588" t="s">
        <v>126</v>
      </c>
      <c r="J2588" s="89">
        <v>50146974</v>
      </c>
      <c r="K2588" t="s">
        <v>127</v>
      </c>
      <c r="L2588" t="s">
        <v>128</v>
      </c>
      <c r="N2588">
        <v>1</v>
      </c>
      <c r="O2588" s="89">
        <v>88494.66</v>
      </c>
      <c r="P2588" s="89">
        <v>1415914.56</v>
      </c>
      <c r="Q2588" t="s">
        <v>142</v>
      </c>
      <c r="R2588" t="s">
        <v>131</v>
      </c>
    </row>
    <row r="2589" spans="3:18" hidden="1" x14ac:dyDescent="0.25">
      <c r="C2589" t="s">
        <v>45</v>
      </c>
      <c r="D2589" t="s">
        <v>20</v>
      </c>
      <c r="E2589" t="s">
        <v>40</v>
      </c>
      <c r="F2589" t="s">
        <v>41</v>
      </c>
      <c r="G2589" s="89">
        <v>82345</v>
      </c>
      <c r="H2589" t="s">
        <v>42</v>
      </c>
      <c r="I2589" t="s">
        <v>126</v>
      </c>
      <c r="J2589" s="89">
        <v>1482210</v>
      </c>
      <c r="K2589" t="s">
        <v>144</v>
      </c>
      <c r="N2589">
        <v>1</v>
      </c>
      <c r="O2589" s="89">
        <v>2470.35</v>
      </c>
      <c r="P2589" s="89">
        <v>43642.85</v>
      </c>
      <c r="Q2589" t="s">
        <v>142</v>
      </c>
      <c r="R2589" t="s">
        <v>42</v>
      </c>
    </row>
    <row r="2590" spans="3:18" x14ac:dyDescent="0.25">
      <c r="C2590" t="s">
        <v>47</v>
      </c>
      <c r="D2590" t="s">
        <v>25</v>
      </c>
      <c r="E2590" t="s">
        <v>40</v>
      </c>
      <c r="F2590" t="s">
        <v>41</v>
      </c>
      <c r="G2590" s="89">
        <v>83045</v>
      </c>
      <c r="H2590" t="s">
        <v>140</v>
      </c>
      <c r="I2590" t="s">
        <v>126</v>
      </c>
      <c r="J2590" s="89">
        <v>913495</v>
      </c>
      <c r="K2590" t="s">
        <v>127</v>
      </c>
      <c r="L2590" t="s">
        <v>128</v>
      </c>
      <c r="N2590">
        <v>1</v>
      </c>
      <c r="O2590" s="89">
        <v>3321.8</v>
      </c>
      <c r="P2590" s="89">
        <v>4152.25</v>
      </c>
      <c r="Q2590" t="s">
        <v>130</v>
      </c>
      <c r="R2590" t="s">
        <v>131</v>
      </c>
    </row>
    <row r="2591" spans="3:18" hidden="1" x14ac:dyDescent="0.25">
      <c r="C2591" t="s">
        <v>45</v>
      </c>
      <c r="D2591" t="s">
        <v>20</v>
      </c>
      <c r="E2591" t="s">
        <v>43</v>
      </c>
      <c r="F2591" t="s">
        <v>41</v>
      </c>
      <c r="G2591" s="89">
        <v>4009121</v>
      </c>
      <c r="H2591" t="s">
        <v>146</v>
      </c>
      <c r="I2591" t="s">
        <v>126</v>
      </c>
      <c r="J2591" s="89">
        <v>72164178</v>
      </c>
      <c r="K2591" t="s">
        <v>127</v>
      </c>
      <c r="L2591" t="s">
        <v>128</v>
      </c>
      <c r="N2591">
        <v>1</v>
      </c>
      <c r="O2591" s="89">
        <v>120273.63</v>
      </c>
      <c r="P2591" s="89">
        <v>2646019.86</v>
      </c>
      <c r="Q2591" t="s">
        <v>137</v>
      </c>
      <c r="R2591" t="s">
        <v>131</v>
      </c>
    </row>
    <row r="2592" spans="3:18" hidden="1" x14ac:dyDescent="0.25">
      <c r="C2592" t="s">
        <v>45</v>
      </c>
      <c r="D2592" t="s">
        <v>19</v>
      </c>
      <c r="E2592" t="s">
        <v>44</v>
      </c>
      <c r="F2592" t="s">
        <v>41</v>
      </c>
      <c r="G2592" s="89">
        <v>297020</v>
      </c>
      <c r="H2592" t="s">
        <v>42</v>
      </c>
      <c r="I2592" t="s">
        <v>133</v>
      </c>
      <c r="J2592" s="89">
        <v>9207620</v>
      </c>
      <c r="K2592" t="s">
        <v>127</v>
      </c>
      <c r="L2592" t="s">
        <v>128</v>
      </c>
      <c r="M2592" t="s">
        <v>136</v>
      </c>
      <c r="N2592">
        <v>1</v>
      </c>
      <c r="O2592" s="89">
        <v>8910.6</v>
      </c>
      <c r="P2592" s="89">
        <v>199003.4</v>
      </c>
      <c r="Q2592" t="s">
        <v>137</v>
      </c>
      <c r="R2592" t="s">
        <v>131</v>
      </c>
    </row>
    <row r="2593" spans="3:18" hidden="1" x14ac:dyDescent="0.25">
      <c r="C2593" t="s">
        <v>45</v>
      </c>
      <c r="D2593" t="s">
        <v>24</v>
      </c>
      <c r="E2593" t="s">
        <v>43</v>
      </c>
      <c r="F2593" t="s">
        <v>41</v>
      </c>
      <c r="G2593" s="89">
        <v>25101</v>
      </c>
      <c r="H2593" t="s">
        <v>42</v>
      </c>
      <c r="I2593" t="s">
        <v>141</v>
      </c>
      <c r="J2593" s="89">
        <v>251010</v>
      </c>
      <c r="K2593" t="s">
        <v>144</v>
      </c>
      <c r="N2593">
        <v>1</v>
      </c>
      <c r="O2593" s="89">
        <v>753.03</v>
      </c>
      <c r="P2593" s="89">
        <v>3765.15</v>
      </c>
      <c r="Q2593" t="s">
        <v>130</v>
      </c>
      <c r="R2593" t="s">
        <v>42</v>
      </c>
    </row>
    <row r="2594" spans="3:18" hidden="1" x14ac:dyDescent="0.25">
      <c r="C2594" t="s">
        <v>45</v>
      </c>
      <c r="D2594" t="s">
        <v>21</v>
      </c>
      <c r="E2594" t="s">
        <v>43</v>
      </c>
      <c r="F2594" t="s">
        <v>41</v>
      </c>
      <c r="G2594" s="89">
        <v>39555</v>
      </c>
      <c r="H2594" t="s">
        <v>42</v>
      </c>
      <c r="I2594" t="s">
        <v>141</v>
      </c>
      <c r="J2594" s="89">
        <v>237330</v>
      </c>
      <c r="K2594" t="s">
        <v>144</v>
      </c>
      <c r="N2594">
        <v>1</v>
      </c>
      <c r="O2594" s="89">
        <v>791.1</v>
      </c>
      <c r="P2594" s="89">
        <v>24919.65</v>
      </c>
      <c r="Q2594" t="s">
        <v>137</v>
      </c>
      <c r="R2594" t="s">
        <v>42</v>
      </c>
    </row>
    <row r="2595" spans="3:18" hidden="1" x14ac:dyDescent="0.25">
      <c r="C2595" t="s">
        <v>45</v>
      </c>
      <c r="D2595" t="s">
        <v>24</v>
      </c>
      <c r="E2595" t="s">
        <v>48</v>
      </c>
      <c r="F2595" t="s">
        <v>41</v>
      </c>
      <c r="G2595" s="89">
        <v>921098</v>
      </c>
      <c r="H2595" t="s">
        <v>140</v>
      </c>
      <c r="I2595" t="s">
        <v>147</v>
      </c>
      <c r="J2595" s="89">
        <v>2763294</v>
      </c>
      <c r="K2595" t="s">
        <v>127</v>
      </c>
      <c r="L2595" t="s">
        <v>128</v>
      </c>
      <c r="N2595">
        <v>1</v>
      </c>
      <c r="O2595" s="89">
        <v>36843.919999999998</v>
      </c>
      <c r="P2595" s="89">
        <v>442127.04</v>
      </c>
      <c r="Q2595" t="s">
        <v>142</v>
      </c>
      <c r="R2595" t="s">
        <v>131</v>
      </c>
    </row>
    <row r="2596" spans="3:18" x14ac:dyDescent="0.25">
      <c r="C2596" t="s">
        <v>47</v>
      </c>
      <c r="D2596" t="s">
        <v>19</v>
      </c>
      <c r="E2596" t="s">
        <v>43</v>
      </c>
      <c r="F2596" t="s">
        <v>41</v>
      </c>
      <c r="G2596" s="89">
        <v>3158940</v>
      </c>
      <c r="H2596" t="s">
        <v>140</v>
      </c>
      <c r="I2596" t="s">
        <v>147</v>
      </c>
      <c r="J2596" s="89">
        <v>12635760</v>
      </c>
      <c r="K2596" t="s">
        <v>127</v>
      </c>
      <c r="L2596" t="s">
        <v>128</v>
      </c>
      <c r="N2596">
        <v>1</v>
      </c>
      <c r="O2596" s="89">
        <v>157947</v>
      </c>
      <c r="P2596" s="89">
        <v>315894</v>
      </c>
      <c r="Q2596" t="s">
        <v>130</v>
      </c>
      <c r="R2596" t="s">
        <v>131</v>
      </c>
    </row>
    <row r="2597" spans="3:18" hidden="1" x14ac:dyDescent="0.25">
      <c r="C2597" t="s">
        <v>45</v>
      </c>
      <c r="D2597" t="s">
        <v>21</v>
      </c>
      <c r="E2597" t="s">
        <v>40</v>
      </c>
      <c r="F2597" t="s">
        <v>41</v>
      </c>
      <c r="G2597" s="89">
        <v>4568292</v>
      </c>
      <c r="H2597" t="s">
        <v>140</v>
      </c>
      <c r="I2597" t="s">
        <v>147</v>
      </c>
      <c r="J2597" s="89">
        <v>13704876</v>
      </c>
      <c r="K2597" t="s">
        <v>127</v>
      </c>
      <c r="L2597" t="s">
        <v>128</v>
      </c>
      <c r="N2597">
        <v>1</v>
      </c>
      <c r="O2597" s="89">
        <v>182731.68</v>
      </c>
      <c r="P2597" s="89">
        <v>2284146</v>
      </c>
      <c r="Q2597" t="s">
        <v>142</v>
      </c>
      <c r="R2597" t="s">
        <v>131</v>
      </c>
    </row>
    <row r="2598" spans="3:18" hidden="1" x14ac:dyDescent="0.25">
      <c r="C2598" t="s">
        <v>45</v>
      </c>
      <c r="D2598" t="s">
        <v>24</v>
      </c>
      <c r="E2598" t="s">
        <v>52</v>
      </c>
      <c r="F2598" t="s">
        <v>41</v>
      </c>
      <c r="G2598" s="89">
        <v>63976</v>
      </c>
      <c r="H2598" t="s">
        <v>42</v>
      </c>
      <c r="I2598" t="s">
        <v>147</v>
      </c>
      <c r="J2598" s="89">
        <v>255904</v>
      </c>
      <c r="K2598" t="s">
        <v>127</v>
      </c>
      <c r="L2598" t="s">
        <v>128</v>
      </c>
      <c r="M2598" t="s">
        <v>148</v>
      </c>
      <c r="N2598">
        <v>1</v>
      </c>
      <c r="O2598" s="89">
        <v>2559.04</v>
      </c>
      <c r="P2598" s="89">
        <v>12795.2</v>
      </c>
      <c r="Q2598" t="s">
        <v>130</v>
      </c>
      <c r="R2598" t="s">
        <v>42</v>
      </c>
    </row>
    <row r="2599" spans="3:18" hidden="1" x14ac:dyDescent="0.25">
      <c r="C2599" t="s">
        <v>45</v>
      </c>
      <c r="D2599" t="s">
        <v>19</v>
      </c>
      <c r="E2599" t="s">
        <v>43</v>
      </c>
      <c r="F2599" t="s">
        <v>41</v>
      </c>
      <c r="G2599" s="89">
        <v>483789</v>
      </c>
      <c r="H2599" t="s">
        <v>140</v>
      </c>
      <c r="I2599" t="s">
        <v>133</v>
      </c>
      <c r="J2599" s="89">
        <v>14513670</v>
      </c>
      <c r="K2599" t="s">
        <v>134</v>
      </c>
      <c r="L2599" t="s">
        <v>128</v>
      </c>
      <c r="N2599">
        <v>1</v>
      </c>
      <c r="O2599" s="89">
        <v>14513.67</v>
      </c>
      <c r="P2599" s="89">
        <v>430572.21</v>
      </c>
      <c r="Q2599" t="s">
        <v>135</v>
      </c>
      <c r="R2599" t="s">
        <v>131</v>
      </c>
    </row>
    <row r="2600" spans="3:18" hidden="1" x14ac:dyDescent="0.25">
      <c r="C2600" t="s">
        <v>45</v>
      </c>
      <c r="D2600" t="s">
        <v>22</v>
      </c>
      <c r="E2600" t="s">
        <v>40</v>
      </c>
      <c r="F2600" t="s">
        <v>41</v>
      </c>
      <c r="G2600" s="89">
        <v>407059</v>
      </c>
      <c r="H2600" t="s">
        <v>132</v>
      </c>
      <c r="I2600" t="s">
        <v>141</v>
      </c>
      <c r="J2600" s="89">
        <v>3256472</v>
      </c>
      <c r="K2600" t="s">
        <v>144</v>
      </c>
      <c r="N2600">
        <v>1</v>
      </c>
      <c r="O2600" s="89">
        <v>12211.77</v>
      </c>
      <c r="P2600" s="89">
        <v>101764.75</v>
      </c>
      <c r="Q2600" t="s">
        <v>130</v>
      </c>
      <c r="R2600" t="s">
        <v>131</v>
      </c>
    </row>
    <row r="2601" spans="3:18" hidden="1" x14ac:dyDescent="0.25">
      <c r="C2601" t="s">
        <v>45</v>
      </c>
      <c r="D2601" t="s">
        <v>19</v>
      </c>
      <c r="E2601" t="s">
        <v>43</v>
      </c>
      <c r="F2601" t="s">
        <v>41</v>
      </c>
      <c r="G2601" s="89">
        <v>24645</v>
      </c>
      <c r="H2601" t="s">
        <v>154</v>
      </c>
      <c r="I2601" t="s">
        <v>141</v>
      </c>
      <c r="J2601" s="89">
        <v>147870</v>
      </c>
      <c r="K2601" t="s">
        <v>127</v>
      </c>
      <c r="L2601" t="s">
        <v>128</v>
      </c>
      <c r="N2601">
        <v>1</v>
      </c>
      <c r="O2601" s="89">
        <v>985.8</v>
      </c>
      <c r="P2601" s="89">
        <v>11336.7</v>
      </c>
      <c r="Q2601" t="s">
        <v>142</v>
      </c>
      <c r="R2601" t="s">
        <v>131</v>
      </c>
    </row>
    <row r="2602" spans="3:18" x14ac:dyDescent="0.25">
      <c r="C2602" t="s">
        <v>47</v>
      </c>
      <c r="D2602" t="s">
        <v>24</v>
      </c>
      <c r="E2602" t="s">
        <v>40</v>
      </c>
      <c r="F2602" t="s">
        <v>41</v>
      </c>
      <c r="G2602" s="89">
        <v>425380</v>
      </c>
      <c r="H2602" t="s">
        <v>146</v>
      </c>
      <c r="I2602" t="s">
        <v>126</v>
      </c>
      <c r="J2602" s="89">
        <v>5955320</v>
      </c>
      <c r="K2602" t="s">
        <v>127</v>
      </c>
      <c r="L2602" t="s">
        <v>128</v>
      </c>
      <c r="N2602">
        <v>1</v>
      </c>
      <c r="O2602" s="89">
        <v>12761.4</v>
      </c>
      <c r="P2602" s="89">
        <v>323288.8</v>
      </c>
      <c r="Q2602" t="s">
        <v>137</v>
      </c>
      <c r="R2602" t="s">
        <v>131</v>
      </c>
    </row>
    <row r="2603" spans="3:18" x14ac:dyDescent="0.25">
      <c r="C2603" t="s">
        <v>47</v>
      </c>
      <c r="D2603" t="s">
        <v>22</v>
      </c>
      <c r="E2603" t="s">
        <v>40</v>
      </c>
      <c r="F2603" t="s">
        <v>41</v>
      </c>
      <c r="G2603" s="89">
        <v>147400</v>
      </c>
      <c r="H2603" t="s">
        <v>146</v>
      </c>
      <c r="I2603" t="s">
        <v>153</v>
      </c>
      <c r="J2603" s="89"/>
      <c r="K2603" t="s">
        <v>127</v>
      </c>
      <c r="L2603" t="s">
        <v>128</v>
      </c>
      <c r="N2603">
        <v>0</v>
      </c>
      <c r="O2603" s="89">
        <v>7370</v>
      </c>
      <c r="P2603" s="89">
        <v>79596</v>
      </c>
      <c r="Q2603" t="s">
        <v>142</v>
      </c>
      <c r="R2603" t="s">
        <v>131</v>
      </c>
    </row>
    <row r="2604" spans="3:18" hidden="1" x14ac:dyDescent="0.25">
      <c r="C2604" t="s">
        <v>45</v>
      </c>
      <c r="D2604" t="s">
        <v>20</v>
      </c>
      <c r="E2604" t="s">
        <v>40</v>
      </c>
      <c r="F2604" t="s">
        <v>41</v>
      </c>
      <c r="G2604" s="89">
        <v>2078749</v>
      </c>
      <c r="H2604" t="s">
        <v>42</v>
      </c>
      <c r="I2604" t="s">
        <v>133</v>
      </c>
      <c r="J2604" s="89">
        <v>56126223</v>
      </c>
      <c r="K2604" t="s">
        <v>144</v>
      </c>
      <c r="N2604">
        <v>1</v>
      </c>
      <c r="O2604" s="89">
        <v>62362.47</v>
      </c>
      <c r="P2604" s="89">
        <v>1018587.01</v>
      </c>
      <c r="Q2604" t="s">
        <v>142</v>
      </c>
      <c r="R2604" t="s">
        <v>42</v>
      </c>
    </row>
    <row r="2605" spans="3:18" hidden="1" x14ac:dyDescent="0.25">
      <c r="C2605" t="s">
        <v>45</v>
      </c>
      <c r="D2605" t="s">
        <v>149</v>
      </c>
      <c r="E2605" t="s">
        <v>43</v>
      </c>
      <c r="F2605" t="s">
        <v>41</v>
      </c>
      <c r="G2605" s="89">
        <v>1645100</v>
      </c>
      <c r="H2605" t="s">
        <v>42</v>
      </c>
      <c r="I2605" t="s">
        <v>133</v>
      </c>
      <c r="J2605" s="89">
        <v>59223600</v>
      </c>
      <c r="K2605" t="s">
        <v>144</v>
      </c>
      <c r="N2605">
        <v>1</v>
      </c>
      <c r="O2605" s="89">
        <v>32902</v>
      </c>
      <c r="P2605" s="89">
        <v>1645100</v>
      </c>
      <c r="Q2605" t="s">
        <v>150</v>
      </c>
      <c r="R2605" t="s">
        <v>42</v>
      </c>
    </row>
    <row r="2606" spans="3:18" hidden="1" x14ac:dyDescent="0.25">
      <c r="C2606" t="s">
        <v>45</v>
      </c>
      <c r="D2606" t="s">
        <v>21</v>
      </c>
      <c r="E2606" t="s">
        <v>43</v>
      </c>
      <c r="F2606" t="s">
        <v>41</v>
      </c>
      <c r="G2606" s="89">
        <v>251130</v>
      </c>
      <c r="H2606" t="s">
        <v>132</v>
      </c>
      <c r="I2606" t="s">
        <v>133</v>
      </c>
      <c r="J2606" s="89">
        <v>7533900</v>
      </c>
      <c r="K2606" t="s">
        <v>134</v>
      </c>
      <c r="L2606" t="s">
        <v>128</v>
      </c>
      <c r="N2606">
        <v>1</v>
      </c>
      <c r="O2606" s="89">
        <v>7533.9</v>
      </c>
      <c r="P2606" s="89">
        <v>85384.2</v>
      </c>
      <c r="Q2606" t="s">
        <v>130</v>
      </c>
      <c r="R2606" t="s">
        <v>131</v>
      </c>
    </row>
    <row r="2607" spans="3:18" hidden="1" x14ac:dyDescent="0.25">
      <c r="C2607" t="s">
        <v>45</v>
      </c>
      <c r="D2607" t="s">
        <v>20</v>
      </c>
      <c r="E2607" t="s">
        <v>43</v>
      </c>
      <c r="F2607" t="s">
        <v>41</v>
      </c>
      <c r="G2607" s="89">
        <v>197996</v>
      </c>
      <c r="H2607" t="s">
        <v>146</v>
      </c>
      <c r="I2607" t="s">
        <v>126</v>
      </c>
      <c r="J2607" s="89">
        <v>3167936</v>
      </c>
      <c r="K2607" t="s">
        <v>144</v>
      </c>
      <c r="N2607">
        <v>1</v>
      </c>
      <c r="O2607" s="89">
        <v>5939.88</v>
      </c>
      <c r="P2607" s="89">
        <v>59398.8</v>
      </c>
      <c r="Q2607" t="s">
        <v>130</v>
      </c>
      <c r="R2607" t="s">
        <v>131</v>
      </c>
    </row>
    <row r="2608" spans="3:18" x14ac:dyDescent="0.25">
      <c r="C2608" t="s">
        <v>47</v>
      </c>
      <c r="D2608" t="s">
        <v>23</v>
      </c>
      <c r="E2608" t="s">
        <v>40</v>
      </c>
      <c r="F2608" t="s">
        <v>41</v>
      </c>
      <c r="G2608" s="89">
        <v>406094</v>
      </c>
      <c r="H2608" t="s">
        <v>146</v>
      </c>
      <c r="I2608" t="s">
        <v>126</v>
      </c>
      <c r="J2608" s="89">
        <v>4467034</v>
      </c>
      <c r="K2608" t="s">
        <v>127</v>
      </c>
      <c r="L2608" t="s">
        <v>128</v>
      </c>
      <c r="N2608">
        <v>1</v>
      </c>
      <c r="O2608" s="89">
        <v>16243.76</v>
      </c>
      <c r="P2608" s="89">
        <v>219290.76</v>
      </c>
      <c r="Q2608" t="s">
        <v>142</v>
      </c>
      <c r="R2608" t="s">
        <v>131</v>
      </c>
    </row>
    <row r="2609" spans="3:18" hidden="1" x14ac:dyDescent="0.25">
      <c r="C2609" t="s">
        <v>45</v>
      </c>
      <c r="D2609" t="s">
        <v>138</v>
      </c>
      <c r="E2609" t="s">
        <v>43</v>
      </c>
      <c r="F2609" t="s">
        <v>41</v>
      </c>
      <c r="G2609" s="89">
        <v>685920</v>
      </c>
      <c r="H2609" t="s">
        <v>140</v>
      </c>
      <c r="I2609" t="s">
        <v>133</v>
      </c>
      <c r="J2609" s="89">
        <v>22635360</v>
      </c>
      <c r="K2609" t="s">
        <v>134</v>
      </c>
      <c r="L2609" t="s">
        <v>128</v>
      </c>
      <c r="N2609">
        <v>1</v>
      </c>
      <c r="O2609" s="89">
        <v>20577.599999999999</v>
      </c>
      <c r="P2609" s="89">
        <v>473284.8</v>
      </c>
      <c r="Q2609" t="s">
        <v>137</v>
      </c>
      <c r="R2609" t="s">
        <v>131</v>
      </c>
    </row>
    <row r="2610" spans="3:18" x14ac:dyDescent="0.25">
      <c r="C2610" t="s">
        <v>47</v>
      </c>
      <c r="D2610" t="s">
        <v>22</v>
      </c>
      <c r="E2610" t="s">
        <v>48</v>
      </c>
      <c r="F2610" t="s">
        <v>41</v>
      </c>
      <c r="G2610" s="89">
        <v>42441</v>
      </c>
      <c r="H2610" t="s">
        <v>42</v>
      </c>
      <c r="I2610" t="s">
        <v>147</v>
      </c>
      <c r="J2610" s="89">
        <v>169764</v>
      </c>
      <c r="K2610" t="s">
        <v>127</v>
      </c>
      <c r="L2610" t="s">
        <v>128</v>
      </c>
      <c r="M2610" t="s">
        <v>143</v>
      </c>
      <c r="N2610">
        <v>1</v>
      </c>
      <c r="O2610" s="89">
        <v>2122.0500000000002</v>
      </c>
      <c r="P2610" s="89">
        <v>15278.76</v>
      </c>
      <c r="Q2610" t="s">
        <v>130</v>
      </c>
      <c r="R2610" t="s">
        <v>131</v>
      </c>
    </row>
    <row r="2611" spans="3:18" hidden="1" x14ac:dyDescent="0.25">
      <c r="C2611" t="s">
        <v>45</v>
      </c>
      <c r="D2611" t="s">
        <v>22</v>
      </c>
      <c r="E2611" t="s">
        <v>40</v>
      </c>
      <c r="F2611" t="s">
        <v>41</v>
      </c>
      <c r="G2611" s="89">
        <v>663485</v>
      </c>
      <c r="H2611" t="s">
        <v>42</v>
      </c>
      <c r="I2611" t="s">
        <v>133</v>
      </c>
      <c r="J2611" s="89">
        <v>17914095</v>
      </c>
      <c r="K2611" t="s">
        <v>134</v>
      </c>
      <c r="L2611" t="s">
        <v>128</v>
      </c>
      <c r="M2611" t="s">
        <v>143</v>
      </c>
      <c r="N2611">
        <v>1</v>
      </c>
      <c r="O2611" s="89">
        <v>19904.55</v>
      </c>
      <c r="P2611" s="89">
        <v>199045.5</v>
      </c>
      <c r="Q2611" t="s">
        <v>130</v>
      </c>
      <c r="R2611" t="s">
        <v>131</v>
      </c>
    </row>
    <row r="2612" spans="3:18" hidden="1" x14ac:dyDescent="0.25">
      <c r="C2612" t="s">
        <v>45</v>
      </c>
      <c r="D2612" t="s">
        <v>21</v>
      </c>
      <c r="E2612" t="s">
        <v>43</v>
      </c>
      <c r="F2612" t="s">
        <v>41</v>
      </c>
      <c r="G2612" s="89">
        <v>8726986</v>
      </c>
      <c r="H2612" t="s">
        <v>140</v>
      </c>
      <c r="I2612" t="s">
        <v>133</v>
      </c>
      <c r="J2612" s="89">
        <v>253082594</v>
      </c>
      <c r="K2612" t="s">
        <v>127</v>
      </c>
      <c r="L2612" t="s">
        <v>128</v>
      </c>
      <c r="N2612">
        <v>1</v>
      </c>
      <c r="O2612" s="89">
        <v>261809.58</v>
      </c>
      <c r="P2612" s="89">
        <v>10734192.779999999</v>
      </c>
      <c r="Q2612" t="s">
        <v>150</v>
      </c>
      <c r="R2612" t="s">
        <v>131</v>
      </c>
    </row>
    <row r="2613" spans="3:18" hidden="1" x14ac:dyDescent="0.25">
      <c r="C2613" t="s">
        <v>45</v>
      </c>
      <c r="D2613" t="s">
        <v>23</v>
      </c>
      <c r="E2613" t="s">
        <v>46</v>
      </c>
      <c r="F2613" t="s">
        <v>41</v>
      </c>
      <c r="G2613" s="89">
        <v>135624</v>
      </c>
      <c r="H2613" t="s">
        <v>42</v>
      </c>
      <c r="I2613" t="s">
        <v>141</v>
      </c>
      <c r="J2613" s="89">
        <v>1084992</v>
      </c>
      <c r="K2613" t="s">
        <v>127</v>
      </c>
      <c r="L2613" t="s">
        <v>128</v>
      </c>
      <c r="M2613" t="s">
        <v>152</v>
      </c>
      <c r="N2613">
        <v>1</v>
      </c>
      <c r="O2613" s="89">
        <v>5424.96</v>
      </c>
      <c r="P2613" s="89">
        <v>40687.199999999997</v>
      </c>
      <c r="Q2613" t="s">
        <v>130</v>
      </c>
      <c r="R2613" t="s">
        <v>42</v>
      </c>
    </row>
    <row r="2614" spans="3:18" hidden="1" x14ac:dyDescent="0.25">
      <c r="C2614" t="s">
        <v>45</v>
      </c>
      <c r="D2614" t="s">
        <v>50</v>
      </c>
      <c r="E2614" t="s">
        <v>50</v>
      </c>
      <c r="F2614" t="s">
        <v>41</v>
      </c>
      <c r="G2614" s="89">
        <v>718</v>
      </c>
      <c r="H2614" t="s">
        <v>79</v>
      </c>
      <c r="I2614" t="s">
        <v>126</v>
      </c>
      <c r="J2614" s="89">
        <v>9334</v>
      </c>
      <c r="K2614" t="s">
        <v>144</v>
      </c>
      <c r="N2614">
        <v>1</v>
      </c>
      <c r="O2614" s="89">
        <v>21.54</v>
      </c>
      <c r="P2614" s="89">
        <v>732.36</v>
      </c>
      <c r="Q2614" t="s">
        <v>150</v>
      </c>
      <c r="R2614" t="s">
        <v>79</v>
      </c>
    </row>
    <row r="2615" spans="3:18" x14ac:dyDescent="0.25">
      <c r="C2615" t="s">
        <v>47</v>
      </c>
      <c r="D2615" t="s">
        <v>24</v>
      </c>
      <c r="E2615" t="s">
        <v>48</v>
      </c>
      <c r="F2615" t="s">
        <v>41</v>
      </c>
      <c r="G2615" s="89">
        <v>44715</v>
      </c>
      <c r="H2615" t="s">
        <v>132</v>
      </c>
      <c r="I2615" t="s">
        <v>141</v>
      </c>
      <c r="J2615" s="89">
        <v>402435</v>
      </c>
      <c r="K2615" t="s">
        <v>127</v>
      </c>
      <c r="L2615" t="s">
        <v>128</v>
      </c>
      <c r="N2615">
        <v>1</v>
      </c>
      <c r="O2615" s="89">
        <v>1788.6</v>
      </c>
      <c r="P2615" s="89">
        <v>25040.400000000001</v>
      </c>
      <c r="Q2615" t="s">
        <v>142</v>
      </c>
      <c r="R2615" t="s">
        <v>131</v>
      </c>
    </row>
    <row r="2616" spans="3:18" hidden="1" x14ac:dyDescent="0.25">
      <c r="C2616" t="s">
        <v>45</v>
      </c>
      <c r="D2616" t="s">
        <v>21</v>
      </c>
      <c r="E2616" t="s">
        <v>40</v>
      </c>
      <c r="F2616" t="s">
        <v>41</v>
      </c>
      <c r="G2616" s="89">
        <v>3898005</v>
      </c>
      <c r="H2616" t="s">
        <v>145</v>
      </c>
      <c r="I2616" t="s">
        <v>133</v>
      </c>
      <c r="J2616" s="89">
        <v>101348130</v>
      </c>
      <c r="K2616" t="s">
        <v>127</v>
      </c>
      <c r="L2616" t="s">
        <v>128</v>
      </c>
      <c r="N2616">
        <v>1</v>
      </c>
      <c r="O2616" s="89">
        <v>116940.15</v>
      </c>
      <c r="P2616" s="89">
        <v>2026962.6</v>
      </c>
      <c r="Q2616" t="s">
        <v>142</v>
      </c>
      <c r="R2616" t="s">
        <v>131</v>
      </c>
    </row>
    <row r="2617" spans="3:18" x14ac:dyDescent="0.25">
      <c r="C2617" t="s">
        <v>47</v>
      </c>
      <c r="D2617" t="s">
        <v>21</v>
      </c>
      <c r="E2617" t="s">
        <v>48</v>
      </c>
      <c r="F2617" t="s">
        <v>41</v>
      </c>
      <c r="G2617" s="89">
        <v>42860</v>
      </c>
      <c r="H2617" t="s">
        <v>42</v>
      </c>
      <c r="I2617" t="s">
        <v>141</v>
      </c>
      <c r="J2617" s="89">
        <v>385740</v>
      </c>
      <c r="K2617" t="s">
        <v>144</v>
      </c>
      <c r="N2617">
        <v>1</v>
      </c>
      <c r="O2617" s="89">
        <v>2143</v>
      </c>
      <c r="P2617" s="89">
        <v>33002.199999999997</v>
      </c>
      <c r="Q2617" t="s">
        <v>137</v>
      </c>
      <c r="R2617" t="s">
        <v>131</v>
      </c>
    </row>
    <row r="2618" spans="3:18" hidden="1" x14ac:dyDescent="0.25">
      <c r="C2618" t="s">
        <v>45</v>
      </c>
      <c r="D2618" t="s">
        <v>22</v>
      </c>
      <c r="E2618" t="s">
        <v>43</v>
      </c>
      <c r="F2618" t="s">
        <v>41</v>
      </c>
      <c r="G2618" s="89">
        <v>28198</v>
      </c>
      <c r="H2618" t="s">
        <v>132</v>
      </c>
      <c r="I2618" t="s">
        <v>141</v>
      </c>
      <c r="J2618" s="89">
        <v>253782</v>
      </c>
      <c r="K2618" t="s">
        <v>134</v>
      </c>
      <c r="L2618" t="s">
        <v>128</v>
      </c>
      <c r="N2618">
        <v>1</v>
      </c>
      <c r="O2618" s="89">
        <v>845.94</v>
      </c>
      <c r="P2618" s="89">
        <v>5357.62</v>
      </c>
      <c r="Q2618" t="s">
        <v>130</v>
      </c>
      <c r="R2618" t="s">
        <v>131</v>
      </c>
    </row>
    <row r="2619" spans="3:18" hidden="1" x14ac:dyDescent="0.25">
      <c r="C2619" t="s">
        <v>45</v>
      </c>
      <c r="D2619" t="s">
        <v>149</v>
      </c>
      <c r="E2619" t="s">
        <v>40</v>
      </c>
      <c r="F2619" t="s">
        <v>41</v>
      </c>
      <c r="G2619" s="89">
        <v>8555025</v>
      </c>
      <c r="H2619" t="s">
        <v>42</v>
      </c>
      <c r="I2619" t="s">
        <v>133</v>
      </c>
      <c r="J2619" s="89">
        <v>273760800</v>
      </c>
      <c r="K2619" t="s">
        <v>127</v>
      </c>
      <c r="L2619" t="s">
        <v>128</v>
      </c>
      <c r="M2619" t="s">
        <v>136</v>
      </c>
      <c r="N2619">
        <v>1</v>
      </c>
      <c r="O2619" s="89">
        <v>256650.75</v>
      </c>
      <c r="P2619" s="89">
        <v>6074067.75</v>
      </c>
      <c r="Q2619" t="s">
        <v>137</v>
      </c>
      <c r="R2619" t="s">
        <v>131</v>
      </c>
    </row>
    <row r="2620" spans="3:18" hidden="1" x14ac:dyDescent="0.25">
      <c r="C2620" t="s">
        <v>45</v>
      </c>
      <c r="D2620" t="s">
        <v>22</v>
      </c>
      <c r="E2620" t="s">
        <v>40</v>
      </c>
      <c r="F2620" t="s">
        <v>41</v>
      </c>
      <c r="G2620" s="89">
        <v>33839</v>
      </c>
      <c r="H2620" t="s">
        <v>146</v>
      </c>
      <c r="I2620" t="s">
        <v>126</v>
      </c>
      <c r="J2620" s="89">
        <v>541424</v>
      </c>
      <c r="K2620" t="s">
        <v>134</v>
      </c>
      <c r="L2620" t="s">
        <v>128</v>
      </c>
      <c r="N2620">
        <v>1</v>
      </c>
      <c r="O2620" s="89">
        <v>1015.17</v>
      </c>
      <c r="P2620" s="89">
        <v>5752.63</v>
      </c>
      <c r="Q2620" t="s">
        <v>130</v>
      </c>
      <c r="R2620" t="s">
        <v>131</v>
      </c>
    </row>
    <row r="2621" spans="3:18" hidden="1" x14ac:dyDescent="0.25">
      <c r="C2621" t="s">
        <v>45</v>
      </c>
      <c r="D2621" t="s">
        <v>138</v>
      </c>
      <c r="E2621" t="s">
        <v>40</v>
      </c>
      <c r="F2621" t="s">
        <v>41</v>
      </c>
      <c r="G2621" s="89">
        <v>62287</v>
      </c>
      <c r="H2621" t="s">
        <v>145</v>
      </c>
      <c r="I2621" t="s">
        <v>141</v>
      </c>
      <c r="J2621" s="89">
        <v>498296</v>
      </c>
      <c r="K2621" t="s">
        <v>127</v>
      </c>
      <c r="L2621" t="s">
        <v>128</v>
      </c>
      <c r="N2621">
        <v>1</v>
      </c>
      <c r="O2621" s="89">
        <v>1868.61</v>
      </c>
      <c r="P2621" s="89">
        <v>18063.23</v>
      </c>
      <c r="Q2621" t="s">
        <v>130</v>
      </c>
      <c r="R2621" t="s">
        <v>131</v>
      </c>
    </row>
    <row r="2622" spans="3:18" hidden="1" x14ac:dyDescent="0.25">
      <c r="C2622" t="s">
        <v>45</v>
      </c>
      <c r="D2622" t="s">
        <v>22</v>
      </c>
      <c r="E2622" t="s">
        <v>48</v>
      </c>
      <c r="F2622" t="s">
        <v>53</v>
      </c>
      <c r="G2622" s="89">
        <v>158389</v>
      </c>
      <c r="H2622" t="s">
        <v>42</v>
      </c>
      <c r="I2622" t="s">
        <v>126</v>
      </c>
      <c r="J2622" s="89">
        <v>2375835</v>
      </c>
      <c r="K2622" t="s">
        <v>144</v>
      </c>
      <c r="N2622">
        <v>1</v>
      </c>
      <c r="O2622" s="89">
        <v>4751.67</v>
      </c>
      <c r="P2622" s="89">
        <v>57020.04</v>
      </c>
      <c r="Q2622" t="s">
        <v>130</v>
      </c>
      <c r="R2622" t="s">
        <v>42</v>
      </c>
    </row>
    <row r="2623" spans="3:18" hidden="1" x14ac:dyDescent="0.25">
      <c r="C2623" t="s">
        <v>45</v>
      </c>
      <c r="D2623" t="s">
        <v>23</v>
      </c>
      <c r="E2623" t="s">
        <v>43</v>
      </c>
      <c r="F2623" t="s">
        <v>41</v>
      </c>
      <c r="G2623" s="89">
        <v>843076</v>
      </c>
      <c r="H2623" t="s">
        <v>145</v>
      </c>
      <c r="I2623" t="s">
        <v>133</v>
      </c>
      <c r="J2623" s="89">
        <v>21076900</v>
      </c>
      <c r="K2623" t="s">
        <v>127</v>
      </c>
      <c r="L2623" t="s">
        <v>128</v>
      </c>
      <c r="N2623">
        <v>1</v>
      </c>
      <c r="O2623" s="89">
        <v>25292.28</v>
      </c>
      <c r="P2623" s="89">
        <v>269784.32000000001</v>
      </c>
      <c r="Q2623" t="s">
        <v>130</v>
      </c>
      <c r="R2623" t="s">
        <v>131</v>
      </c>
    </row>
    <row r="2624" spans="3:18" hidden="1" x14ac:dyDescent="0.25">
      <c r="C2624" t="s">
        <v>45</v>
      </c>
      <c r="D2624" t="s">
        <v>22</v>
      </c>
      <c r="E2624" t="s">
        <v>40</v>
      </c>
      <c r="F2624" t="s">
        <v>41</v>
      </c>
      <c r="G2624" s="89">
        <v>77775</v>
      </c>
      <c r="H2624" t="s">
        <v>146</v>
      </c>
      <c r="I2624" t="s">
        <v>126</v>
      </c>
      <c r="J2624" s="89">
        <v>1244400</v>
      </c>
      <c r="K2624" t="s">
        <v>144</v>
      </c>
      <c r="N2624">
        <v>1</v>
      </c>
      <c r="O2624" s="89">
        <v>2333.25</v>
      </c>
      <c r="P2624" s="89">
        <v>62997.75</v>
      </c>
      <c r="Q2624" t="s">
        <v>135</v>
      </c>
      <c r="R2624" t="s">
        <v>131</v>
      </c>
    </row>
    <row r="2625" spans="3:18" hidden="1" x14ac:dyDescent="0.25">
      <c r="C2625" t="s">
        <v>45</v>
      </c>
      <c r="D2625" t="s">
        <v>24</v>
      </c>
      <c r="E2625" t="s">
        <v>44</v>
      </c>
      <c r="F2625" t="s">
        <v>41</v>
      </c>
      <c r="G2625" s="89">
        <v>70139</v>
      </c>
      <c r="H2625" t="s">
        <v>146</v>
      </c>
      <c r="I2625" t="s">
        <v>126</v>
      </c>
      <c r="J2625" s="89">
        <v>911807</v>
      </c>
      <c r="K2625" t="s">
        <v>144</v>
      </c>
      <c r="N2625">
        <v>1</v>
      </c>
      <c r="O2625" s="89">
        <v>2104.17</v>
      </c>
      <c r="P2625" s="89">
        <v>42083.4</v>
      </c>
      <c r="Q2625" t="s">
        <v>137</v>
      </c>
      <c r="R2625" t="s">
        <v>131</v>
      </c>
    </row>
    <row r="2626" spans="3:18" x14ac:dyDescent="0.25">
      <c r="C2626" t="s">
        <v>47</v>
      </c>
      <c r="D2626" t="s">
        <v>20</v>
      </c>
      <c r="E2626" t="s">
        <v>40</v>
      </c>
      <c r="F2626" t="s">
        <v>41</v>
      </c>
      <c r="G2626" s="89">
        <v>179346</v>
      </c>
      <c r="H2626" t="s">
        <v>145</v>
      </c>
      <c r="I2626" t="s">
        <v>141</v>
      </c>
      <c r="J2626" s="89">
        <v>1614114</v>
      </c>
      <c r="K2626" t="s">
        <v>144</v>
      </c>
      <c r="N2626">
        <v>1</v>
      </c>
      <c r="O2626" s="89">
        <v>7173.84</v>
      </c>
      <c r="P2626" s="89">
        <v>116574.9</v>
      </c>
      <c r="Q2626" t="s">
        <v>137</v>
      </c>
      <c r="R2626" t="s">
        <v>131</v>
      </c>
    </row>
    <row r="2627" spans="3:18" hidden="1" x14ac:dyDescent="0.25">
      <c r="C2627" t="s">
        <v>45</v>
      </c>
      <c r="D2627" t="s">
        <v>20</v>
      </c>
      <c r="E2627" t="s">
        <v>43</v>
      </c>
      <c r="F2627" t="s">
        <v>53</v>
      </c>
      <c r="G2627" s="89">
        <v>58453</v>
      </c>
      <c r="H2627" t="s">
        <v>140</v>
      </c>
      <c r="I2627" t="s">
        <v>141</v>
      </c>
      <c r="J2627" s="89">
        <v>467624</v>
      </c>
      <c r="K2627" t="s">
        <v>144</v>
      </c>
      <c r="N2627">
        <v>1</v>
      </c>
      <c r="O2627" s="89">
        <v>1753.59</v>
      </c>
      <c r="P2627" s="89">
        <v>13444.19</v>
      </c>
      <c r="Q2627" t="s">
        <v>130</v>
      </c>
      <c r="R2627" t="s">
        <v>131</v>
      </c>
    </row>
    <row r="2628" spans="3:18" hidden="1" x14ac:dyDescent="0.25">
      <c r="C2628" t="s">
        <v>45</v>
      </c>
      <c r="D2628" t="s">
        <v>21</v>
      </c>
      <c r="E2628" t="s">
        <v>40</v>
      </c>
      <c r="F2628" t="s">
        <v>41</v>
      </c>
      <c r="G2628" s="89">
        <v>10042788</v>
      </c>
      <c r="H2628" t="s">
        <v>146</v>
      </c>
      <c r="I2628" t="s">
        <v>126</v>
      </c>
      <c r="J2628" s="89">
        <v>170727396</v>
      </c>
      <c r="K2628" t="s">
        <v>127</v>
      </c>
      <c r="L2628" t="s">
        <v>128</v>
      </c>
      <c r="N2628">
        <v>1</v>
      </c>
      <c r="O2628" s="89">
        <v>301283.64</v>
      </c>
      <c r="P2628" s="89">
        <v>5021394</v>
      </c>
      <c r="Q2628" t="s">
        <v>142</v>
      </c>
      <c r="R2628" t="s">
        <v>131</v>
      </c>
    </row>
    <row r="2629" spans="3:18" hidden="1" x14ac:dyDescent="0.25">
      <c r="C2629" t="s">
        <v>45</v>
      </c>
      <c r="D2629" t="s">
        <v>19</v>
      </c>
      <c r="E2629" t="s">
        <v>43</v>
      </c>
      <c r="F2629" t="s">
        <v>41</v>
      </c>
      <c r="G2629" s="89">
        <v>1388370</v>
      </c>
      <c r="H2629" t="s">
        <v>132</v>
      </c>
      <c r="I2629" t="s">
        <v>126</v>
      </c>
      <c r="J2629" s="89">
        <v>20825550</v>
      </c>
      <c r="K2629" t="s">
        <v>144</v>
      </c>
      <c r="N2629">
        <v>1</v>
      </c>
      <c r="O2629" s="89">
        <v>55534.8</v>
      </c>
      <c r="P2629" s="89">
        <v>763603.5</v>
      </c>
      <c r="Q2629" t="s">
        <v>142</v>
      </c>
      <c r="R2629" t="s">
        <v>131</v>
      </c>
    </row>
    <row r="2630" spans="3:18" hidden="1" x14ac:dyDescent="0.25">
      <c r="C2630" t="s">
        <v>45</v>
      </c>
      <c r="D2630" t="s">
        <v>138</v>
      </c>
      <c r="E2630" t="s">
        <v>40</v>
      </c>
      <c r="F2630" t="s">
        <v>41</v>
      </c>
      <c r="G2630" s="89">
        <v>10401514</v>
      </c>
      <c r="H2630" t="s">
        <v>42</v>
      </c>
      <c r="I2630" t="s">
        <v>126</v>
      </c>
      <c r="J2630" s="89">
        <v>166424224</v>
      </c>
      <c r="K2630" t="s">
        <v>127</v>
      </c>
      <c r="L2630" t="s">
        <v>128</v>
      </c>
      <c r="M2630" t="s">
        <v>139</v>
      </c>
      <c r="N2630">
        <v>1</v>
      </c>
      <c r="O2630" s="89">
        <v>312045.42</v>
      </c>
      <c r="P2630" s="89">
        <v>5304772.1399999997</v>
      </c>
      <c r="Q2630" t="s">
        <v>142</v>
      </c>
      <c r="R2630" t="s">
        <v>131</v>
      </c>
    </row>
    <row r="2631" spans="3:18" hidden="1" x14ac:dyDescent="0.25">
      <c r="C2631" t="s">
        <v>45</v>
      </c>
      <c r="D2631" t="s">
        <v>20</v>
      </c>
      <c r="E2631" t="s">
        <v>43</v>
      </c>
      <c r="F2631" t="s">
        <v>41</v>
      </c>
      <c r="G2631" s="89">
        <v>1257428</v>
      </c>
      <c r="I2631" t="s">
        <v>133</v>
      </c>
      <c r="J2631" s="89">
        <v>37722840</v>
      </c>
      <c r="K2631" t="s">
        <v>127</v>
      </c>
      <c r="L2631" t="s">
        <v>128</v>
      </c>
      <c r="N2631">
        <v>1</v>
      </c>
      <c r="O2631" s="89">
        <v>37722.839999999997</v>
      </c>
      <c r="P2631" s="89">
        <v>653862.56000000006</v>
      </c>
      <c r="Q2631" t="s">
        <v>142</v>
      </c>
      <c r="R2631" t="s">
        <v>131</v>
      </c>
    </row>
    <row r="2632" spans="3:18" x14ac:dyDescent="0.25">
      <c r="C2632" t="s">
        <v>47</v>
      </c>
      <c r="D2632" t="s">
        <v>21</v>
      </c>
      <c r="E2632" t="s">
        <v>48</v>
      </c>
      <c r="F2632" t="s">
        <v>41</v>
      </c>
      <c r="G2632" s="89">
        <v>810035</v>
      </c>
      <c r="H2632" t="s">
        <v>140</v>
      </c>
      <c r="I2632" t="s">
        <v>126</v>
      </c>
      <c r="J2632" s="89">
        <v>11340490</v>
      </c>
      <c r="K2632" t="s">
        <v>144</v>
      </c>
      <c r="N2632">
        <v>1</v>
      </c>
      <c r="O2632" s="89">
        <v>32401.4</v>
      </c>
      <c r="P2632" s="89">
        <v>567024.5</v>
      </c>
      <c r="Q2632" t="s">
        <v>137</v>
      </c>
      <c r="R2632" t="s">
        <v>131</v>
      </c>
    </row>
    <row r="2633" spans="3:18" hidden="1" x14ac:dyDescent="0.25">
      <c r="C2633" t="s">
        <v>45</v>
      </c>
      <c r="D2633" t="s">
        <v>21</v>
      </c>
      <c r="E2633" t="s">
        <v>43</v>
      </c>
      <c r="F2633" t="s">
        <v>41</v>
      </c>
      <c r="G2633" s="89">
        <v>17931</v>
      </c>
      <c r="H2633" t="s">
        <v>42</v>
      </c>
      <c r="I2633" t="s">
        <v>126</v>
      </c>
      <c r="J2633" s="89">
        <v>340689</v>
      </c>
      <c r="K2633" t="s">
        <v>127</v>
      </c>
      <c r="L2633" t="s">
        <v>128</v>
      </c>
      <c r="M2633" t="s">
        <v>136</v>
      </c>
      <c r="N2633">
        <v>1</v>
      </c>
      <c r="O2633" s="89">
        <v>537.92999999999995</v>
      </c>
      <c r="P2633" s="89">
        <v>6993.09</v>
      </c>
      <c r="Q2633" t="s">
        <v>130</v>
      </c>
      <c r="R2633" t="s">
        <v>42</v>
      </c>
    </row>
    <row r="2634" spans="3:18" hidden="1" x14ac:dyDescent="0.25">
      <c r="C2634" t="s">
        <v>45</v>
      </c>
      <c r="D2634" t="s">
        <v>138</v>
      </c>
      <c r="E2634" t="s">
        <v>43</v>
      </c>
      <c r="F2634" t="s">
        <v>53</v>
      </c>
      <c r="G2634" s="89">
        <v>141090</v>
      </c>
      <c r="H2634" t="s">
        <v>145</v>
      </c>
      <c r="I2634" t="s">
        <v>133</v>
      </c>
      <c r="J2634" s="89">
        <v>3809430</v>
      </c>
      <c r="K2634" t="s">
        <v>144</v>
      </c>
      <c r="N2634">
        <v>1</v>
      </c>
      <c r="O2634" s="89">
        <v>4232.7</v>
      </c>
      <c r="P2634" s="89">
        <v>57846.9</v>
      </c>
      <c r="Q2634" t="s">
        <v>142</v>
      </c>
      <c r="R2634" t="s">
        <v>131</v>
      </c>
    </row>
    <row r="2635" spans="3:18" hidden="1" x14ac:dyDescent="0.25">
      <c r="C2635" t="s">
        <v>45</v>
      </c>
      <c r="D2635" t="s">
        <v>25</v>
      </c>
      <c r="E2635" t="s">
        <v>48</v>
      </c>
      <c r="F2635" t="s">
        <v>41</v>
      </c>
      <c r="G2635" s="89">
        <v>189798</v>
      </c>
      <c r="H2635" t="s">
        <v>140</v>
      </c>
      <c r="I2635" t="s">
        <v>133</v>
      </c>
      <c r="J2635" s="89">
        <v>5314344</v>
      </c>
      <c r="K2635" t="s">
        <v>127</v>
      </c>
      <c r="L2635" t="s">
        <v>128</v>
      </c>
      <c r="N2635">
        <v>1</v>
      </c>
      <c r="O2635" s="89">
        <v>5693.94</v>
      </c>
      <c r="P2635" s="89">
        <v>161328.29999999999</v>
      </c>
      <c r="Q2635" t="s">
        <v>135</v>
      </c>
      <c r="R2635" t="s">
        <v>131</v>
      </c>
    </row>
    <row r="2636" spans="3:18" hidden="1" x14ac:dyDescent="0.25">
      <c r="C2636" t="s">
        <v>45</v>
      </c>
      <c r="D2636" t="s">
        <v>24</v>
      </c>
      <c r="E2636" t="s">
        <v>44</v>
      </c>
      <c r="F2636" t="s">
        <v>53</v>
      </c>
      <c r="G2636" s="89">
        <v>114530</v>
      </c>
      <c r="H2636" t="s">
        <v>42</v>
      </c>
      <c r="I2636" t="s">
        <v>126</v>
      </c>
      <c r="J2636" s="89">
        <v>1259830</v>
      </c>
      <c r="K2636" t="s">
        <v>144</v>
      </c>
      <c r="N2636">
        <v>1</v>
      </c>
      <c r="O2636" s="89">
        <v>3435.9</v>
      </c>
      <c r="P2636" s="89">
        <v>56119.7</v>
      </c>
      <c r="Q2636" t="s">
        <v>142</v>
      </c>
      <c r="R2636" t="s">
        <v>42</v>
      </c>
    </row>
    <row r="2637" spans="3:18" x14ac:dyDescent="0.25">
      <c r="C2637" t="s">
        <v>47</v>
      </c>
      <c r="D2637" t="s">
        <v>21</v>
      </c>
      <c r="E2637" t="s">
        <v>43</v>
      </c>
      <c r="F2637" t="s">
        <v>41</v>
      </c>
      <c r="G2637" s="89">
        <v>13469680</v>
      </c>
      <c r="H2637" t="s">
        <v>140</v>
      </c>
      <c r="I2637" t="s">
        <v>147</v>
      </c>
      <c r="J2637" s="89">
        <v>40409040</v>
      </c>
      <c r="K2637" t="s">
        <v>127</v>
      </c>
      <c r="L2637" t="s">
        <v>128</v>
      </c>
      <c r="N2637">
        <v>1</v>
      </c>
      <c r="O2637" s="89">
        <v>404090.4</v>
      </c>
      <c r="P2637" s="89">
        <v>6734840</v>
      </c>
      <c r="Q2637" t="s">
        <v>142</v>
      </c>
      <c r="R2637" t="s">
        <v>131</v>
      </c>
    </row>
    <row r="2638" spans="3:18" hidden="1" x14ac:dyDescent="0.25">
      <c r="C2638" t="s">
        <v>45</v>
      </c>
      <c r="D2638" t="s">
        <v>24</v>
      </c>
      <c r="E2638" t="s">
        <v>48</v>
      </c>
      <c r="F2638" t="s">
        <v>41</v>
      </c>
      <c r="G2638" s="89">
        <v>50280</v>
      </c>
      <c r="H2638" t="s">
        <v>146</v>
      </c>
      <c r="I2638" t="s">
        <v>141</v>
      </c>
      <c r="J2638" s="89">
        <v>301680</v>
      </c>
      <c r="K2638" t="s">
        <v>144</v>
      </c>
      <c r="N2638">
        <v>1</v>
      </c>
      <c r="O2638" s="89">
        <v>1508.4</v>
      </c>
      <c r="P2638" s="89">
        <v>15084</v>
      </c>
      <c r="Q2638" t="s">
        <v>130</v>
      </c>
      <c r="R2638" t="s">
        <v>131</v>
      </c>
    </row>
    <row r="2639" spans="3:18" hidden="1" x14ac:dyDescent="0.25">
      <c r="C2639" t="s">
        <v>45</v>
      </c>
      <c r="D2639" t="s">
        <v>23</v>
      </c>
      <c r="E2639" t="s">
        <v>43</v>
      </c>
      <c r="F2639" t="s">
        <v>41</v>
      </c>
      <c r="G2639" s="89">
        <v>64659</v>
      </c>
      <c r="H2639" t="s">
        <v>145</v>
      </c>
      <c r="I2639" t="s">
        <v>147</v>
      </c>
      <c r="J2639" s="89">
        <v>129318</v>
      </c>
      <c r="K2639" t="s">
        <v>127</v>
      </c>
      <c r="L2639" t="s">
        <v>128</v>
      </c>
      <c r="N2639">
        <v>1</v>
      </c>
      <c r="O2639" s="89">
        <v>1293.18</v>
      </c>
      <c r="P2639" s="89">
        <v>9698.85</v>
      </c>
      <c r="Q2639" t="s">
        <v>130</v>
      </c>
      <c r="R2639" t="s">
        <v>131</v>
      </c>
    </row>
    <row r="2640" spans="3:18" hidden="1" x14ac:dyDescent="0.25">
      <c r="C2640" t="s">
        <v>45</v>
      </c>
      <c r="D2640" t="s">
        <v>149</v>
      </c>
      <c r="E2640" t="s">
        <v>43</v>
      </c>
      <c r="F2640" t="s">
        <v>41</v>
      </c>
      <c r="G2640" s="89">
        <v>5085615</v>
      </c>
      <c r="H2640" t="s">
        <v>140</v>
      </c>
      <c r="I2640" t="s">
        <v>133</v>
      </c>
      <c r="J2640" s="89">
        <v>157654065</v>
      </c>
      <c r="K2640" t="s">
        <v>144</v>
      </c>
      <c r="N2640">
        <v>1</v>
      </c>
      <c r="O2640" s="89">
        <v>152568.45000000001</v>
      </c>
      <c r="P2640" s="89">
        <v>1017123</v>
      </c>
      <c r="Q2640" t="s">
        <v>130</v>
      </c>
      <c r="R2640" t="s">
        <v>131</v>
      </c>
    </row>
    <row r="2641" spans="3:18" hidden="1" x14ac:dyDescent="0.25">
      <c r="C2641" t="s">
        <v>45</v>
      </c>
      <c r="D2641" t="s">
        <v>22</v>
      </c>
      <c r="E2641" t="s">
        <v>43</v>
      </c>
      <c r="F2641" t="s">
        <v>41</v>
      </c>
      <c r="G2641" s="89">
        <v>4243982</v>
      </c>
      <c r="H2641" t="s">
        <v>145</v>
      </c>
      <c r="I2641" t="s">
        <v>126</v>
      </c>
      <c r="J2641" s="89">
        <v>63659730</v>
      </c>
      <c r="K2641" t="s">
        <v>127</v>
      </c>
      <c r="L2641" t="s">
        <v>128</v>
      </c>
      <c r="N2641">
        <v>1</v>
      </c>
      <c r="O2641" s="89">
        <v>127319.46</v>
      </c>
      <c r="P2641" s="89">
        <v>1188314.96</v>
      </c>
      <c r="Q2641" t="s">
        <v>130</v>
      </c>
      <c r="R2641" t="s">
        <v>131</v>
      </c>
    </row>
    <row r="2642" spans="3:18" hidden="1" x14ac:dyDescent="0.25">
      <c r="C2642" t="s">
        <v>45</v>
      </c>
      <c r="D2642" t="s">
        <v>21</v>
      </c>
      <c r="E2642" t="s">
        <v>48</v>
      </c>
      <c r="F2642" t="s">
        <v>41</v>
      </c>
      <c r="G2642" s="89">
        <v>44246</v>
      </c>
      <c r="H2642" t="s">
        <v>42</v>
      </c>
      <c r="I2642" t="s">
        <v>147</v>
      </c>
      <c r="J2642" s="89">
        <v>176984</v>
      </c>
      <c r="K2642" t="s">
        <v>127</v>
      </c>
      <c r="L2642" t="s">
        <v>128</v>
      </c>
      <c r="M2642" t="s">
        <v>129</v>
      </c>
      <c r="N2642">
        <v>1</v>
      </c>
      <c r="O2642" s="89">
        <v>2212.3000000000002</v>
      </c>
      <c r="P2642" s="89">
        <v>7079.36</v>
      </c>
      <c r="Q2642" t="s">
        <v>130</v>
      </c>
      <c r="R2642" t="s">
        <v>42</v>
      </c>
    </row>
    <row r="2643" spans="3:18" hidden="1" x14ac:dyDescent="0.25">
      <c r="C2643" t="s">
        <v>45</v>
      </c>
      <c r="D2643" t="s">
        <v>149</v>
      </c>
      <c r="E2643" t="s">
        <v>43</v>
      </c>
      <c r="F2643" t="s">
        <v>41</v>
      </c>
      <c r="G2643" s="89">
        <v>113036</v>
      </c>
      <c r="H2643" t="s">
        <v>145</v>
      </c>
      <c r="I2643" t="s">
        <v>133</v>
      </c>
      <c r="J2643" s="89">
        <v>2938936</v>
      </c>
      <c r="K2643" t="s">
        <v>134</v>
      </c>
      <c r="N2643">
        <v>1</v>
      </c>
      <c r="O2643" s="89">
        <v>3391.08</v>
      </c>
      <c r="P2643" s="89">
        <v>48605.48</v>
      </c>
      <c r="Q2643" t="s">
        <v>142</v>
      </c>
      <c r="R2643" t="s">
        <v>131</v>
      </c>
    </row>
    <row r="2644" spans="3:18" x14ac:dyDescent="0.25">
      <c r="C2644" t="s">
        <v>47</v>
      </c>
      <c r="D2644" t="s">
        <v>22</v>
      </c>
      <c r="E2644" t="s">
        <v>48</v>
      </c>
      <c r="F2644" t="s">
        <v>41</v>
      </c>
      <c r="G2644" s="89">
        <v>353656</v>
      </c>
      <c r="H2644" t="s">
        <v>146</v>
      </c>
      <c r="I2644" t="s">
        <v>141</v>
      </c>
      <c r="J2644" s="89">
        <v>3182904</v>
      </c>
      <c r="K2644" t="s">
        <v>144</v>
      </c>
      <c r="N2644">
        <v>1</v>
      </c>
      <c r="O2644" s="89">
        <v>14146.24</v>
      </c>
      <c r="P2644" s="89">
        <v>208657.04</v>
      </c>
      <c r="Q2644" t="s">
        <v>142</v>
      </c>
      <c r="R2644" t="s">
        <v>131</v>
      </c>
    </row>
    <row r="2645" spans="3:18" hidden="1" x14ac:dyDescent="0.25">
      <c r="C2645" t="s">
        <v>45</v>
      </c>
      <c r="D2645" t="s">
        <v>21</v>
      </c>
      <c r="E2645" t="s">
        <v>48</v>
      </c>
      <c r="F2645" t="s">
        <v>41</v>
      </c>
      <c r="G2645" s="89">
        <v>1262700</v>
      </c>
      <c r="H2645" t="s">
        <v>42</v>
      </c>
      <c r="I2645" t="s">
        <v>126</v>
      </c>
      <c r="J2645" s="89">
        <v>20203200</v>
      </c>
      <c r="K2645" t="s">
        <v>144</v>
      </c>
      <c r="N2645">
        <v>1</v>
      </c>
      <c r="O2645" s="89">
        <v>37881</v>
      </c>
      <c r="P2645" s="89">
        <v>846009</v>
      </c>
      <c r="Q2645" t="s">
        <v>137</v>
      </c>
      <c r="R2645" t="s">
        <v>42</v>
      </c>
    </row>
    <row r="2646" spans="3:18" hidden="1" x14ac:dyDescent="0.25">
      <c r="C2646" t="s">
        <v>45</v>
      </c>
      <c r="D2646" t="s">
        <v>20</v>
      </c>
      <c r="E2646" t="s">
        <v>43</v>
      </c>
      <c r="F2646" t="s">
        <v>41</v>
      </c>
      <c r="G2646" s="89">
        <v>150521</v>
      </c>
      <c r="H2646" t="s">
        <v>140</v>
      </c>
      <c r="I2646" t="s">
        <v>141</v>
      </c>
      <c r="J2646" s="89">
        <v>1053647</v>
      </c>
      <c r="K2646" t="s">
        <v>144</v>
      </c>
      <c r="N2646">
        <v>1</v>
      </c>
      <c r="O2646" s="89">
        <v>4515.63</v>
      </c>
      <c r="P2646" s="89">
        <v>63218.82</v>
      </c>
      <c r="Q2646" t="s">
        <v>142</v>
      </c>
      <c r="R2646" t="s">
        <v>131</v>
      </c>
    </row>
    <row r="2647" spans="3:18" x14ac:dyDescent="0.25">
      <c r="C2647" t="s">
        <v>47</v>
      </c>
      <c r="D2647" t="s">
        <v>138</v>
      </c>
      <c r="E2647" t="s">
        <v>40</v>
      </c>
      <c r="F2647" t="s">
        <v>41</v>
      </c>
      <c r="G2647" s="89">
        <v>4163640</v>
      </c>
      <c r="H2647" t="s">
        <v>140</v>
      </c>
      <c r="I2647" t="s">
        <v>141</v>
      </c>
      <c r="J2647" s="89">
        <v>29145480</v>
      </c>
      <c r="K2647" t="s">
        <v>127</v>
      </c>
      <c r="L2647" t="s">
        <v>128</v>
      </c>
      <c r="N2647">
        <v>1</v>
      </c>
      <c r="O2647" s="89">
        <v>166545.60000000001</v>
      </c>
      <c r="P2647" s="89">
        <v>957637.2</v>
      </c>
      <c r="Q2647" t="s">
        <v>130</v>
      </c>
      <c r="R2647" t="s">
        <v>131</v>
      </c>
    </row>
    <row r="2648" spans="3:18" hidden="1" x14ac:dyDescent="0.25">
      <c r="C2648" t="s">
        <v>45</v>
      </c>
      <c r="D2648" t="s">
        <v>20</v>
      </c>
      <c r="E2648" t="s">
        <v>43</v>
      </c>
      <c r="F2648" t="s">
        <v>41</v>
      </c>
      <c r="G2648" s="89">
        <v>226</v>
      </c>
      <c r="H2648" t="s">
        <v>132</v>
      </c>
      <c r="I2648" t="s">
        <v>147</v>
      </c>
      <c r="J2648" s="89"/>
      <c r="K2648" t="s">
        <v>127</v>
      </c>
      <c r="L2648" t="s">
        <v>128</v>
      </c>
      <c r="N2648">
        <v>0</v>
      </c>
      <c r="O2648" s="89">
        <v>11.3</v>
      </c>
      <c r="P2648" s="89">
        <v>0</v>
      </c>
      <c r="Q2648" t="s">
        <v>130</v>
      </c>
      <c r="R2648" t="s">
        <v>131</v>
      </c>
    </row>
    <row r="2649" spans="3:18" hidden="1" x14ac:dyDescent="0.25">
      <c r="C2649" t="s">
        <v>45</v>
      </c>
      <c r="D2649" t="s">
        <v>22</v>
      </c>
      <c r="E2649" t="s">
        <v>43</v>
      </c>
      <c r="F2649" t="s">
        <v>41</v>
      </c>
      <c r="G2649" s="89">
        <v>13634</v>
      </c>
      <c r="H2649" t="s">
        <v>146</v>
      </c>
      <c r="I2649" t="s">
        <v>147</v>
      </c>
      <c r="J2649" s="89">
        <v>54536</v>
      </c>
      <c r="K2649" t="s">
        <v>127</v>
      </c>
      <c r="L2649" t="s">
        <v>128</v>
      </c>
      <c r="N2649">
        <v>1</v>
      </c>
      <c r="O2649" s="89">
        <v>272.68</v>
      </c>
      <c r="P2649" s="89">
        <v>8725.76</v>
      </c>
      <c r="Q2649" t="s">
        <v>137</v>
      </c>
      <c r="R2649" t="s">
        <v>131</v>
      </c>
    </row>
    <row r="2650" spans="3:18" hidden="1" x14ac:dyDescent="0.25">
      <c r="C2650" t="s">
        <v>45</v>
      </c>
      <c r="D2650" t="s">
        <v>22</v>
      </c>
      <c r="E2650" t="s">
        <v>48</v>
      </c>
      <c r="F2650" t="s">
        <v>41</v>
      </c>
      <c r="G2650" s="89">
        <v>537597</v>
      </c>
      <c r="H2650" t="s">
        <v>42</v>
      </c>
      <c r="I2650" t="s">
        <v>141</v>
      </c>
      <c r="J2650" s="89">
        <v>4300776</v>
      </c>
      <c r="K2650" t="s">
        <v>144</v>
      </c>
      <c r="N2650">
        <v>1</v>
      </c>
      <c r="O2650" s="89">
        <v>16127.91</v>
      </c>
      <c r="P2650" s="89">
        <v>112895.37</v>
      </c>
      <c r="Q2650" t="s">
        <v>130</v>
      </c>
      <c r="R2650" t="s">
        <v>42</v>
      </c>
    </row>
    <row r="2651" spans="3:18" hidden="1" x14ac:dyDescent="0.25">
      <c r="C2651" t="s">
        <v>45</v>
      </c>
      <c r="D2651" t="s">
        <v>25</v>
      </c>
      <c r="E2651" t="s">
        <v>40</v>
      </c>
      <c r="F2651" t="s">
        <v>41</v>
      </c>
      <c r="G2651" s="89">
        <v>95934</v>
      </c>
      <c r="H2651" t="s">
        <v>132</v>
      </c>
      <c r="I2651" t="s">
        <v>133</v>
      </c>
      <c r="J2651" s="89">
        <v>2206482</v>
      </c>
      <c r="K2651" t="s">
        <v>127</v>
      </c>
      <c r="L2651" t="s">
        <v>128</v>
      </c>
      <c r="N2651">
        <v>1</v>
      </c>
      <c r="O2651" s="89">
        <v>2878.02</v>
      </c>
      <c r="P2651" s="89">
        <v>20146.14</v>
      </c>
      <c r="Q2651" t="s">
        <v>130</v>
      </c>
      <c r="R2651" t="s">
        <v>131</v>
      </c>
    </row>
    <row r="2652" spans="3:18" hidden="1" x14ac:dyDescent="0.25">
      <c r="C2652" t="s">
        <v>45</v>
      </c>
      <c r="D2652" t="s">
        <v>24</v>
      </c>
      <c r="E2652" t="s">
        <v>48</v>
      </c>
      <c r="F2652" t="s">
        <v>53</v>
      </c>
      <c r="G2652" s="89">
        <v>193318</v>
      </c>
      <c r="H2652" t="s">
        <v>42</v>
      </c>
      <c r="I2652" t="s">
        <v>133</v>
      </c>
      <c r="J2652" s="89">
        <v>6379494</v>
      </c>
      <c r="K2652" t="s">
        <v>144</v>
      </c>
      <c r="N2652">
        <v>1</v>
      </c>
      <c r="O2652" s="89">
        <v>5799.54</v>
      </c>
      <c r="P2652" s="89">
        <v>139188.96</v>
      </c>
      <c r="Q2652" t="s">
        <v>137</v>
      </c>
      <c r="R2652" t="s">
        <v>131</v>
      </c>
    </row>
    <row r="2653" spans="3:18" hidden="1" x14ac:dyDescent="0.25">
      <c r="C2653" t="s">
        <v>45</v>
      </c>
      <c r="D2653" t="s">
        <v>21</v>
      </c>
      <c r="E2653" t="s">
        <v>43</v>
      </c>
      <c r="F2653" t="s">
        <v>41</v>
      </c>
      <c r="G2653" s="89">
        <v>1963813</v>
      </c>
      <c r="H2653" t="s">
        <v>140</v>
      </c>
      <c r="I2653" t="s">
        <v>147</v>
      </c>
      <c r="J2653" s="89">
        <v>7855252</v>
      </c>
      <c r="K2653" t="s">
        <v>127</v>
      </c>
      <c r="L2653" t="s">
        <v>128</v>
      </c>
      <c r="N2653">
        <v>1</v>
      </c>
      <c r="O2653" s="89">
        <v>78552.52</v>
      </c>
      <c r="P2653" s="89">
        <v>942630.24</v>
      </c>
      <c r="Q2653" t="s">
        <v>142</v>
      </c>
      <c r="R2653" t="s">
        <v>131</v>
      </c>
    </row>
    <row r="2654" spans="3:18" hidden="1" x14ac:dyDescent="0.25">
      <c r="C2654" t="s">
        <v>45</v>
      </c>
      <c r="D2654" t="s">
        <v>19</v>
      </c>
      <c r="E2654" t="s">
        <v>43</v>
      </c>
      <c r="F2654" t="s">
        <v>41</v>
      </c>
      <c r="G2654" s="89">
        <v>1146701</v>
      </c>
      <c r="H2654" t="s">
        <v>132</v>
      </c>
      <c r="I2654" t="s">
        <v>126</v>
      </c>
      <c r="J2654" s="89">
        <v>12613711</v>
      </c>
      <c r="K2654" t="s">
        <v>127</v>
      </c>
      <c r="L2654" t="s">
        <v>128</v>
      </c>
      <c r="N2654">
        <v>1</v>
      </c>
      <c r="O2654" s="89">
        <v>34401.03</v>
      </c>
      <c r="P2654" s="89">
        <v>1009096.88</v>
      </c>
      <c r="Q2654" t="s">
        <v>135</v>
      </c>
      <c r="R2654" t="s">
        <v>131</v>
      </c>
    </row>
    <row r="2655" spans="3:18" hidden="1" x14ac:dyDescent="0.25">
      <c r="C2655" t="s">
        <v>45</v>
      </c>
      <c r="D2655" t="s">
        <v>138</v>
      </c>
      <c r="E2655" t="s">
        <v>43</v>
      </c>
      <c r="F2655" t="s">
        <v>41</v>
      </c>
      <c r="G2655" s="89">
        <v>39589298</v>
      </c>
      <c r="H2655" t="s">
        <v>42</v>
      </c>
      <c r="I2655" t="s">
        <v>133</v>
      </c>
      <c r="J2655" s="89">
        <v>1227268238</v>
      </c>
      <c r="K2655" t="s">
        <v>127</v>
      </c>
      <c r="L2655" t="s">
        <v>128</v>
      </c>
      <c r="M2655" t="s">
        <v>139</v>
      </c>
      <c r="N2655">
        <v>1</v>
      </c>
      <c r="O2655" s="89">
        <v>1187678.94</v>
      </c>
      <c r="P2655" s="89">
        <v>27712508.600000001</v>
      </c>
      <c r="Q2655" t="s">
        <v>137</v>
      </c>
      <c r="R2655" t="s">
        <v>42</v>
      </c>
    </row>
    <row r="2656" spans="3:18" hidden="1" x14ac:dyDescent="0.25">
      <c r="C2656" t="s">
        <v>45</v>
      </c>
      <c r="D2656" t="s">
        <v>23</v>
      </c>
      <c r="E2656" t="s">
        <v>48</v>
      </c>
      <c r="F2656" t="s">
        <v>41</v>
      </c>
      <c r="G2656" s="89">
        <v>614604</v>
      </c>
      <c r="H2656" t="s">
        <v>140</v>
      </c>
      <c r="I2656" t="s">
        <v>133</v>
      </c>
      <c r="J2656" s="89">
        <v>20896536</v>
      </c>
      <c r="K2656" t="s">
        <v>134</v>
      </c>
      <c r="L2656" t="s">
        <v>128</v>
      </c>
      <c r="N2656">
        <v>1</v>
      </c>
      <c r="O2656" s="89">
        <v>18438.12</v>
      </c>
      <c r="P2656" s="89">
        <v>319594.08</v>
      </c>
      <c r="Q2656" t="s">
        <v>142</v>
      </c>
      <c r="R2656" t="s">
        <v>131</v>
      </c>
    </row>
    <row r="2657" spans="3:18" hidden="1" x14ac:dyDescent="0.25">
      <c r="C2657" t="s">
        <v>45</v>
      </c>
      <c r="D2657" t="s">
        <v>23</v>
      </c>
      <c r="E2657" t="s">
        <v>44</v>
      </c>
      <c r="F2657" t="s">
        <v>41</v>
      </c>
      <c r="G2657" s="89">
        <v>166813</v>
      </c>
      <c r="H2657" t="s">
        <v>42</v>
      </c>
      <c r="I2657" t="s">
        <v>133</v>
      </c>
      <c r="J2657" s="89">
        <v>5504829</v>
      </c>
      <c r="K2657" t="s">
        <v>127</v>
      </c>
      <c r="L2657" t="s">
        <v>128</v>
      </c>
      <c r="M2657" t="s">
        <v>129</v>
      </c>
      <c r="N2657">
        <v>1</v>
      </c>
      <c r="O2657" s="89">
        <v>5004.3900000000003</v>
      </c>
      <c r="P2657" s="89">
        <v>123441.62</v>
      </c>
      <c r="Q2657" t="s">
        <v>137</v>
      </c>
      <c r="R2657" t="s">
        <v>42</v>
      </c>
    </row>
    <row r="2658" spans="3:18" x14ac:dyDescent="0.25">
      <c r="C2658" t="s">
        <v>47</v>
      </c>
      <c r="D2658" t="s">
        <v>22</v>
      </c>
      <c r="E2658" t="s">
        <v>40</v>
      </c>
      <c r="F2658" t="s">
        <v>41</v>
      </c>
      <c r="G2658" s="89">
        <v>2309292</v>
      </c>
      <c r="H2658" t="s">
        <v>154</v>
      </c>
      <c r="I2658" t="s">
        <v>141</v>
      </c>
      <c r="J2658" s="89">
        <v>16165044</v>
      </c>
      <c r="K2658" t="s">
        <v>127</v>
      </c>
      <c r="L2658" t="s">
        <v>128</v>
      </c>
      <c r="N2658">
        <v>1</v>
      </c>
      <c r="O2658" s="89">
        <v>115464.6</v>
      </c>
      <c r="P2658" s="89">
        <v>161650.44</v>
      </c>
      <c r="Q2658" t="s">
        <v>130</v>
      </c>
      <c r="R2658" t="s">
        <v>131</v>
      </c>
    </row>
    <row r="2659" spans="3:18" hidden="1" x14ac:dyDescent="0.25">
      <c r="C2659" t="s">
        <v>45</v>
      </c>
      <c r="D2659" t="s">
        <v>149</v>
      </c>
      <c r="E2659" t="s">
        <v>43</v>
      </c>
      <c r="F2659" t="s">
        <v>41</v>
      </c>
      <c r="G2659" s="89">
        <v>14893</v>
      </c>
      <c r="H2659" t="s">
        <v>140</v>
      </c>
      <c r="I2659" t="s">
        <v>133</v>
      </c>
      <c r="J2659" s="89">
        <v>312753</v>
      </c>
      <c r="K2659" t="s">
        <v>127</v>
      </c>
      <c r="L2659" t="s">
        <v>151</v>
      </c>
      <c r="N2659">
        <v>1</v>
      </c>
      <c r="O2659" s="89">
        <v>446.79</v>
      </c>
      <c r="P2659" s="89">
        <v>7595.43</v>
      </c>
      <c r="Q2659" t="s">
        <v>142</v>
      </c>
      <c r="R2659" t="s">
        <v>131</v>
      </c>
    </row>
    <row r="2660" spans="3:18" hidden="1" x14ac:dyDescent="0.25">
      <c r="C2660" t="s">
        <v>45</v>
      </c>
      <c r="D2660" t="s">
        <v>138</v>
      </c>
      <c r="E2660" t="s">
        <v>48</v>
      </c>
      <c r="F2660" t="s">
        <v>41</v>
      </c>
      <c r="G2660" s="89">
        <v>508174</v>
      </c>
      <c r="H2660" t="s">
        <v>42</v>
      </c>
      <c r="I2660" t="s">
        <v>133</v>
      </c>
      <c r="J2660" s="89">
        <v>12704350</v>
      </c>
      <c r="K2660" t="s">
        <v>127</v>
      </c>
      <c r="L2660" t="s">
        <v>128</v>
      </c>
      <c r="M2660" t="s">
        <v>139</v>
      </c>
      <c r="N2660">
        <v>1</v>
      </c>
      <c r="O2660" s="89">
        <v>15245.22</v>
      </c>
      <c r="P2660" s="89">
        <v>142288.72</v>
      </c>
      <c r="Q2660" t="s">
        <v>130</v>
      </c>
      <c r="R2660" t="s">
        <v>131</v>
      </c>
    </row>
    <row r="2661" spans="3:18" hidden="1" x14ac:dyDescent="0.25">
      <c r="C2661" t="s">
        <v>45</v>
      </c>
      <c r="D2661" t="s">
        <v>19</v>
      </c>
      <c r="E2661" t="s">
        <v>43</v>
      </c>
      <c r="F2661" t="s">
        <v>41</v>
      </c>
      <c r="G2661" s="89">
        <v>1032792</v>
      </c>
      <c r="H2661" t="s">
        <v>132</v>
      </c>
      <c r="I2661" t="s">
        <v>133</v>
      </c>
      <c r="J2661" s="89">
        <v>30983760</v>
      </c>
      <c r="K2661" t="s">
        <v>144</v>
      </c>
      <c r="N2661">
        <v>1</v>
      </c>
      <c r="O2661" s="89">
        <v>30983.759999999998</v>
      </c>
      <c r="P2661" s="89">
        <v>237542.16</v>
      </c>
      <c r="Q2661" t="s">
        <v>130</v>
      </c>
      <c r="R2661" t="s">
        <v>131</v>
      </c>
    </row>
    <row r="2662" spans="3:18" x14ac:dyDescent="0.25">
      <c r="C2662" t="s">
        <v>47</v>
      </c>
      <c r="D2662" t="s">
        <v>21</v>
      </c>
      <c r="E2662" t="s">
        <v>43</v>
      </c>
      <c r="F2662" t="s">
        <v>41</v>
      </c>
      <c r="G2662" s="89">
        <v>15980</v>
      </c>
      <c r="H2662" t="s">
        <v>132</v>
      </c>
      <c r="I2662" t="s">
        <v>126</v>
      </c>
      <c r="J2662" s="89">
        <v>239700</v>
      </c>
      <c r="K2662" t="s">
        <v>127</v>
      </c>
      <c r="L2662" t="s">
        <v>128</v>
      </c>
      <c r="N2662">
        <v>1</v>
      </c>
      <c r="O2662" s="89">
        <v>639.20000000000005</v>
      </c>
      <c r="P2662" s="89">
        <v>23970</v>
      </c>
      <c r="Q2662" t="s">
        <v>150</v>
      </c>
      <c r="R2662" t="s">
        <v>131</v>
      </c>
    </row>
    <row r="2663" spans="3:18" hidden="1" x14ac:dyDescent="0.25">
      <c r="C2663" t="s">
        <v>45</v>
      </c>
      <c r="D2663" t="s">
        <v>23</v>
      </c>
      <c r="E2663" t="s">
        <v>40</v>
      </c>
      <c r="F2663" t="s">
        <v>41</v>
      </c>
      <c r="G2663" s="89">
        <v>298</v>
      </c>
      <c r="H2663" t="s">
        <v>140</v>
      </c>
      <c r="I2663" t="s">
        <v>153</v>
      </c>
      <c r="J2663" s="89"/>
      <c r="K2663" t="s">
        <v>127</v>
      </c>
      <c r="L2663" t="s">
        <v>128</v>
      </c>
      <c r="N2663">
        <v>0</v>
      </c>
      <c r="O2663" s="89">
        <v>0</v>
      </c>
      <c r="P2663" s="89">
        <v>0</v>
      </c>
      <c r="Q2663" t="s">
        <v>130</v>
      </c>
      <c r="R2663" t="s">
        <v>131</v>
      </c>
    </row>
    <row r="2664" spans="3:18" hidden="1" x14ac:dyDescent="0.25">
      <c r="C2664" t="s">
        <v>45</v>
      </c>
      <c r="D2664" t="s">
        <v>21</v>
      </c>
      <c r="E2664" t="s">
        <v>48</v>
      </c>
      <c r="F2664" t="s">
        <v>41</v>
      </c>
      <c r="G2664" s="89">
        <v>86337</v>
      </c>
      <c r="H2664" t="s">
        <v>42</v>
      </c>
      <c r="I2664" t="s">
        <v>141</v>
      </c>
      <c r="J2664" s="89">
        <v>777033</v>
      </c>
      <c r="K2664" t="s">
        <v>127</v>
      </c>
      <c r="L2664" t="s">
        <v>128</v>
      </c>
      <c r="M2664" t="s">
        <v>129</v>
      </c>
      <c r="N2664">
        <v>1</v>
      </c>
      <c r="O2664" s="89">
        <v>2590.11</v>
      </c>
      <c r="P2664" s="89">
        <v>39715.019999999997</v>
      </c>
      <c r="Q2664" t="s">
        <v>142</v>
      </c>
      <c r="R2664" t="s">
        <v>42</v>
      </c>
    </row>
    <row r="2665" spans="3:18" hidden="1" x14ac:dyDescent="0.25">
      <c r="C2665" t="s">
        <v>45</v>
      </c>
      <c r="D2665" t="s">
        <v>138</v>
      </c>
      <c r="E2665" t="s">
        <v>40</v>
      </c>
      <c r="F2665" t="s">
        <v>41</v>
      </c>
      <c r="G2665" s="89">
        <v>121315</v>
      </c>
      <c r="H2665" t="s">
        <v>42</v>
      </c>
      <c r="I2665" t="s">
        <v>133</v>
      </c>
      <c r="J2665" s="89">
        <v>4367340</v>
      </c>
      <c r="K2665" t="s">
        <v>127</v>
      </c>
      <c r="L2665" t="s">
        <v>128</v>
      </c>
      <c r="M2665" t="s">
        <v>148</v>
      </c>
      <c r="N2665">
        <v>1</v>
      </c>
      <c r="O2665" s="89">
        <v>3639.45</v>
      </c>
      <c r="P2665" s="89">
        <v>81281.05</v>
      </c>
      <c r="Q2665" t="s">
        <v>137</v>
      </c>
      <c r="R2665" t="s">
        <v>131</v>
      </c>
    </row>
    <row r="2666" spans="3:18" hidden="1" x14ac:dyDescent="0.25">
      <c r="C2666" t="s">
        <v>45</v>
      </c>
      <c r="D2666" t="s">
        <v>22</v>
      </c>
      <c r="E2666" t="s">
        <v>43</v>
      </c>
      <c r="F2666" t="s">
        <v>41</v>
      </c>
      <c r="G2666" s="89">
        <v>138365</v>
      </c>
      <c r="H2666" t="s">
        <v>42</v>
      </c>
      <c r="I2666" t="s">
        <v>126</v>
      </c>
      <c r="J2666" s="89">
        <v>2075475</v>
      </c>
      <c r="K2666" t="s">
        <v>144</v>
      </c>
      <c r="N2666">
        <v>1</v>
      </c>
      <c r="O2666" s="89">
        <v>4150.95</v>
      </c>
      <c r="P2666" s="89">
        <v>78868.05</v>
      </c>
      <c r="Q2666" t="s">
        <v>142</v>
      </c>
      <c r="R2666" t="s">
        <v>131</v>
      </c>
    </row>
    <row r="2667" spans="3:18" hidden="1" x14ac:dyDescent="0.25">
      <c r="C2667" t="s">
        <v>45</v>
      </c>
      <c r="D2667" t="s">
        <v>22</v>
      </c>
      <c r="E2667" t="s">
        <v>40</v>
      </c>
      <c r="F2667" t="s">
        <v>41</v>
      </c>
      <c r="G2667" s="89">
        <v>2068527</v>
      </c>
      <c r="H2667" t="s">
        <v>140</v>
      </c>
      <c r="I2667" t="s">
        <v>141</v>
      </c>
      <c r="J2667" s="89">
        <v>18616743</v>
      </c>
      <c r="K2667" t="s">
        <v>144</v>
      </c>
      <c r="N2667">
        <v>1</v>
      </c>
      <c r="O2667" s="89">
        <v>62055.81</v>
      </c>
      <c r="P2667" s="89">
        <v>475761.21</v>
      </c>
      <c r="Q2667" t="s">
        <v>130</v>
      </c>
      <c r="R2667" t="s">
        <v>131</v>
      </c>
    </row>
    <row r="2668" spans="3:18" hidden="1" x14ac:dyDescent="0.25">
      <c r="C2668" t="s">
        <v>45</v>
      </c>
      <c r="D2668" t="s">
        <v>138</v>
      </c>
      <c r="E2668" t="s">
        <v>40</v>
      </c>
      <c r="F2668" t="s">
        <v>41</v>
      </c>
      <c r="G2668" s="89">
        <v>527548</v>
      </c>
      <c r="H2668" t="s">
        <v>42</v>
      </c>
      <c r="I2668" t="s">
        <v>133</v>
      </c>
      <c r="J2668" s="89">
        <v>17409084</v>
      </c>
      <c r="K2668" t="s">
        <v>134</v>
      </c>
      <c r="L2668" t="s">
        <v>128</v>
      </c>
      <c r="M2668" t="s">
        <v>139</v>
      </c>
      <c r="N2668">
        <v>1</v>
      </c>
      <c r="O2668" s="89">
        <v>15826.44</v>
      </c>
      <c r="P2668" s="89">
        <v>379834.56</v>
      </c>
      <c r="Q2668" t="s">
        <v>137</v>
      </c>
      <c r="R2668" t="s">
        <v>131</v>
      </c>
    </row>
    <row r="2669" spans="3:18" hidden="1" x14ac:dyDescent="0.25">
      <c r="C2669" t="s">
        <v>45</v>
      </c>
      <c r="D2669" t="s">
        <v>23</v>
      </c>
      <c r="E2669" t="s">
        <v>40</v>
      </c>
      <c r="F2669" t="s">
        <v>53</v>
      </c>
      <c r="G2669" s="89">
        <v>74658</v>
      </c>
      <c r="H2669" t="s">
        <v>42</v>
      </c>
      <c r="I2669" t="s">
        <v>133</v>
      </c>
      <c r="J2669" s="89">
        <v>2613030</v>
      </c>
      <c r="K2669" t="s">
        <v>144</v>
      </c>
      <c r="N2669">
        <v>1</v>
      </c>
      <c r="O2669" s="89">
        <v>2239.7399999999998</v>
      </c>
      <c r="P2669" s="89">
        <v>23890.560000000001</v>
      </c>
      <c r="Q2669" t="s">
        <v>130</v>
      </c>
      <c r="R2669" t="s">
        <v>42</v>
      </c>
    </row>
    <row r="2670" spans="3:18" x14ac:dyDescent="0.25">
      <c r="C2670" t="s">
        <v>47</v>
      </c>
      <c r="D2670" t="s">
        <v>20</v>
      </c>
      <c r="E2670" t="s">
        <v>40</v>
      </c>
      <c r="F2670" t="s">
        <v>41</v>
      </c>
      <c r="G2670" s="89">
        <v>973754</v>
      </c>
      <c r="H2670" t="s">
        <v>140</v>
      </c>
      <c r="I2670" t="s">
        <v>147</v>
      </c>
      <c r="J2670" s="89">
        <v>2921262</v>
      </c>
      <c r="K2670" t="s">
        <v>127</v>
      </c>
      <c r="L2670" t="s">
        <v>128</v>
      </c>
      <c r="N2670">
        <v>1</v>
      </c>
      <c r="O2670" s="89">
        <v>29212.62</v>
      </c>
      <c r="P2670" s="89">
        <v>954278.92</v>
      </c>
      <c r="Q2670" t="s">
        <v>135</v>
      </c>
      <c r="R2670" t="s">
        <v>131</v>
      </c>
    </row>
    <row r="2671" spans="3:18" hidden="1" x14ac:dyDescent="0.25">
      <c r="C2671" t="s">
        <v>45</v>
      </c>
      <c r="D2671" t="s">
        <v>23</v>
      </c>
      <c r="E2671" t="s">
        <v>48</v>
      </c>
      <c r="F2671" t="s">
        <v>41</v>
      </c>
      <c r="G2671" s="89">
        <v>2891</v>
      </c>
      <c r="H2671" t="s">
        <v>140</v>
      </c>
      <c r="I2671" t="s">
        <v>147</v>
      </c>
      <c r="J2671" s="89">
        <v>14455</v>
      </c>
      <c r="K2671" t="s">
        <v>134</v>
      </c>
      <c r="L2671" t="s">
        <v>128</v>
      </c>
      <c r="N2671">
        <v>1</v>
      </c>
      <c r="O2671" s="89">
        <v>173.46</v>
      </c>
      <c r="P2671" s="89">
        <v>1272.04</v>
      </c>
      <c r="Q2671" t="s">
        <v>142</v>
      </c>
      <c r="R2671" t="s">
        <v>131</v>
      </c>
    </row>
    <row r="2672" spans="3:18" hidden="1" x14ac:dyDescent="0.25">
      <c r="C2672" t="s">
        <v>45</v>
      </c>
      <c r="D2672" t="s">
        <v>22</v>
      </c>
      <c r="E2672" t="s">
        <v>40</v>
      </c>
      <c r="F2672" t="s">
        <v>41</v>
      </c>
      <c r="G2672" s="89">
        <v>1074</v>
      </c>
      <c r="H2672" t="s">
        <v>42</v>
      </c>
      <c r="I2672" t="s">
        <v>147</v>
      </c>
      <c r="J2672" s="89">
        <v>1074</v>
      </c>
      <c r="K2672" t="s">
        <v>127</v>
      </c>
      <c r="L2672" t="s">
        <v>128</v>
      </c>
      <c r="M2672" t="s">
        <v>143</v>
      </c>
      <c r="N2672">
        <v>1</v>
      </c>
      <c r="O2672" s="89">
        <v>53.7</v>
      </c>
      <c r="P2672" s="89">
        <v>698.1</v>
      </c>
      <c r="Q2672" t="s">
        <v>137</v>
      </c>
      <c r="R2672" t="s">
        <v>131</v>
      </c>
    </row>
    <row r="2673" spans="3:18" hidden="1" x14ac:dyDescent="0.25">
      <c r="C2673" t="s">
        <v>45</v>
      </c>
      <c r="D2673" t="s">
        <v>21</v>
      </c>
      <c r="E2673" t="s">
        <v>43</v>
      </c>
      <c r="F2673" t="s">
        <v>41</v>
      </c>
      <c r="G2673" s="89">
        <v>9530</v>
      </c>
      <c r="H2673" t="s">
        <v>42</v>
      </c>
      <c r="I2673" t="s">
        <v>147</v>
      </c>
      <c r="J2673" s="89">
        <v>28590</v>
      </c>
      <c r="K2673" t="s">
        <v>127</v>
      </c>
      <c r="L2673" t="s">
        <v>128</v>
      </c>
      <c r="M2673" t="s">
        <v>152</v>
      </c>
      <c r="N2673">
        <v>1</v>
      </c>
      <c r="O2673" s="89">
        <v>381.2</v>
      </c>
      <c r="P2673" s="89">
        <v>1238.9000000000001</v>
      </c>
      <c r="Q2673" t="s">
        <v>130</v>
      </c>
      <c r="R2673" t="s">
        <v>42</v>
      </c>
    </row>
    <row r="2674" spans="3:18" hidden="1" x14ac:dyDescent="0.25">
      <c r="C2674" t="s">
        <v>45</v>
      </c>
      <c r="D2674" t="s">
        <v>22</v>
      </c>
      <c r="E2674" t="s">
        <v>40</v>
      </c>
      <c r="F2674" t="s">
        <v>41</v>
      </c>
      <c r="G2674" s="89">
        <v>241166</v>
      </c>
      <c r="H2674" t="s">
        <v>42</v>
      </c>
      <c r="I2674" t="s">
        <v>126</v>
      </c>
      <c r="J2674" s="89">
        <v>4823320</v>
      </c>
      <c r="K2674" t="s">
        <v>127</v>
      </c>
      <c r="L2674" t="s">
        <v>128</v>
      </c>
      <c r="M2674" t="s">
        <v>136</v>
      </c>
      <c r="N2674">
        <v>1</v>
      </c>
      <c r="O2674" s="89">
        <v>4823.32</v>
      </c>
      <c r="P2674" s="89">
        <v>197756.12</v>
      </c>
      <c r="Q2674" t="s">
        <v>135</v>
      </c>
      <c r="R2674" t="s">
        <v>131</v>
      </c>
    </row>
    <row r="2675" spans="3:18" hidden="1" x14ac:dyDescent="0.25">
      <c r="C2675" t="s">
        <v>45</v>
      </c>
      <c r="D2675" t="s">
        <v>23</v>
      </c>
      <c r="E2675" t="s">
        <v>40</v>
      </c>
      <c r="F2675" t="s">
        <v>41</v>
      </c>
      <c r="G2675" s="89">
        <v>5381114</v>
      </c>
      <c r="H2675" t="s">
        <v>145</v>
      </c>
      <c r="I2675" t="s">
        <v>133</v>
      </c>
      <c r="J2675" s="89">
        <v>161433420</v>
      </c>
      <c r="K2675" t="s">
        <v>127</v>
      </c>
      <c r="L2675" t="s">
        <v>128</v>
      </c>
      <c r="N2675">
        <v>1</v>
      </c>
      <c r="O2675" s="89">
        <v>161433.42000000001</v>
      </c>
      <c r="P2675" s="89">
        <v>4573946.9000000004</v>
      </c>
      <c r="Q2675" t="s">
        <v>135</v>
      </c>
      <c r="R2675" t="s">
        <v>131</v>
      </c>
    </row>
    <row r="2676" spans="3:18" hidden="1" x14ac:dyDescent="0.25">
      <c r="C2676" t="s">
        <v>45</v>
      </c>
      <c r="D2676" t="s">
        <v>138</v>
      </c>
      <c r="E2676" t="s">
        <v>43</v>
      </c>
      <c r="F2676" t="s">
        <v>41</v>
      </c>
      <c r="G2676" s="89">
        <v>205228</v>
      </c>
      <c r="H2676" t="s">
        <v>146</v>
      </c>
      <c r="I2676" t="s">
        <v>133</v>
      </c>
      <c r="J2676" s="89">
        <v>4720244</v>
      </c>
      <c r="K2676" t="s">
        <v>134</v>
      </c>
      <c r="L2676" t="s">
        <v>128</v>
      </c>
      <c r="N2676">
        <v>1</v>
      </c>
      <c r="O2676" s="89">
        <v>4104.5600000000004</v>
      </c>
      <c r="P2676" s="89">
        <v>114927.67999999999</v>
      </c>
      <c r="Q2676" t="s">
        <v>142</v>
      </c>
      <c r="R2676" t="s">
        <v>131</v>
      </c>
    </row>
    <row r="2677" spans="3:18" hidden="1" x14ac:dyDescent="0.25">
      <c r="C2677" t="s">
        <v>45</v>
      </c>
      <c r="D2677" t="s">
        <v>23</v>
      </c>
      <c r="E2677" t="s">
        <v>40</v>
      </c>
      <c r="F2677" t="s">
        <v>41</v>
      </c>
      <c r="G2677" s="89">
        <v>5540</v>
      </c>
      <c r="H2677" t="s">
        <v>132</v>
      </c>
      <c r="I2677" t="s">
        <v>147</v>
      </c>
      <c r="J2677" s="89">
        <v>16620</v>
      </c>
      <c r="K2677" t="s">
        <v>127</v>
      </c>
      <c r="L2677" t="s">
        <v>128</v>
      </c>
      <c r="N2677">
        <v>1</v>
      </c>
      <c r="O2677" s="89">
        <v>277</v>
      </c>
      <c r="P2677" s="89">
        <v>4155</v>
      </c>
      <c r="Q2677" t="s">
        <v>137</v>
      </c>
      <c r="R2677" t="s">
        <v>131</v>
      </c>
    </row>
    <row r="2678" spans="3:18" x14ac:dyDescent="0.25">
      <c r="C2678" t="s">
        <v>47</v>
      </c>
      <c r="D2678" t="s">
        <v>25</v>
      </c>
      <c r="E2678" t="s">
        <v>44</v>
      </c>
      <c r="F2678" t="s">
        <v>41</v>
      </c>
      <c r="G2678" s="89">
        <v>638839</v>
      </c>
      <c r="H2678" t="s">
        <v>146</v>
      </c>
      <c r="I2678" t="s">
        <v>141</v>
      </c>
      <c r="J2678" s="89">
        <v>3833034</v>
      </c>
      <c r="K2678" t="s">
        <v>127</v>
      </c>
      <c r="L2678" t="s">
        <v>128</v>
      </c>
      <c r="N2678">
        <v>1</v>
      </c>
      <c r="O2678" s="89">
        <v>25553.56</v>
      </c>
      <c r="P2678" s="89">
        <v>153321.35999999999</v>
      </c>
      <c r="Q2678" t="s">
        <v>130</v>
      </c>
      <c r="R2678" t="s">
        <v>131</v>
      </c>
    </row>
    <row r="2679" spans="3:18" hidden="1" x14ac:dyDescent="0.25">
      <c r="C2679" t="s">
        <v>45</v>
      </c>
      <c r="D2679" t="s">
        <v>19</v>
      </c>
      <c r="E2679" t="s">
        <v>43</v>
      </c>
      <c r="F2679" t="s">
        <v>41</v>
      </c>
      <c r="G2679" s="89">
        <v>1233502</v>
      </c>
      <c r="H2679" t="s">
        <v>42</v>
      </c>
      <c r="I2679" t="s">
        <v>126</v>
      </c>
      <c r="J2679" s="89">
        <v>22203036</v>
      </c>
      <c r="K2679" t="s">
        <v>144</v>
      </c>
      <c r="N2679">
        <v>1</v>
      </c>
      <c r="O2679" s="89">
        <v>37005.06</v>
      </c>
      <c r="P2679" s="89">
        <v>1023806.66</v>
      </c>
      <c r="Q2679" t="s">
        <v>135</v>
      </c>
      <c r="R2679" t="s">
        <v>42</v>
      </c>
    </row>
    <row r="2680" spans="3:18" hidden="1" x14ac:dyDescent="0.25">
      <c r="C2680" t="s">
        <v>45</v>
      </c>
      <c r="D2680" t="s">
        <v>25</v>
      </c>
      <c r="E2680" t="s">
        <v>40</v>
      </c>
      <c r="F2680" t="s">
        <v>41</v>
      </c>
      <c r="G2680" s="89">
        <v>1943588</v>
      </c>
      <c r="H2680" t="s">
        <v>140</v>
      </c>
      <c r="I2680" t="s">
        <v>133</v>
      </c>
      <c r="J2680" s="89">
        <v>58307640</v>
      </c>
      <c r="K2680" t="s">
        <v>127</v>
      </c>
      <c r="L2680" t="s">
        <v>128</v>
      </c>
      <c r="N2680">
        <v>1</v>
      </c>
      <c r="O2680" s="89">
        <v>58307.64</v>
      </c>
      <c r="P2680" s="89">
        <v>1341075.72</v>
      </c>
      <c r="Q2680" t="s">
        <v>137</v>
      </c>
      <c r="R2680" t="s">
        <v>131</v>
      </c>
    </row>
    <row r="2681" spans="3:18" hidden="1" x14ac:dyDescent="0.25">
      <c r="C2681" t="s">
        <v>45</v>
      </c>
      <c r="D2681" t="s">
        <v>149</v>
      </c>
      <c r="E2681" t="s">
        <v>43</v>
      </c>
      <c r="F2681" t="s">
        <v>41</v>
      </c>
      <c r="G2681" s="89">
        <v>5071832</v>
      </c>
      <c r="H2681" t="s">
        <v>140</v>
      </c>
      <c r="I2681" t="s">
        <v>141</v>
      </c>
      <c r="J2681" s="89">
        <v>35502824</v>
      </c>
      <c r="K2681" t="s">
        <v>127</v>
      </c>
      <c r="L2681" t="s">
        <v>128</v>
      </c>
      <c r="N2681">
        <v>1</v>
      </c>
      <c r="O2681" s="89">
        <v>152154.96</v>
      </c>
      <c r="P2681" s="89">
        <v>963648.08</v>
      </c>
      <c r="Q2681" t="s">
        <v>130</v>
      </c>
      <c r="R2681" t="s">
        <v>131</v>
      </c>
    </row>
    <row r="2682" spans="3:18" hidden="1" x14ac:dyDescent="0.25">
      <c r="C2682" t="s">
        <v>45</v>
      </c>
      <c r="D2682" t="s">
        <v>23</v>
      </c>
      <c r="E2682" t="s">
        <v>43</v>
      </c>
      <c r="F2682" t="s">
        <v>41</v>
      </c>
      <c r="G2682" s="89">
        <v>18095</v>
      </c>
      <c r="H2682" t="s">
        <v>42</v>
      </c>
      <c r="I2682" t="s">
        <v>147</v>
      </c>
      <c r="J2682" s="89">
        <v>54285</v>
      </c>
      <c r="K2682" t="s">
        <v>127</v>
      </c>
      <c r="L2682" t="s">
        <v>128</v>
      </c>
      <c r="M2682" t="s">
        <v>143</v>
      </c>
      <c r="N2682">
        <v>1</v>
      </c>
      <c r="O2682" s="89">
        <v>361.9</v>
      </c>
      <c r="P2682" s="89">
        <v>2533.3000000000002</v>
      </c>
      <c r="Q2682" t="s">
        <v>130</v>
      </c>
      <c r="R2682" t="s">
        <v>42</v>
      </c>
    </row>
    <row r="2683" spans="3:18" hidden="1" x14ac:dyDescent="0.25">
      <c r="C2683" t="s">
        <v>45</v>
      </c>
      <c r="D2683" t="s">
        <v>20</v>
      </c>
      <c r="E2683" t="s">
        <v>44</v>
      </c>
      <c r="F2683" t="s">
        <v>41</v>
      </c>
      <c r="G2683" s="89">
        <v>346318</v>
      </c>
      <c r="H2683" t="s">
        <v>42</v>
      </c>
      <c r="I2683" t="s">
        <v>133</v>
      </c>
      <c r="J2683" s="89">
        <v>7618996</v>
      </c>
      <c r="K2683" t="s">
        <v>127</v>
      </c>
      <c r="L2683" t="s">
        <v>128</v>
      </c>
      <c r="M2683" t="s">
        <v>139</v>
      </c>
      <c r="N2683">
        <v>1</v>
      </c>
      <c r="O2683" s="89">
        <v>13852.72</v>
      </c>
      <c r="P2683" s="89">
        <v>249348.96</v>
      </c>
      <c r="Q2683" t="s">
        <v>137</v>
      </c>
      <c r="R2683" t="s">
        <v>131</v>
      </c>
    </row>
    <row r="2684" spans="3:18" hidden="1" x14ac:dyDescent="0.25">
      <c r="C2684" t="s">
        <v>45</v>
      </c>
      <c r="D2684" t="s">
        <v>23</v>
      </c>
      <c r="E2684" t="s">
        <v>52</v>
      </c>
      <c r="F2684" t="s">
        <v>41</v>
      </c>
      <c r="G2684" s="89">
        <v>18832</v>
      </c>
      <c r="H2684" t="s">
        <v>42</v>
      </c>
      <c r="I2684" t="s">
        <v>141</v>
      </c>
      <c r="J2684" s="89">
        <v>169488</v>
      </c>
      <c r="K2684" t="s">
        <v>127</v>
      </c>
      <c r="L2684" t="s">
        <v>128</v>
      </c>
      <c r="M2684" t="s">
        <v>152</v>
      </c>
      <c r="N2684">
        <v>1</v>
      </c>
      <c r="O2684" s="89">
        <v>753.28</v>
      </c>
      <c r="P2684" s="89">
        <v>12617.44</v>
      </c>
      <c r="Q2684" t="s">
        <v>137</v>
      </c>
      <c r="R2684" t="s">
        <v>42</v>
      </c>
    </row>
    <row r="2685" spans="3:18" hidden="1" x14ac:dyDescent="0.25">
      <c r="C2685" t="s">
        <v>45</v>
      </c>
      <c r="D2685" t="s">
        <v>22</v>
      </c>
      <c r="E2685" t="s">
        <v>43</v>
      </c>
      <c r="F2685" t="s">
        <v>41</v>
      </c>
      <c r="G2685" s="89">
        <v>1124716</v>
      </c>
      <c r="H2685" t="s">
        <v>42</v>
      </c>
      <c r="I2685" t="s">
        <v>133</v>
      </c>
      <c r="J2685" s="89">
        <v>31492048</v>
      </c>
      <c r="K2685" t="s">
        <v>144</v>
      </c>
      <c r="N2685">
        <v>1</v>
      </c>
      <c r="O2685" s="89">
        <v>33741.480000000003</v>
      </c>
      <c r="P2685" s="89">
        <v>359909.12</v>
      </c>
      <c r="Q2685" t="s">
        <v>130</v>
      </c>
      <c r="R2685" t="s">
        <v>42</v>
      </c>
    </row>
    <row r="2686" spans="3:18" x14ac:dyDescent="0.25">
      <c r="C2686" t="s">
        <v>47</v>
      </c>
      <c r="D2686" t="s">
        <v>149</v>
      </c>
      <c r="E2686" t="s">
        <v>40</v>
      </c>
      <c r="F2686" t="s">
        <v>41</v>
      </c>
      <c r="G2686" s="89">
        <v>3994</v>
      </c>
      <c r="H2686" t="s">
        <v>145</v>
      </c>
      <c r="I2686" t="s">
        <v>147</v>
      </c>
      <c r="J2686" s="89">
        <v>19970</v>
      </c>
      <c r="K2686" t="s">
        <v>127</v>
      </c>
      <c r="L2686" t="s">
        <v>128</v>
      </c>
      <c r="N2686">
        <v>1</v>
      </c>
      <c r="O2686" s="89">
        <v>159.76</v>
      </c>
      <c r="P2686" s="89">
        <v>159.76</v>
      </c>
      <c r="Q2686" t="s">
        <v>130</v>
      </c>
      <c r="R2686" t="s">
        <v>131</v>
      </c>
    </row>
    <row r="2687" spans="3:18" hidden="1" x14ac:dyDescent="0.25">
      <c r="C2687" t="s">
        <v>45</v>
      </c>
      <c r="D2687" t="s">
        <v>19</v>
      </c>
      <c r="E2687" t="s">
        <v>43</v>
      </c>
      <c r="F2687" t="s">
        <v>41</v>
      </c>
      <c r="G2687" s="89">
        <v>2334416</v>
      </c>
      <c r="H2687" t="s">
        <v>140</v>
      </c>
      <c r="I2687" t="s">
        <v>133</v>
      </c>
      <c r="J2687" s="89">
        <v>74701312</v>
      </c>
      <c r="K2687" t="s">
        <v>134</v>
      </c>
      <c r="L2687" t="s">
        <v>128</v>
      </c>
      <c r="N2687">
        <v>1</v>
      </c>
      <c r="O2687" s="89">
        <v>70032.479999999996</v>
      </c>
      <c r="P2687" s="89">
        <v>1587402.88</v>
      </c>
      <c r="Q2687" t="s">
        <v>137</v>
      </c>
      <c r="R2687" t="s">
        <v>131</v>
      </c>
    </row>
    <row r="2688" spans="3:18" x14ac:dyDescent="0.25">
      <c r="C2688" t="s">
        <v>47</v>
      </c>
      <c r="D2688" t="s">
        <v>19</v>
      </c>
      <c r="E2688" t="s">
        <v>40</v>
      </c>
      <c r="F2688" t="s">
        <v>41</v>
      </c>
      <c r="G2688" s="89">
        <v>76407</v>
      </c>
      <c r="H2688" t="s">
        <v>140</v>
      </c>
      <c r="I2688" t="s">
        <v>147</v>
      </c>
      <c r="J2688" s="89">
        <v>305628</v>
      </c>
      <c r="K2688" t="s">
        <v>127</v>
      </c>
      <c r="L2688" t="s">
        <v>128</v>
      </c>
      <c r="N2688">
        <v>1</v>
      </c>
      <c r="O2688" s="89">
        <v>3056.28</v>
      </c>
      <c r="P2688" s="89">
        <v>27506.52</v>
      </c>
      <c r="Q2688" t="s">
        <v>130</v>
      </c>
      <c r="R2688" t="s">
        <v>131</v>
      </c>
    </row>
    <row r="2689" spans="3:18" hidden="1" x14ac:dyDescent="0.25">
      <c r="C2689" t="s">
        <v>45</v>
      </c>
      <c r="D2689" t="s">
        <v>24</v>
      </c>
      <c r="E2689" t="s">
        <v>40</v>
      </c>
      <c r="F2689" t="s">
        <v>41</v>
      </c>
      <c r="G2689" s="89">
        <v>653310</v>
      </c>
      <c r="H2689" t="s">
        <v>146</v>
      </c>
      <c r="I2689" t="s">
        <v>126</v>
      </c>
      <c r="J2689" s="89">
        <v>10452960</v>
      </c>
      <c r="K2689" t="s">
        <v>127</v>
      </c>
      <c r="L2689" t="s">
        <v>128</v>
      </c>
      <c r="N2689">
        <v>1</v>
      </c>
      <c r="O2689" s="89">
        <v>19599.3</v>
      </c>
      <c r="P2689" s="89">
        <v>130662</v>
      </c>
      <c r="Q2689" t="s">
        <v>130</v>
      </c>
      <c r="R2689" t="s">
        <v>131</v>
      </c>
    </row>
    <row r="2690" spans="3:18" hidden="1" x14ac:dyDescent="0.25">
      <c r="C2690" t="s">
        <v>45</v>
      </c>
      <c r="D2690" t="s">
        <v>20</v>
      </c>
      <c r="E2690" t="s">
        <v>43</v>
      </c>
      <c r="F2690" t="s">
        <v>41</v>
      </c>
      <c r="G2690" s="89">
        <v>1915167</v>
      </c>
      <c r="H2690" t="s">
        <v>132</v>
      </c>
      <c r="I2690" t="s">
        <v>147</v>
      </c>
      <c r="J2690" s="89">
        <v>7660668</v>
      </c>
      <c r="K2690" t="s">
        <v>127</v>
      </c>
      <c r="L2690" t="s">
        <v>128</v>
      </c>
      <c r="N2690">
        <v>1</v>
      </c>
      <c r="O2690" s="89">
        <v>57455.01</v>
      </c>
      <c r="P2690" s="89">
        <v>919280.16</v>
      </c>
      <c r="Q2690" t="s">
        <v>142</v>
      </c>
      <c r="R2690" t="s">
        <v>131</v>
      </c>
    </row>
    <row r="2691" spans="3:18" hidden="1" x14ac:dyDescent="0.25">
      <c r="C2691" t="s">
        <v>45</v>
      </c>
      <c r="D2691" t="s">
        <v>22</v>
      </c>
      <c r="E2691" t="s">
        <v>40</v>
      </c>
      <c r="F2691" t="s">
        <v>41</v>
      </c>
      <c r="G2691" s="89">
        <v>89868</v>
      </c>
      <c r="H2691" t="s">
        <v>42</v>
      </c>
      <c r="I2691" t="s">
        <v>133</v>
      </c>
      <c r="J2691" s="89">
        <v>2965644</v>
      </c>
      <c r="K2691" t="s">
        <v>127</v>
      </c>
      <c r="L2691" t="s">
        <v>128</v>
      </c>
      <c r="M2691" t="s">
        <v>152</v>
      </c>
      <c r="N2691">
        <v>1</v>
      </c>
      <c r="O2691" s="89">
        <v>2696.04</v>
      </c>
      <c r="P2691" s="89">
        <v>67401</v>
      </c>
      <c r="Q2691" t="s">
        <v>137</v>
      </c>
      <c r="R2691" t="s">
        <v>42</v>
      </c>
    </row>
    <row r="2692" spans="3:18" x14ac:dyDescent="0.25">
      <c r="C2692" t="s">
        <v>47</v>
      </c>
      <c r="D2692" t="s">
        <v>21</v>
      </c>
      <c r="E2692" t="s">
        <v>43</v>
      </c>
      <c r="F2692" t="s">
        <v>41</v>
      </c>
      <c r="G2692" s="89">
        <v>65736</v>
      </c>
      <c r="H2692" t="s">
        <v>146</v>
      </c>
      <c r="I2692" t="s">
        <v>147</v>
      </c>
      <c r="J2692" s="89">
        <v>328680</v>
      </c>
      <c r="K2692" t="s">
        <v>134</v>
      </c>
      <c r="L2692" t="s">
        <v>128</v>
      </c>
      <c r="N2692">
        <v>1</v>
      </c>
      <c r="O2692" s="89">
        <v>3286.8</v>
      </c>
      <c r="P2692" s="89">
        <v>80855.28</v>
      </c>
      <c r="Q2692" t="s">
        <v>150</v>
      </c>
      <c r="R2692" t="s">
        <v>131</v>
      </c>
    </row>
    <row r="2693" spans="3:18" hidden="1" x14ac:dyDescent="0.25">
      <c r="C2693" t="s">
        <v>45</v>
      </c>
      <c r="D2693" t="s">
        <v>138</v>
      </c>
      <c r="E2693" t="s">
        <v>43</v>
      </c>
      <c r="F2693" t="s">
        <v>41</v>
      </c>
      <c r="G2693" s="89">
        <v>143583</v>
      </c>
      <c r="H2693" t="s">
        <v>42</v>
      </c>
      <c r="I2693" t="s">
        <v>133</v>
      </c>
      <c r="J2693" s="89">
        <v>4594656</v>
      </c>
      <c r="K2693" t="s">
        <v>127</v>
      </c>
      <c r="L2693" t="s">
        <v>128</v>
      </c>
      <c r="M2693" t="s">
        <v>129</v>
      </c>
      <c r="N2693">
        <v>1</v>
      </c>
      <c r="O2693" s="89">
        <v>4307.49</v>
      </c>
      <c r="P2693" s="89">
        <v>123481.38</v>
      </c>
      <c r="Q2693" t="s">
        <v>135</v>
      </c>
      <c r="R2693" t="s">
        <v>131</v>
      </c>
    </row>
    <row r="2694" spans="3:18" hidden="1" x14ac:dyDescent="0.25">
      <c r="C2694" t="s">
        <v>45</v>
      </c>
      <c r="D2694" t="s">
        <v>20</v>
      </c>
      <c r="E2694" t="s">
        <v>43</v>
      </c>
      <c r="F2694" t="s">
        <v>41</v>
      </c>
      <c r="G2694" s="89">
        <v>1623293</v>
      </c>
      <c r="H2694" t="s">
        <v>42</v>
      </c>
      <c r="I2694" t="s">
        <v>133</v>
      </c>
      <c r="J2694" s="89">
        <v>48698790</v>
      </c>
      <c r="K2694" t="s">
        <v>127</v>
      </c>
      <c r="L2694" t="s">
        <v>128</v>
      </c>
      <c r="M2694" t="s">
        <v>139</v>
      </c>
      <c r="N2694">
        <v>1</v>
      </c>
      <c r="O2694" s="89">
        <v>48698.79</v>
      </c>
      <c r="P2694" s="89">
        <v>1720690.58</v>
      </c>
      <c r="Q2694" t="s">
        <v>150</v>
      </c>
      <c r="R2694" t="s">
        <v>42</v>
      </c>
    </row>
    <row r="2695" spans="3:18" hidden="1" x14ac:dyDescent="0.25">
      <c r="C2695" t="s">
        <v>45</v>
      </c>
      <c r="D2695" t="s">
        <v>23</v>
      </c>
      <c r="E2695" t="s">
        <v>48</v>
      </c>
      <c r="F2695" t="s">
        <v>41</v>
      </c>
      <c r="G2695" s="89">
        <v>65751</v>
      </c>
      <c r="H2695" t="s">
        <v>42</v>
      </c>
      <c r="I2695" t="s">
        <v>133</v>
      </c>
      <c r="J2695" s="89">
        <v>1315020</v>
      </c>
      <c r="K2695" t="s">
        <v>127</v>
      </c>
      <c r="L2695" t="s">
        <v>128</v>
      </c>
      <c r="M2695" t="s">
        <v>136</v>
      </c>
      <c r="N2695">
        <v>1</v>
      </c>
      <c r="O2695" s="89">
        <v>2630.04</v>
      </c>
      <c r="P2695" s="89">
        <v>44053.17</v>
      </c>
      <c r="Q2695" t="s">
        <v>137</v>
      </c>
      <c r="R2695" t="s">
        <v>42</v>
      </c>
    </row>
    <row r="2696" spans="3:18" hidden="1" x14ac:dyDescent="0.25">
      <c r="C2696" t="s">
        <v>45</v>
      </c>
      <c r="D2696" t="s">
        <v>138</v>
      </c>
      <c r="E2696" t="s">
        <v>43</v>
      </c>
      <c r="F2696" t="s">
        <v>41</v>
      </c>
      <c r="G2696" s="89">
        <v>68600</v>
      </c>
      <c r="H2696" t="s">
        <v>145</v>
      </c>
      <c r="I2696" t="s">
        <v>141</v>
      </c>
      <c r="J2696" s="89">
        <v>686000</v>
      </c>
      <c r="K2696" t="s">
        <v>144</v>
      </c>
      <c r="N2696">
        <v>1</v>
      </c>
      <c r="O2696" s="89">
        <v>2058</v>
      </c>
      <c r="P2696" s="89">
        <v>13034</v>
      </c>
      <c r="Q2696" t="s">
        <v>130</v>
      </c>
      <c r="R2696" t="s">
        <v>131</v>
      </c>
    </row>
    <row r="2697" spans="3:18" hidden="1" x14ac:dyDescent="0.25">
      <c r="C2697" t="s">
        <v>45</v>
      </c>
      <c r="D2697" t="s">
        <v>22</v>
      </c>
      <c r="E2697" t="s">
        <v>46</v>
      </c>
      <c r="F2697" t="s">
        <v>41</v>
      </c>
      <c r="G2697" s="89">
        <v>92499</v>
      </c>
      <c r="H2697" t="s">
        <v>42</v>
      </c>
      <c r="I2697" t="s">
        <v>141</v>
      </c>
      <c r="J2697" s="89">
        <v>647493</v>
      </c>
      <c r="K2697" t="s">
        <v>127</v>
      </c>
      <c r="L2697" t="s">
        <v>128</v>
      </c>
      <c r="M2697" t="s">
        <v>143</v>
      </c>
      <c r="N2697">
        <v>1</v>
      </c>
      <c r="O2697" s="89">
        <v>3699.96</v>
      </c>
      <c r="P2697" s="89">
        <v>24974.73</v>
      </c>
      <c r="Q2697" t="s">
        <v>130</v>
      </c>
      <c r="R2697" t="s">
        <v>42</v>
      </c>
    </row>
    <row r="2698" spans="3:18" x14ac:dyDescent="0.25">
      <c r="C2698" t="s">
        <v>47</v>
      </c>
      <c r="D2698" t="s">
        <v>21</v>
      </c>
      <c r="E2698" t="s">
        <v>43</v>
      </c>
      <c r="F2698" t="s">
        <v>41</v>
      </c>
      <c r="G2698" s="89">
        <v>504360</v>
      </c>
      <c r="H2698" t="s">
        <v>146</v>
      </c>
      <c r="I2698" t="s">
        <v>126</v>
      </c>
      <c r="J2698" s="89">
        <v>8069760</v>
      </c>
      <c r="K2698" t="s">
        <v>127</v>
      </c>
      <c r="L2698" t="s">
        <v>128</v>
      </c>
      <c r="N2698">
        <v>1</v>
      </c>
      <c r="O2698" s="89">
        <v>15130.8</v>
      </c>
      <c r="P2698" s="89">
        <v>756540</v>
      </c>
      <c r="Q2698" t="s">
        <v>150</v>
      </c>
      <c r="R2698" t="s">
        <v>131</v>
      </c>
    </row>
    <row r="2699" spans="3:18" hidden="1" x14ac:dyDescent="0.25">
      <c r="C2699" t="s">
        <v>45</v>
      </c>
      <c r="D2699" t="s">
        <v>149</v>
      </c>
      <c r="E2699" t="s">
        <v>43</v>
      </c>
      <c r="F2699" t="s">
        <v>41</v>
      </c>
      <c r="G2699" s="89">
        <v>176676</v>
      </c>
      <c r="H2699" t="s">
        <v>132</v>
      </c>
      <c r="I2699" t="s">
        <v>141</v>
      </c>
      <c r="J2699" s="89">
        <v>1413408</v>
      </c>
      <c r="K2699" t="s">
        <v>127</v>
      </c>
      <c r="L2699" t="s">
        <v>128</v>
      </c>
      <c r="N2699">
        <v>1</v>
      </c>
      <c r="O2699" s="89">
        <v>7067.04</v>
      </c>
      <c r="P2699" s="89">
        <v>120139.68</v>
      </c>
      <c r="Q2699" t="s">
        <v>137</v>
      </c>
      <c r="R2699" t="s">
        <v>131</v>
      </c>
    </row>
    <row r="2700" spans="3:18" hidden="1" x14ac:dyDescent="0.25">
      <c r="C2700" t="s">
        <v>45</v>
      </c>
      <c r="D2700" t="s">
        <v>23</v>
      </c>
      <c r="E2700" t="s">
        <v>40</v>
      </c>
      <c r="F2700" t="s">
        <v>41</v>
      </c>
      <c r="G2700" s="89">
        <v>863048</v>
      </c>
      <c r="H2700" t="s">
        <v>42</v>
      </c>
      <c r="I2700" t="s">
        <v>133</v>
      </c>
      <c r="J2700" s="89">
        <v>25891440</v>
      </c>
      <c r="K2700" t="s">
        <v>134</v>
      </c>
      <c r="L2700" t="s">
        <v>128</v>
      </c>
      <c r="M2700" t="s">
        <v>152</v>
      </c>
      <c r="N2700">
        <v>1</v>
      </c>
      <c r="O2700" s="89">
        <v>25891.439999999999</v>
      </c>
      <c r="P2700" s="89">
        <v>448784.96</v>
      </c>
      <c r="Q2700" t="s">
        <v>142</v>
      </c>
      <c r="R2700" t="s">
        <v>131</v>
      </c>
    </row>
    <row r="2701" spans="3:18" hidden="1" x14ac:dyDescent="0.25">
      <c r="C2701" t="s">
        <v>45</v>
      </c>
      <c r="D2701" t="s">
        <v>21</v>
      </c>
      <c r="E2701" t="s">
        <v>43</v>
      </c>
      <c r="F2701" t="s">
        <v>41</v>
      </c>
      <c r="G2701" s="89">
        <v>16110</v>
      </c>
      <c r="H2701" t="s">
        <v>140</v>
      </c>
      <c r="I2701" t="s">
        <v>141</v>
      </c>
      <c r="J2701" s="89">
        <v>112770</v>
      </c>
      <c r="K2701" t="s">
        <v>127</v>
      </c>
      <c r="L2701" t="s">
        <v>151</v>
      </c>
      <c r="N2701">
        <v>1</v>
      </c>
      <c r="O2701" s="89">
        <v>322.2</v>
      </c>
      <c r="P2701" s="89">
        <v>1933.2</v>
      </c>
      <c r="Q2701" t="s">
        <v>130</v>
      </c>
      <c r="R2701" t="s">
        <v>131</v>
      </c>
    </row>
    <row r="2702" spans="3:18" hidden="1" x14ac:dyDescent="0.25">
      <c r="C2702" t="s">
        <v>45</v>
      </c>
      <c r="D2702" t="s">
        <v>23</v>
      </c>
      <c r="E2702" t="s">
        <v>40</v>
      </c>
      <c r="F2702" t="s">
        <v>41</v>
      </c>
      <c r="G2702" s="89">
        <v>8428135</v>
      </c>
      <c r="H2702" t="s">
        <v>42</v>
      </c>
      <c r="I2702" t="s">
        <v>141</v>
      </c>
      <c r="J2702" s="89">
        <v>58996945</v>
      </c>
      <c r="K2702" t="s">
        <v>127</v>
      </c>
      <c r="L2702" t="s">
        <v>128</v>
      </c>
      <c r="M2702" t="s">
        <v>152</v>
      </c>
      <c r="N2702">
        <v>1</v>
      </c>
      <c r="O2702" s="89">
        <v>252844.05</v>
      </c>
      <c r="P2702" s="89">
        <v>1854189.7</v>
      </c>
      <c r="Q2702" t="s">
        <v>130</v>
      </c>
      <c r="R2702" t="s">
        <v>131</v>
      </c>
    </row>
    <row r="2703" spans="3:18" hidden="1" x14ac:dyDescent="0.25">
      <c r="C2703" t="s">
        <v>45</v>
      </c>
      <c r="D2703" t="s">
        <v>22</v>
      </c>
      <c r="E2703" t="s">
        <v>48</v>
      </c>
      <c r="F2703" t="s">
        <v>41</v>
      </c>
      <c r="G2703" s="89">
        <v>153298</v>
      </c>
      <c r="H2703" t="s">
        <v>42</v>
      </c>
      <c r="I2703" t="s">
        <v>141</v>
      </c>
      <c r="J2703" s="89">
        <v>1532980</v>
      </c>
      <c r="K2703" t="s">
        <v>144</v>
      </c>
      <c r="N2703">
        <v>1</v>
      </c>
      <c r="O2703" s="89">
        <v>4598.9399999999996</v>
      </c>
      <c r="P2703" s="89">
        <v>68984.100000000006</v>
      </c>
      <c r="Q2703" t="s">
        <v>142</v>
      </c>
      <c r="R2703" t="s">
        <v>42</v>
      </c>
    </row>
    <row r="2704" spans="3:18" hidden="1" x14ac:dyDescent="0.25">
      <c r="C2704" t="s">
        <v>45</v>
      </c>
      <c r="D2704" t="s">
        <v>21</v>
      </c>
      <c r="E2704" t="s">
        <v>40</v>
      </c>
      <c r="F2704" t="s">
        <v>41</v>
      </c>
      <c r="G2704" s="89">
        <v>100454</v>
      </c>
      <c r="H2704" t="s">
        <v>42</v>
      </c>
      <c r="I2704" t="s">
        <v>133</v>
      </c>
      <c r="J2704" s="89">
        <v>2009080</v>
      </c>
      <c r="K2704" t="s">
        <v>127</v>
      </c>
      <c r="L2704" t="s">
        <v>128</v>
      </c>
      <c r="M2704" t="s">
        <v>143</v>
      </c>
      <c r="N2704">
        <v>1</v>
      </c>
      <c r="O2704" s="89">
        <v>3013.62</v>
      </c>
      <c r="P2704" s="89">
        <v>62281.48</v>
      </c>
      <c r="Q2704" t="s">
        <v>137</v>
      </c>
      <c r="R2704" t="s">
        <v>131</v>
      </c>
    </row>
    <row r="2705" spans="3:18" x14ac:dyDescent="0.25">
      <c r="C2705" t="s">
        <v>47</v>
      </c>
      <c r="D2705" t="s">
        <v>22</v>
      </c>
      <c r="E2705" t="s">
        <v>43</v>
      </c>
      <c r="F2705" t="s">
        <v>41</v>
      </c>
      <c r="G2705" s="89">
        <v>1327619</v>
      </c>
      <c r="H2705" t="s">
        <v>42</v>
      </c>
      <c r="I2705" t="s">
        <v>141</v>
      </c>
      <c r="J2705" s="89">
        <v>10620952</v>
      </c>
      <c r="K2705" t="s">
        <v>127</v>
      </c>
      <c r="L2705" t="s">
        <v>128</v>
      </c>
      <c r="M2705" t="s">
        <v>143</v>
      </c>
      <c r="N2705">
        <v>1</v>
      </c>
      <c r="O2705" s="89">
        <v>53104.76</v>
      </c>
      <c r="P2705" s="89">
        <v>650533.31000000006</v>
      </c>
      <c r="Q2705" t="s">
        <v>142</v>
      </c>
      <c r="R2705" t="s">
        <v>42</v>
      </c>
    </row>
    <row r="2706" spans="3:18" hidden="1" x14ac:dyDescent="0.25">
      <c r="C2706" t="s">
        <v>45</v>
      </c>
      <c r="D2706" t="s">
        <v>149</v>
      </c>
      <c r="E2706" t="s">
        <v>43</v>
      </c>
      <c r="F2706" t="s">
        <v>41</v>
      </c>
      <c r="G2706" s="89">
        <v>10845</v>
      </c>
      <c r="H2706" t="s">
        <v>140</v>
      </c>
      <c r="I2706" t="s">
        <v>147</v>
      </c>
      <c r="J2706" s="89">
        <v>32535</v>
      </c>
      <c r="K2706" t="s">
        <v>127</v>
      </c>
      <c r="L2706" t="s">
        <v>128</v>
      </c>
      <c r="N2706">
        <v>1</v>
      </c>
      <c r="O2706" s="89">
        <v>433.8</v>
      </c>
      <c r="P2706" s="89">
        <v>5314.05</v>
      </c>
      <c r="Q2706" t="s">
        <v>142</v>
      </c>
      <c r="R2706" t="s">
        <v>131</v>
      </c>
    </row>
    <row r="2707" spans="3:18" x14ac:dyDescent="0.25">
      <c r="C2707" t="s">
        <v>47</v>
      </c>
      <c r="D2707" t="s">
        <v>21</v>
      </c>
      <c r="E2707" t="s">
        <v>43</v>
      </c>
      <c r="F2707" t="s">
        <v>41</v>
      </c>
      <c r="G2707" s="89">
        <v>54576</v>
      </c>
      <c r="H2707" t="s">
        <v>132</v>
      </c>
      <c r="I2707" t="s">
        <v>153</v>
      </c>
      <c r="J2707" s="89"/>
      <c r="K2707" t="s">
        <v>127</v>
      </c>
      <c r="L2707" t="s">
        <v>128</v>
      </c>
      <c r="N2707">
        <v>0</v>
      </c>
      <c r="O2707" s="89">
        <v>2183.04</v>
      </c>
      <c r="P2707" s="89">
        <v>1637.28</v>
      </c>
      <c r="Q2707" t="s">
        <v>130</v>
      </c>
      <c r="R2707" t="s">
        <v>131</v>
      </c>
    </row>
    <row r="2708" spans="3:18" hidden="1" x14ac:dyDescent="0.25">
      <c r="C2708" t="s">
        <v>45</v>
      </c>
      <c r="D2708" t="s">
        <v>25</v>
      </c>
      <c r="E2708" t="s">
        <v>48</v>
      </c>
      <c r="F2708" t="s">
        <v>41</v>
      </c>
      <c r="G2708" s="89">
        <v>105403</v>
      </c>
      <c r="H2708" t="s">
        <v>146</v>
      </c>
      <c r="I2708" t="s">
        <v>133</v>
      </c>
      <c r="J2708" s="89">
        <v>3267493</v>
      </c>
      <c r="K2708" t="s">
        <v>144</v>
      </c>
      <c r="N2708">
        <v>1</v>
      </c>
      <c r="O2708" s="89">
        <v>3162.09</v>
      </c>
      <c r="P2708" s="89">
        <v>17918.509999999998</v>
      </c>
      <c r="Q2708" t="s">
        <v>130</v>
      </c>
      <c r="R2708" t="s">
        <v>131</v>
      </c>
    </row>
    <row r="2709" spans="3:18" x14ac:dyDescent="0.25">
      <c r="C2709" t="s">
        <v>47</v>
      </c>
      <c r="D2709" t="s">
        <v>22</v>
      </c>
      <c r="E2709" t="s">
        <v>40</v>
      </c>
      <c r="F2709" t="s">
        <v>41</v>
      </c>
      <c r="G2709" s="89">
        <v>3597376</v>
      </c>
      <c r="H2709" t="s">
        <v>140</v>
      </c>
      <c r="I2709" t="s">
        <v>147</v>
      </c>
      <c r="J2709" s="89">
        <v>10792128</v>
      </c>
      <c r="K2709" t="s">
        <v>144</v>
      </c>
      <c r="N2709">
        <v>1</v>
      </c>
      <c r="O2709" s="89">
        <v>143895.04000000001</v>
      </c>
      <c r="P2709" s="89">
        <v>1834661.76</v>
      </c>
      <c r="Q2709" t="s">
        <v>142</v>
      </c>
      <c r="R2709" t="s">
        <v>131</v>
      </c>
    </row>
    <row r="2710" spans="3:18" x14ac:dyDescent="0.25">
      <c r="C2710" t="s">
        <v>47</v>
      </c>
      <c r="D2710" t="s">
        <v>138</v>
      </c>
      <c r="E2710" t="s">
        <v>40</v>
      </c>
      <c r="F2710" t="s">
        <v>41</v>
      </c>
      <c r="G2710" s="89">
        <v>813643</v>
      </c>
      <c r="H2710" t="s">
        <v>145</v>
      </c>
      <c r="I2710" t="s">
        <v>126</v>
      </c>
      <c r="J2710" s="89">
        <v>8950073</v>
      </c>
      <c r="K2710" t="s">
        <v>127</v>
      </c>
      <c r="L2710" t="s">
        <v>128</v>
      </c>
      <c r="N2710">
        <v>1</v>
      </c>
      <c r="O2710" s="89">
        <v>32545.72</v>
      </c>
      <c r="P2710" s="89">
        <v>423094.36</v>
      </c>
      <c r="Q2710" t="s">
        <v>142</v>
      </c>
      <c r="R2710" t="s">
        <v>131</v>
      </c>
    </row>
    <row r="2711" spans="3:18" hidden="1" x14ac:dyDescent="0.25">
      <c r="C2711" t="s">
        <v>45</v>
      </c>
      <c r="D2711" t="s">
        <v>24</v>
      </c>
      <c r="E2711" t="s">
        <v>43</v>
      </c>
      <c r="F2711" t="s">
        <v>41</v>
      </c>
      <c r="G2711" s="89">
        <v>41074</v>
      </c>
      <c r="H2711" t="s">
        <v>140</v>
      </c>
      <c r="I2711" t="s">
        <v>141</v>
      </c>
      <c r="J2711" s="89">
        <v>369666</v>
      </c>
      <c r="K2711" t="s">
        <v>127</v>
      </c>
      <c r="L2711" t="s">
        <v>128</v>
      </c>
      <c r="N2711">
        <v>1</v>
      </c>
      <c r="O2711" s="89">
        <v>1232.22</v>
      </c>
      <c r="P2711" s="89">
        <v>5750.36</v>
      </c>
      <c r="Q2711" t="s">
        <v>130</v>
      </c>
      <c r="R2711" t="s">
        <v>131</v>
      </c>
    </row>
    <row r="2712" spans="3:18" hidden="1" x14ac:dyDescent="0.25">
      <c r="C2712" t="s">
        <v>45</v>
      </c>
      <c r="D2712" t="s">
        <v>25</v>
      </c>
      <c r="E2712" t="s">
        <v>44</v>
      </c>
      <c r="F2712" t="s">
        <v>41</v>
      </c>
      <c r="G2712" s="89">
        <v>18788</v>
      </c>
      <c r="H2712" t="s">
        <v>140</v>
      </c>
      <c r="I2712" t="s">
        <v>126</v>
      </c>
      <c r="J2712" s="89">
        <v>206668</v>
      </c>
      <c r="K2712" t="s">
        <v>127</v>
      </c>
      <c r="L2712" t="s">
        <v>128</v>
      </c>
      <c r="N2712">
        <v>1</v>
      </c>
      <c r="O2712" s="89">
        <v>563.64</v>
      </c>
      <c r="P2712" s="89">
        <v>7327.32</v>
      </c>
      <c r="Q2712" t="s">
        <v>130</v>
      </c>
      <c r="R2712" t="s">
        <v>131</v>
      </c>
    </row>
    <row r="2713" spans="3:18" hidden="1" x14ac:dyDescent="0.25">
      <c r="C2713" t="s">
        <v>45</v>
      </c>
      <c r="D2713" t="s">
        <v>23</v>
      </c>
      <c r="E2713" t="s">
        <v>46</v>
      </c>
      <c r="F2713" t="s">
        <v>53</v>
      </c>
      <c r="G2713" s="89">
        <v>125978</v>
      </c>
      <c r="H2713" t="s">
        <v>42</v>
      </c>
      <c r="I2713" t="s">
        <v>133</v>
      </c>
      <c r="J2713" s="89">
        <v>4661186</v>
      </c>
      <c r="K2713" t="s">
        <v>144</v>
      </c>
      <c r="N2713">
        <v>1</v>
      </c>
      <c r="O2713" s="89">
        <v>3779.34</v>
      </c>
      <c r="P2713" s="89">
        <v>64248.78</v>
      </c>
      <c r="Q2713" t="s">
        <v>142</v>
      </c>
      <c r="R2713" t="s">
        <v>42</v>
      </c>
    </row>
    <row r="2714" spans="3:18" hidden="1" x14ac:dyDescent="0.25">
      <c r="C2714" t="s">
        <v>45</v>
      </c>
      <c r="D2714" t="s">
        <v>22</v>
      </c>
      <c r="E2714" t="s">
        <v>48</v>
      </c>
      <c r="F2714" t="s">
        <v>41</v>
      </c>
      <c r="G2714" s="89">
        <v>58311</v>
      </c>
      <c r="H2714" t="s">
        <v>42</v>
      </c>
      <c r="I2714" t="s">
        <v>126</v>
      </c>
      <c r="J2714" s="89">
        <v>874665</v>
      </c>
      <c r="K2714" t="s">
        <v>134</v>
      </c>
      <c r="L2714" t="s">
        <v>128</v>
      </c>
      <c r="M2714" t="s">
        <v>143</v>
      </c>
      <c r="N2714">
        <v>1</v>
      </c>
      <c r="O2714" s="89">
        <v>1749.33</v>
      </c>
      <c r="P2714" s="89">
        <v>29738.61</v>
      </c>
      <c r="Q2714" t="s">
        <v>142</v>
      </c>
      <c r="R2714" t="s">
        <v>131</v>
      </c>
    </row>
    <row r="2715" spans="3:18" hidden="1" x14ac:dyDescent="0.25">
      <c r="C2715" t="s">
        <v>45</v>
      </c>
      <c r="D2715" t="s">
        <v>23</v>
      </c>
      <c r="E2715" t="s">
        <v>43</v>
      </c>
      <c r="F2715" t="s">
        <v>41</v>
      </c>
      <c r="G2715" s="89">
        <v>145702</v>
      </c>
      <c r="H2715" t="s">
        <v>42</v>
      </c>
      <c r="I2715" t="s">
        <v>133</v>
      </c>
      <c r="J2715" s="89">
        <v>3642550</v>
      </c>
      <c r="K2715" t="s">
        <v>134</v>
      </c>
      <c r="L2715" t="s">
        <v>128</v>
      </c>
      <c r="M2715" t="s">
        <v>152</v>
      </c>
      <c r="N2715">
        <v>1</v>
      </c>
      <c r="O2715" s="89">
        <v>5828.08</v>
      </c>
      <c r="P2715" s="89">
        <v>52452.72</v>
      </c>
      <c r="Q2715" t="s">
        <v>130</v>
      </c>
      <c r="R2715" t="s">
        <v>131</v>
      </c>
    </row>
    <row r="2716" spans="3:18" x14ac:dyDescent="0.25">
      <c r="C2716" t="s">
        <v>47</v>
      </c>
      <c r="D2716" t="s">
        <v>22</v>
      </c>
      <c r="E2716" t="s">
        <v>43</v>
      </c>
      <c r="F2716" t="s">
        <v>41</v>
      </c>
      <c r="G2716" s="89">
        <v>1251113</v>
      </c>
      <c r="H2716" t="s">
        <v>140</v>
      </c>
      <c r="I2716" t="s">
        <v>126</v>
      </c>
      <c r="J2716" s="89">
        <v>20017808</v>
      </c>
      <c r="K2716" t="s">
        <v>127</v>
      </c>
      <c r="L2716" t="s">
        <v>128</v>
      </c>
      <c r="N2716">
        <v>1</v>
      </c>
      <c r="O2716" s="89">
        <v>50044.52</v>
      </c>
      <c r="P2716" s="89">
        <v>1151023.96</v>
      </c>
      <c r="Q2716" t="s">
        <v>135</v>
      </c>
      <c r="R2716" t="s">
        <v>131</v>
      </c>
    </row>
    <row r="2717" spans="3:18" x14ac:dyDescent="0.25">
      <c r="C2717" t="s">
        <v>47</v>
      </c>
      <c r="D2717" t="s">
        <v>19</v>
      </c>
      <c r="E2717" t="s">
        <v>40</v>
      </c>
      <c r="F2717" t="s">
        <v>41</v>
      </c>
      <c r="G2717" s="89">
        <v>82047</v>
      </c>
      <c r="H2717" t="s">
        <v>140</v>
      </c>
      <c r="I2717" t="s">
        <v>141</v>
      </c>
      <c r="J2717" s="89">
        <v>574329</v>
      </c>
      <c r="K2717" t="s">
        <v>127</v>
      </c>
      <c r="L2717" t="s">
        <v>128</v>
      </c>
      <c r="N2717">
        <v>1</v>
      </c>
      <c r="O2717" s="89">
        <v>4102.3500000000004</v>
      </c>
      <c r="P2717" s="89">
        <v>39382.559999999998</v>
      </c>
      <c r="Q2717" t="s">
        <v>142</v>
      </c>
      <c r="R2717" t="s">
        <v>131</v>
      </c>
    </row>
    <row r="2718" spans="3:18" hidden="1" x14ac:dyDescent="0.25">
      <c r="C2718" t="s">
        <v>45</v>
      </c>
      <c r="D2718" t="s">
        <v>138</v>
      </c>
      <c r="E2718" t="s">
        <v>43</v>
      </c>
      <c r="F2718" t="s">
        <v>41</v>
      </c>
      <c r="G2718" s="89">
        <v>27799</v>
      </c>
      <c r="H2718" t="s">
        <v>146</v>
      </c>
      <c r="I2718" t="s">
        <v>141</v>
      </c>
      <c r="J2718" s="89">
        <v>250191</v>
      </c>
      <c r="K2718" t="s">
        <v>134</v>
      </c>
      <c r="L2718" t="s">
        <v>128</v>
      </c>
      <c r="N2718">
        <v>1</v>
      </c>
      <c r="O2718" s="89">
        <v>833.97</v>
      </c>
      <c r="P2718" s="89">
        <v>3891.86</v>
      </c>
      <c r="Q2718" t="s">
        <v>130</v>
      </c>
      <c r="R2718" t="s">
        <v>131</v>
      </c>
    </row>
    <row r="2719" spans="3:18" hidden="1" x14ac:dyDescent="0.25">
      <c r="C2719" t="s">
        <v>45</v>
      </c>
      <c r="D2719" t="s">
        <v>21</v>
      </c>
      <c r="E2719" t="s">
        <v>43</v>
      </c>
      <c r="F2719" t="s">
        <v>41</v>
      </c>
      <c r="G2719" s="89">
        <v>1044558342</v>
      </c>
      <c r="H2719" t="s">
        <v>42</v>
      </c>
      <c r="I2719" t="s">
        <v>133</v>
      </c>
      <c r="J2719" s="89">
        <v>32381308602</v>
      </c>
      <c r="K2719" t="s">
        <v>127</v>
      </c>
      <c r="L2719" t="s">
        <v>128</v>
      </c>
      <c r="M2719" t="s">
        <v>129</v>
      </c>
      <c r="N2719">
        <v>1</v>
      </c>
      <c r="O2719" s="89">
        <v>31336750.260000002</v>
      </c>
      <c r="P2719" s="89">
        <v>741636422.82000005</v>
      </c>
      <c r="Q2719" t="s">
        <v>137</v>
      </c>
      <c r="R2719" t="s">
        <v>131</v>
      </c>
    </row>
    <row r="2720" spans="3:18" hidden="1" x14ac:dyDescent="0.25">
      <c r="C2720" t="s">
        <v>45</v>
      </c>
      <c r="D2720" t="s">
        <v>19</v>
      </c>
      <c r="E2720" t="s">
        <v>48</v>
      </c>
      <c r="F2720" t="s">
        <v>41</v>
      </c>
      <c r="G2720" s="89">
        <v>212982</v>
      </c>
      <c r="H2720" t="s">
        <v>42</v>
      </c>
      <c r="I2720" t="s">
        <v>133</v>
      </c>
      <c r="J2720" s="89">
        <v>8519280</v>
      </c>
      <c r="K2720" t="s">
        <v>144</v>
      </c>
      <c r="N2720">
        <v>1</v>
      </c>
      <c r="O2720" s="89">
        <v>6389.46</v>
      </c>
      <c r="P2720" s="89">
        <v>200203.08</v>
      </c>
      <c r="Q2720" t="s">
        <v>135</v>
      </c>
      <c r="R2720" t="s">
        <v>131</v>
      </c>
    </row>
    <row r="2721" spans="3:18" hidden="1" x14ac:dyDescent="0.25">
      <c r="C2721" t="s">
        <v>45</v>
      </c>
      <c r="D2721" t="s">
        <v>24</v>
      </c>
      <c r="E2721" t="s">
        <v>52</v>
      </c>
      <c r="F2721" t="s">
        <v>41</v>
      </c>
      <c r="G2721" s="89">
        <v>591652</v>
      </c>
      <c r="H2721" t="s">
        <v>42</v>
      </c>
      <c r="I2721" t="s">
        <v>141</v>
      </c>
      <c r="J2721" s="89">
        <v>4733216</v>
      </c>
      <c r="K2721" t="s">
        <v>127</v>
      </c>
      <c r="L2721" t="s">
        <v>128</v>
      </c>
      <c r="M2721" t="s">
        <v>148</v>
      </c>
      <c r="N2721">
        <v>1</v>
      </c>
      <c r="O2721" s="89">
        <v>23666.080000000002</v>
      </c>
      <c r="P2721" s="89">
        <v>283992.96000000002</v>
      </c>
      <c r="Q2721" t="s">
        <v>142</v>
      </c>
      <c r="R2721" t="s">
        <v>42</v>
      </c>
    </row>
    <row r="2722" spans="3:18" hidden="1" x14ac:dyDescent="0.25">
      <c r="C2722" t="s">
        <v>45</v>
      </c>
      <c r="D2722" t="s">
        <v>22</v>
      </c>
      <c r="E2722" t="s">
        <v>43</v>
      </c>
      <c r="F2722" t="s">
        <v>41</v>
      </c>
      <c r="G2722" s="89">
        <v>257442</v>
      </c>
      <c r="H2722" t="s">
        <v>42</v>
      </c>
      <c r="I2722" t="s">
        <v>126</v>
      </c>
      <c r="J2722" s="89">
        <v>4633956</v>
      </c>
      <c r="K2722" t="s">
        <v>127</v>
      </c>
      <c r="L2722" t="s">
        <v>128</v>
      </c>
      <c r="M2722" t="s">
        <v>129</v>
      </c>
      <c r="N2722">
        <v>1</v>
      </c>
      <c r="O2722" s="89">
        <v>5148.84</v>
      </c>
      <c r="P2722" s="89">
        <v>180209.4</v>
      </c>
      <c r="Q2722" t="s">
        <v>137</v>
      </c>
      <c r="R2722" t="s">
        <v>42</v>
      </c>
    </row>
    <row r="2723" spans="3:18" hidden="1" x14ac:dyDescent="0.25">
      <c r="C2723" t="s">
        <v>45</v>
      </c>
      <c r="D2723" t="s">
        <v>138</v>
      </c>
      <c r="E2723" t="s">
        <v>43</v>
      </c>
      <c r="F2723" t="s">
        <v>41</v>
      </c>
      <c r="G2723" s="89">
        <v>358879</v>
      </c>
      <c r="H2723" t="s">
        <v>42</v>
      </c>
      <c r="I2723" t="s">
        <v>133</v>
      </c>
      <c r="J2723" s="89">
        <v>12201886</v>
      </c>
      <c r="K2723" t="s">
        <v>134</v>
      </c>
      <c r="L2723" t="s">
        <v>128</v>
      </c>
      <c r="M2723" t="s">
        <v>139</v>
      </c>
      <c r="N2723">
        <v>1</v>
      </c>
      <c r="O2723" s="89">
        <v>10766.37</v>
      </c>
      <c r="P2723" s="89">
        <v>247626.51</v>
      </c>
      <c r="Q2723" t="s">
        <v>137</v>
      </c>
      <c r="R2723" t="s">
        <v>42</v>
      </c>
    </row>
    <row r="2724" spans="3:18" x14ac:dyDescent="0.25">
      <c r="C2724" t="s">
        <v>47</v>
      </c>
      <c r="D2724" t="s">
        <v>21</v>
      </c>
      <c r="E2724" t="s">
        <v>40</v>
      </c>
      <c r="F2724" t="s">
        <v>41</v>
      </c>
      <c r="G2724" s="89">
        <v>407</v>
      </c>
      <c r="H2724" t="s">
        <v>140</v>
      </c>
      <c r="I2724" t="s">
        <v>147</v>
      </c>
      <c r="J2724" s="89"/>
      <c r="K2724" t="s">
        <v>127</v>
      </c>
      <c r="L2724" t="s">
        <v>151</v>
      </c>
      <c r="N2724">
        <v>0</v>
      </c>
      <c r="O2724" s="89">
        <v>16.28</v>
      </c>
      <c r="P2724" s="89">
        <v>0</v>
      </c>
      <c r="Q2724" t="s">
        <v>130</v>
      </c>
      <c r="R2724" t="s">
        <v>131</v>
      </c>
    </row>
    <row r="2725" spans="3:18" hidden="1" x14ac:dyDescent="0.25">
      <c r="C2725" t="s">
        <v>45</v>
      </c>
      <c r="D2725" t="s">
        <v>23</v>
      </c>
      <c r="E2725" t="s">
        <v>40</v>
      </c>
      <c r="F2725" t="s">
        <v>41</v>
      </c>
      <c r="G2725" s="89">
        <v>3116649</v>
      </c>
      <c r="H2725" t="s">
        <v>132</v>
      </c>
      <c r="I2725" t="s">
        <v>133</v>
      </c>
      <c r="J2725" s="89">
        <v>93499470</v>
      </c>
      <c r="K2725" t="s">
        <v>144</v>
      </c>
      <c r="N2725">
        <v>1</v>
      </c>
      <c r="O2725" s="89">
        <v>93499.47</v>
      </c>
      <c r="P2725" s="89">
        <v>2150487.81</v>
      </c>
      <c r="Q2725" t="s">
        <v>137</v>
      </c>
      <c r="R2725" t="s">
        <v>131</v>
      </c>
    </row>
    <row r="2726" spans="3:18" hidden="1" x14ac:dyDescent="0.25">
      <c r="C2726" t="s">
        <v>45</v>
      </c>
      <c r="D2726" t="s">
        <v>149</v>
      </c>
      <c r="E2726" t="s">
        <v>43</v>
      </c>
      <c r="F2726" t="s">
        <v>53</v>
      </c>
      <c r="G2726" s="89">
        <v>162891</v>
      </c>
      <c r="H2726" t="s">
        <v>42</v>
      </c>
      <c r="I2726" t="s">
        <v>133</v>
      </c>
      <c r="J2726" s="89">
        <v>4723839</v>
      </c>
      <c r="K2726" t="s">
        <v>127</v>
      </c>
      <c r="L2726" t="s">
        <v>128</v>
      </c>
      <c r="M2726" t="s">
        <v>136</v>
      </c>
      <c r="N2726">
        <v>1</v>
      </c>
      <c r="O2726" s="89">
        <v>8144.55</v>
      </c>
      <c r="P2726" s="89">
        <v>63527.49</v>
      </c>
      <c r="Q2726" t="s">
        <v>130</v>
      </c>
      <c r="R2726" t="s">
        <v>42</v>
      </c>
    </row>
    <row r="2727" spans="3:18" hidden="1" x14ac:dyDescent="0.25">
      <c r="C2727" t="s">
        <v>45</v>
      </c>
      <c r="D2727" t="s">
        <v>23</v>
      </c>
      <c r="E2727" t="s">
        <v>48</v>
      </c>
      <c r="F2727" t="s">
        <v>41</v>
      </c>
      <c r="G2727" s="89">
        <v>37499</v>
      </c>
      <c r="H2727" t="s">
        <v>154</v>
      </c>
      <c r="I2727" t="s">
        <v>133</v>
      </c>
      <c r="J2727" s="89">
        <v>974974</v>
      </c>
      <c r="K2727" t="s">
        <v>127</v>
      </c>
      <c r="L2727" t="s">
        <v>128</v>
      </c>
      <c r="N2727">
        <v>1</v>
      </c>
      <c r="O2727" s="89">
        <v>1499.96</v>
      </c>
      <c r="P2727" s="89">
        <v>16499.560000000001</v>
      </c>
      <c r="Q2727" t="s">
        <v>142</v>
      </c>
      <c r="R2727" t="s">
        <v>131</v>
      </c>
    </row>
    <row r="2728" spans="3:18" hidden="1" x14ac:dyDescent="0.25">
      <c r="C2728" t="s">
        <v>45</v>
      </c>
      <c r="D2728" t="s">
        <v>23</v>
      </c>
      <c r="E2728" t="s">
        <v>48</v>
      </c>
      <c r="F2728" t="s">
        <v>41</v>
      </c>
      <c r="G2728" s="89">
        <v>66553</v>
      </c>
      <c r="H2728" t="s">
        <v>42</v>
      </c>
      <c r="I2728" t="s">
        <v>141</v>
      </c>
      <c r="J2728" s="89">
        <v>598977</v>
      </c>
      <c r="K2728" t="s">
        <v>134</v>
      </c>
      <c r="L2728" t="s">
        <v>128</v>
      </c>
      <c r="M2728" t="s">
        <v>152</v>
      </c>
      <c r="N2728">
        <v>1</v>
      </c>
      <c r="O2728" s="89">
        <v>1996.59</v>
      </c>
      <c r="P2728" s="89">
        <v>49914.75</v>
      </c>
      <c r="Q2728" t="s">
        <v>137</v>
      </c>
      <c r="R2728" t="s">
        <v>131</v>
      </c>
    </row>
    <row r="2729" spans="3:18" hidden="1" x14ac:dyDescent="0.25">
      <c r="C2729" t="s">
        <v>45</v>
      </c>
      <c r="D2729" t="s">
        <v>19</v>
      </c>
      <c r="E2729" t="s">
        <v>50</v>
      </c>
      <c r="F2729" t="s">
        <v>41</v>
      </c>
      <c r="G2729" s="89">
        <v>222309</v>
      </c>
      <c r="H2729" t="s">
        <v>42</v>
      </c>
      <c r="I2729" t="s">
        <v>133</v>
      </c>
      <c r="J2729" s="89">
        <v>5780034</v>
      </c>
      <c r="K2729" t="s">
        <v>127</v>
      </c>
      <c r="M2729" t="s">
        <v>136</v>
      </c>
      <c r="N2729">
        <v>1</v>
      </c>
      <c r="O2729" s="89">
        <v>6669.27</v>
      </c>
      <c r="P2729" s="89">
        <v>95592.87</v>
      </c>
      <c r="Q2729" t="s">
        <v>142</v>
      </c>
    </row>
    <row r="2730" spans="3:18" hidden="1" x14ac:dyDescent="0.25">
      <c r="C2730" t="s">
        <v>45</v>
      </c>
      <c r="D2730" t="s">
        <v>23</v>
      </c>
      <c r="E2730" t="s">
        <v>40</v>
      </c>
      <c r="F2730" t="s">
        <v>41</v>
      </c>
      <c r="G2730" s="89">
        <v>144752</v>
      </c>
      <c r="H2730" t="s">
        <v>140</v>
      </c>
      <c r="I2730" t="s">
        <v>141</v>
      </c>
      <c r="J2730" s="89">
        <v>1158016</v>
      </c>
      <c r="K2730" t="s">
        <v>144</v>
      </c>
      <c r="N2730">
        <v>1</v>
      </c>
      <c r="O2730" s="89">
        <v>4342.5600000000004</v>
      </c>
      <c r="P2730" s="89">
        <v>99878.88</v>
      </c>
      <c r="Q2730" t="s">
        <v>137</v>
      </c>
      <c r="R2730" t="s">
        <v>131</v>
      </c>
    </row>
    <row r="2731" spans="3:18" hidden="1" x14ac:dyDescent="0.25">
      <c r="C2731" t="s">
        <v>45</v>
      </c>
      <c r="D2731" t="s">
        <v>23</v>
      </c>
      <c r="E2731" t="s">
        <v>43</v>
      </c>
      <c r="F2731" t="s">
        <v>41</v>
      </c>
      <c r="G2731" s="89">
        <v>117938</v>
      </c>
      <c r="H2731" t="s">
        <v>145</v>
      </c>
      <c r="I2731" t="s">
        <v>133</v>
      </c>
      <c r="J2731" s="89">
        <v>2476698</v>
      </c>
      <c r="K2731" t="s">
        <v>144</v>
      </c>
      <c r="N2731">
        <v>1</v>
      </c>
      <c r="O2731" s="89">
        <v>3538.14</v>
      </c>
      <c r="P2731" s="89">
        <v>82556.600000000006</v>
      </c>
      <c r="Q2731" t="s">
        <v>137</v>
      </c>
      <c r="R2731" t="s">
        <v>131</v>
      </c>
    </row>
    <row r="2732" spans="3:18" hidden="1" x14ac:dyDescent="0.25">
      <c r="C2732" t="s">
        <v>45</v>
      </c>
      <c r="D2732" t="s">
        <v>22</v>
      </c>
      <c r="E2732" t="s">
        <v>43</v>
      </c>
      <c r="F2732" t="s">
        <v>41</v>
      </c>
      <c r="G2732" s="89">
        <v>86578</v>
      </c>
      <c r="H2732" t="s">
        <v>42</v>
      </c>
      <c r="I2732" t="s">
        <v>133</v>
      </c>
      <c r="J2732" s="89">
        <v>1904716</v>
      </c>
      <c r="K2732" t="s">
        <v>134</v>
      </c>
      <c r="L2732" t="s">
        <v>128</v>
      </c>
      <c r="M2732" t="s">
        <v>143</v>
      </c>
      <c r="N2732">
        <v>1</v>
      </c>
      <c r="O2732" s="89">
        <v>2597.34</v>
      </c>
      <c r="P2732" s="89">
        <v>30302.3</v>
      </c>
      <c r="Q2732" t="s">
        <v>130</v>
      </c>
      <c r="R2732" t="s">
        <v>42</v>
      </c>
    </row>
    <row r="2733" spans="3:18" x14ac:dyDescent="0.25">
      <c r="C2733" t="s">
        <v>47</v>
      </c>
      <c r="D2733" t="s">
        <v>21</v>
      </c>
      <c r="E2733" t="s">
        <v>48</v>
      </c>
      <c r="F2733" t="s">
        <v>41</v>
      </c>
      <c r="G2733" s="89">
        <v>208</v>
      </c>
      <c r="H2733" t="s">
        <v>140</v>
      </c>
      <c r="I2733" t="s">
        <v>147</v>
      </c>
      <c r="J2733" s="89"/>
      <c r="K2733" t="s">
        <v>127</v>
      </c>
      <c r="L2733" t="s">
        <v>128</v>
      </c>
      <c r="N2733">
        <v>0</v>
      </c>
      <c r="O2733" s="89">
        <v>4.16</v>
      </c>
      <c r="P2733" s="89">
        <v>0</v>
      </c>
      <c r="Q2733" t="s">
        <v>130</v>
      </c>
      <c r="R2733" t="s">
        <v>131</v>
      </c>
    </row>
    <row r="2734" spans="3:18" hidden="1" x14ac:dyDescent="0.25">
      <c r="C2734" t="s">
        <v>45</v>
      </c>
      <c r="D2734" t="s">
        <v>22</v>
      </c>
      <c r="E2734" t="s">
        <v>43</v>
      </c>
      <c r="F2734" t="s">
        <v>41</v>
      </c>
      <c r="G2734" s="89">
        <v>10380561</v>
      </c>
      <c r="H2734" t="s">
        <v>42</v>
      </c>
      <c r="I2734" t="s">
        <v>126</v>
      </c>
      <c r="J2734" s="89">
        <v>176469537</v>
      </c>
      <c r="K2734" t="s">
        <v>127</v>
      </c>
      <c r="L2734" t="s">
        <v>128</v>
      </c>
      <c r="M2734" t="s">
        <v>143</v>
      </c>
      <c r="N2734">
        <v>1</v>
      </c>
      <c r="O2734" s="89">
        <v>311416.83</v>
      </c>
      <c r="P2734" s="89">
        <v>6851170.2599999998</v>
      </c>
      <c r="Q2734" t="s">
        <v>137</v>
      </c>
      <c r="R2734" t="s">
        <v>131</v>
      </c>
    </row>
    <row r="2735" spans="3:18" hidden="1" x14ac:dyDescent="0.25">
      <c r="C2735" t="s">
        <v>45</v>
      </c>
      <c r="D2735" t="s">
        <v>24</v>
      </c>
      <c r="E2735" t="s">
        <v>44</v>
      </c>
      <c r="F2735" t="s">
        <v>41</v>
      </c>
      <c r="G2735" s="89">
        <v>111663</v>
      </c>
      <c r="H2735" t="s">
        <v>140</v>
      </c>
      <c r="I2735" t="s">
        <v>126</v>
      </c>
      <c r="J2735" s="89">
        <v>1786608</v>
      </c>
      <c r="K2735" t="s">
        <v>134</v>
      </c>
      <c r="L2735" t="s">
        <v>128</v>
      </c>
      <c r="N2735">
        <v>1</v>
      </c>
      <c r="O2735" s="89">
        <v>3349.89</v>
      </c>
      <c r="P2735" s="89">
        <v>68114.429999999993</v>
      </c>
      <c r="Q2735" t="s">
        <v>137</v>
      </c>
      <c r="R2735" t="s">
        <v>131</v>
      </c>
    </row>
    <row r="2736" spans="3:18" hidden="1" x14ac:dyDescent="0.25">
      <c r="C2736" t="s">
        <v>45</v>
      </c>
      <c r="D2736" t="s">
        <v>21</v>
      </c>
      <c r="E2736" t="s">
        <v>43</v>
      </c>
      <c r="F2736" t="s">
        <v>41</v>
      </c>
      <c r="G2736" s="89">
        <v>3964500</v>
      </c>
      <c r="H2736" t="s">
        <v>42</v>
      </c>
      <c r="I2736" t="s">
        <v>133</v>
      </c>
      <c r="J2736" s="89">
        <v>150651000</v>
      </c>
      <c r="K2736" t="s">
        <v>144</v>
      </c>
      <c r="N2736">
        <v>1</v>
      </c>
      <c r="O2736" s="89">
        <v>79290</v>
      </c>
      <c r="P2736" s="89">
        <v>3964500</v>
      </c>
      <c r="Q2736" t="s">
        <v>150</v>
      </c>
      <c r="R2736" t="s">
        <v>42</v>
      </c>
    </row>
    <row r="2737" spans="3:18" hidden="1" x14ac:dyDescent="0.25">
      <c r="C2737" t="s">
        <v>45</v>
      </c>
      <c r="D2737" t="s">
        <v>138</v>
      </c>
      <c r="E2737" t="s">
        <v>43</v>
      </c>
      <c r="F2737" t="s">
        <v>41</v>
      </c>
      <c r="G2737" s="89">
        <v>14171916</v>
      </c>
      <c r="H2737" t="s">
        <v>145</v>
      </c>
      <c r="I2737" t="s">
        <v>133</v>
      </c>
      <c r="J2737" s="89">
        <v>382641732</v>
      </c>
      <c r="K2737" t="s">
        <v>127</v>
      </c>
      <c r="L2737" t="s">
        <v>128</v>
      </c>
      <c r="N2737">
        <v>1</v>
      </c>
      <c r="O2737" s="89">
        <v>425157.48</v>
      </c>
      <c r="P2737" s="89">
        <v>3968136.48</v>
      </c>
      <c r="Q2737" t="s">
        <v>130</v>
      </c>
      <c r="R2737" t="s">
        <v>131</v>
      </c>
    </row>
    <row r="2738" spans="3:18" hidden="1" x14ac:dyDescent="0.25">
      <c r="C2738" t="s">
        <v>45</v>
      </c>
      <c r="D2738" t="s">
        <v>149</v>
      </c>
      <c r="E2738" t="s">
        <v>40</v>
      </c>
      <c r="F2738" t="s">
        <v>41</v>
      </c>
      <c r="G2738" s="89">
        <v>4449484</v>
      </c>
      <c r="H2738" t="s">
        <v>42</v>
      </c>
      <c r="I2738" t="s">
        <v>133</v>
      </c>
      <c r="J2738" s="89">
        <v>124585552</v>
      </c>
      <c r="K2738" t="s">
        <v>127</v>
      </c>
      <c r="L2738" t="s">
        <v>128</v>
      </c>
      <c r="M2738" t="s">
        <v>136</v>
      </c>
      <c r="N2738">
        <v>1</v>
      </c>
      <c r="O2738" s="89">
        <v>133484.51999999999</v>
      </c>
      <c r="P2738" s="89">
        <v>2224742</v>
      </c>
      <c r="Q2738" t="s">
        <v>142</v>
      </c>
      <c r="R2738" t="s">
        <v>131</v>
      </c>
    </row>
    <row r="2739" spans="3:18" hidden="1" x14ac:dyDescent="0.25">
      <c r="C2739" t="s">
        <v>45</v>
      </c>
      <c r="D2739" t="s">
        <v>23</v>
      </c>
      <c r="E2739" t="s">
        <v>40</v>
      </c>
      <c r="F2739" t="s">
        <v>41</v>
      </c>
      <c r="G2739" s="89">
        <v>41383942</v>
      </c>
      <c r="H2739" t="s">
        <v>145</v>
      </c>
      <c r="I2739" t="s">
        <v>133</v>
      </c>
      <c r="J2739" s="89">
        <v>1075982492</v>
      </c>
      <c r="K2739" t="s">
        <v>127</v>
      </c>
      <c r="L2739" t="s">
        <v>128</v>
      </c>
      <c r="N2739">
        <v>1</v>
      </c>
      <c r="O2739" s="89">
        <v>1241518.26</v>
      </c>
      <c r="P2739" s="89">
        <v>21105810.420000002</v>
      </c>
      <c r="Q2739" t="s">
        <v>142</v>
      </c>
      <c r="R2739" t="s">
        <v>131</v>
      </c>
    </row>
    <row r="2740" spans="3:18" hidden="1" x14ac:dyDescent="0.25">
      <c r="C2740" t="s">
        <v>45</v>
      </c>
      <c r="D2740" t="s">
        <v>22</v>
      </c>
      <c r="E2740" t="s">
        <v>43</v>
      </c>
      <c r="F2740" t="s">
        <v>41</v>
      </c>
      <c r="G2740" s="89">
        <v>82103</v>
      </c>
      <c r="H2740" t="s">
        <v>132</v>
      </c>
      <c r="I2740" t="s">
        <v>133</v>
      </c>
      <c r="J2740" s="89">
        <v>2709399</v>
      </c>
      <c r="K2740" t="s">
        <v>134</v>
      </c>
      <c r="L2740" t="s">
        <v>128</v>
      </c>
      <c r="N2740">
        <v>1</v>
      </c>
      <c r="O2740" s="89">
        <v>2463.09</v>
      </c>
      <c r="P2740" s="89">
        <v>53366.95</v>
      </c>
      <c r="Q2740" t="s">
        <v>137</v>
      </c>
      <c r="R2740" t="s">
        <v>131</v>
      </c>
    </row>
    <row r="2741" spans="3:18" hidden="1" x14ac:dyDescent="0.25">
      <c r="C2741" t="s">
        <v>45</v>
      </c>
      <c r="D2741" t="s">
        <v>21</v>
      </c>
      <c r="E2741" t="s">
        <v>40</v>
      </c>
      <c r="F2741" t="s">
        <v>41</v>
      </c>
      <c r="G2741" s="89">
        <v>64657</v>
      </c>
      <c r="H2741" t="s">
        <v>42</v>
      </c>
      <c r="I2741" t="s">
        <v>133</v>
      </c>
      <c r="J2741" s="89">
        <v>1681082</v>
      </c>
      <c r="K2741" t="s">
        <v>127</v>
      </c>
      <c r="L2741" t="s">
        <v>128</v>
      </c>
      <c r="M2741" t="s">
        <v>136</v>
      </c>
      <c r="N2741">
        <v>1</v>
      </c>
      <c r="O2741" s="89">
        <v>2586.2800000000002</v>
      </c>
      <c r="P2741" s="89">
        <v>6465.7</v>
      </c>
      <c r="Q2741" t="s">
        <v>130</v>
      </c>
      <c r="R2741" t="s">
        <v>42</v>
      </c>
    </row>
    <row r="2742" spans="3:18" hidden="1" x14ac:dyDescent="0.25">
      <c r="C2742" t="s">
        <v>45</v>
      </c>
      <c r="D2742" t="s">
        <v>138</v>
      </c>
      <c r="E2742" t="s">
        <v>43</v>
      </c>
      <c r="F2742" t="s">
        <v>41</v>
      </c>
      <c r="G2742" s="89">
        <v>102452</v>
      </c>
      <c r="H2742" t="s">
        <v>145</v>
      </c>
      <c r="I2742" t="s">
        <v>126</v>
      </c>
      <c r="J2742" s="89">
        <v>1434328</v>
      </c>
      <c r="K2742" t="s">
        <v>134</v>
      </c>
      <c r="L2742" t="s">
        <v>151</v>
      </c>
      <c r="N2742">
        <v>1</v>
      </c>
      <c r="O2742" s="89">
        <v>3073.56</v>
      </c>
      <c r="P2742" s="89">
        <v>24588.48</v>
      </c>
      <c r="Q2742" t="s">
        <v>130</v>
      </c>
      <c r="R2742" t="s">
        <v>131</v>
      </c>
    </row>
    <row r="2743" spans="3:18" hidden="1" x14ac:dyDescent="0.25">
      <c r="C2743" t="s">
        <v>45</v>
      </c>
      <c r="D2743" t="s">
        <v>22</v>
      </c>
      <c r="E2743" t="s">
        <v>43</v>
      </c>
      <c r="F2743" t="s">
        <v>53</v>
      </c>
      <c r="G2743" s="89">
        <v>851077</v>
      </c>
      <c r="H2743" t="s">
        <v>42</v>
      </c>
      <c r="I2743" t="s">
        <v>133</v>
      </c>
      <c r="J2743" s="89">
        <v>24681233</v>
      </c>
      <c r="K2743" t="s">
        <v>144</v>
      </c>
      <c r="N2743">
        <v>1</v>
      </c>
      <c r="O2743" s="89">
        <v>25532.31</v>
      </c>
      <c r="P2743" s="89">
        <v>723415.45</v>
      </c>
      <c r="Q2743" t="s">
        <v>135</v>
      </c>
      <c r="R2743" t="s">
        <v>42</v>
      </c>
    </row>
    <row r="2744" spans="3:18" x14ac:dyDescent="0.25">
      <c r="C2744" t="s">
        <v>47</v>
      </c>
      <c r="D2744" t="s">
        <v>21</v>
      </c>
      <c r="E2744" t="s">
        <v>40</v>
      </c>
      <c r="F2744" t="s">
        <v>41</v>
      </c>
      <c r="G2744" s="89">
        <v>483957</v>
      </c>
      <c r="H2744" t="s">
        <v>132</v>
      </c>
      <c r="I2744" t="s">
        <v>126</v>
      </c>
      <c r="J2744" s="89">
        <v>5807484</v>
      </c>
      <c r="K2744" t="s">
        <v>127</v>
      </c>
      <c r="L2744" t="s">
        <v>128</v>
      </c>
      <c r="N2744">
        <v>1</v>
      </c>
      <c r="O2744" s="89">
        <v>19358.28</v>
      </c>
      <c r="P2744" s="89">
        <v>111310.11</v>
      </c>
      <c r="Q2744" t="s">
        <v>130</v>
      </c>
      <c r="R2744" t="s">
        <v>131</v>
      </c>
    </row>
    <row r="2745" spans="3:18" hidden="1" x14ac:dyDescent="0.25">
      <c r="C2745" t="s">
        <v>45</v>
      </c>
      <c r="D2745" t="s">
        <v>24</v>
      </c>
      <c r="E2745" t="s">
        <v>44</v>
      </c>
      <c r="F2745" t="s">
        <v>41</v>
      </c>
      <c r="G2745" s="89">
        <v>1428670</v>
      </c>
      <c r="H2745" t="s">
        <v>140</v>
      </c>
      <c r="I2745" t="s">
        <v>133</v>
      </c>
      <c r="J2745" s="89">
        <v>45717440</v>
      </c>
      <c r="K2745" t="s">
        <v>144</v>
      </c>
      <c r="N2745">
        <v>1</v>
      </c>
      <c r="O2745" s="89">
        <v>42860.1</v>
      </c>
      <c r="P2745" s="89">
        <v>1200082.8</v>
      </c>
      <c r="Q2745" t="s">
        <v>135</v>
      </c>
      <c r="R2745" t="s">
        <v>131</v>
      </c>
    </row>
    <row r="2746" spans="3:18" hidden="1" x14ac:dyDescent="0.25">
      <c r="C2746" t="s">
        <v>45</v>
      </c>
      <c r="D2746" t="s">
        <v>24</v>
      </c>
      <c r="E2746" t="s">
        <v>48</v>
      </c>
      <c r="F2746" t="s">
        <v>41</v>
      </c>
      <c r="G2746" s="89">
        <v>10931185</v>
      </c>
      <c r="H2746" t="s">
        <v>42</v>
      </c>
      <c r="I2746" t="s">
        <v>126</v>
      </c>
      <c r="J2746" s="89">
        <v>185830145</v>
      </c>
      <c r="K2746" t="s">
        <v>127</v>
      </c>
      <c r="L2746" t="s">
        <v>128</v>
      </c>
      <c r="M2746" t="s">
        <v>148</v>
      </c>
      <c r="N2746">
        <v>1</v>
      </c>
      <c r="O2746" s="89">
        <v>327935.55</v>
      </c>
      <c r="P2746" s="89">
        <v>7433205.7999999998</v>
      </c>
      <c r="Q2746" t="s">
        <v>137</v>
      </c>
      <c r="R2746" t="s">
        <v>131</v>
      </c>
    </row>
    <row r="2747" spans="3:18" x14ac:dyDescent="0.25">
      <c r="C2747" t="s">
        <v>47</v>
      </c>
      <c r="D2747" t="s">
        <v>22</v>
      </c>
      <c r="E2747" t="s">
        <v>40</v>
      </c>
      <c r="F2747" t="s">
        <v>41</v>
      </c>
      <c r="G2747" s="89">
        <v>289239</v>
      </c>
      <c r="H2747" t="s">
        <v>132</v>
      </c>
      <c r="I2747" t="s">
        <v>126</v>
      </c>
      <c r="J2747" s="89">
        <v>4049346</v>
      </c>
      <c r="K2747" t="s">
        <v>127</v>
      </c>
      <c r="L2747" t="s">
        <v>128</v>
      </c>
      <c r="N2747">
        <v>1</v>
      </c>
      <c r="O2747" s="89">
        <v>11569.56</v>
      </c>
      <c r="P2747" s="89">
        <v>159081.45000000001</v>
      </c>
      <c r="Q2747" t="s">
        <v>142</v>
      </c>
      <c r="R2747" t="s">
        <v>131</v>
      </c>
    </row>
    <row r="2748" spans="3:18" hidden="1" x14ac:dyDescent="0.25">
      <c r="C2748" t="s">
        <v>45</v>
      </c>
      <c r="D2748" t="s">
        <v>22</v>
      </c>
      <c r="E2748" t="s">
        <v>40</v>
      </c>
      <c r="F2748" t="s">
        <v>41</v>
      </c>
      <c r="G2748" s="89">
        <v>176333</v>
      </c>
      <c r="H2748" t="s">
        <v>145</v>
      </c>
      <c r="I2748" t="s">
        <v>126</v>
      </c>
      <c r="J2748" s="89">
        <v>2997661</v>
      </c>
      <c r="K2748" t="s">
        <v>127</v>
      </c>
      <c r="L2748" t="s">
        <v>151</v>
      </c>
      <c r="N2748">
        <v>1</v>
      </c>
      <c r="O2748" s="89">
        <v>5289.99</v>
      </c>
      <c r="P2748" s="89">
        <v>82876.509999999995</v>
      </c>
      <c r="Q2748" t="s">
        <v>142</v>
      </c>
      <c r="R2748" t="s">
        <v>131</v>
      </c>
    </row>
    <row r="2749" spans="3:18" hidden="1" x14ac:dyDescent="0.25">
      <c r="C2749" t="s">
        <v>45</v>
      </c>
      <c r="D2749" t="s">
        <v>24</v>
      </c>
      <c r="E2749" t="s">
        <v>48</v>
      </c>
      <c r="F2749" t="s">
        <v>41</v>
      </c>
      <c r="G2749" s="89">
        <v>7265330</v>
      </c>
      <c r="H2749" t="s">
        <v>132</v>
      </c>
      <c r="I2749" t="s">
        <v>133</v>
      </c>
      <c r="J2749" s="89">
        <v>203429240</v>
      </c>
      <c r="K2749" t="s">
        <v>127</v>
      </c>
      <c r="L2749" t="s">
        <v>128</v>
      </c>
      <c r="N2749">
        <v>1</v>
      </c>
      <c r="O2749" s="89">
        <v>217959.9</v>
      </c>
      <c r="P2749" s="89">
        <v>5085731</v>
      </c>
      <c r="Q2749" t="s">
        <v>137</v>
      </c>
      <c r="R2749" t="s">
        <v>131</v>
      </c>
    </row>
    <row r="2750" spans="3:18" hidden="1" x14ac:dyDescent="0.25">
      <c r="C2750" t="s">
        <v>45</v>
      </c>
      <c r="D2750" t="s">
        <v>22</v>
      </c>
      <c r="E2750" t="s">
        <v>44</v>
      </c>
      <c r="F2750" t="s">
        <v>41</v>
      </c>
      <c r="G2750" s="89">
        <v>28894839</v>
      </c>
      <c r="H2750" t="s">
        <v>42</v>
      </c>
      <c r="I2750" t="s">
        <v>133</v>
      </c>
      <c r="J2750" s="89">
        <v>895740009</v>
      </c>
      <c r="K2750" t="s">
        <v>127</v>
      </c>
      <c r="L2750" t="s">
        <v>128</v>
      </c>
      <c r="M2750" t="s">
        <v>143</v>
      </c>
      <c r="N2750">
        <v>1</v>
      </c>
      <c r="O2750" s="89">
        <v>866845.17</v>
      </c>
      <c r="P2750" s="89">
        <v>20515335.690000001</v>
      </c>
      <c r="Q2750" t="s">
        <v>137</v>
      </c>
      <c r="R2750" t="s">
        <v>42</v>
      </c>
    </row>
    <row r="2751" spans="3:18" hidden="1" x14ac:dyDescent="0.25">
      <c r="C2751" t="s">
        <v>45</v>
      </c>
      <c r="D2751" t="s">
        <v>23</v>
      </c>
      <c r="E2751" t="s">
        <v>48</v>
      </c>
      <c r="F2751" t="s">
        <v>41</v>
      </c>
      <c r="G2751" s="89">
        <v>148553</v>
      </c>
      <c r="H2751" t="s">
        <v>42</v>
      </c>
      <c r="I2751" t="s">
        <v>141</v>
      </c>
      <c r="J2751" s="89">
        <v>1188424</v>
      </c>
      <c r="K2751" t="s">
        <v>144</v>
      </c>
      <c r="N2751">
        <v>1</v>
      </c>
      <c r="O2751" s="89">
        <v>4456.59</v>
      </c>
      <c r="P2751" s="89">
        <v>35652.720000000001</v>
      </c>
      <c r="Q2751" t="s">
        <v>130</v>
      </c>
      <c r="R2751" t="s">
        <v>42</v>
      </c>
    </row>
    <row r="2752" spans="3:18" hidden="1" x14ac:dyDescent="0.25">
      <c r="C2752" t="s">
        <v>45</v>
      </c>
      <c r="D2752" t="s">
        <v>21</v>
      </c>
      <c r="E2752" t="s">
        <v>43</v>
      </c>
      <c r="F2752" t="s">
        <v>41</v>
      </c>
      <c r="G2752" s="89">
        <v>500951</v>
      </c>
      <c r="H2752" t="s">
        <v>42</v>
      </c>
      <c r="I2752" t="s">
        <v>133</v>
      </c>
      <c r="J2752" s="89">
        <v>12022824</v>
      </c>
      <c r="K2752" t="s">
        <v>127</v>
      </c>
      <c r="L2752" t="s">
        <v>128</v>
      </c>
      <c r="M2752" t="s">
        <v>139</v>
      </c>
      <c r="N2752">
        <v>1</v>
      </c>
      <c r="O2752" s="89">
        <v>15028.53</v>
      </c>
      <c r="P2752" s="89">
        <v>250475.5</v>
      </c>
      <c r="Q2752" t="s">
        <v>142</v>
      </c>
      <c r="R2752" t="s">
        <v>42</v>
      </c>
    </row>
    <row r="2753" spans="3:18" hidden="1" x14ac:dyDescent="0.25">
      <c r="C2753" t="s">
        <v>45</v>
      </c>
      <c r="D2753" t="s">
        <v>20</v>
      </c>
      <c r="E2753" t="s">
        <v>40</v>
      </c>
      <c r="F2753" t="s">
        <v>41</v>
      </c>
      <c r="G2753" s="89">
        <v>6412120</v>
      </c>
      <c r="H2753" t="s">
        <v>42</v>
      </c>
      <c r="I2753" t="s">
        <v>133</v>
      </c>
      <c r="J2753" s="89">
        <v>185951480</v>
      </c>
      <c r="K2753" t="s">
        <v>127</v>
      </c>
      <c r="L2753" t="s">
        <v>128</v>
      </c>
      <c r="M2753" t="s">
        <v>139</v>
      </c>
      <c r="N2753">
        <v>1</v>
      </c>
      <c r="O2753" s="89">
        <v>192363.6</v>
      </c>
      <c r="P2753" s="89">
        <v>3270181.2</v>
      </c>
      <c r="Q2753" t="s">
        <v>142</v>
      </c>
      <c r="R2753" t="s">
        <v>131</v>
      </c>
    </row>
    <row r="2754" spans="3:18" hidden="1" x14ac:dyDescent="0.25">
      <c r="C2754" t="s">
        <v>45</v>
      </c>
      <c r="D2754" t="s">
        <v>25</v>
      </c>
      <c r="E2754" t="s">
        <v>44</v>
      </c>
      <c r="F2754" t="s">
        <v>41</v>
      </c>
      <c r="G2754" s="89">
        <v>214361</v>
      </c>
      <c r="H2754" t="s">
        <v>146</v>
      </c>
      <c r="I2754" t="s">
        <v>147</v>
      </c>
      <c r="J2754" s="89">
        <v>643083</v>
      </c>
      <c r="K2754" t="s">
        <v>127</v>
      </c>
      <c r="L2754" t="s">
        <v>128</v>
      </c>
      <c r="N2754">
        <v>1</v>
      </c>
      <c r="O2754" s="89">
        <v>6430.83</v>
      </c>
      <c r="P2754" s="89">
        <v>25723.32</v>
      </c>
      <c r="Q2754" t="s">
        <v>130</v>
      </c>
      <c r="R2754" t="s">
        <v>131</v>
      </c>
    </row>
    <row r="2755" spans="3:18" x14ac:dyDescent="0.25">
      <c r="C2755" t="s">
        <v>47</v>
      </c>
      <c r="D2755" t="s">
        <v>20</v>
      </c>
      <c r="E2755" t="s">
        <v>40</v>
      </c>
      <c r="F2755" t="s">
        <v>41</v>
      </c>
      <c r="G2755" s="89">
        <v>117630</v>
      </c>
      <c r="H2755" t="s">
        <v>42</v>
      </c>
      <c r="I2755" t="s">
        <v>126</v>
      </c>
      <c r="J2755" s="89">
        <v>1293930</v>
      </c>
      <c r="K2755" t="s">
        <v>127</v>
      </c>
      <c r="L2755" t="s">
        <v>128</v>
      </c>
      <c r="M2755" t="s">
        <v>139</v>
      </c>
      <c r="N2755">
        <v>1</v>
      </c>
      <c r="O2755" s="89">
        <v>4705.2</v>
      </c>
      <c r="P2755" s="89">
        <v>72930.600000000006</v>
      </c>
      <c r="Q2755" t="s">
        <v>137</v>
      </c>
      <c r="R2755" t="s">
        <v>131</v>
      </c>
    </row>
    <row r="2756" spans="3:18" x14ac:dyDescent="0.25">
      <c r="C2756" t="s">
        <v>47</v>
      </c>
      <c r="D2756" t="s">
        <v>23</v>
      </c>
      <c r="E2756" t="s">
        <v>48</v>
      </c>
      <c r="F2756" t="s">
        <v>41</v>
      </c>
      <c r="G2756" s="89">
        <v>34540</v>
      </c>
      <c r="H2756" t="s">
        <v>145</v>
      </c>
      <c r="I2756" t="s">
        <v>126</v>
      </c>
      <c r="J2756" s="89">
        <v>379940</v>
      </c>
      <c r="K2756" t="s">
        <v>127</v>
      </c>
      <c r="L2756" t="s">
        <v>128</v>
      </c>
      <c r="N2756">
        <v>1</v>
      </c>
      <c r="O2756" s="89">
        <v>1727</v>
      </c>
      <c r="P2756" s="89">
        <v>17615.400000000001</v>
      </c>
      <c r="Q2756" t="s">
        <v>142</v>
      </c>
      <c r="R2756" t="s">
        <v>131</v>
      </c>
    </row>
    <row r="2757" spans="3:18" hidden="1" x14ac:dyDescent="0.25">
      <c r="C2757" t="s">
        <v>45</v>
      </c>
      <c r="D2757" t="s">
        <v>25</v>
      </c>
      <c r="E2757" t="s">
        <v>48</v>
      </c>
      <c r="F2757" t="s">
        <v>41</v>
      </c>
      <c r="G2757" s="89">
        <v>176534</v>
      </c>
      <c r="H2757" t="s">
        <v>146</v>
      </c>
      <c r="I2757" t="s">
        <v>126</v>
      </c>
      <c r="J2757" s="89">
        <v>3177612</v>
      </c>
      <c r="K2757" t="s">
        <v>144</v>
      </c>
      <c r="N2757">
        <v>1</v>
      </c>
      <c r="O2757" s="89">
        <v>3530.68</v>
      </c>
      <c r="P2757" s="89">
        <v>125339.14</v>
      </c>
      <c r="Q2757" t="s">
        <v>137</v>
      </c>
      <c r="R2757" t="s">
        <v>131</v>
      </c>
    </row>
    <row r="2758" spans="3:18" x14ac:dyDescent="0.25">
      <c r="C2758" t="s">
        <v>47</v>
      </c>
      <c r="D2758" t="s">
        <v>19</v>
      </c>
      <c r="E2758" t="s">
        <v>43</v>
      </c>
      <c r="F2758" t="s">
        <v>41</v>
      </c>
      <c r="G2758" s="89">
        <v>269069</v>
      </c>
      <c r="H2758" t="s">
        <v>146</v>
      </c>
      <c r="I2758" t="s">
        <v>133</v>
      </c>
      <c r="J2758" s="89">
        <v>5381380</v>
      </c>
      <c r="K2758" t="s">
        <v>127</v>
      </c>
      <c r="L2758" t="s">
        <v>128</v>
      </c>
      <c r="N2758">
        <v>1</v>
      </c>
      <c r="O2758" s="89">
        <v>16144.14</v>
      </c>
      <c r="P2758" s="89">
        <v>223327.27</v>
      </c>
      <c r="Q2758" t="s">
        <v>135</v>
      </c>
      <c r="R2758" t="s">
        <v>131</v>
      </c>
    </row>
    <row r="2759" spans="3:18" hidden="1" x14ac:dyDescent="0.25">
      <c r="C2759" t="s">
        <v>45</v>
      </c>
      <c r="D2759" t="s">
        <v>149</v>
      </c>
      <c r="E2759" t="s">
        <v>43</v>
      </c>
      <c r="F2759" t="s">
        <v>41</v>
      </c>
      <c r="G2759" s="89">
        <v>516384</v>
      </c>
      <c r="H2759" t="s">
        <v>146</v>
      </c>
      <c r="I2759" t="s">
        <v>133</v>
      </c>
      <c r="J2759" s="89">
        <v>13425984</v>
      </c>
      <c r="K2759" t="s">
        <v>127</v>
      </c>
      <c r="L2759" t="s">
        <v>128</v>
      </c>
      <c r="N2759">
        <v>1</v>
      </c>
      <c r="O2759" s="89">
        <v>15491.52</v>
      </c>
      <c r="P2759" s="89">
        <v>160079.04000000001</v>
      </c>
      <c r="Q2759" t="s">
        <v>130</v>
      </c>
      <c r="R2759" t="s">
        <v>131</v>
      </c>
    </row>
    <row r="2760" spans="3:18" hidden="1" x14ac:dyDescent="0.25">
      <c r="C2760" t="s">
        <v>45</v>
      </c>
      <c r="D2760" t="s">
        <v>138</v>
      </c>
      <c r="E2760" t="s">
        <v>40</v>
      </c>
      <c r="F2760" t="s">
        <v>41</v>
      </c>
      <c r="G2760" s="89">
        <v>1087913</v>
      </c>
      <c r="H2760" t="s">
        <v>42</v>
      </c>
      <c r="I2760" t="s">
        <v>133</v>
      </c>
      <c r="J2760" s="89">
        <v>34813216</v>
      </c>
      <c r="K2760" t="s">
        <v>144</v>
      </c>
      <c r="N2760">
        <v>1</v>
      </c>
      <c r="O2760" s="89">
        <v>32637.39</v>
      </c>
      <c r="P2760" s="89">
        <v>304615.64</v>
      </c>
      <c r="Q2760" t="s">
        <v>130</v>
      </c>
      <c r="R2760" t="s">
        <v>42</v>
      </c>
    </row>
    <row r="2761" spans="3:18" hidden="1" x14ac:dyDescent="0.25">
      <c r="C2761" t="s">
        <v>45</v>
      </c>
      <c r="D2761" t="s">
        <v>21</v>
      </c>
      <c r="E2761" t="s">
        <v>43</v>
      </c>
      <c r="F2761" t="s">
        <v>41</v>
      </c>
      <c r="G2761" s="89">
        <v>107284</v>
      </c>
      <c r="H2761" t="s">
        <v>42</v>
      </c>
      <c r="I2761" t="s">
        <v>141</v>
      </c>
      <c r="J2761" s="89">
        <v>750988</v>
      </c>
      <c r="K2761" t="s">
        <v>134</v>
      </c>
      <c r="L2761" t="s">
        <v>128</v>
      </c>
      <c r="M2761" t="s">
        <v>129</v>
      </c>
      <c r="N2761">
        <v>1</v>
      </c>
      <c r="O2761" s="89">
        <v>3218.52</v>
      </c>
      <c r="P2761" s="89">
        <v>59006.2</v>
      </c>
      <c r="Q2761" t="s">
        <v>142</v>
      </c>
      <c r="R2761" t="s">
        <v>42</v>
      </c>
    </row>
    <row r="2762" spans="3:18" hidden="1" x14ac:dyDescent="0.25">
      <c r="C2762" t="s">
        <v>45</v>
      </c>
      <c r="D2762" t="s">
        <v>22</v>
      </c>
      <c r="E2762" t="s">
        <v>40</v>
      </c>
      <c r="F2762" t="s">
        <v>53</v>
      </c>
      <c r="G2762" s="89">
        <v>43126</v>
      </c>
      <c r="H2762" t="s">
        <v>132</v>
      </c>
      <c r="I2762" t="s">
        <v>133</v>
      </c>
      <c r="J2762" s="89">
        <v>905646</v>
      </c>
      <c r="K2762" t="s">
        <v>127</v>
      </c>
      <c r="L2762" t="s">
        <v>128</v>
      </c>
      <c r="N2762">
        <v>1</v>
      </c>
      <c r="O2762" s="89">
        <v>862.52</v>
      </c>
      <c r="P2762" s="89">
        <v>12075.28</v>
      </c>
      <c r="Q2762" t="s">
        <v>130</v>
      </c>
      <c r="R2762" t="s">
        <v>131</v>
      </c>
    </row>
    <row r="2763" spans="3:18" x14ac:dyDescent="0.25">
      <c r="C2763" t="s">
        <v>47</v>
      </c>
      <c r="D2763" t="s">
        <v>23</v>
      </c>
      <c r="E2763" t="s">
        <v>40</v>
      </c>
      <c r="F2763" t="s">
        <v>41</v>
      </c>
      <c r="G2763" s="89">
        <v>38236</v>
      </c>
      <c r="H2763" t="s">
        <v>145</v>
      </c>
      <c r="I2763" t="s">
        <v>126</v>
      </c>
      <c r="J2763" s="89">
        <v>420596</v>
      </c>
      <c r="K2763" t="s">
        <v>127</v>
      </c>
      <c r="L2763" t="s">
        <v>128</v>
      </c>
      <c r="N2763">
        <v>1</v>
      </c>
      <c r="O2763" s="89">
        <v>1529.44</v>
      </c>
      <c r="P2763" s="89">
        <v>14912.04</v>
      </c>
      <c r="Q2763" t="s">
        <v>130</v>
      </c>
      <c r="R2763" t="s">
        <v>131</v>
      </c>
    </row>
    <row r="2764" spans="3:18" x14ac:dyDescent="0.25">
      <c r="C2764" t="s">
        <v>47</v>
      </c>
      <c r="D2764" t="s">
        <v>21</v>
      </c>
      <c r="E2764" t="s">
        <v>43</v>
      </c>
      <c r="F2764" t="s">
        <v>41</v>
      </c>
      <c r="G2764" s="89">
        <v>2218596</v>
      </c>
      <c r="H2764" t="s">
        <v>140</v>
      </c>
      <c r="I2764" t="s">
        <v>141</v>
      </c>
      <c r="J2764" s="89">
        <v>19967364</v>
      </c>
      <c r="K2764" t="s">
        <v>144</v>
      </c>
      <c r="N2764">
        <v>1</v>
      </c>
      <c r="O2764" s="89">
        <v>88743.84</v>
      </c>
      <c r="P2764" s="89">
        <v>1619575.08</v>
      </c>
      <c r="Q2764" t="s">
        <v>137</v>
      </c>
      <c r="R2764" t="s">
        <v>131</v>
      </c>
    </row>
    <row r="2765" spans="3:18" hidden="1" x14ac:dyDescent="0.25">
      <c r="C2765" t="s">
        <v>45</v>
      </c>
      <c r="D2765" t="s">
        <v>138</v>
      </c>
      <c r="E2765" t="s">
        <v>43</v>
      </c>
      <c r="F2765" t="s">
        <v>41</v>
      </c>
      <c r="G2765" s="89">
        <v>1603283</v>
      </c>
      <c r="H2765" t="s">
        <v>145</v>
      </c>
      <c r="I2765" t="s">
        <v>147</v>
      </c>
      <c r="J2765" s="89">
        <v>4809849</v>
      </c>
      <c r="K2765" t="s">
        <v>127</v>
      </c>
      <c r="L2765" t="s">
        <v>128</v>
      </c>
      <c r="N2765">
        <v>1</v>
      </c>
      <c r="O2765" s="89">
        <v>48098.49</v>
      </c>
      <c r="P2765" s="89">
        <v>208426.79</v>
      </c>
      <c r="Q2765" t="s">
        <v>130</v>
      </c>
      <c r="R2765" t="s">
        <v>131</v>
      </c>
    </row>
    <row r="2766" spans="3:18" hidden="1" x14ac:dyDescent="0.25">
      <c r="C2766" t="s">
        <v>45</v>
      </c>
      <c r="D2766" t="s">
        <v>20</v>
      </c>
      <c r="E2766" t="s">
        <v>40</v>
      </c>
      <c r="F2766" t="s">
        <v>41</v>
      </c>
      <c r="G2766" s="89">
        <v>204870</v>
      </c>
      <c r="H2766" t="s">
        <v>42</v>
      </c>
      <c r="I2766" t="s">
        <v>133</v>
      </c>
      <c r="J2766" s="89">
        <v>6146100</v>
      </c>
      <c r="K2766" t="s">
        <v>144</v>
      </c>
      <c r="N2766">
        <v>1</v>
      </c>
      <c r="O2766" s="89">
        <v>6146.1</v>
      </c>
      <c r="P2766" s="89">
        <v>135214.20000000001</v>
      </c>
      <c r="Q2766" t="s">
        <v>137</v>
      </c>
      <c r="R2766" t="s">
        <v>131</v>
      </c>
    </row>
    <row r="2767" spans="3:18" hidden="1" x14ac:dyDescent="0.25">
      <c r="C2767" t="s">
        <v>45</v>
      </c>
      <c r="D2767" t="s">
        <v>22</v>
      </c>
      <c r="E2767" t="s">
        <v>48</v>
      </c>
      <c r="F2767" t="s">
        <v>41</v>
      </c>
      <c r="G2767" s="89">
        <v>155711</v>
      </c>
      <c r="H2767" t="s">
        <v>42</v>
      </c>
      <c r="I2767" t="s">
        <v>133</v>
      </c>
      <c r="J2767" s="89">
        <v>4048486</v>
      </c>
      <c r="K2767" t="s">
        <v>134</v>
      </c>
      <c r="L2767" t="s">
        <v>128</v>
      </c>
      <c r="M2767" t="s">
        <v>143</v>
      </c>
      <c r="N2767">
        <v>1</v>
      </c>
      <c r="O2767" s="89">
        <v>4671.33</v>
      </c>
      <c r="P2767" s="89">
        <v>76298.39</v>
      </c>
      <c r="Q2767" t="s">
        <v>142</v>
      </c>
      <c r="R2767" t="s">
        <v>42</v>
      </c>
    </row>
    <row r="2768" spans="3:18" hidden="1" x14ac:dyDescent="0.25">
      <c r="C2768" t="s">
        <v>45</v>
      </c>
      <c r="D2768" t="s">
        <v>23</v>
      </c>
      <c r="E2768" t="s">
        <v>40</v>
      </c>
      <c r="F2768" t="s">
        <v>41</v>
      </c>
      <c r="G2768" s="89">
        <v>237908</v>
      </c>
      <c r="H2768" t="s">
        <v>42</v>
      </c>
      <c r="I2768" t="s">
        <v>133</v>
      </c>
      <c r="J2768" s="89">
        <v>8088872</v>
      </c>
      <c r="K2768" t="s">
        <v>127</v>
      </c>
      <c r="L2768" t="s">
        <v>128</v>
      </c>
      <c r="M2768" t="s">
        <v>129</v>
      </c>
      <c r="N2768">
        <v>1</v>
      </c>
      <c r="O2768" s="89">
        <v>7137.24</v>
      </c>
      <c r="P2768" s="89">
        <v>164156.51999999999</v>
      </c>
      <c r="Q2768" t="s">
        <v>137</v>
      </c>
      <c r="R2768" t="s">
        <v>131</v>
      </c>
    </row>
    <row r="2769" spans="3:18" hidden="1" x14ac:dyDescent="0.25">
      <c r="C2769" t="s">
        <v>45</v>
      </c>
      <c r="D2769" t="s">
        <v>24</v>
      </c>
      <c r="E2769" t="s">
        <v>43</v>
      </c>
      <c r="F2769" t="s">
        <v>53</v>
      </c>
      <c r="G2769" s="89">
        <v>233299</v>
      </c>
      <c r="H2769" t="s">
        <v>42</v>
      </c>
      <c r="I2769" t="s">
        <v>126</v>
      </c>
      <c r="J2769" s="89">
        <v>3966083</v>
      </c>
      <c r="K2769" t="s">
        <v>144</v>
      </c>
      <c r="N2769">
        <v>1</v>
      </c>
      <c r="O2769" s="89">
        <v>6998.97</v>
      </c>
      <c r="P2769" s="89">
        <v>153977.34</v>
      </c>
      <c r="Q2769" t="s">
        <v>137</v>
      </c>
      <c r="R2769" t="s">
        <v>42</v>
      </c>
    </row>
    <row r="2770" spans="3:18" hidden="1" x14ac:dyDescent="0.25">
      <c r="C2770" t="s">
        <v>45</v>
      </c>
      <c r="D2770" t="s">
        <v>23</v>
      </c>
      <c r="E2770" t="s">
        <v>44</v>
      </c>
      <c r="F2770" t="s">
        <v>41</v>
      </c>
      <c r="G2770" s="89">
        <v>58033</v>
      </c>
      <c r="H2770" t="s">
        <v>42</v>
      </c>
      <c r="I2770" t="s">
        <v>133</v>
      </c>
      <c r="J2770" s="89">
        <v>2089188</v>
      </c>
      <c r="K2770" t="s">
        <v>144</v>
      </c>
      <c r="N2770">
        <v>1</v>
      </c>
      <c r="O2770" s="89">
        <v>1740.99</v>
      </c>
      <c r="P2770" s="89">
        <v>48167.39</v>
      </c>
      <c r="Q2770" t="s">
        <v>135</v>
      </c>
      <c r="R2770" t="s">
        <v>131</v>
      </c>
    </row>
    <row r="2771" spans="3:18" x14ac:dyDescent="0.25">
      <c r="C2771" t="s">
        <v>47</v>
      </c>
      <c r="D2771" t="s">
        <v>22</v>
      </c>
      <c r="E2771" t="s">
        <v>40</v>
      </c>
      <c r="F2771" t="s">
        <v>41</v>
      </c>
      <c r="G2771" s="89">
        <v>3851134</v>
      </c>
      <c r="H2771" t="s">
        <v>145</v>
      </c>
      <c r="I2771" t="s">
        <v>147</v>
      </c>
      <c r="J2771" s="89">
        <v>7702268</v>
      </c>
      <c r="K2771" t="s">
        <v>127</v>
      </c>
      <c r="L2771" t="s">
        <v>128</v>
      </c>
      <c r="N2771">
        <v>1</v>
      </c>
      <c r="O2771" s="89">
        <v>192556.7</v>
      </c>
      <c r="P2771" s="89">
        <v>770226.8</v>
      </c>
      <c r="Q2771" t="s">
        <v>130</v>
      </c>
      <c r="R2771" t="s">
        <v>131</v>
      </c>
    </row>
    <row r="2772" spans="3:18" hidden="1" x14ac:dyDescent="0.25">
      <c r="C2772" t="s">
        <v>45</v>
      </c>
      <c r="D2772" t="s">
        <v>149</v>
      </c>
      <c r="E2772" t="s">
        <v>43</v>
      </c>
      <c r="F2772" t="s">
        <v>41</v>
      </c>
      <c r="G2772" s="89">
        <v>216192</v>
      </c>
      <c r="H2772" t="s">
        <v>140</v>
      </c>
      <c r="I2772" t="s">
        <v>126</v>
      </c>
      <c r="J2772" s="89">
        <v>4107648</v>
      </c>
      <c r="K2772" t="s">
        <v>134</v>
      </c>
      <c r="L2772" t="s">
        <v>128</v>
      </c>
      <c r="N2772">
        <v>1</v>
      </c>
      <c r="O2772" s="89">
        <v>6485.76</v>
      </c>
      <c r="P2772" s="89">
        <v>177277.44</v>
      </c>
      <c r="Q2772" t="s">
        <v>135</v>
      </c>
      <c r="R2772" t="s">
        <v>131</v>
      </c>
    </row>
    <row r="2773" spans="3:18" hidden="1" x14ac:dyDescent="0.25">
      <c r="C2773" t="s">
        <v>45</v>
      </c>
      <c r="D2773" t="s">
        <v>23</v>
      </c>
      <c r="E2773" t="s">
        <v>40</v>
      </c>
      <c r="F2773" t="s">
        <v>41</v>
      </c>
      <c r="G2773" s="89">
        <v>74324</v>
      </c>
      <c r="H2773" t="s">
        <v>145</v>
      </c>
      <c r="I2773" t="s">
        <v>126</v>
      </c>
      <c r="J2773" s="89">
        <v>1412156</v>
      </c>
      <c r="K2773" t="s">
        <v>134</v>
      </c>
      <c r="L2773" t="s">
        <v>128</v>
      </c>
      <c r="N2773">
        <v>1</v>
      </c>
      <c r="O2773" s="89">
        <v>1486.48</v>
      </c>
      <c r="P2773" s="89">
        <v>33445.800000000003</v>
      </c>
      <c r="Q2773" t="s">
        <v>142</v>
      </c>
      <c r="R2773" t="s">
        <v>131</v>
      </c>
    </row>
    <row r="2774" spans="3:18" hidden="1" x14ac:dyDescent="0.25">
      <c r="C2774" t="s">
        <v>45</v>
      </c>
      <c r="D2774" t="s">
        <v>24</v>
      </c>
      <c r="E2774" t="s">
        <v>46</v>
      </c>
      <c r="F2774" t="s">
        <v>41</v>
      </c>
      <c r="G2774" s="89">
        <v>517332</v>
      </c>
      <c r="H2774" t="s">
        <v>42</v>
      </c>
      <c r="I2774" t="s">
        <v>126</v>
      </c>
      <c r="J2774" s="89">
        <v>7242648</v>
      </c>
      <c r="K2774" t="s">
        <v>127</v>
      </c>
      <c r="L2774" t="s">
        <v>128</v>
      </c>
      <c r="M2774" t="s">
        <v>148</v>
      </c>
      <c r="N2774">
        <v>1</v>
      </c>
      <c r="O2774" s="89">
        <v>20693.28</v>
      </c>
      <c r="P2774" s="89">
        <v>165546.23999999999</v>
      </c>
      <c r="Q2774" t="s">
        <v>130</v>
      </c>
      <c r="R2774" t="s">
        <v>42</v>
      </c>
    </row>
    <row r="2775" spans="3:18" hidden="1" x14ac:dyDescent="0.25">
      <c r="C2775" t="s">
        <v>45</v>
      </c>
      <c r="D2775" t="s">
        <v>23</v>
      </c>
      <c r="E2775" t="s">
        <v>46</v>
      </c>
      <c r="F2775" t="s">
        <v>41</v>
      </c>
      <c r="G2775" s="89">
        <v>1113907</v>
      </c>
      <c r="H2775" t="s">
        <v>42</v>
      </c>
      <c r="I2775" t="s">
        <v>126</v>
      </c>
      <c r="J2775" s="89">
        <v>18936419</v>
      </c>
      <c r="K2775" t="s">
        <v>127</v>
      </c>
      <c r="L2775" t="s">
        <v>128</v>
      </c>
      <c r="M2775" t="s">
        <v>152</v>
      </c>
      <c r="N2775">
        <v>1</v>
      </c>
      <c r="O2775" s="89">
        <v>33417.21</v>
      </c>
      <c r="P2775" s="89">
        <v>746317.69</v>
      </c>
      <c r="Q2775" t="s">
        <v>137</v>
      </c>
      <c r="R2775" t="s">
        <v>42</v>
      </c>
    </row>
    <row r="2776" spans="3:18" x14ac:dyDescent="0.25">
      <c r="C2776" t="s">
        <v>47</v>
      </c>
      <c r="D2776" t="s">
        <v>19</v>
      </c>
      <c r="E2776" t="s">
        <v>43</v>
      </c>
      <c r="F2776" t="s">
        <v>41</v>
      </c>
      <c r="G2776" s="89">
        <v>620719</v>
      </c>
      <c r="H2776" t="s">
        <v>140</v>
      </c>
      <c r="I2776" t="s">
        <v>126</v>
      </c>
      <c r="J2776" s="89">
        <v>6827909</v>
      </c>
      <c r="K2776" t="s">
        <v>127</v>
      </c>
      <c r="L2776" t="s">
        <v>128</v>
      </c>
      <c r="N2776">
        <v>1</v>
      </c>
      <c r="O2776" s="89">
        <v>24828.76</v>
      </c>
      <c r="P2776" s="89">
        <v>310359.5</v>
      </c>
      <c r="Q2776" t="s">
        <v>142</v>
      </c>
      <c r="R2776" t="s">
        <v>131</v>
      </c>
    </row>
    <row r="2777" spans="3:18" hidden="1" x14ac:dyDescent="0.25">
      <c r="C2777" t="s">
        <v>45</v>
      </c>
      <c r="D2777" t="s">
        <v>138</v>
      </c>
      <c r="E2777" t="s">
        <v>40</v>
      </c>
      <c r="F2777" t="s">
        <v>41</v>
      </c>
      <c r="G2777" s="89">
        <v>1061815</v>
      </c>
      <c r="H2777" t="s">
        <v>42</v>
      </c>
      <c r="I2777" t="s">
        <v>126</v>
      </c>
      <c r="J2777" s="89">
        <v>19112670</v>
      </c>
      <c r="K2777" t="s">
        <v>127</v>
      </c>
      <c r="L2777" t="s">
        <v>128</v>
      </c>
      <c r="M2777" t="s">
        <v>139</v>
      </c>
      <c r="N2777">
        <v>1</v>
      </c>
      <c r="O2777" s="89">
        <v>42472.6</v>
      </c>
      <c r="P2777" s="89">
        <v>700797.9</v>
      </c>
      <c r="Q2777" t="s">
        <v>137</v>
      </c>
      <c r="R2777" t="s">
        <v>131</v>
      </c>
    </row>
    <row r="2778" spans="3:18" hidden="1" x14ac:dyDescent="0.25">
      <c r="C2778" t="s">
        <v>45</v>
      </c>
      <c r="D2778" t="s">
        <v>22</v>
      </c>
      <c r="E2778" t="s">
        <v>43</v>
      </c>
      <c r="F2778" t="s">
        <v>41</v>
      </c>
      <c r="G2778" s="89">
        <v>1454400</v>
      </c>
      <c r="H2778" t="s">
        <v>140</v>
      </c>
      <c r="I2778" t="s">
        <v>133</v>
      </c>
      <c r="J2778" s="89">
        <v>45086400</v>
      </c>
      <c r="K2778" t="s">
        <v>144</v>
      </c>
      <c r="N2778">
        <v>1</v>
      </c>
      <c r="O2778" s="89">
        <v>43632</v>
      </c>
      <c r="P2778" s="89">
        <v>1047168</v>
      </c>
      <c r="Q2778" t="s">
        <v>137</v>
      </c>
      <c r="R2778" t="s">
        <v>131</v>
      </c>
    </row>
    <row r="2779" spans="3:18" hidden="1" x14ac:dyDescent="0.25">
      <c r="C2779" t="s">
        <v>45</v>
      </c>
      <c r="D2779" t="s">
        <v>25</v>
      </c>
      <c r="E2779" t="s">
        <v>44</v>
      </c>
      <c r="F2779" t="s">
        <v>41</v>
      </c>
      <c r="G2779" s="89">
        <v>24959</v>
      </c>
      <c r="H2779" t="s">
        <v>146</v>
      </c>
      <c r="I2779" t="s">
        <v>141</v>
      </c>
      <c r="J2779" s="89">
        <v>149754</v>
      </c>
      <c r="K2779" t="s">
        <v>127</v>
      </c>
      <c r="L2779" t="s">
        <v>128</v>
      </c>
      <c r="N2779">
        <v>1</v>
      </c>
      <c r="O2779" s="89">
        <v>748.77</v>
      </c>
      <c r="P2779" s="89">
        <v>11980.32</v>
      </c>
      <c r="Q2779" t="s">
        <v>142</v>
      </c>
      <c r="R2779" t="s">
        <v>131</v>
      </c>
    </row>
    <row r="2780" spans="3:18" hidden="1" x14ac:dyDescent="0.25">
      <c r="C2780" t="s">
        <v>45</v>
      </c>
      <c r="D2780" t="s">
        <v>21</v>
      </c>
      <c r="E2780" t="s">
        <v>40</v>
      </c>
      <c r="F2780" t="s">
        <v>41</v>
      </c>
      <c r="G2780" s="89">
        <v>5292170</v>
      </c>
      <c r="H2780" t="s">
        <v>145</v>
      </c>
      <c r="I2780" t="s">
        <v>133</v>
      </c>
      <c r="J2780" s="89">
        <v>142888590</v>
      </c>
      <c r="K2780" t="s">
        <v>127</v>
      </c>
      <c r="L2780" t="s">
        <v>128</v>
      </c>
      <c r="N2780">
        <v>1</v>
      </c>
      <c r="O2780" s="89">
        <v>158765.1</v>
      </c>
      <c r="P2780" s="89">
        <v>3704519</v>
      </c>
      <c r="Q2780" t="s">
        <v>137</v>
      </c>
      <c r="R2780" t="s">
        <v>131</v>
      </c>
    </row>
    <row r="2781" spans="3:18" hidden="1" x14ac:dyDescent="0.25">
      <c r="C2781" t="s">
        <v>45</v>
      </c>
      <c r="D2781" t="s">
        <v>22</v>
      </c>
      <c r="E2781" t="s">
        <v>40</v>
      </c>
      <c r="F2781" t="s">
        <v>41</v>
      </c>
      <c r="G2781" s="89">
        <v>42241992</v>
      </c>
      <c r="H2781" t="s">
        <v>132</v>
      </c>
      <c r="I2781" t="s">
        <v>126</v>
      </c>
      <c r="J2781" s="89">
        <v>633629880</v>
      </c>
      <c r="K2781" t="s">
        <v>127</v>
      </c>
      <c r="L2781" t="s">
        <v>128</v>
      </c>
      <c r="N2781">
        <v>1</v>
      </c>
      <c r="O2781" s="89">
        <v>1267259.76</v>
      </c>
      <c r="P2781" s="89">
        <v>11827757.76</v>
      </c>
      <c r="Q2781" t="s">
        <v>130</v>
      </c>
      <c r="R2781" t="s">
        <v>131</v>
      </c>
    </row>
    <row r="2782" spans="3:18" hidden="1" x14ac:dyDescent="0.25">
      <c r="C2782" t="s">
        <v>45</v>
      </c>
      <c r="D2782" t="s">
        <v>138</v>
      </c>
      <c r="E2782" t="s">
        <v>40</v>
      </c>
      <c r="F2782" t="s">
        <v>41</v>
      </c>
      <c r="G2782" s="89">
        <v>293314</v>
      </c>
      <c r="H2782" t="s">
        <v>146</v>
      </c>
      <c r="I2782" t="s">
        <v>126</v>
      </c>
      <c r="J2782" s="89">
        <v>3813082</v>
      </c>
      <c r="K2782" t="s">
        <v>127</v>
      </c>
      <c r="L2782" t="s">
        <v>128</v>
      </c>
      <c r="N2782">
        <v>1</v>
      </c>
      <c r="O2782" s="89">
        <v>8799.42</v>
      </c>
      <c r="P2782" s="89">
        <v>76261.64</v>
      </c>
      <c r="Q2782" t="s">
        <v>130</v>
      </c>
      <c r="R2782" t="s">
        <v>131</v>
      </c>
    </row>
    <row r="2783" spans="3:18" hidden="1" x14ac:dyDescent="0.25">
      <c r="C2783" t="s">
        <v>45</v>
      </c>
      <c r="D2783" t="s">
        <v>138</v>
      </c>
      <c r="E2783" t="s">
        <v>40</v>
      </c>
      <c r="F2783" t="s">
        <v>41</v>
      </c>
      <c r="G2783" s="89">
        <v>310403</v>
      </c>
      <c r="H2783" t="s">
        <v>145</v>
      </c>
      <c r="I2783" t="s">
        <v>133</v>
      </c>
      <c r="J2783" s="89">
        <v>9312090</v>
      </c>
      <c r="K2783" t="s">
        <v>127</v>
      </c>
      <c r="L2783" t="s">
        <v>128</v>
      </c>
      <c r="N2783">
        <v>1</v>
      </c>
      <c r="O2783" s="89">
        <v>12416.12</v>
      </c>
      <c r="P2783" s="89">
        <v>226594.19</v>
      </c>
      <c r="Q2783" t="s">
        <v>137</v>
      </c>
      <c r="R2783" t="s">
        <v>131</v>
      </c>
    </row>
    <row r="2784" spans="3:18" hidden="1" x14ac:dyDescent="0.25">
      <c r="C2784" t="s">
        <v>45</v>
      </c>
      <c r="D2784" t="s">
        <v>21</v>
      </c>
      <c r="E2784" t="s">
        <v>40</v>
      </c>
      <c r="F2784" t="s">
        <v>41</v>
      </c>
      <c r="G2784" s="89">
        <v>34754</v>
      </c>
      <c r="H2784" t="s">
        <v>145</v>
      </c>
      <c r="I2784" t="s">
        <v>126</v>
      </c>
      <c r="J2784" s="89">
        <v>695080</v>
      </c>
      <c r="K2784" t="s">
        <v>144</v>
      </c>
      <c r="N2784">
        <v>1</v>
      </c>
      <c r="O2784" s="89">
        <v>1042.6199999999999</v>
      </c>
      <c r="P2784" s="89">
        <v>15639.3</v>
      </c>
      <c r="Q2784" t="s">
        <v>142</v>
      </c>
      <c r="R2784" t="s">
        <v>131</v>
      </c>
    </row>
    <row r="2785" spans="3:18" x14ac:dyDescent="0.25">
      <c r="C2785" t="s">
        <v>47</v>
      </c>
      <c r="D2785" t="s">
        <v>20</v>
      </c>
      <c r="E2785" t="s">
        <v>40</v>
      </c>
      <c r="F2785" t="s">
        <v>41</v>
      </c>
      <c r="G2785" s="89">
        <v>1431200</v>
      </c>
      <c r="H2785" t="s">
        <v>140</v>
      </c>
      <c r="I2785" t="s">
        <v>147</v>
      </c>
      <c r="J2785" s="89">
        <v>4293600</v>
      </c>
      <c r="K2785" t="s">
        <v>127</v>
      </c>
      <c r="L2785" t="s">
        <v>128</v>
      </c>
      <c r="N2785">
        <v>1</v>
      </c>
      <c r="O2785" s="89">
        <v>71560</v>
      </c>
      <c r="P2785" s="89">
        <v>672664</v>
      </c>
      <c r="Q2785" t="s">
        <v>142</v>
      </c>
      <c r="R2785" t="s">
        <v>131</v>
      </c>
    </row>
    <row r="2786" spans="3:18" hidden="1" x14ac:dyDescent="0.25">
      <c r="C2786" t="s">
        <v>45</v>
      </c>
      <c r="D2786" t="s">
        <v>149</v>
      </c>
      <c r="E2786" t="s">
        <v>43</v>
      </c>
      <c r="F2786" t="s">
        <v>41</v>
      </c>
      <c r="G2786" s="89">
        <v>1353768</v>
      </c>
      <c r="H2786" t="s">
        <v>145</v>
      </c>
      <c r="I2786" t="s">
        <v>126</v>
      </c>
      <c r="J2786" s="89">
        <v>23014056</v>
      </c>
      <c r="K2786" t="s">
        <v>127</v>
      </c>
      <c r="L2786" t="s">
        <v>128</v>
      </c>
      <c r="N2786">
        <v>1</v>
      </c>
      <c r="O2786" s="89">
        <v>40613.040000000001</v>
      </c>
      <c r="P2786" s="89">
        <v>636270.96</v>
      </c>
      <c r="Q2786" t="s">
        <v>142</v>
      </c>
      <c r="R2786" t="s">
        <v>131</v>
      </c>
    </row>
    <row r="2787" spans="3:18" hidden="1" x14ac:dyDescent="0.25">
      <c r="C2787" t="s">
        <v>45</v>
      </c>
      <c r="D2787" t="s">
        <v>22</v>
      </c>
      <c r="E2787" t="s">
        <v>44</v>
      </c>
      <c r="F2787" t="s">
        <v>41</v>
      </c>
      <c r="G2787" s="89">
        <v>48999</v>
      </c>
      <c r="H2787" t="s">
        <v>42</v>
      </c>
      <c r="I2787" t="s">
        <v>133</v>
      </c>
      <c r="J2787" s="89">
        <v>1077978</v>
      </c>
      <c r="K2787" t="s">
        <v>127</v>
      </c>
      <c r="L2787" t="s">
        <v>128</v>
      </c>
      <c r="M2787" t="s">
        <v>148</v>
      </c>
      <c r="N2787">
        <v>1</v>
      </c>
      <c r="O2787" s="89">
        <v>1469.97</v>
      </c>
      <c r="P2787" s="89">
        <v>29399.4</v>
      </c>
      <c r="Q2787" t="s">
        <v>142</v>
      </c>
      <c r="R2787" t="s">
        <v>42</v>
      </c>
    </row>
    <row r="2788" spans="3:18" hidden="1" x14ac:dyDescent="0.25">
      <c r="C2788" t="s">
        <v>45</v>
      </c>
      <c r="D2788" t="s">
        <v>19</v>
      </c>
      <c r="E2788" t="s">
        <v>43</v>
      </c>
      <c r="F2788" t="s">
        <v>53</v>
      </c>
      <c r="G2788" s="89">
        <v>8459996</v>
      </c>
      <c r="H2788" t="s">
        <v>42</v>
      </c>
      <c r="I2788" t="s">
        <v>133</v>
      </c>
      <c r="J2788" s="89">
        <v>262259876</v>
      </c>
      <c r="K2788" t="s">
        <v>144</v>
      </c>
      <c r="N2788">
        <v>1</v>
      </c>
      <c r="O2788" s="89">
        <v>253799.88</v>
      </c>
      <c r="P2788" s="89">
        <v>5921997.2000000002</v>
      </c>
      <c r="Q2788" t="s">
        <v>137</v>
      </c>
      <c r="R2788" t="s">
        <v>42</v>
      </c>
    </row>
    <row r="2789" spans="3:18" hidden="1" x14ac:dyDescent="0.25">
      <c r="C2789" t="s">
        <v>45</v>
      </c>
      <c r="D2789" t="s">
        <v>24</v>
      </c>
      <c r="E2789" t="s">
        <v>46</v>
      </c>
      <c r="F2789" t="s">
        <v>41</v>
      </c>
      <c r="G2789" s="89">
        <v>67627</v>
      </c>
      <c r="H2789" t="s">
        <v>146</v>
      </c>
      <c r="I2789" t="s">
        <v>126</v>
      </c>
      <c r="J2789" s="89">
        <v>879151</v>
      </c>
      <c r="K2789" t="s">
        <v>127</v>
      </c>
      <c r="L2789" t="s">
        <v>128</v>
      </c>
      <c r="N2789">
        <v>1</v>
      </c>
      <c r="O2789" s="89">
        <v>2028.81</v>
      </c>
      <c r="P2789" s="89">
        <v>24345.72</v>
      </c>
      <c r="Q2789" t="s">
        <v>130</v>
      </c>
      <c r="R2789" t="s">
        <v>131</v>
      </c>
    </row>
    <row r="2790" spans="3:18" hidden="1" x14ac:dyDescent="0.25">
      <c r="C2790" t="s">
        <v>45</v>
      </c>
      <c r="D2790" t="s">
        <v>24</v>
      </c>
      <c r="E2790" t="s">
        <v>43</v>
      </c>
      <c r="F2790" t="s">
        <v>41</v>
      </c>
      <c r="G2790" s="89">
        <v>58755</v>
      </c>
      <c r="H2790" t="s">
        <v>42</v>
      </c>
      <c r="I2790" t="s">
        <v>126</v>
      </c>
      <c r="J2790" s="89">
        <v>881325</v>
      </c>
      <c r="K2790" t="s">
        <v>144</v>
      </c>
      <c r="N2790">
        <v>1</v>
      </c>
      <c r="O2790" s="89">
        <v>1762.65</v>
      </c>
      <c r="P2790" s="89">
        <v>4700.3999999999996</v>
      </c>
      <c r="Q2790" t="s">
        <v>130</v>
      </c>
      <c r="R2790" t="s">
        <v>131</v>
      </c>
    </row>
    <row r="2791" spans="3:18" hidden="1" x14ac:dyDescent="0.25">
      <c r="C2791" t="s">
        <v>45</v>
      </c>
      <c r="D2791" t="s">
        <v>23</v>
      </c>
      <c r="E2791" t="s">
        <v>40</v>
      </c>
      <c r="F2791" t="s">
        <v>41</v>
      </c>
      <c r="G2791" s="89">
        <v>3143710</v>
      </c>
      <c r="H2791" t="s">
        <v>42</v>
      </c>
      <c r="I2791" t="s">
        <v>133</v>
      </c>
      <c r="J2791" s="89">
        <v>113173560</v>
      </c>
      <c r="K2791" t="s">
        <v>127</v>
      </c>
      <c r="L2791" t="s">
        <v>128</v>
      </c>
      <c r="M2791" t="s">
        <v>152</v>
      </c>
      <c r="N2791">
        <v>1</v>
      </c>
      <c r="O2791" s="89">
        <v>94311.3</v>
      </c>
      <c r="P2791" s="89">
        <v>2609279.2999999998</v>
      </c>
      <c r="Q2791" t="s">
        <v>135</v>
      </c>
      <c r="R2791" t="s">
        <v>42</v>
      </c>
    </row>
    <row r="2792" spans="3:18" hidden="1" x14ac:dyDescent="0.25">
      <c r="C2792" t="s">
        <v>45</v>
      </c>
      <c r="D2792" t="s">
        <v>22</v>
      </c>
      <c r="E2792" t="s">
        <v>43</v>
      </c>
      <c r="F2792" t="s">
        <v>41</v>
      </c>
      <c r="G2792" s="89">
        <v>335888</v>
      </c>
      <c r="H2792" t="s">
        <v>140</v>
      </c>
      <c r="I2792" t="s">
        <v>126</v>
      </c>
      <c r="J2792" s="89">
        <v>5374208</v>
      </c>
      <c r="K2792" t="s">
        <v>127</v>
      </c>
      <c r="L2792" t="s">
        <v>128</v>
      </c>
      <c r="N2792">
        <v>1</v>
      </c>
      <c r="O2792" s="89">
        <v>10076.64</v>
      </c>
      <c r="P2792" s="89">
        <v>399706.72</v>
      </c>
      <c r="Q2792" t="s">
        <v>150</v>
      </c>
      <c r="R2792" t="s">
        <v>131</v>
      </c>
    </row>
    <row r="2793" spans="3:18" hidden="1" x14ac:dyDescent="0.25">
      <c r="C2793" t="s">
        <v>45</v>
      </c>
      <c r="D2793" t="s">
        <v>149</v>
      </c>
      <c r="E2793" t="s">
        <v>40</v>
      </c>
      <c r="F2793" t="s">
        <v>41</v>
      </c>
      <c r="G2793" s="89">
        <v>213964</v>
      </c>
      <c r="H2793" t="s">
        <v>42</v>
      </c>
      <c r="I2793" t="s">
        <v>133</v>
      </c>
      <c r="J2793" s="89">
        <v>6846848</v>
      </c>
      <c r="K2793" t="s">
        <v>127</v>
      </c>
      <c r="L2793" t="s">
        <v>128</v>
      </c>
      <c r="M2793" t="s">
        <v>136</v>
      </c>
      <c r="N2793">
        <v>1</v>
      </c>
      <c r="O2793" s="89">
        <v>6418.92</v>
      </c>
      <c r="P2793" s="89">
        <v>181869.4</v>
      </c>
      <c r="Q2793" t="s">
        <v>135</v>
      </c>
      <c r="R2793" t="s">
        <v>42</v>
      </c>
    </row>
    <row r="2794" spans="3:18" hidden="1" x14ac:dyDescent="0.25">
      <c r="C2794" t="s">
        <v>45</v>
      </c>
      <c r="D2794" t="s">
        <v>22</v>
      </c>
      <c r="E2794" t="s">
        <v>48</v>
      </c>
      <c r="F2794" t="s">
        <v>41</v>
      </c>
      <c r="G2794" s="89">
        <v>20070163</v>
      </c>
      <c r="H2794" t="s">
        <v>42</v>
      </c>
      <c r="I2794" t="s">
        <v>133</v>
      </c>
      <c r="J2794" s="89">
        <v>561964564</v>
      </c>
      <c r="K2794" t="s">
        <v>127</v>
      </c>
      <c r="L2794" t="s">
        <v>128</v>
      </c>
      <c r="M2794" t="s">
        <v>143</v>
      </c>
      <c r="N2794">
        <v>1</v>
      </c>
      <c r="O2794" s="89">
        <v>602104.89</v>
      </c>
      <c r="P2794" s="89">
        <v>10235783.130000001</v>
      </c>
      <c r="Q2794" t="s">
        <v>142</v>
      </c>
      <c r="R2794" t="s">
        <v>42</v>
      </c>
    </row>
    <row r="2795" spans="3:18" hidden="1" x14ac:dyDescent="0.25">
      <c r="C2795" t="s">
        <v>45</v>
      </c>
      <c r="D2795" t="s">
        <v>23</v>
      </c>
      <c r="E2795" t="s">
        <v>43</v>
      </c>
      <c r="F2795" t="s">
        <v>41</v>
      </c>
      <c r="G2795" s="89">
        <v>4549056</v>
      </c>
      <c r="H2795" t="s">
        <v>140</v>
      </c>
      <c r="I2795" t="s">
        <v>133</v>
      </c>
      <c r="J2795" s="89">
        <v>118275456</v>
      </c>
      <c r="K2795" t="s">
        <v>127</v>
      </c>
      <c r="L2795" t="s">
        <v>128</v>
      </c>
      <c r="N2795">
        <v>1</v>
      </c>
      <c r="O2795" s="89">
        <v>136471.67999999999</v>
      </c>
      <c r="P2795" s="89">
        <v>1273735.6799999999</v>
      </c>
      <c r="Q2795" t="s">
        <v>130</v>
      </c>
      <c r="R2795" t="s">
        <v>131</v>
      </c>
    </row>
    <row r="2796" spans="3:18" hidden="1" x14ac:dyDescent="0.25">
      <c r="C2796" t="s">
        <v>45</v>
      </c>
      <c r="D2796" t="s">
        <v>23</v>
      </c>
      <c r="E2796" t="s">
        <v>40</v>
      </c>
      <c r="F2796" t="s">
        <v>41</v>
      </c>
      <c r="G2796" s="89">
        <v>20969</v>
      </c>
      <c r="H2796" t="s">
        <v>145</v>
      </c>
      <c r="I2796" t="s">
        <v>141</v>
      </c>
      <c r="J2796" s="89">
        <v>146783</v>
      </c>
      <c r="K2796" t="s">
        <v>144</v>
      </c>
      <c r="N2796">
        <v>1</v>
      </c>
      <c r="O2796" s="89">
        <v>629.07000000000005</v>
      </c>
      <c r="P2796" s="89">
        <v>2306.59</v>
      </c>
      <c r="Q2796" t="s">
        <v>130</v>
      </c>
      <c r="R2796" t="s">
        <v>131</v>
      </c>
    </row>
    <row r="2797" spans="3:18" hidden="1" x14ac:dyDescent="0.25">
      <c r="C2797" t="s">
        <v>39</v>
      </c>
      <c r="D2797" t="s">
        <v>21</v>
      </c>
      <c r="E2797" t="s">
        <v>40</v>
      </c>
      <c r="F2797" t="s">
        <v>41</v>
      </c>
      <c r="G2797" s="89">
        <v>16930</v>
      </c>
      <c r="H2797" t="s">
        <v>145</v>
      </c>
      <c r="I2797" t="s">
        <v>133</v>
      </c>
      <c r="J2797" s="89"/>
      <c r="N2797">
        <v>0</v>
      </c>
      <c r="O2797" s="89"/>
      <c r="P2797" s="89"/>
      <c r="R2797" t="s">
        <v>131</v>
      </c>
    </row>
    <row r="2798" spans="3:18" hidden="1" x14ac:dyDescent="0.25">
      <c r="C2798" t="s">
        <v>45</v>
      </c>
      <c r="D2798" t="s">
        <v>21</v>
      </c>
      <c r="E2798" t="s">
        <v>43</v>
      </c>
      <c r="F2798" t="s">
        <v>41</v>
      </c>
      <c r="G2798" s="89">
        <v>4643071</v>
      </c>
      <c r="H2798" t="s">
        <v>145</v>
      </c>
      <c r="I2798" t="s">
        <v>141</v>
      </c>
      <c r="J2798" s="89">
        <v>27858426</v>
      </c>
      <c r="K2798" t="s">
        <v>144</v>
      </c>
      <c r="N2798">
        <v>1</v>
      </c>
      <c r="O2798" s="89">
        <v>139292.13</v>
      </c>
      <c r="P2798" s="89">
        <v>2182243.37</v>
      </c>
      <c r="Q2798" t="s">
        <v>142</v>
      </c>
      <c r="R2798" t="s">
        <v>131</v>
      </c>
    </row>
    <row r="2799" spans="3:18" hidden="1" x14ac:dyDescent="0.25">
      <c r="C2799" t="s">
        <v>45</v>
      </c>
      <c r="D2799" t="s">
        <v>21</v>
      </c>
      <c r="E2799" t="s">
        <v>52</v>
      </c>
      <c r="F2799" t="s">
        <v>41</v>
      </c>
      <c r="G2799" s="89">
        <v>77091</v>
      </c>
      <c r="H2799" t="s">
        <v>42</v>
      </c>
      <c r="I2799" t="s">
        <v>126</v>
      </c>
      <c r="J2799" s="89">
        <v>1233456</v>
      </c>
      <c r="K2799" t="s">
        <v>144</v>
      </c>
      <c r="N2799">
        <v>1</v>
      </c>
      <c r="O2799" s="89">
        <v>2312.73</v>
      </c>
      <c r="P2799" s="89">
        <v>35461.86</v>
      </c>
      <c r="Q2799" t="s">
        <v>142</v>
      </c>
      <c r="R2799" t="s">
        <v>42</v>
      </c>
    </row>
    <row r="2800" spans="3:18" hidden="1" x14ac:dyDescent="0.25">
      <c r="C2800" t="s">
        <v>45</v>
      </c>
      <c r="D2800" t="s">
        <v>23</v>
      </c>
      <c r="E2800" t="s">
        <v>48</v>
      </c>
      <c r="F2800" t="s">
        <v>53</v>
      </c>
      <c r="G2800" s="89">
        <v>189811</v>
      </c>
      <c r="H2800" t="s">
        <v>145</v>
      </c>
      <c r="I2800" t="s">
        <v>133</v>
      </c>
      <c r="J2800" s="89">
        <v>6453574</v>
      </c>
      <c r="K2800" t="s">
        <v>144</v>
      </c>
      <c r="N2800">
        <v>1</v>
      </c>
      <c r="O2800" s="89">
        <v>5694.33</v>
      </c>
      <c r="P2800" s="89">
        <v>113886.6</v>
      </c>
      <c r="Q2800" t="s">
        <v>137</v>
      </c>
      <c r="R2800" t="s">
        <v>131</v>
      </c>
    </row>
    <row r="2801" spans="3:18" hidden="1" x14ac:dyDescent="0.25">
      <c r="C2801" t="s">
        <v>45</v>
      </c>
      <c r="D2801" t="s">
        <v>21</v>
      </c>
      <c r="E2801" t="s">
        <v>40</v>
      </c>
      <c r="F2801" t="s">
        <v>41</v>
      </c>
      <c r="G2801" s="89">
        <v>582740</v>
      </c>
      <c r="H2801" t="s">
        <v>140</v>
      </c>
      <c r="I2801" t="s">
        <v>126</v>
      </c>
      <c r="J2801" s="89">
        <v>9323840</v>
      </c>
      <c r="K2801" t="s">
        <v>144</v>
      </c>
      <c r="N2801">
        <v>1</v>
      </c>
      <c r="O2801" s="89">
        <v>17482.2</v>
      </c>
      <c r="P2801" s="89">
        <v>99065.8</v>
      </c>
      <c r="Q2801" t="s">
        <v>130</v>
      </c>
      <c r="R2801" t="s">
        <v>131</v>
      </c>
    </row>
    <row r="2802" spans="3:18" hidden="1" x14ac:dyDescent="0.25">
      <c r="C2802" t="s">
        <v>45</v>
      </c>
      <c r="D2802" t="s">
        <v>19</v>
      </c>
      <c r="E2802" t="s">
        <v>43</v>
      </c>
      <c r="F2802" t="s">
        <v>41</v>
      </c>
      <c r="G2802" s="89">
        <v>4348525</v>
      </c>
      <c r="H2802" t="s">
        <v>42</v>
      </c>
      <c r="I2802" t="s">
        <v>133</v>
      </c>
      <c r="J2802" s="89">
        <v>126107225</v>
      </c>
      <c r="K2802" t="s">
        <v>134</v>
      </c>
      <c r="L2802" t="s">
        <v>128</v>
      </c>
      <c r="M2802" t="s">
        <v>136</v>
      </c>
      <c r="N2802">
        <v>1</v>
      </c>
      <c r="O2802" s="89">
        <v>130455.75</v>
      </c>
      <c r="P2802" s="89">
        <v>2130777.25</v>
      </c>
      <c r="Q2802" t="s">
        <v>142</v>
      </c>
      <c r="R2802" t="s">
        <v>131</v>
      </c>
    </row>
    <row r="2803" spans="3:18" hidden="1" x14ac:dyDescent="0.25">
      <c r="C2803" t="s">
        <v>45</v>
      </c>
      <c r="D2803" t="s">
        <v>19</v>
      </c>
      <c r="E2803" t="s">
        <v>43</v>
      </c>
      <c r="F2803" t="s">
        <v>41</v>
      </c>
      <c r="G2803" s="89">
        <v>185627</v>
      </c>
      <c r="H2803" t="s">
        <v>132</v>
      </c>
      <c r="I2803" t="s">
        <v>133</v>
      </c>
      <c r="J2803" s="89">
        <v>5383183</v>
      </c>
      <c r="K2803" t="s">
        <v>134</v>
      </c>
      <c r="L2803" t="s">
        <v>128</v>
      </c>
      <c r="N2803">
        <v>1</v>
      </c>
      <c r="O2803" s="89">
        <v>5568.81</v>
      </c>
      <c r="P2803" s="89">
        <v>89100.96</v>
      </c>
      <c r="Q2803" t="s">
        <v>142</v>
      </c>
      <c r="R2803" t="s">
        <v>131</v>
      </c>
    </row>
    <row r="2804" spans="3:18" hidden="1" x14ac:dyDescent="0.25">
      <c r="C2804" t="s">
        <v>45</v>
      </c>
      <c r="D2804" t="s">
        <v>23</v>
      </c>
      <c r="E2804" t="s">
        <v>52</v>
      </c>
      <c r="F2804" t="s">
        <v>53</v>
      </c>
      <c r="G2804" s="89">
        <v>158726</v>
      </c>
      <c r="H2804" t="s">
        <v>42</v>
      </c>
      <c r="I2804" t="s">
        <v>126</v>
      </c>
      <c r="J2804" s="89">
        <v>3015794</v>
      </c>
      <c r="K2804" t="s">
        <v>144</v>
      </c>
      <c r="N2804">
        <v>1</v>
      </c>
      <c r="O2804" s="89">
        <v>4761.78</v>
      </c>
      <c r="P2804" s="89">
        <v>125393.54</v>
      </c>
      <c r="Q2804" t="s">
        <v>137</v>
      </c>
      <c r="R2804" t="s">
        <v>42</v>
      </c>
    </row>
    <row r="2805" spans="3:18" hidden="1" x14ac:dyDescent="0.25">
      <c r="C2805" t="s">
        <v>45</v>
      </c>
      <c r="D2805" t="s">
        <v>23</v>
      </c>
      <c r="E2805" t="s">
        <v>48</v>
      </c>
      <c r="F2805" t="s">
        <v>41</v>
      </c>
      <c r="G2805" s="89">
        <v>2257179</v>
      </c>
      <c r="H2805" t="s">
        <v>140</v>
      </c>
      <c r="I2805" t="s">
        <v>133</v>
      </c>
      <c r="J2805" s="89">
        <v>79001265</v>
      </c>
      <c r="K2805" t="s">
        <v>134</v>
      </c>
      <c r="L2805" t="s">
        <v>128</v>
      </c>
      <c r="N2805">
        <v>1</v>
      </c>
      <c r="O2805" s="89">
        <v>67715.37</v>
      </c>
      <c r="P2805" s="89">
        <v>1963745.73</v>
      </c>
      <c r="Q2805" t="s">
        <v>135</v>
      </c>
      <c r="R2805" t="s">
        <v>131</v>
      </c>
    </row>
    <row r="2806" spans="3:18" hidden="1" x14ac:dyDescent="0.25">
      <c r="C2806" t="s">
        <v>39</v>
      </c>
      <c r="D2806" t="s">
        <v>24</v>
      </c>
      <c r="E2806" t="s">
        <v>44</v>
      </c>
      <c r="F2806" t="s">
        <v>41</v>
      </c>
      <c r="G2806" s="89">
        <v>31058</v>
      </c>
      <c r="H2806" t="s">
        <v>42</v>
      </c>
      <c r="I2806" t="s">
        <v>133</v>
      </c>
      <c r="J2806" s="89"/>
      <c r="N2806">
        <v>0</v>
      </c>
      <c r="O2806" s="89"/>
      <c r="P2806" s="89"/>
      <c r="R2806" t="s">
        <v>131</v>
      </c>
    </row>
    <row r="2807" spans="3:18" hidden="1" x14ac:dyDescent="0.25">
      <c r="C2807" t="s">
        <v>45</v>
      </c>
      <c r="D2807" t="s">
        <v>138</v>
      </c>
      <c r="E2807" t="s">
        <v>43</v>
      </c>
      <c r="F2807" t="s">
        <v>41</v>
      </c>
      <c r="G2807" s="89">
        <v>452276</v>
      </c>
      <c r="H2807" t="s">
        <v>140</v>
      </c>
      <c r="I2807" t="s">
        <v>126</v>
      </c>
      <c r="J2807" s="89">
        <v>7688692</v>
      </c>
      <c r="K2807" t="s">
        <v>144</v>
      </c>
      <c r="N2807">
        <v>1</v>
      </c>
      <c r="O2807" s="89">
        <v>13568.28</v>
      </c>
      <c r="P2807" s="89">
        <v>108546.24000000001</v>
      </c>
      <c r="Q2807" t="s">
        <v>130</v>
      </c>
      <c r="R2807" t="s">
        <v>131</v>
      </c>
    </row>
    <row r="2808" spans="3:18" x14ac:dyDescent="0.25">
      <c r="C2808" t="s">
        <v>47</v>
      </c>
      <c r="D2808" t="s">
        <v>21</v>
      </c>
      <c r="E2808" t="s">
        <v>43</v>
      </c>
      <c r="F2808" t="s">
        <v>41</v>
      </c>
      <c r="G2808" s="89">
        <v>166336</v>
      </c>
      <c r="H2808" t="s">
        <v>132</v>
      </c>
      <c r="I2808" t="s">
        <v>147</v>
      </c>
      <c r="J2808" s="89">
        <v>831680</v>
      </c>
      <c r="K2808" t="s">
        <v>144</v>
      </c>
      <c r="N2808">
        <v>1</v>
      </c>
      <c r="O2808" s="89">
        <v>6653.44</v>
      </c>
      <c r="P2808" s="89">
        <v>23287.040000000001</v>
      </c>
      <c r="Q2808" t="s">
        <v>130</v>
      </c>
      <c r="R2808" t="s">
        <v>131</v>
      </c>
    </row>
    <row r="2809" spans="3:18" hidden="1" x14ac:dyDescent="0.25">
      <c r="C2809" t="s">
        <v>45</v>
      </c>
      <c r="D2809" t="s">
        <v>24</v>
      </c>
      <c r="E2809" t="s">
        <v>40</v>
      </c>
      <c r="F2809" t="s">
        <v>41</v>
      </c>
      <c r="G2809" s="89">
        <v>114984</v>
      </c>
      <c r="H2809" t="s">
        <v>42</v>
      </c>
      <c r="I2809" t="s">
        <v>133</v>
      </c>
      <c r="J2809" s="89">
        <v>3909456</v>
      </c>
      <c r="K2809" t="s">
        <v>127</v>
      </c>
      <c r="L2809" t="s">
        <v>128</v>
      </c>
      <c r="M2809" t="s">
        <v>129</v>
      </c>
      <c r="N2809">
        <v>1</v>
      </c>
      <c r="O2809" s="89">
        <v>3449.52</v>
      </c>
      <c r="P2809" s="89">
        <v>85088.16</v>
      </c>
      <c r="Q2809" t="s">
        <v>137</v>
      </c>
      <c r="R2809" t="s">
        <v>131</v>
      </c>
    </row>
    <row r="2810" spans="3:18" x14ac:dyDescent="0.25">
      <c r="C2810" t="s">
        <v>47</v>
      </c>
      <c r="D2810" t="s">
        <v>21</v>
      </c>
      <c r="E2810" t="s">
        <v>43</v>
      </c>
      <c r="F2810" t="s">
        <v>41</v>
      </c>
      <c r="G2810" s="89">
        <v>93611</v>
      </c>
      <c r="H2810" t="s">
        <v>42</v>
      </c>
      <c r="I2810" t="s">
        <v>153</v>
      </c>
      <c r="J2810" s="89"/>
      <c r="K2810" t="s">
        <v>127</v>
      </c>
      <c r="L2810" t="s">
        <v>128</v>
      </c>
      <c r="M2810" t="s">
        <v>129</v>
      </c>
      <c r="N2810">
        <v>0</v>
      </c>
      <c r="O2810" s="89">
        <v>4680.55</v>
      </c>
      <c r="P2810" s="89">
        <v>31827.74</v>
      </c>
      <c r="Q2810" t="s">
        <v>130</v>
      </c>
      <c r="R2810" t="s">
        <v>131</v>
      </c>
    </row>
    <row r="2811" spans="3:18" hidden="1" x14ac:dyDescent="0.25">
      <c r="C2811" t="s">
        <v>45</v>
      </c>
      <c r="D2811" t="s">
        <v>23</v>
      </c>
      <c r="E2811" t="s">
        <v>43</v>
      </c>
      <c r="F2811" t="s">
        <v>41</v>
      </c>
      <c r="G2811" s="89">
        <v>60104</v>
      </c>
      <c r="H2811" t="s">
        <v>42</v>
      </c>
      <c r="I2811" t="s">
        <v>133</v>
      </c>
      <c r="J2811" s="89">
        <v>2043536</v>
      </c>
      <c r="K2811" t="s">
        <v>134</v>
      </c>
      <c r="L2811" t="s">
        <v>128</v>
      </c>
      <c r="M2811" t="s">
        <v>129</v>
      </c>
      <c r="N2811">
        <v>1</v>
      </c>
      <c r="O2811" s="89">
        <v>1803.12</v>
      </c>
      <c r="P2811" s="89">
        <v>15627.04</v>
      </c>
      <c r="Q2811" t="s">
        <v>130</v>
      </c>
      <c r="R2811" t="s">
        <v>42</v>
      </c>
    </row>
    <row r="2812" spans="3:18" hidden="1" x14ac:dyDescent="0.25">
      <c r="C2812" t="s">
        <v>45</v>
      </c>
      <c r="D2812" t="s">
        <v>22</v>
      </c>
      <c r="E2812" t="s">
        <v>40</v>
      </c>
      <c r="F2812" t="s">
        <v>41</v>
      </c>
      <c r="G2812" s="89">
        <v>2124941</v>
      </c>
      <c r="H2812" t="s">
        <v>140</v>
      </c>
      <c r="I2812" t="s">
        <v>141</v>
      </c>
      <c r="J2812" s="89">
        <v>16999528</v>
      </c>
      <c r="K2812" t="s">
        <v>127</v>
      </c>
      <c r="L2812" t="s">
        <v>128</v>
      </c>
      <c r="N2812">
        <v>1</v>
      </c>
      <c r="O2812" s="89">
        <v>84997.64</v>
      </c>
      <c r="P2812" s="89">
        <v>1466209.29</v>
      </c>
      <c r="Q2812" t="s">
        <v>137</v>
      </c>
      <c r="R2812" t="s">
        <v>131</v>
      </c>
    </row>
    <row r="2813" spans="3:18" hidden="1" x14ac:dyDescent="0.25">
      <c r="C2813" t="s">
        <v>45</v>
      </c>
      <c r="D2813" t="s">
        <v>23</v>
      </c>
      <c r="E2813" t="s">
        <v>40</v>
      </c>
      <c r="F2813" t="s">
        <v>41</v>
      </c>
      <c r="G2813" s="89">
        <v>712980</v>
      </c>
      <c r="H2813" t="s">
        <v>132</v>
      </c>
      <c r="I2813" t="s">
        <v>133</v>
      </c>
      <c r="J2813" s="89">
        <v>19963440</v>
      </c>
      <c r="K2813" t="s">
        <v>127</v>
      </c>
      <c r="L2813" t="s">
        <v>128</v>
      </c>
      <c r="N2813">
        <v>1</v>
      </c>
      <c r="O2813" s="89">
        <v>28519.200000000001</v>
      </c>
      <c r="P2813" s="89">
        <v>891225</v>
      </c>
      <c r="Q2813" t="s">
        <v>150</v>
      </c>
      <c r="R2813" t="s">
        <v>131</v>
      </c>
    </row>
    <row r="2814" spans="3:18" hidden="1" x14ac:dyDescent="0.25">
      <c r="C2814" t="s">
        <v>45</v>
      </c>
      <c r="D2814" t="s">
        <v>138</v>
      </c>
      <c r="E2814" t="s">
        <v>43</v>
      </c>
      <c r="F2814" t="s">
        <v>41</v>
      </c>
      <c r="G2814" s="89">
        <v>20545386</v>
      </c>
      <c r="H2814" t="s">
        <v>140</v>
      </c>
      <c r="I2814" t="s">
        <v>126</v>
      </c>
      <c r="J2814" s="89">
        <v>328726176</v>
      </c>
      <c r="K2814" t="s">
        <v>127</v>
      </c>
      <c r="L2814" t="s">
        <v>128</v>
      </c>
      <c r="N2814">
        <v>1</v>
      </c>
      <c r="O2814" s="89">
        <v>616361.57999999996</v>
      </c>
      <c r="P2814" s="89">
        <v>10067239.140000001</v>
      </c>
      <c r="Q2814" t="s">
        <v>142</v>
      </c>
      <c r="R2814" t="s">
        <v>131</v>
      </c>
    </row>
    <row r="2815" spans="3:18" hidden="1" x14ac:dyDescent="0.25">
      <c r="C2815" t="s">
        <v>45</v>
      </c>
      <c r="D2815" t="s">
        <v>19</v>
      </c>
      <c r="E2815" t="s">
        <v>43</v>
      </c>
      <c r="F2815" t="s">
        <v>41</v>
      </c>
      <c r="G2815" s="89">
        <v>4422215</v>
      </c>
      <c r="H2815" t="s">
        <v>132</v>
      </c>
      <c r="I2815" t="s">
        <v>126</v>
      </c>
      <c r="J2815" s="89">
        <v>70755440</v>
      </c>
      <c r="K2815" t="s">
        <v>127</v>
      </c>
      <c r="L2815" t="s">
        <v>128</v>
      </c>
      <c r="N2815">
        <v>1</v>
      </c>
      <c r="O2815" s="89">
        <v>132666.45000000001</v>
      </c>
      <c r="P2815" s="89">
        <v>2211107.5</v>
      </c>
      <c r="Q2815" t="s">
        <v>142</v>
      </c>
      <c r="R2815" t="s">
        <v>131</v>
      </c>
    </row>
    <row r="2816" spans="3:18" x14ac:dyDescent="0.25">
      <c r="C2816" t="s">
        <v>47</v>
      </c>
      <c r="D2816" t="s">
        <v>149</v>
      </c>
      <c r="E2816" t="s">
        <v>43</v>
      </c>
      <c r="F2816" t="s">
        <v>41</v>
      </c>
      <c r="G2816" s="89">
        <v>673899</v>
      </c>
      <c r="H2816" t="s">
        <v>140</v>
      </c>
      <c r="I2816" t="s">
        <v>141</v>
      </c>
      <c r="J2816" s="89">
        <v>5391192</v>
      </c>
      <c r="K2816" t="s">
        <v>127</v>
      </c>
      <c r="L2816" t="s">
        <v>128</v>
      </c>
      <c r="N2816">
        <v>1</v>
      </c>
      <c r="O2816" s="89">
        <v>20216.97</v>
      </c>
      <c r="P2816" s="89">
        <v>498685.26</v>
      </c>
      <c r="Q2816" t="s">
        <v>137</v>
      </c>
      <c r="R2816" t="s">
        <v>131</v>
      </c>
    </row>
    <row r="2817" spans="3:18" hidden="1" x14ac:dyDescent="0.25">
      <c r="C2817" t="s">
        <v>45</v>
      </c>
      <c r="D2817" t="s">
        <v>22</v>
      </c>
      <c r="E2817" t="s">
        <v>40</v>
      </c>
      <c r="F2817" t="s">
        <v>41</v>
      </c>
      <c r="G2817" s="89">
        <v>233586</v>
      </c>
      <c r="H2817" t="s">
        <v>132</v>
      </c>
      <c r="I2817" t="s">
        <v>133</v>
      </c>
      <c r="J2817" s="89">
        <v>5606064</v>
      </c>
      <c r="K2817" t="s">
        <v>134</v>
      </c>
      <c r="L2817" t="s">
        <v>128</v>
      </c>
      <c r="N2817">
        <v>1</v>
      </c>
      <c r="O2817" s="89">
        <v>7007.58</v>
      </c>
      <c r="P2817" s="89">
        <v>60732.36</v>
      </c>
      <c r="Q2817" t="s">
        <v>130</v>
      </c>
      <c r="R2817" t="s">
        <v>131</v>
      </c>
    </row>
    <row r="2818" spans="3:18" hidden="1" x14ac:dyDescent="0.25">
      <c r="C2818" t="s">
        <v>45</v>
      </c>
      <c r="D2818" t="s">
        <v>19</v>
      </c>
      <c r="E2818" t="s">
        <v>43</v>
      </c>
      <c r="F2818" t="s">
        <v>41</v>
      </c>
      <c r="G2818" s="89">
        <v>1238371</v>
      </c>
      <c r="H2818" t="s">
        <v>145</v>
      </c>
      <c r="I2818" t="s">
        <v>133</v>
      </c>
      <c r="J2818" s="89">
        <v>39627872</v>
      </c>
      <c r="K2818" t="s">
        <v>127</v>
      </c>
      <c r="L2818" t="s">
        <v>128</v>
      </c>
      <c r="N2818">
        <v>1</v>
      </c>
      <c r="O2818" s="89">
        <v>37151.129999999997</v>
      </c>
      <c r="P2818" s="89">
        <v>1535580.04</v>
      </c>
      <c r="Q2818" t="s">
        <v>150</v>
      </c>
      <c r="R2818" t="s">
        <v>131</v>
      </c>
    </row>
    <row r="2819" spans="3:18" x14ac:dyDescent="0.25">
      <c r="C2819" t="s">
        <v>47</v>
      </c>
      <c r="D2819" t="s">
        <v>24</v>
      </c>
      <c r="E2819" t="s">
        <v>40</v>
      </c>
      <c r="F2819" t="s">
        <v>41</v>
      </c>
      <c r="G2819" s="89">
        <v>873025</v>
      </c>
      <c r="H2819" t="s">
        <v>42</v>
      </c>
      <c r="I2819" t="s">
        <v>141</v>
      </c>
      <c r="J2819" s="89">
        <v>6984200</v>
      </c>
      <c r="K2819" t="s">
        <v>127</v>
      </c>
      <c r="L2819" t="s">
        <v>128</v>
      </c>
      <c r="M2819" t="s">
        <v>148</v>
      </c>
      <c r="N2819">
        <v>1</v>
      </c>
      <c r="O2819" s="89">
        <v>34921</v>
      </c>
      <c r="P2819" s="89">
        <v>576196.5</v>
      </c>
      <c r="Q2819" t="s">
        <v>137</v>
      </c>
      <c r="R2819" t="s">
        <v>131</v>
      </c>
    </row>
    <row r="2820" spans="3:18" hidden="1" x14ac:dyDescent="0.25">
      <c r="C2820" t="s">
        <v>45</v>
      </c>
      <c r="D2820" t="s">
        <v>20</v>
      </c>
      <c r="E2820" t="s">
        <v>43</v>
      </c>
      <c r="F2820" t="s">
        <v>41</v>
      </c>
      <c r="G2820" s="89">
        <v>304294</v>
      </c>
      <c r="H2820" t="s">
        <v>145</v>
      </c>
      <c r="I2820" t="s">
        <v>147</v>
      </c>
      <c r="J2820" s="89">
        <v>608588</v>
      </c>
      <c r="K2820" t="s">
        <v>144</v>
      </c>
      <c r="N2820">
        <v>1</v>
      </c>
      <c r="O2820" s="89">
        <v>9128.82</v>
      </c>
      <c r="P2820" s="89">
        <v>146061.12</v>
      </c>
      <c r="Q2820" t="s">
        <v>142</v>
      </c>
      <c r="R2820" t="s">
        <v>131</v>
      </c>
    </row>
    <row r="2821" spans="3:18" x14ac:dyDescent="0.25">
      <c r="C2821" t="s">
        <v>47</v>
      </c>
      <c r="D2821" t="s">
        <v>21</v>
      </c>
      <c r="E2821" t="s">
        <v>43</v>
      </c>
      <c r="F2821" t="s">
        <v>41</v>
      </c>
      <c r="G2821" s="89">
        <v>2743177</v>
      </c>
      <c r="H2821" t="s">
        <v>140</v>
      </c>
      <c r="I2821" t="s">
        <v>153</v>
      </c>
      <c r="J2821" s="89"/>
      <c r="K2821" t="s">
        <v>127</v>
      </c>
      <c r="L2821" t="s">
        <v>128</v>
      </c>
      <c r="N2821">
        <v>0</v>
      </c>
      <c r="O2821" s="89">
        <v>109727.08</v>
      </c>
      <c r="P2821" s="89">
        <v>850384.87</v>
      </c>
      <c r="Q2821" t="s">
        <v>130</v>
      </c>
      <c r="R2821" t="s">
        <v>131</v>
      </c>
    </row>
    <row r="2822" spans="3:18" x14ac:dyDescent="0.25">
      <c r="C2822" t="s">
        <v>47</v>
      </c>
      <c r="D2822" t="s">
        <v>25</v>
      </c>
      <c r="E2822" t="s">
        <v>48</v>
      </c>
      <c r="F2822" t="s">
        <v>41</v>
      </c>
      <c r="G2822" s="89">
        <v>457542</v>
      </c>
      <c r="H2822" t="s">
        <v>146</v>
      </c>
      <c r="I2822" t="s">
        <v>141</v>
      </c>
      <c r="J2822" s="89">
        <v>3660336</v>
      </c>
      <c r="K2822" t="s">
        <v>127</v>
      </c>
      <c r="L2822" t="s">
        <v>128</v>
      </c>
      <c r="N2822">
        <v>1</v>
      </c>
      <c r="O2822" s="89">
        <v>18301.68</v>
      </c>
      <c r="P2822" s="89">
        <v>82357.56</v>
      </c>
      <c r="Q2822" t="s">
        <v>130</v>
      </c>
      <c r="R2822" t="s">
        <v>131</v>
      </c>
    </row>
    <row r="2823" spans="3:18" hidden="1" x14ac:dyDescent="0.25">
      <c r="C2823" t="s">
        <v>45</v>
      </c>
      <c r="D2823" t="s">
        <v>21</v>
      </c>
      <c r="E2823" t="s">
        <v>43</v>
      </c>
      <c r="F2823" t="s">
        <v>41</v>
      </c>
      <c r="G2823" s="89">
        <v>12708094</v>
      </c>
      <c r="H2823" t="s">
        <v>140</v>
      </c>
      <c r="I2823" t="s">
        <v>133</v>
      </c>
      <c r="J2823" s="89">
        <v>368534726</v>
      </c>
      <c r="K2823" t="s">
        <v>144</v>
      </c>
      <c r="N2823">
        <v>1</v>
      </c>
      <c r="O2823" s="89">
        <v>381242.82</v>
      </c>
      <c r="P2823" s="89">
        <v>3558266.32</v>
      </c>
      <c r="Q2823" t="s">
        <v>130</v>
      </c>
      <c r="R2823" t="s">
        <v>131</v>
      </c>
    </row>
    <row r="2824" spans="3:18" x14ac:dyDescent="0.25">
      <c r="C2824" t="s">
        <v>47</v>
      </c>
      <c r="D2824" t="s">
        <v>22</v>
      </c>
      <c r="E2824" t="s">
        <v>40</v>
      </c>
      <c r="F2824" t="s">
        <v>41</v>
      </c>
      <c r="G2824" s="89">
        <v>379155</v>
      </c>
      <c r="H2824" t="s">
        <v>132</v>
      </c>
      <c r="I2824" t="s">
        <v>141</v>
      </c>
      <c r="J2824" s="89">
        <v>3412395</v>
      </c>
      <c r="K2824" t="s">
        <v>144</v>
      </c>
      <c r="N2824">
        <v>1</v>
      </c>
      <c r="O2824" s="89">
        <v>15166.2</v>
      </c>
      <c r="P2824" s="89">
        <v>163036.65</v>
      </c>
      <c r="Q2824" t="s">
        <v>142</v>
      </c>
      <c r="R2824" t="s">
        <v>131</v>
      </c>
    </row>
    <row r="2825" spans="3:18" hidden="1" x14ac:dyDescent="0.25">
      <c r="C2825" t="s">
        <v>45</v>
      </c>
      <c r="D2825" t="s">
        <v>23</v>
      </c>
      <c r="E2825" t="s">
        <v>43</v>
      </c>
      <c r="F2825" t="s">
        <v>41</v>
      </c>
      <c r="G2825" s="89">
        <v>378716</v>
      </c>
      <c r="H2825" t="s">
        <v>132</v>
      </c>
      <c r="I2825" t="s">
        <v>126</v>
      </c>
      <c r="J2825" s="89">
        <v>5680740</v>
      </c>
      <c r="K2825" t="s">
        <v>127</v>
      </c>
      <c r="L2825" t="s">
        <v>128</v>
      </c>
      <c r="N2825">
        <v>1</v>
      </c>
      <c r="O2825" s="89">
        <v>11361.48</v>
      </c>
      <c r="P2825" s="89">
        <v>117401.96</v>
      </c>
      <c r="Q2825" t="s">
        <v>130</v>
      </c>
      <c r="R2825" t="s">
        <v>131</v>
      </c>
    </row>
    <row r="2826" spans="3:18" hidden="1" x14ac:dyDescent="0.25">
      <c r="C2826" t="s">
        <v>45</v>
      </c>
      <c r="D2826" t="s">
        <v>138</v>
      </c>
      <c r="E2826" t="s">
        <v>43</v>
      </c>
      <c r="F2826" t="s">
        <v>41</v>
      </c>
      <c r="G2826" s="89">
        <v>5062</v>
      </c>
      <c r="H2826" t="s">
        <v>42</v>
      </c>
      <c r="I2826" t="s">
        <v>147</v>
      </c>
      <c r="J2826" s="89">
        <v>15186</v>
      </c>
      <c r="K2826" t="s">
        <v>134</v>
      </c>
      <c r="L2826" t="s">
        <v>128</v>
      </c>
      <c r="M2826" t="s">
        <v>139</v>
      </c>
      <c r="N2826">
        <v>1</v>
      </c>
      <c r="O2826" s="89">
        <v>151.86000000000001</v>
      </c>
      <c r="P2826" s="89">
        <v>3391.54</v>
      </c>
      <c r="Q2826" t="s">
        <v>137</v>
      </c>
      <c r="R2826" t="s">
        <v>131</v>
      </c>
    </row>
    <row r="2827" spans="3:18" x14ac:dyDescent="0.25">
      <c r="C2827" t="s">
        <v>47</v>
      </c>
      <c r="D2827" t="s">
        <v>19</v>
      </c>
      <c r="E2827" t="s">
        <v>40</v>
      </c>
      <c r="F2827" t="s">
        <v>41</v>
      </c>
      <c r="G2827" s="89">
        <v>57864</v>
      </c>
      <c r="H2827" t="s">
        <v>145</v>
      </c>
      <c r="I2827" t="s">
        <v>141</v>
      </c>
      <c r="J2827" s="89">
        <v>405048</v>
      </c>
      <c r="K2827" t="s">
        <v>127</v>
      </c>
      <c r="L2827" t="s">
        <v>128</v>
      </c>
      <c r="N2827">
        <v>1</v>
      </c>
      <c r="O2827" s="89">
        <v>4050.48</v>
      </c>
      <c r="P2827" s="89">
        <v>21409.68</v>
      </c>
      <c r="Q2827" t="s">
        <v>130</v>
      </c>
      <c r="R2827" t="s">
        <v>131</v>
      </c>
    </row>
    <row r="2828" spans="3:18" hidden="1" x14ac:dyDescent="0.25">
      <c r="C2828" t="s">
        <v>45</v>
      </c>
      <c r="D2828" t="s">
        <v>23</v>
      </c>
      <c r="E2828" t="s">
        <v>44</v>
      </c>
      <c r="F2828" t="s">
        <v>41</v>
      </c>
      <c r="G2828" s="89">
        <v>483534</v>
      </c>
      <c r="H2828" t="s">
        <v>42</v>
      </c>
      <c r="I2828" t="s">
        <v>126</v>
      </c>
      <c r="J2828" s="89">
        <v>9187146</v>
      </c>
      <c r="K2828" t="s">
        <v>144</v>
      </c>
      <c r="N2828">
        <v>1</v>
      </c>
      <c r="O2828" s="89">
        <v>14506.02</v>
      </c>
      <c r="P2828" s="89">
        <v>401333.22</v>
      </c>
      <c r="Q2828" t="s">
        <v>135</v>
      </c>
      <c r="R2828" t="s">
        <v>42</v>
      </c>
    </row>
    <row r="2829" spans="3:18" hidden="1" x14ac:dyDescent="0.25">
      <c r="C2829" t="s">
        <v>45</v>
      </c>
      <c r="D2829" t="s">
        <v>138</v>
      </c>
      <c r="E2829" t="s">
        <v>43</v>
      </c>
      <c r="F2829" t="s">
        <v>41</v>
      </c>
      <c r="G2829" s="89">
        <v>2643072</v>
      </c>
      <c r="H2829" t="s">
        <v>132</v>
      </c>
      <c r="I2829" t="s">
        <v>133</v>
      </c>
      <c r="J2829" s="89">
        <v>76649088</v>
      </c>
      <c r="K2829" t="s">
        <v>144</v>
      </c>
      <c r="N2829">
        <v>1</v>
      </c>
      <c r="O2829" s="89">
        <v>79292.160000000003</v>
      </c>
      <c r="P2829" s="89">
        <v>1321536</v>
      </c>
      <c r="Q2829" t="s">
        <v>142</v>
      </c>
      <c r="R2829" t="s">
        <v>131</v>
      </c>
    </row>
    <row r="2830" spans="3:18" hidden="1" x14ac:dyDescent="0.25">
      <c r="C2830" t="s">
        <v>45</v>
      </c>
      <c r="D2830" t="s">
        <v>22</v>
      </c>
      <c r="E2830" t="s">
        <v>43</v>
      </c>
      <c r="F2830" t="s">
        <v>41</v>
      </c>
      <c r="G2830" s="89">
        <v>25334264</v>
      </c>
      <c r="H2830" t="s">
        <v>140</v>
      </c>
      <c r="I2830" t="s">
        <v>133</v>
      </c>
      <c r="J2830" s="89">
        <v>709359392</v>
      </c>
      <c r="K2830" t="s">
        <v>127</v>
      </c>
      <c r="L2830" t="s">
        <v>128</v>
      </c>
      <c r="N2830">
        <v>1</v>
      </c>
      <c r="O2830" s="89">
        <v>760027.92</v>
      </c>
      <c r="P2830" s="89">
        <v>17227299.52</v>
      </c>
      <c r="Q2830" t="s">
        <v>137</v>
      </c>
      <c r="R2830" t="s">
        <v>131</v>
      </c>
    </row>
    <row r="2831" spans="3:18" hidden="1" x14ac:dyDescent="0.25">
      <c r="C2831" t="s">
        <v>45</v>
      </c>
      <c r="D2831" t="s">
        <v>24</v>
      </c>
      <c r="E2831" t="s">
        <v>48</v>
      </c>
      <c r="F2831" t="s">
        <v>41</v>
      </c>
      <c r="G2831" s="89">
        <v>2518</v>
      </c>
      <c r="H2831" t="s">
        <v>132</v>
      </c>
      <c r="I2831" t="s">
        <v>126</v>
      </c>
      <c r="J2831" s="89">
        <v>45324</v>
      </c>
      <c r="K2831" t="s">
        <v>127</v>
      </c>
      <c r="L2831" t="s">
        <v>128</v>
      </c>
      <c r="N2831">
        <v>1</v>
      </c>
      <c r="O2831" s="89">
        <v>75.540000000000006</v>
      </c>
      <c r="P2831" s="89">
        <v>2769.8</v>
      </c>
      <c r="Q2831" t="s">
        <v>150</v>
      </c>
      <c r="R2831" t="s">
        <v>131</v>
      </c>
    </row>
    <row r="2832" spans="3:18" hidden="1" x14ac:dyDescent="0.25">
      <c r="C2832" t="s">
        <v>45</v>
      </c>
      <c r="D2832" t="s">
        <v>138</v>
      </c>
      <c r="E2832" t="s">
        <v>43</v>
      </c>
      <c r="F2832" t="s">
        <v>41</v>
      </c>
      <c r="G2832" s="89">
        <v>7614171</v>
      </c>
      <c r="H2832" t="s">
        <v>42</v>
      </c>
      <c r="I2832" t="s">
        <v>133</v>
      </c>
      <c r="J2832" s="89">
        <v>243653472</v>
      </c>
      <c r="K2832" t="s">
        <v>144</v>
      </c>
      <c r="N2832">
        <v>1</v>
      </c>
      <c r="O2832" s="89">
        <v>228425.13</v>
      </c>
      <c r="P2832" s="89">
        <v>5329919.7</v>
      </c>
      <c r="Q2832" t="s">
        <v>137</v>
      </c>
      <c r="R2832" t="s">
        <v>131</v>
      </c>
    </row>
    <row r="2833" spans="3:18" x14ac:dyDescent="0.25">
      <c r="C2833" t="s">
        <v>47</v>
      </c>
      <c r="D2833" t="s">
        <v>20</v>
      </c>
      <c r="E2833" t="s">
        <v>43</v>
      </c>
      <c r="F2833" t="s">
        <v>41</v>
      </c>
      <c r="G2833" s="89">
        <v>139427</v>
      </c>
      <c r="H2833" t="s">
        <v>140</v>
      </c>
      <c r="I2833" t="s">
        <v>133</v>
      </c>
      <c r="J2833" s="89">
        <v>3764529</v>
      </c>
      <c r="K2833" t="s">
        <v>127</v>
      </c>
      <c r="L2833" t="s">
        <v>128</v>
      </c>
      <c r="N2833">
        <v>1</v>
      </c>
      <c r="O2833" s="89">
        <v>5577.08</v>
      </c>
      <c r="P2833" s="89">
        <v>30673.94</v>
      </c>
      <c r="Q2833" t="s">
        <v>130</v>
      </c>
      <c r="R2833" t="s">
        <v>131</v>
      </c>
    </row>
    <row r="2834" spans="3:18" hidden="1" x14ac:dyDescent="0.25">
      <c r="C2834" t="s">
        <v>45</v>
      </c>
      <c r="D2834" t="s">
        <v>19</v>
      </c>
      <c r="E2834" t="s">
        <v>50</v>
      </c>
      <c r="F2834" t="s">
        <v>41</v>
      </c>
      <c r="G2834" s="89">
        <v>85877</v>
      </c>
      <c r="H2834" t="s">
        <v>42</v>
      </c>
      <c r="I2834" t="s">
        <v>126</v>
      </c>
      <c r="J2834" s="89">
        <v>1717540</v>
      </c>
      <c r="K2834" t="s">
        <v>127</v>
      </c>
      <c r="M2834" t="s">
        <v>136</v>
      </c>
      <c r="N2834">
        <v>1</v>
      </c>
      <c r="O2834" s="89">
        <v>2576.31</v>
      </c>
      <c r="P2834" s="89">
        <v>25763.1</v>
      </c>
      <c r="Q2834" t="s">
        <v>130</v>
      </c>
    </row>
    <row r="2835" spans="3:18" hidden="1" x14ac:dyDescent="0.25">
      <c r="C2835" t="s">
        <v>45</v>
      </c>
      <c r="D2835" t="s">
        <v>21</v>
      </c>
      <c r="E2835" t="s">
        <v>40</v>
      </c>
      <c r="F2835" t="s">
        <v>41</v>
      </c>
      <c r="G2835" s="89">
        <v>160</v>
      </c>
      <c r="H2835" t="s">
        <v>146</v>
      </c>
      <c r="I2835" t="s">
        <v>153</v>
      </c>
      <c r="J2835" s="89"/>
      <c r="K2835" t="s">
        <v>127</v>
      </c>
      <c r="L2835" t="s">
        <v>128</v>
      </c>
      <c r="N2835">
        <v>0</v>
      </c>
      <c r="O2835" s="89">
        <v>0</v>
      </c>
      <c r="P2835" s="89">
        <v>0</v>
      </c>
      <c r="Q2835" t="s">
        <v>130</v>
      </c>
      <c r="R2835" t="s">
        <v>131</v>
      </c>
    </row>
    <row r="2836" spans="3:18" hidden="1" x14ac:dyDescent="0.25">
      <c r="C2836" t="s">
        <v>45</v>
      </c>
      <c r="D2836" t="s">
        <v>24</v>
      </c>
      <c r="E2836" t="s">
        <v>40</v>
      </c>
      <c r="F2836" t="s">
        <v>41</v>
      </c>
      <c r="G2836" s="89">
        <v>2615495</v>
      </c>
      <c r="H2836" t="s">
        <v>42</v>
      </c>
      <c r="I2836" t="s">
        <v>126</v>
      </c>
      <c r="J2836" s="89">
        <v>39232425</v>
      </c>
      <c r="K2836" t="s">
        <v>127</v>
      </c>
      <c r="L2836" t="s">
        <v>128</v>
      </c>
      <c r="M2836" t="s">
        <v>148</v>
      </c>
      <c r="N2836">
        <v>1</v>
      </c>
      <c r="O2836" s="89">
        <v>78464.850000000006</v>
      </c>
      <c r="P2836" s="89">
        <v>732338.6</v>
      </c>
      <c r="Q2836" t="s">
        <v>130</v>
      </c>
      <c r="R2836" t="s">
        <v>131</v>
      </c>
    </row>
    <row r="2837" spans="3:18" hidden="1" x14ac:dyDescent="0.25">
      <c r="C2837" t="s">
        <v>45</v>
      </c>
      <c r="D2837" t="s">
        <v>24</v>
      </c>
      <c r="E2837" t="s">
        <v>40</v>
      </c>
      <c r="F2837" t="s">
        <v>41</v>
      </c>
      <c r="G2837" s="89">
        <v>201182</v>
      </c>
      <c r="H2837" t="s">
        <v>146</v>
      </c>
      <c r="I2837" t="s">
        <v>147</v>
      </c>
      <c r="J2837" s="89">
        <v>804728</v>
      </c>
      <c r="K2837" t="s">
        <v>127</v>
      </c>
      <c r="L2837" t="s">
        <v>128</v>
      </c>
      <c r="N2837">
        <v>1</v>
      </c>
      <c r="O2837" s="89">
        <v>6035.46</v>
      </c>
      <c r="P2837" s="89">
        <v>16094.56</v>
      </c>
      <c r="Q2837" t="s">
        <v>130</v>
      </c>
      <c r="R2837" t="s">
        <v>131</v>
      </c>
    </row>
    <row r="2838" spans="3:18" hidden="1" x14ac:dyDescent="0.25">
      <c r="C2838" t="s">
        <v>45</v>
      </c>
      <c r="D2838" t="s">
        <v>22</v>
      </c>
      <c r="E2838" t="s">
        <v>40</v>
      </c>
      <c r="F2838" t="s">
        <v>41</v>
      </c>
      <c r="G2838" s="89">
        <v>73416</v>
      </c>
      <c r="H2838" t="s">
        <v>132</v>
      </c>
      <c r="I2838" t="s">
        <v>141</v>
      </c>
      <c r="J2838" s="89">
        <v>660744</v>
      </c>
      <c r="K2838" t="s">
        <v>127</v>
      </c>
      <c r="L2838" t="s">
        <v>128</v>
      </c>
      <c r="N2838">
        <v>1</v>
      </c>
      <c r="O2838" s="89">
        <v>2936.64</v>
      </c>
      <c r="P2838" s="89">
        <v>59466.96</v>
      </c>
      <c r="Q2838" t="s">
        <v>135</v>
      </c>
      <c r="R2838" t="s">
        <v>131</v>
      </c>
    </row>
    <row r="2839" spans="3:18" hidden="1" x14ac:dyDescent="0.25">
      <c r="C2839" t="s">
        <v>45</v>
      </c>
      <c r="D2839" t="s">
        <v>20</v>
      </c>
      <c r="E2839" t="s">
        <v>43</v>
      </c>
      <c r="F2839" t="s">
        <v>41</v>
      </c>
      <c r="G2839" s="89">
        <v>1349159</v>
      </c>
      <c r="H2839" t="s">
        <v>145</v>
      </c>
      <c r="I2839" t="s">
        <v>133</v>
      </c>
      <c r="J2839" s="89">
        <v>39125611</v>
      </c>
      <c r="K2839" t="s">
        <v>144</v>
      </c>
      <c r="N2839">
        <v>1</v>
      </c>
      <c r="O2839" s="89">
        <v>40474.769999999997</v>
      </c>
      <c r="P2839" s="89">
        <v>890444.94</v>
      </c>
      <c r="Q2839" t="s">
        <v>137</v>
      </c>
      <c r="R2839" t="s">
        <v>131</v>
      </c>
    </row>
    <row r="2840" spans="3:18" hidden="1" x14ac:dyDescent="0.25">
      <c r="C2840" t="s">
        <v>45</v>
      </c>
      <c r="D2840" t="s">
        <v>22</v>
      </c>
      <c r="E2840" t="s">
        <v>43</v>
      </c>
      <c r="F2840" t="s">
        <v>41</v>
      </c>
      <c r="G2840" s="89">
        <v>1423060</v>
      </c>
      <c r="H2840" t="s">
        <v>146</v>
      </c>
      <c r="I2840" t="s">
        <v>126</v>
      </c>
      <c r="J2840" s="89">
        <v>24192020</v>
      </c>
      <c r="K2840" t="s">
        <v>127</v>
      </c>
      <c r="L2840" t="s">
        <v>128</v>
      </c>
      <c r="N2840">
        <v>1</v>
      </c>
      <c r="O2840" s="89">
        <v>56922.400000000001</v>
      </c>
      <c r="P2840" s="89">
        <v>953450.2</v>
      </c>
      <c r="Q2840" t="s">
        <v>137</v>
      </c>
      <c r="R2840" t="s">
        <v>131</v>
      </c>
    </row>
    <row r="2841" spans="3:18" hidden="1" x14ac:dyDescent="0.25">
      <c r="C2841" t="s">
        <v>45</v>
      </c>
      <c r="D2841" t="s">
        <v>21</v>
      </c>
      <c r="E2841" t="s">
        <v>48</v>
      </c>
      <c r="F2841" t="s">
        <v>41</v>
      </c>
      <c r="G2841" s="89">
        <v>3256847</v>
      </c>
      <c r="H2841" t="s">
        <v>42</v>
      </c>
      <c r="I2841" t="s">
        <v>133</v>
      </c>
      <c r="J2841" s="89">
        <v>94448563</v>
      </c>
      <c r="K2841" t="s">
        <v>144</v>
      </c>
      <c r="N2841">
        <v>1</v>
      </c>
      <c r="O2841" s="89">
        <v>97705.41</v>
      </c>
      <c r="P2841" s="89">
        <v>977054.1</v>
      </c>
      <c r="Q2841" t="s">
        <v>130</v>
      </c>
      <c r="R2841" t="s">
        <v>42</v>
      </c>
    </row>
    <row r="2842" spans="3:18" hidden="1" x14ac:dyDescent="0.25">
      <c r="C2842" t="s">
        <v>45</v>
      </c>
      <c r="D2842" t="s">
        <v>23</v>
      </c>
      <c r="E2842" t="s">
        <v>40</v>
      </c>
      <c r="F2842" t="s">
        <v>41</v>
      </c>
      <c r="G2842" s="89">
        <v>310271</v>
      </c>
      <c r="H2842" t="s">
        <v>42</v>
      </c>
      <c r="I2842" t="s">
        <v>133</v>
      </c>
      <c r="J2842" s="89">
        <v>12410840</v>
      </c>
      <c r="K2842" t="s">
        <v>144</v>
      </c>
      <c r="N2842">
        <v>1</v>
      </c>
      <c r="O2842" s="89">
        <v>9308.1299999999992</v>
      </c>
      <c r="P2842" s="89">
        <v>313373.71000000002</v>
      </c>
      <c r="Q2842" t="s">
        <v>150</v>
      </c>
      <c r="R2842" t="s">
        <v>131</v>
      </c>
    </row>
    <row r="2843" spans="3:18" hidden="1" x14ac:dyDescent="0.25">
      <c r="C2843" t="s">
        <v>45</v>
      </c>
      <c r="D2843" t="s">
        <v>22</v>
      </c>
      <c r="E2843" t="s">
        <v>43</v>
      </c>
      <c r="F2843" t="s">
        <v>41</v>
      </c>
      <c r="G2843" s="89">
        <v>2802076</v>
      </c>
      <c r="H2843" t="s">
        <v>140</v>
      </c>
      <c r="I2843" t="s">
        <v>147</v>
      </c>
      <c r="J2843" s="89">
        <v>5604152</v>
      </c>
      <c r="K2843" t="s">
        <v>127</v>
      </c>
      <c r="L2843" t="s">
        <v>128</v>
      </c>
      <c r="N2843">
        <v>1</v>
      </c>
      <c r="O2843" s="89">
        <v>112083.04</v>
      </c>
      <c r="P2843" s="89">
        <v>1989473.96</v>
      </c>
      <c r="Q2843" t="s">
        <v>137</v>
      </c>
      <c r="R2843" t="s">
        <v>131</v>
      </c>
    </row>
    <row r="2844" spans="3:18" hidden="1" x14ac:dyDescent="0.25">
      <c r="C2844" t="s">
        <v>45</v>
      </c>
      <c r="D2844" t="s">
        <v>23</v>
      </c>
      <c r="E2844" t="s">
        <v>40</v>
      </c>
      <c r="F2844" t="s">
        <v>41</v>
      </c>
      <c r="G2844" s="89">
        <v>351769</v>
      </c>
      <c r="H2844" t="s">
        <v>42</v>
      </c>
      <c r="I2844" t="s">
        <v>126</v>
      </c>
      <c r="J2844" s="89">
        <v>5276535</v>
      </c>
      <c r="K2844" t="s">
        <v>134</v>
      </c>
      <c r="L2844" t="s">
        <v>128</v>
      </c>
      <c r="M2844" t="s">
        <v>152</v>
      </c>
      <c r="N2844">
        <v>1</v>
      </c>
      <c r="O2844" s="89">
        <v>10553.07</v>
      </c>
      <c r="P2844" s="89">
        <v>158296.04999999999</v>
      </c>
      <c r="Q2844" t="s">
        <v>142</v>
      </c>
      <c r="R2844" t="s">
        <v>131</v>
      </c>
    </row>
    <row r="2845" spans="3:18" hidden="1" x14ac:dyDescent="0.25">
      <c r="C2845" t="s">
        <v>45</v>
      </c>
      <c r="D2845" t="s">
        <v>23</v>
      </c>
      <c r="E2845" t="s">
        <v>48</v>
      </c>
      <c r="F2845" t="s">
        <v>41</v>
      </c>
      <c r="G2845" s="89">
        <v>9644899</v>
      </c>
      <c r="H2845" t="s">
        <v>132</v>
      </c>
      <c r="I2845" t="s">
        <v>133</v>
      </c>
      <c r="J2845" s="89">
        <v>270057172</v>
      </c>
      <c r="K2845" t="s">
        <v>127</v>
      </c>
      <c r="L2845" t="s">
        <v>128</v>
      </c>
      <c r="N2845">
        <v>1</v>
      </c>
      <c r="O2845" s="89">
        <v>289346.96999999997</v>
      </c>
      <c r="P2845" s="89">
        <v>6751429.2999999998</v>
      </c>
      <c r="Q2845" t="s">
        <v>137</v>
      </c>
      <c r="R2845" t="s">
        <v>131</v>
      </c>
    </row>
    <row r="2846" spans="3:18" hidden="1" x14ac:dyDescent="0.25">
      <c r="C2846" t="s">
        <v>45</v>
      </c>
      <c r="D2846" t="s">
        <v>24</v>
      </c>
      <c r="E2846" t="s">
        <v>48</v>
      </c>
      <c r="F2846" t="s">
        <v>41</v>
      </c>
      <c r="G2846" s="89">
        <v>222708</v>
      </c>
      <c r="H2846" t="s">
        <v>145</v>
      </c>
      <c r="I2846" t="s">
        <v>126</v>
      </c>
      <c r="J2846" s="89">
        <v>3563328</v>
      </c>
      <c r="K2846" t="s">
        <v>144</v>
      </c>
      <c r="N2846">
        <v>1</v>
      </c>
      <c r="O2846" s="89">
        <v>4454.16</v>
      </c>
      <c r="P2846" s="89">
        <v>182620.56</v>
      </c>
      <c r="Q2846" t="s">
        <v>135</v>
      </c>
      <c r="R2846" t="s">
        <v>131</v>
      </c>
    </row>
    <row r="2847" spans="3:18" x14ac:dyDescent="0.25">
      <c r="C2847" t="s">
        <v>47</v>
      </c>
      <c r="D2847" t="s">
        <v>23</v>
      </c>
      <c r="E2847" t="s">
        <v>40</v>
      </c>
      <c r="F2847" t="s">
        <v>41</v>
      </c>
      <c r="G2847" s="89">
        <v>60035</v>
      </c>
      <c r="H2847" t="s">
        <v>140</v>
      </c>
      <c r="I2847" t="s">
        <v>126</v>
      </c>
      <c r="J2847" s="89">
        <v>720420</v>
      </c>
      <c r="K2847" t="s">
        <v>144</v>
      </c>
      <c r="N2847">
        <v>1</v>
      </c>
      <c r="O2847" s="89">
        <v>2401.4</v>
      </c>
      <c r="P2847" s="89">
        <v>43825.55</v>
      </c>
      <c r="Q2847" t="s">
        <v>137</v>
      </c>
      <c r="R2847" t="s">
        <v>131</v>
      </c>
    </row>
    <row r="2848" spans="3:18" hidden="1" x14ac:dyDescent="0.25">
      <c r="C2848" t="s">
        <v>45</v>
      </c>
      <c r="D2848" t="s">
        <v>22</v>
      </c>
      <c r="E2848" t="s">
        <v>43</v>
      </c>
      <c r="F2848" t="s">
        <v>41</v>
      </c>
      <c r="G2848" s="89">
        <v>149200</v>
      </c>
      <c r="H2848" t="s">
        <v>132</v>
      </c>
      <c r="I2848" t="s">
        <v>133</v>
      </c>
      <c r="J2848" s="89">
        <v>4476000</v>
      </c>
      <c r="K2848" t="s">
        <v>127</v>
      </c>
      <c r="L2848" t="s">
        <v>128</v>
      </c>
      <c r="N2848">
        <v>1</v>
      </c>
      <c r="O2848" s="89">
        <v>5968</v>
      </c>
      <c r="P2848" s="89">
        <v>170088</v>
      </c>
      <c r="Q2848" t="s">
        <v>150</v>
      </c>
      <c r="R2848" t="s">
        <v>131</v>
      </c>
    </row>
    <row r="2849" spans="3:18" hidden="1" x14ac:dyDescent="0.25">
      <c r="C2849" t="s">
        <v>45</v>
      </c>
      <c r="D2849" t="s">
        <v>19</v>
      </c>
      <c r="E2849" t="s">
        <v>43</v>
      </c>
      <c r="F2849" t="s">
        <v>41</v>
      </c>
      <c r="G2849" s="89">
        <v>211772</v>
      </c>
      <c r="I2849" t="s">
        <v>133</v>
      </c>
      <c r="J2849" s="89">
        <v>4447212</v>
      </c>
      <c r="K2849" t="s">
        <v>127</v>
      </c>
      <c r="L2849" t="s">
        <v>128</v>
      </c>
      <c r="N2849">
        <v>1</v>
      </c>
      <c r="O2849" s="89">
        <v>4235.4399999999996</v>
      </c>
      <c r="P2849" s="89">
        <v>59296.160000000003</v>
      </c>
      <c r="Q2849" t="s">
        <v>130</v>
      </c>
      <c r="R2849" t="s">
        <v>131</v>
      </c>
    </row>
    <row r="2850" spans="3:18" hidden="1" x14ac:dyDescent="0.25">
      <c r="C2850" t="s">
        <v>45</v>
      </c>
      <c r="D2850" t="s">
        <v>19</v>
      </c>
      <c r="E2850" t="s">
        <v>43</v>
      </c>
      <c r="F2850" t="s">
        <v>41</v>
      </c>
      <c r="G2850" s="89">
        <v>349565</v>
      </c>
      <c r="H2850" t="s">
        <v>42</v>
      </c>
      <c r="I2850" t="s">
        <v>133</v>
      </c>
      <c r="J2850" s="89">
        <v>12234775</v>
      </c>
      <c r="K2850" t="s">
        <v>127</v>
      </c>
      <c r="L2850" t="s">
        <v>128</v>
      </c>
      <c r="M2850" t="s">
        <v>148</v>
      </c>
      <c r="N2850">
        <v>1</v>
      </c>
      <c r="O2850" s="89">
        <v>10486.95</v>
      </c>
      <c r="P2850" s="89">
        <v>118852.1</v>
      </c>
      <c r="Q2850" t="s">
        <v>130</v>
      </c>
      <c r="R2850" t="s">
        <v>131</v>
      </c>
    </row>
    <row r="2851" spans="3:18" hidden="1" x14ac:dyDescent="0.25">
      <c r="C2851" t="s">
        <v>45</v>
      </c>
      <c r="D2851" t="s">
        <v>22</v>
      </c>
      <c r="E2851" t="s">
        <v>44</v>
      </c>
      <c r="F2851" t="s">
        <v>41</v>
      </c>
      <c r="G2851" s="89">
        <v>315224</v>
      </c>
      <c r="H2851" t="s">
        <v>42</v>
      </c>
      <c r="I2851" t="s">
        <v>141</v>
      </c>
      <c r="J2851" s="89">
        <v>2521792</v>
      </c>
      <c r="K2851" t="s">
        <v>127</v>
      </c>
      <c r="L2851" t="s">
        <v>128</v>
      </c>
      <c r="M2851" t="s">
        <v>143</v>
      </c>
      <c r="N2851">
        <v>1</v>
      </c>
      <c r="O2851" s="89">
        <v>9456.7199999999993</v>
      </c>
      <c r="P2851" s="89">
        <v>91414.96</v>
      </c>
      <c r="Q2851" t="s">
        <v>130</v>
      </c>
      <c r="R2851" t="s">
        <v>42</v>
      </c>
    </row>
    <row r="2852" spans="3:18" hidden="1" x14ac:dyDescent="0.25">
      <c r="C2852" t="s">
        <v>45</v>
      </c>
      <c r="D2852" t="s">
        <v>21</v>
      </c>
      <c r="E2852" t="s">
        <v>43</v>
      </c>
      <c r="F2852" t="s">
        <v>41</v>
      </c>
      <c r="G2852" s="89">
        <v>781440</v>
      </c>
      <c r="H2852" t="s">
        <v>132</v>
      </c>
      <c r="I2852" t="s">
        <v>147</v>
      </c>
      <c r="J2852" s="89">
        <v>3125760</v>
      </c>
      <c r="K2852" t="s">
        <v>144</v>
      </c>
      <c r="N2852">
        <v>1</v>
      </c>
      <c r="O2852" s="89">
        <v>23443.200000000001</v>
      </c>
      <c r="P2852" s="89">
        <v>562636.80000000005</v>
      </c>
      <c r="Q2852" t="s">
        <v>137</v>
      </c>
      <c r="R2852" t="s">
        <v>131</v>
      </c>
    </row>
    <row r="2853" spans="3:18" hidden="1" x14ac:dyDescent="0.25">
      <c r="C2853" t="s">
        <v>45</v>
      </c>
      <c r="D2853" t="s">
        <v>21</v>
      </c>
      <c r="E2853" t="s">
        <v>44</v>
      </c>
      <c r="F2853" t="s">
        <v>41</v>
      </c>
      <c r="G2853" s="89">
        <v>371079</v>
      </c>
      <c r="H2853" t="s">
        <v>42</v>
      </c>
      <c r="I2853" t="s">
        <v>126</v>
      </c>
      <c r="J2853" s="89">
        <v>6679422</v>
      </c>
      <c r="K2853" t="s">
        <v>144</v>
      </c>
      <c r="N2853">
        <v>1</v>
      </c>
      <c r="O2853" s="89">
        <v>14843.16</v>
      </c>
      <c r="P2853" s="89">
        <v>274598.46000000002</v>
      </c>
      <c r="Q2853" t="s">
        <v>137</v>
      </c>
      <c r="R2853" t="s">
        <v>42</v>
      </c>
    </row>
    <row r="2854" spans="3:18" hidden="1" x14ac:dyDescent="0.25">
      <c r="C2854" t="s">
        <v>45</v>
      </c>
      <c r="D2854" t="s">
        <v>23</v>
      </c>
      <c r="E2854" t="s">
        <v>48</v>
      </c>
      <c r="F2854" t="s">
        <v>41</v>
      </c>
      <c r="G2854" s="89">
        <v>90236</v>
      </c>
      <c r="H2854" t="s">
        <v>140</v>
      </c>
      <c r="I2854" t="s">
        <v>133</v>
      </c>
      <c r="J2854" s="89">
        <v>3248496</v>
      </c>
      <c r="K2854" t="s">
        <v>127</v>
      </c>
      <c r="L2854" t="s">
        <v>151</v>
      </c>
      <c r="N2854">
        <v>1</v>
      </c>
      <c r="O2854" s="89">
        <v>2707.08</v>
      </c>
      <c r="P2854" s="89">
        <v>50532.160000000003</v>
      </c>
      <c r="Q2854" t="s">
        <v>142</v>
      </c>
      <c r="R2854" t="s">
        <v>131</v>
      </c>
    </row>
    <row r="2855" spans="3:18" x14ac:dyDescent="0.25">
      <c r="C2855" t="s">
        <v>47</v>
      </c>
      <c r="D2855" t="s">
        <v>138</v>
      </c>
      <c r="E2855" t="s">
        <v>43</v>
      </c>
      <c r="F2855" t="s">
        <v>41</v>
      </c>
      <c r="G2855" s="89">
        <v>2792355</v>
      </c>
      <c r="H2855" t="s">
        <v>42</v>
      </c>
      <c r="I2855" t="s">
        <v>147</v>
      </c>
      <c r="J2855" s="89">
        <v>11169420</v>
      </c>
      <c r="K2855" t="s">
        <v>127</v>
      </c>
      <c r="L2855" t="s">
        <v>128</v>
      </c>
      <c r="M2855" t="s">
        <v>139</v>
      </c>
      <c r="N2855">
        <v>1</v>
      </c>
      <c r="O2855" s="89">
        <v>55847.1</v>
      </c>
      <c r="P2855" s="89">
        <v>390929.7</v>
      </c>
      <c r="Q2855" t="s">
        <v>130</v>
      </c>
      <c r="R2855" t="s">
        <v>131</v>
      </c>
    </row>
    <row r="2856" spans="3:18" hidden="1" x14ac:dyDescent="0.25">
      <c r="C2856" t="s">
        <v>45</v>
      </c>
      <c r="D2856" t="s">
        <v>22</v>
      </c>
      <c r="E2856" t="s">
        <v>43</v>
      </c>
      <c r="F2856" t="s">
        <v>53</v>
      </c>
      <c r="G2856" s="89">
        <v>90749</v>
      </c>
      <c r="H2856" t="s">
        <v>42</v>
      </c>
      <c r="I2856" t="s">
        <v>141</v>
      </c>
      <c r="J2856" s="89">
        <v>816741</v>
      </c>
      <c r="K2856" t="s">
        <v>144</v>
      </c>
      <c r="N2856">
        <v>1</v>
      </c>
      <c r="O2856" s="89">
        <v>6352.43</v>
      </c>
      <c r="P2856" s="89">
        <v>67154.259999999995</v>
      </c>
      <c r="Q2856" t="s">
        <v>137</v>
      </c>
      <c r="R2856" t="s">
        <v>42</v>
      </c>
    </row>
    <row r="2857" spans="3:18" hidden="1" x14ac:dyDescent="0.25">
      <c r="C2857" t="s">
        <v>45</v>
      </c>
      <c r="D2857" t="s">
        <v>138</v>
      </c>
      <c r="E2857" t="s">
        <v>43</v>
      </c>
      <c r="F2857" t="s">
        <v>41</v>
      </c>
      <c r="G2857" s="89">
        <v>3588909</v>
      </c>
      <c r="H2857" t="s">
        <v>132</v>
      </c>
      <c r="I2857" t="s">
        <v>126</v>
      </c>
      <c r="J2857" s="89">
        <v>64600362</v>
      </c>
      <c r="K2857" t="s">
        <v>127</v>
      </c>
      <c r="L2857" t="s">
        <v>128</v>
      </c>
      <c r="N2857">
        <v>1</v>
      </c>
      <c r="O2857" s="89">
        <v>107667.27</v>
      </c>
      <c r="P2857" s="89">
        <v>2368679.94</v>
      </c>
      <c r="Q2857" t="s">
        <v>137</v>
      </c>
      <c r="R2857" t="s">
        <v>131</v>
      </c>
    </row>
    <row r="2858" spans="3:18" x14ac:dyDescent="0.25">
      <c r="C2858" t="s">
        <v>47</v>
      </c>
      <c r="D2858" t="s">
        <v>22</v>
      </c>
      <c r="E2858" t="s">
        <v>40</v>
      </c>
      <c r="F2858" t="s">
        <v>41</v>
      </c>
      <c r="G2858" s="89">
        <v>215100</v>
      </c>
      <c r="H2858" t="s">
        <v>146</v>
      </c>
      <c r="I2858" t="s">
        <v>141</v>
      </c>
      <c r="J2858" s="89">
        <v>1505700</v>
      </c>
      <c r="K2858" t="s">
        <v>144</v>
      </c>
      <c r="N2858">
        <v>1</v>
      </c>
      <c r="O2858" s="89">
        <v>10755</v>
      </c>
      <c r="P2858" s="89">
        <v>219402</v>
      </c>
      <c r="Q2858" t="s">
        <v>150</v>
      </c>
      <c r="R2858" t="s">
        <v>131</v>
      </c>
    </row>
    <row r="2859" spans="3:18" hidden="1" x14ac:dyDescent="0.25">
      <c r="C2859" t="s">
        <v>45</v>
      </c>
      <c r="D2859" t="s">
        <v>138</v>
      </c>
      <c r="E2859" t="s">
        <v>48</v>
      </c>
      <c r="F2859" t="s">
        <v>41</v>
      </c>
      <c r="G2859" s="89">
        <v>44480</v>
      </c>
      <c r="H2859" t="s">
        <v>42</v>
      </c>
      <c r="I2859" t="s">
        <v>126</v>
      </c>
      <c r="J2859" s="89">
        <v>489280</v>
      </c>
      <c r="K2859" t="s">
        <v>127</v>
      </c>
      <c r="L2859" t="s">
        <v>128</v>
      </c>
      <c r="M2859" t="s">
        <v>139</v>
      </c>
      <c r="N2859">
        <v>1</v>
      </c>
      <c r="O2859" s="89">
        <v>1334.4</v>
      </c>
      <c r="P2859" s="89">
        <v>2224</v>
      </c>
      <c r="Q2859" t="s">
        <v>130</v>
      </c>
      <c r="R2859" t="s">
        <v>131</v>
      </c>
    </row>
    <row r="2860" spans="3:18" x14ac:dyDescent="0.25">
      <c r="C2860" t="s">
        <v>47</v>
      </c>
      <c r="D2860" t="s">
        <v>138</v>
      </c>
      <c r="E2860" t="s">
        <v>43</v>
      </c>
      <c r="F2860" t="s">
        <v>41</v>
      </c>
      <c r="G2860" s="89">
        <v>494817</v>
      </c>
      <c r="H2860" t="s">
        <v>42</v>
      </c>
      <c r="I2860" t="s">
        <v>141</v>
      </c>
      <c r="J2860" s="89">
        <v>4453353</v>
      </c>
      <c r="K2860" t="s">
        <v>144</v>
      </c>
      <c r="N2860">
        <v>1</v>
      </c>
      <c r="O2860" s="89">
        <v>24740.85</v>
      </c>
      <c r="P2860" s="89">
        <v>178134.12</v>
      </c>
      <c r="Q2860" t="s">
        <v>130</v>
      </c>
      <c r="R2860" t="s">
        <v>131</v>
      </c>
    </row>
    <row r="2861" spans="3:18" hidden="1" x14ac:dyDescent="0.25">
      <c r="C2861" t="s">
        <v>45</v>
      </c>
      <c r="D2861" t="s">
        <v>21</v>
      </c>
      <c r="E2861" t="s">
        <v>48</v>
      </c>
      <c r="F2861" t="s">
        <v>41</v>
      </c>
      <c r="G2861" s="89">
        <v>645627</v>
      </c>
      <c r="H2861" t="s">
        <v>42</v>
      </c>
      <c r="I2861" t="s">
        <v>133</v>
      </c>
      <c r="J2861" s="89">
        <v>21951318</v>
      </c>
      <c r="K2861" t="s">
        <v>127</v>
      </c>
      <c r="L2861" t="s">
        <v>128</v>
      </c>
      <c r="M2861" t="s">
        <v>129</v>
      </c>
      <c r="N2861">
        <v>1</v>
      </c>
      <c r="O2861" s="89">
        <v>25825.08</v>
      </c>
      <c r="P2861" s="89">
        <v>529414.14</v>
      </c>
      <c r="Q2861" t="s">
        <v>135</v>
      </c>
      <c r="R2861" t="s">
        <v>131</v>
      </c>
    </row>
    <row r="2862" spans="3:18" hidden="1" x14ac:dyDescent="0.25">
      <c r="C2862" t="s">
        <v>45</v>
      </c>
      <c r="D2862" t="s">
        <v>20</v>
      </c>
      <c r="E2862" t="s">
        <v>40</v>
      </c>
      <c r="F2862" t="s">
        <v>41</v>
      </c>
      <c r="G2862" s="89">
        <v>6431803</v>
      </c>
      <c r="H2862" t="s">
        <v>42</v>
      </c>
      <c r="I2862" t="s">
        <v>133</v>
      </c>
      <c r="J2862" s="89">
        <v>218681302</v>
      </c>
      <c r="K2862" t="s">
        <v>144</v>
      </c>
      <c r="N2862">
        <v>1</v>
      </c>
      <c r="O2862" s="89">
        <v>192954.09</v>
      </c>
      <c r="P2862" s="89">
        <v>4566580.13</v>
      </c>
      <c r="Q2862" t="s">
        <v>137</v>
      </c>
      <c r="R2862" t="s">
        <v>42</v>
      </c>
    </row>
    <row r="2863" spans="3:18" hidden="1" x14ac:dyDescent="0.25">
      <c r="C2863" t="s">
        <v>45</v>
      </c>
      <c r="D2863" t="s">
        <v>23</v>
      </c>
      <c r="E2863" t="s">
        <v>40</v>
      </c>
      <c r="F2863" t="s">
        <v>41</v>
      </c>
      <c r="G2863" s="89">
        <v>348921</v>
      </c>
      <c r="H2863" t="s">
        <v>42</v>
      </c>
      <c r="I2863" t="s">
        <v>133</v>
      </c>
      <c r="J2863" s="89">
        <v>7676262</v>
      </c>
      <c r="K2863" t="s">
        <v>127</v>
      </c>
      <c r="L2863" t="s">
        <v>128</v>
      </c>
      <c r="M2863" t="s">
        <v>143</v>
      </c>
      <c r="N2863">
        <v>1</v>
      </c>
      <c r="O2863" s="89">
        <v>6978.42</v>
      </c>
      <c r="P2863" s="89">
        <v>143057.60999999999</v>
      </c>
      <c r="Q2863" t="s">
        <v>142</v>
      </c>
      <c r="R2863" t="s">
        <v>42</v>
      </c>
    </row>
    <row r="2864" spans="3:18" hidden="1" x14ac:dyDescent="0.25">
      <c r="C2864" t="s">
        <v>45</v>
      </c>
      <c r="D2864" t="s">
        <v>23</v>
      </c>
      <c r="E2864" t="s">
        <v>46</v>
      </c>
      <c r="F2864" t="s">
        <v>41</v>
      </c>
      <c r="G2864" s="89">
        <v>40139</v>
      </c>
      <c r="H2864" t="s">
        <v>140</v>
      </c>
      <c r="I2864" t="s">
        <v>133</v>
      </c>
      <c r="J2864" s="89">
        <v>1204170</v>
      </c>
      <c r="K2864" t="s">
        <v>144</v>
      </c>
      <c r="N2864">
        <v>1</v>
      </c>
      <c r="O2864" s="89">
        <v>1204.17</v>
      </c>
      <c r="P2864" s="89">
        <v>24484.79</v>
      </c>
      <c r="Q2864" t="s">
        <v>137</v>
      </c>
      <c r="R2864" t="s">
        <v>131</v>
      </c>
    </row>
    <row r="2865" spans="3:18" hidden="1" x14ac:dyDescent="0.25">
      <c r="C2865" t="s">
        <v>45</v>
      </c>
      <c r="D2865" t="s">
        <v>21</v>
      </c>
      <c r="E2865" t="s">
        <v>43</v>
      </c>
      <c r="F2865" t="s">
        <v>53</v>
      </c>
      <c r="G2865" s="89">
        <v>2059533</v>
      </c>
      <c r="H2865" t="s">
        <v>140</v>
      </c>
      <c r="I2865" t="s">
        <v>133</v>
      </c>
      <c r="J2865" s="89">
        <v>61785990</v>
      </c>
      <c r="K2865" t="s">
        <v>144</v>
      </c>
      <c r="N2865">
        <v>1</v>
      </c>
      <c r="O2865" s="89">
        <v>61785.99</v>
      </c>
      <c r="P2865" s="89">
        <v>1050361.83</v>
      </c>
      <c r="Q2865" t="s">
        <v>142</v>
      </c>
      <c r="R2865" t="s">
        <v>131</v>
      </c>
    </row>
    <row r="2866" spans="3:18" hidden="1" x14ac:dyDescent="0.25">
      <c r="C2866" t="s">
        <v>45</v>
      </c>
      <c r="D2866" t="s">
        <v>24</v>
      </c>
      <c r="E2866" t="s">
        <v>48</v>
      </c>
      <c r="F2866" t="s">
        <v>41</v>
      </c>
      <c r="G2866" s="89">
        <v>1195264</v>
      </c>
      <c r="H2866" t="s">
        <v>42</v>
      </c>
      <c r="I2866" t="s">
        <v>141</v>
      </c>
      <c r="J2866" s="89">
        <v>9562112</v>
      </c>
      <c r="K2866" t="s">
        <v>127</v>
      </c>
      <c r="L2866" t="s">
        <v>128</v>
      </c>
      <c r="M2866" t="s">
        <v>148</v>
      </c>
      <c r="N2866">
        <v>1</v>
      </c>
      <c r="O2866" s="89">
        <v>35857.919999999998</v>
      </c>
      <c r="P2866" s="89">
        <v>573726.71999999997</v>
      </c>
      <c r="Q2866" t="s">
        <v>142</v>
      </c>
      <c r="R2866" t="s">
        <v>131</v>
      </c>
    </row>
    <row r="2867" spans="3:18" hidden="1" x14ac:dyDescent="0.25">
      <c r="C2867" t="s">
        <v>45</v>
      </c>
      <c r="D2867" t="s">
        <v>20</v>
      </c>
      <c r="E2867" t="s">
        <v>43</v>
      </c>
      <c r="F2867" t="s">
        <v>41</v>
      </c>
      <c r="G2867" s="89">
        <v>1601307</v>
      </c>
      <c r="H2867" t="s">
        <v>42</v>
      </c>
      <c r="I2867" t="s">
        <v>133</v>
      </c>
      <c r="J2867" s="89">
        <v>48039210</v>
      </c>
      <c r="K2867" t="s">
        <v>127</v>
      </c>
      <c r="L2867" t="s">
        <v>128</v>
      </c>
      <c r="M2867" t="s">
        <v>139</v>
      </c>
      <c r="N2867">
        <v>1</v>
      </c>
      <c r="O2867" s="89">
        <v>48039.21</v>
      </c>
      <c r="P2867" s="89">
        <v>1905555.33</v>
      </c>
      <c r="Q2867" t="s">
        <v>150</v>
      </c>
      <c r="R2867" t="s">
        <v>131</v>
      </c>
    </row>
    <row r="2868" spans="3:18" hidden="1" x14ac:dyDescent="0.25">
      <c r="C2868" t="s">
        <v>45</v>
      </c>
      <c r="D2868" t="s">
        <v>21</v>
      </c>
      <c r="E2868" t="s">
        <v>44</v>
      </c>
      <c r="F2868" t="s">
        <v>41</v>
      </c>
      <c r="G2868" s="89">
        <v>2966981</v>
      </c>
      <c r="H2868" t="s">
        <v>42</v>
      </c>
      <c r="I2868" t="s">
        <v>133</v>
      </c>
      <c r="J2868" s="89">
        <v>106811316</v>
      </c>
      <c r="K2868" t="s">
        <v>144</v>
      </c>
      <c r="N2868">
        <v>1</v>
      </c>
      <c r="O2868" s="89">
        <v>89009.43</v>
      </c>
      <c r="P2868" s="89">
        <v>2165896.13</v>
      </c>
      <c r="Q2868" t="s">
        <v>137</v>
      </c>
      <c r="R2868" t="s">
        <v>42</v>
      </c>
    </row>
    <row r="2869" spans="3:18" hidden="1" x14ac:dyDescent="0.25">
      <c r="C2869" t="s">
        <v>45</v>
      </c>
      <c r="D2869" t="s">
        <v>138</v>
      </c>
      <c r="E2869" t="s">
        <v>43</v>
      </c>
      <c r="F2869" t="s">
        <v>41</v>
      </c>
      <c r="G2869" s="89">
        <v>2657369</v>
      </c>
      <c r="H2869" t="s">
        <v>132</v>
      </c>
      <c r="I2869" t="s">
        <v>141</v>
      </c>
      <c r="J2869" s="89">
        <v>21258952</v>
      </c>
      <c r="K2869" t="s">
        <v>127</v>
      </c>
      <c r="L2869" t="s">
        <v>128</v>
      </c>
      <c r="N2869">
        <v>1</v>
      </c>
      <c r="O2869" s="89">
        <v>106294.76</v>
      </c>
      <c r="P2869" s="89">
        <v>1302110.81</v>
      </c>
      <c r="Q2869" t="s">
        <v>142</v>
      </c>
      <c r="R2869" t="s">
        <v>131</v>
      </c>
    </row>
    <row r="2870" spans="3:18" hidden="1" x14ac:dyDescent="0.25">
      <c r="C2870" t="s">
        <v>45</v>
      </c>
      <c r="D2870" t="s">
        <v>19</v>
      </c>
      <c r="E2870" t="s">
        <v>43</v>
      </c>
      <c r="F2870" t="s">
        <v>53</v>
      </c>
      <c r="G2870" s="89">
        <v>1868525</v>
      </c>
      <c r="H2870" t="s">
        <v>42</v>
      </c>
      <c r="I2870" t="s">
        <v>141</v>
      </c>
      <c r="J2870" s="89">
        <v>16816725</v>
      </c>
      <c r="K2870" t="s">
        <v>144</v>
      </c>
      <c r="N2870">
        <v>1</v>
      </c>
      <c r="O2870" s="89">
        <v>56055.75</v>
      </c>
      <c r="P2870" s="89">
        <v>1251911.75</v>
      </c>
      <c r="Q2870" t="s">
        <v>137</v>
      </c>
      <c r="R2870" t="s">
        <v>42</v>
      </c>
    </row>
    <row r="2871" spans="3:18" x14ac:dyDescent="0.25">
      <c r="C2871" t="s">
        <v>47</v>
      </c>
      <c r="D2871" t="s">
        <v>138</v>
      </c>
      <c r="E2871" t="s">
        <v>40</v>
      </c>
      <c r="F2871" t="s">
        <v>41</v>
      </c>
      <c r="G2871" s="89">
        <v>486268</v>
      </c>
      <c r="H2871" t="s">
        <v>146</v>
      </c>
      <c r="I2871" t="s">
        <v>141</v>
      </c>
      <c r="J2871" s="89">
        <v>3890144</v>
      </c>
      <c r="K2871" t="s">
        <v>127</v>
      </c>
      <c r="L2871" t="s">
        <v>128</v>
      </c>
      <c r="N2871">
        <v>1</v>
      </c>
      <c r="O2871" s="89">
        <v>19450.72</v>
      </c>
      <c r="P2871" s="89">
        <v>223683.28</v>
      </c>
      <c r="Q2871" t="s">
        <v>142</v>
      </c>
      <c r="R2871" t="s">
        <v>131</v>
      </c>
    </row>
    <row r="2872" spans="3:18" x14ac:dyDescent="0.25">
      <c r="C2872" t="s">
        <v>47</v>
      </c>
      <c r="D2872" t="s">
        <v>21</v>
      </c>
      <c r="E2872" t="s">
        <v>40</v>
      </c>
      <c r="F2872" t="s">
        <v>41</v>
      </c>
      <c r="G2872" s="89">
        <v>3764671</v>
      </c>
      <c r="H2872" t="s">
        <v>42</v>
      </c>
      <c r="I2872" t="s">
        <v>126</v>
      </c>
      <c r="J2872" s="89">
        <v>45176052</v>
      </c>
      <c r="K2872" t="s">
        <v>127</v>
      </c>
      <c r="L2872" t="s">
        <v>128</v>
      </c>
      <c r="M2872" t="s">
        <v>129</v>
      </c>
      <c r="N2872">
        <v>1</v>
      </c>
      <c r="O2872" s="89">
        <v>150586.84</v>
      </c>
      <c r="P2872" s="89">
        <v>2522329.5699999998</v>
      </c>
      <c r="Q2872" t="s">
        <v>137</v>
      </c>
      <c r="R2872" t="s">
        <v>131</v>
      </c>
    </row>
    <row r="2873" spans="3:18" hidden="1" x14ac:dyDescent="0.25">
      <c r="C2873" t="s">
        <v>45</v>
      </c>
      <c r="D2873" t="s">
        <v>23</v>
      </c>
      <c r="E2873" t="s">
        <v>43</v>
      </c>
      <c r="F2873" t="s">
        <v>41</v>
      </c>
      <c r="G2873" s="89">
        <v>180069</v>
      </c>
      <c r="H2873" t="s">
        <v>42</v>
      </c>
      <c r="I2873" t="s">
        <v>126</v>
      </c>
      <c r="J2873" s="89">
        <v>2881104</v>
      </c>
      <c r="K2873" t="s">
        <v>144</v>
      </c>
      <c r="N2873">
        <v>1</v>
      </c>
      <c r="O2873" s="89">
        <v>5402.07</v>
      </c>
      <c r="P2873" s="89">
        <v>50419.32</v>
      </c>
      <c r="Q2873" t="s">
        <v>130</v>
      </c>
      <c r="R2873" t="s">
        <v>131</v>
      </c>
    </row>
    <row r="2874" spans="3:18" hidden="1" x14ac:dyDescent="0.25">
      <c r="C2874" t="s">
        <v>45</v>
      </c>
      <c r="D2874" t="s">
        <v>138</v>
      </c>
      <c r="E2874" t="s">
        <v>43</v>
      </c>
      <c r="F2874" t="s">
        <v>41</v>
      </c>
      <c r="G2874" s="89">
        <v>1102639</v>
      </c>
      <c r="H2874" t="s">
        <v>42</v>
      </c>
      <c r="I2874" t="s">
        <v>133</v>
      </c>
      <c r="J2874" s="89">
        <v>33079170</v>
      </c>
      <c r="K2874" t="s">
        <v>134</v>
      </c>
      <c r="L2874" t="s">
        <v>128</v>
      </c>
      <c r="M2874" t="s">
        <v>139</v>
      </c>
      <c r="N2874">
        <v>1</v>
      </c>
      <c r="O2874" s="89">
        <v>33079.17</v>
      </c>
      <c r="P2874" s="89">
        <v>562345.89</v>
      </c>
      <c r="Q2874" t="s">
        <v>142</v>
      </c>
      <c r="R2874" t="s">
        <v>131</v>
      </c>
    </row>
    <row r="2875" spans="3:18" x14ac:dyDescent="0.25">
      <c r="C2875" t="s">
        <v>47</v>
      </c>
      <c r="D2875" t="s">
        <v>20</v>
      </c>
      <c r="E2875" t="s">
        <v>40</v>
      </c>
      <c r="F2875" t="s">
        <v>41</v>
      </c>
      <c r="G2875" s="89">
        <v>38065</v>
      </c>
      <c r="H2875" t="s">
        <v>42</v>
      </c>
      <c r="I2875" t="s">
        <v>153</v>
      </c>
      <c r="J2875" s="89"/>
      <c r="K2875" t="s">
        <v>127</v>
      </c>
      <c r="L2875" t="s">
        <v>128</v>
      </c>
      <c r="M2875" t="s">
        <v>139</v>
      </c>
      <c r="N2875">
        <v>0</v>
      </c>
      <c r="O2875" s="89">
        <v>1903.25</v>
      </c>
      <c r="P2875" s="89">
        <v>16367.95</v>
      </c>
      <c r="Q2875" t="s">
        <v>142</v>
      </c>
      <c r="R2875" t="s">
        <v>131</v>
      </c>
    </row>
    <row r="2876" spans="3:18" hidden="1" x14ac:dyDescent="0.25">
      <c r="C2876" t="s">
        <v>45</v>
      </c>
      <c r="D2876" t="s">
        <v>21</v>
      </c>
      <c r="E2876" t="s">
        <v>43</v>
      </c>
      <c r="F2876" t="s">
        <v>41</v>
      </c>
      <c r="G2876" s="89">
        <v>431470</v>
      </c>
      <c r="H2876" t="s">
        <v>146</v>
      </c>
      <c r="I2876" t="s">
        <v>141</v>
      </c>
      <c r="J2876" s="89">
        <v>3020290</v>
      </c>
      <c r="K2876" t="s">
        <v>134</v>
      </c>
      <c r="L2876" t="s">
        <v>128</v>
      </c>
      <c r="N2876">
        <v>1</v>
      </c>
      <c r="O2876" s="89">
        <v>12944.1</v>
      </c>
      <c r="P2876" s="89">
        <v>99238.1</v>
      </c>
      <c r="Q2876" t="s">
        <v>130</v>
      </c>
      <c r="R2876" t="s">
        <v>131</v>
      </c>
    </row>
    <row r="2877" spans="3:18" hidden="1" x14ac:dyDescent="0.25">
      <c r="C2877" t="s">
        <v>45</v>
      </c>
      <c r="D2877" t="s">
        <v>20</v>
      </c>
      <c r="E2877" t="s">
        <v>43</v>
      </c>
      <c r="F2877" t="s">
        <v>41</v>
      </c>
      <c r="G2877" s="89">
        <v>20173420</v>
      </c>
      <c r="H2877" t="s">
        <v>132</v>
      </c>
      <c r="I2877" t="s">
        <v>147</v>
      </c>
      <c r="J2877" s="89">
        <v>20173420</v>
      </c>
      <c r="K2877" t="s">
        <v>144</v>
      </c>
      <c r="N2877">
        <v>1</v>
      </c>
      <c r="O2877" s="89">
        <v>806936.8</v>
      </c>
      <c r="P2877" s="89">
        <v>9683241.5999999996</v>
      </c>
      <c r="Q2877" t="s">
        <v>142</v>
      </c>
      <c r="R2877" t="s">
        <v>131</v>
      </c>
    </row>
    <row r="2878" spans="3:18" x14ac:dyDescent="0.25">
      <c r="C2878" t="s">
        <v>47</v>
      </c>
      <c r="D2878" t="s">
        <v>25</v>
      </c>
      <c r="E2878" t="s">
        <v>48</v>
      </c>
      <c r="F2878" t="s">
        <v>41</v>
      </c>
      <c r="G2878" s="89">
        <v>105079</v>
      </c>
      <c r="H2878" t="s">
        <v>146</v>
      </c>
      <c r="I2878" t="s">
        <v>126</v>
      </c>
      <c r="J2878" s="89">
        <v>1260948</v>
      </c>
      <c r="K2878" t="s">
        <v>144</v>
      </c>
      <c r="N2878">
        <v>1</v>
      </c>
      <c r="O2878" s="89">
        <v>4203.16</v>
      </c>
      <c r="P2878" s="89">
        <v>81961.62</v>
      </c>
      <c r="Q2878" t="s">
        <v>137</v>
      </c>
      <c r="R2878" t="s">
        <v>131</v>
      </c>
    </row>
    <row r="2879" spans="3:18" hidden="1" x14ac:dyDescent="0.25">
      <c r="C2879" t="s">
        <v>45</v>
      </c>
      <c r="D2879" t="s">
        <v>23</v>
      </c>
      <c r="E2879" t="s">
        <v>48</v>
      </c>
      <c r="F2879" t="s">
        <v>41</v>
      </c>
      <c r="G2879" s="89">
        <v>1701</v>
      </c>
      <c r="H2879" t="s">
        <v>132</v>
      </c>
      <c r="I2879" t="s">
        <v>141</v>
      </c>
      <c r="J2879" s="89">
        <v>17010</v>
      </c>
      <c r="K2879" t="s">
        <v>134</v>
      </c>
      <c r="L2879" t="s">
        <v>128</v>
      </c>
      <c r="N2879">
        <v>1</v>
      </c>
      <c r="O2879" s="89">
        <v>51.03</v>
      </c>
      <c r="P2879" s="89">
        <v>731.43</v>
      </c>
      <c r="Q2879" t="s">
        <v>142</v>
      </c>
      <c r="R2879" t="s">
        <v>131</v>
      </c>
    </row>
    <row r="2880" spans="3:18" hidden="1" x14ac:dyDescent="0.25">
      <c r="C2880" t="s">
        <v>45</v>
      </c>
      <c r="D2880" t="s">
        <v>23</v>
      </c>
      <c r="E2880" t="s">
        <v>43</v>
      </c>
      <c r="F2880" t="s">
        <v>41</v>
      </c>
      <c r="G2880" s="89">
        <v>459788</v>
      </c>
      <c r="H2880" t="s">
        <v>42</v>
      </c>
      <c r="I2880" t="s">
        <v>133</v>
      </c>
      <c r="J2880" s="89">
        <v>13793640</v>
      </c>
      <c r="K2880" t="s">
        <v>134</v>
      </c>
      <c r="L2880" t="s">
        <v>128</v>
      </c>
      <c r="M2880" t="s">
        <v>152</v>
      </c>
      <c r="N2880">
        <v>1</v>
      </c>
      <c r="O2880" s="89">
        <v>13793.64</v>
      </c>
      <c r="P2880" s="89">
        <v>321851.59999999998</v>
      </c>
      <c r="Q2880" t="s">
        <v>137</v>
      </c>
      <c r="R2880" t="s">
        <v>131</v>
      </c>
    </row>
    <row r="2881" spans="3:18" hidden="1" x14ac:dyDescent="0.25">
      <c r="C2881" t="s">
        <v>45</v>
      </c>
      <c r="D2881" t="s">
        <v>21</v>
      </c>
      <c r="E2881" t="s">
        <v>48</v>
      </c>
      <c r="F2881" t="s">
        <v>41</v>
      </c>
      <c r="G2881" s="89">
        <v>807577</v>
      </c>
      <c r="H2881" t="s">
        <v>42</v>
      </c>
      <c r="I2881" t="s">
        <v>126</v>
      </c>
      <c r="J2881" s="89">
        <v>13728809</v>
      </c>
      <c r="K2881" t="s">
        <v>144</v>
      </c>
      <c r="N2881">
        <v>1</v>
      </c>
      <c r="O2881" s="89">
        <v>24227.31</v>
      </c>
      <c r="P2881" s="89">
        <v>234197.33</v>
      </c>
      <c r="Q2881" t="s">
        <v>130</v>
      </c>
      <c r="R2881" t="s">
        <v>42</v>
      </c>
    </row>
    <row r="2882" spans="3:18" hidden="1" x14ac:dyDescent="0.25">
      <c r="C2882" t="s">
        <v>45</v>
      </c>
      <c r="D2882" t="s">
        <v>21</v>
      </c>
      <c r="E2882" t="s">
        <v>43</v>
      </c>
      <c r="F2882" t="s">
        <v>41</v>
      </c>
      <c r="G2882" s="89">
        <v>1048505</v>
      </c>
      <c r="H2882" t="s">
        <v>145</v>
      </c>
      <c r="I2882" t="s">
        <v>133</v>
      </c>
      <c r="J2882" s="89">
        <v>28309635</v>
      </c>
      <c r="K2882" t="s">
        <v>127</v>
      </c>
      <c r="L2882" t="s">
        <v>128</v>
      </c>
      <c r="N2882">
        <v>1</v>
      </c>
      <c r="O2882" s="89">
        <v>31455.15</v>
      </c>
      <c r="P2882" s="89">
        <v>1163840.55</v>
      </c>
      <c r="Q2882" t="s">
        <v>150</v>
      </c>
      <c r="R2882" t="s">
        <v>131</v>
      </c>
    </row>
    <row r="2883" spans="3:18" hidden="1" x14ac:dyDescent="0.25">
      <c r="C2883" t="s">
        <v>45</v>
      </c>
      <c r="D2883" t="s">
        <v>21</v>
      </c>
      <c r="E2883" t="s">
        <v>43</v>
      </c>
      <c r="F2883" t="s">
        <v>41</v>
      </c>
      <c r="G2883" s="89">
        <v>8123235</v>
      </c>
      <c r="H2883" t="s">
        <v>42</v>
      </c>
      <c r="I2883" t="s">
        <v>126</v>
      </c>
      <c r="J2883" s="89">
        <v>129971760</v>
      </c>
      <c r="K2883" t="s">
        <v>127</v>
      </c>
      <c r="L2883" t="s">
        <v>128</v>
      </c>
      <c r="M2883" t="s">
        <v>129</v>
      </c>
      <c r="N2883">
        <v>1</v>
      </c>
      <c r="O2883" s="89">
        <v>243697.05</v>
      </c>
      <c r="P2883" s="89">
        <v>4061617.5</v>
      </c>
      <c r="Q2883" t="s">
        <v>142</v>
      </c>
      <c r="R2883" t="s">
        <v>42</v>
      </c>
    </row>
    <row r="2884" spans="3:18" x14ac:dyDescent="0.25">
      <c r="C2884" t="s">
        <v>47</v>
      </c>
      <c r="D2884" t="s">
        <v>21</v>
      </c>
      <c r="E2884" t="s">
        <v>40</v>
      </c>
      <c r="F2884" t="s">
        <v>41</v>
      </c>
      <c r="G2884" s="89">
        <v>130000</v>
      </c>
      <c r="H2884" t="s">
        <v>132</v>
      </c>
      <c r="I2884" t="s">
        <v>126</v>
      </c>
      <c r="J2884" s="89">
        <v>1690000</v>
      </c>
      <c r="K2884" t="s">
        <v>127</v>
      </c>
      <c r="L2884" t="s">
        <v>128</v>
      </c>
      <c r="N2884">
        <v>1</v>
      </c>
      <c r="O2884" s="89">
        <v>6500</v>
      </c>
      <c r="P2884" s="89">
        <v>195000</v>
      </c>
      <c r="Q2884" t="s">
        <v>150</v>
      </c>
      <c r="R2884" t="s">
        <v>131</v>
      </c>
    </row>
    <row r="2885" spans="3:18" x14ac:dyDescent="0.25">
      <c r="C2885" t="s">
        <v>47</v>
      </c>
      <c r="D2885" t="s">
        <v>22</v>
      </c>
      <c r="E2885" t="s">
        <v>48</v>
      </c>
      <c r="F2885" t="s">
        <v>41</v>
      </c>
      <c r="G2885" s="89">
        <v>112267</v>
      </c>
      <c r="H2885" t="s">
        <v>42</v>
      </c>
      <c r="I2885" t="s">
        <v>141</v>
      </c>
      <c r="J2885" s="89">
        <v>898136</v>
      </c>
      <c r="K2885" t="s">
        <v>127</v>
      </c>
      <c r="L2885" t="s">
        <v>128</v>
      </c>
      <c r="M2885" t="s">
        <v>143</v>
      </c>
      <c r="N2885">
        <v>1</v>
      </c>
      <c r="O2885" s="89">
        <v>4490.68</v>
      </c>
      <c r="P2885" s="89">
        <v>57256.17</v>
      </c>
      <c r="Q2885" t="s">
        <v>142</v>
      </c>
      <c r="R2885" t="s">
        <v>131</v>
      </c>
    </row>
    <row r="2886" spans="3:18" hidden="1" x14ac:dyDescent="0.25">
      <c r="C2886" t="s">
        <v>45</v>
      </c>
      <c r="D2886" t="s">
        <v>22</v>
      </c>
      <c r="E2886" t="s">
        <v>43</v>
      </c>
      <c r="F2886" t="s">
        <v>41</v>
      </c>
      <c r="G2886" s="89">
        <v>23798</v>
      </c>
      <c r="H2886" t="s">
        <v>154</v>
      </c>
      <c r="I2886" t="s">
        <v>126</v>
      </c>
      <c r="J2886" s="89">
        <v>285576</v>
      </c>
      <c r="K2886" t="s">
        <v>127</v>
      </c>
      <c r="L2886" t="s">
        <v>128</v>
      </c>
      <c r="N2886">
        <v>1</v>
      </c>
      <c r="O2886" s="89">
        <v>475.96</v>
      </c>
      <c r="P2886" s="89">
        <v>4521.62</v>
      </c>
      <c r="Q2886" t="s">
        <v>130</v>
      </c>
      <c r="R2886" t="s">
        <v>131</v>
      </c>
    </row>
    <row r="2887" spans="3:18" x14ac:dyDescent="0.25">
      <c r="C2887" t="s">
        <v>47</v>
      </c>
      <c r="D2887" t="s">
        <v>21</v>
      </c>
      <c r="E2887" t="s">
        <v>40</v>
      </c>
      <c r="F2887" t="s">
        <v>41</v>
      </c>
      <c r="G2887" s="89">
        <v>115782</v>
      </c>
      <c r="H2887" t="s">
        <v>132</v>
      </c>
      <c r="I2887" t="s">
        <v>153</v>
      </c>
      <c r="J2887" s="89"/>
      <c r="K2887" t="s">
        <v>127</v>
      </c>
      <c r="L2887" t="s">
        <v>128</v>
      </c>
      <c r="N2887">
        <v>0</v>
      </c>
      <c r="O2887" s="89">
        <v>4631.28</v>
      </c>
      <c r="P2887" s="89">
        <v>24314.22</v>
      </c>
      <c r="Q2887" t="s">
        <v>130</v>
      </c>
      <c r="R2887" t="s">
        <v>131</v>
      </c>
    </row>
    <row r="2888" spans="3:18" hidden="1" x14ac:dyDescent="0.25">
      <c r="C2888" t="s">
        <v>45</v>
      </c>
      <c r="D2888" t="s">
        <v>50</v>
      </c>
      <c r="E2888" t="s">
        <v>50</v>
      </c>
      <c r="F2888" t="s">
        <v>41</v>
      </c>
      <c r="G2888" s="89">
        <v>119</v>
      </c>
      <c r="H2888" t="s">
        <v>79</v>
      </c>
      <c r="I2888" t="s">
        <v>147</v>
      </c>
      <c r="J2888" s="89">
        <v>476</v>
      </c>
      <c r="K2888" t="s">
        <v>127</v>
      </c>
      <c r="N2888">
        <v>1</v>
      </c>
      <c r="O2888" s="89">
        <v>5.95</v>
      </c>
      <c r="P2888" s="89">
        <v>83.3</v>
      </c>
      <c r="Q2888" t="s">
        <v>137</v>
      </c>
      <c r="R2888" t="s">
        <v>79</v>
      </c>
    </row>
    <row r="2889" spans="3:18" hidden="1" x14ac:dyDescent="0.25">
      <c r="C2889" t="s">
        <v>45</v>
      </c>
      <c r="D2889" t="s">
        <v>138</v>
      </c>
      <c r="E2889" t="s">
        <v>43</v>
      </c>
      <c r="F2889" t="s">
        <v>41</v>
      </c>
      <c r="G2889" s="89">
        <v>143784</v>
      </c>
      <c r="H2889" t="s">
        <v>42</v>
      </c>
      <c r="I2889" t="s">
        <v>133</v>
      </c>
      <c r="J2889" s="89">
        <v>5176224</v>
      </c>
      <c r="K2889" t="s">
        <v>127</v>
      </c>
      <c r="L2889" t="s">
        <v>128</v>
      </c>
      <c r="M2889" t="s">
        <v>148</v>
      </c>
      <c r="N2889">
        <v>1</v>
      </c>
      <c r="O2889" s="89">
        <v>4313.5200000000004</v>
      </c>
      <c r="P2889" s="89">
        <v>58951.44</v>
      </c>
      <c r="Q2889" t="s">
        <v>142</v>
      </c>
      <c r="R2889" t="s">
        <v>131</v>
      </c>
    </row>
    <row r="2890" spans="3:18" hidden="1" x14ac:dyDescent="0.25">
      <c r="C2890" t="s">
        <v>45</v>
      </c>
      <c r="D2890" t="s">
        <v>25</v>
      </c>
      <c r="E2890" t="s">
        <v>48</v>
      </c>
      <c r="F2890" t="s">
        <v>41</v>
      </c>
      <c r="G2890" s="89">
        <v>8056457</v>
      </c>
      <c r="H2890" t="s">
        <v>146</v>
      </c>
      <c r="I2890" t="s">
        <v>133</v>
      </c>
      <c r="J2890" s="89">
        <v>233637253</v>
      </c>
      <c r="K2890" t="s">
        <v>127</v>
      </c>
      <c r="L2890" t="s">
        <v>128</v>
      </c>
      <c r="N2890">
        <v>1</v>
      </c>
      <c r="O2890" s="89">
        <v>241693.71</v>
      </c>
      <c r="P2890" s="89">
        <v>5558955.3300000001</v>
      </c>
      <c r="Q2890" t="s">
        <v>137</v>
      </c>
      <c r="R2890" t="s">
        <v>131</v>
      </c>
    </row>
    <row r="2891" spans="3:18" x14ac:dyDescent="0.25">
      <c r="C2891" t="s">
        <v>47</v>
      </c>
      <c r="D2891" t="s">
        <v>23</v>
      </c>
      <c r="E2891" t="s">
        <v>40</v>
      </c>
      <c r="F2891" t="s">
        <v>41</v>
      </c>
      <c r="G2891" s="89">
        <v>496263</v>
      </c>
      <c r="H2891" t="s">
        <v>132</v>
      </c>
      <c r="I2891" t="s">
        <v>141</v>
      </c>
      <c r="J2891" s="89">
        <v>3970104</v>
      </c>
      <c r="K2891" t="s">
        <v>144</v>
      </c>
      <c r="N2891">
        <v>1</v>
      </c>
      <c r="O2891" s="89">
        <v>19850.52</v>
      </c>
      <c r="P2891" s="89">
        <v>312645.69</v>
      </c>
      <c r="Q2891" t="s">
        <v>137</v>
      </c>
      <c r="R2891" t="s">
        <v>131</v>
      </c>
    </row>
    <row r="2892" spans="3:18" x14ac:dyDescent="0.25">
      <c r="C2892" t="s">
        <v>47</v>
      </c>
      <c r="D2892" t="s">
        <v>138</v>
      </c>
      <c r="E2892" t="s">
        <v>43</v>
      </c>
      <c r="F2892" t="s">
        <v>41</v>
      </c>
      <c r="G2892" s="89">
        <v>58038</v>
      </c>
      <c r="H2892" t="s">
        <v>140</v>
      </c>
      <c r="I2892" t="s">
        <v>126</v>
      </c>
      <c r="J2892" s="89">
        <v>1160760</v>
      </c>
      <c r="K2892" t="s">
        <v>127</v>
      </c>
      <c r="L2892" t="s">
        <v>128</v>
      </c>
      <c r="N2892">
        <v>1</v>
      </c>
      <c r="O2892" s="89">
        <v>1160.76</v>
      </c>
      <c r="P2892" s="89">
        <v>34822.800000000003</v>
      </c>
      <c r="Q2892" t="s">
        <v>142</v>
      </c>
      <c r="R2892" t="s">
        <v>131</v>
      </c>
    </row>
    <row r="2893" spans="3:18" hidden="1" x14ac:dyDescent="0.25">
      <c r="C2893" t="s">
        <v>45</v>
      </c>
      <c r="D2893" t="s">
        <v>24</v>
      </c>
      <c r="E2893" t="s">
        <v>48</v>
      </c>
      <c r="F2893" t="s">
        <v>41</v>
      </c>
      <c r="G2893" s="89">
        <v>73107</v>
      </c>
      <c r="H2893" t="s">
        <v>42</v>
      </c>
      <c r="I2893" t="s">
        <v>133</v>
      </c>
      <c r="J2893" s="89">
        <v>2631852</v>
      </c>
      <c r="K2893" t="s">
        <v>127</v>
      </c>
      <c r="L2893" t="s">
        <v>128</v>
      </c>
      <c r="M2893" t="s">
        <v>152</v>
      </c>
      <c r="N2893">
        <v>1</v>
      </c>
      <c r="O2893" s="89">
        <v>2193.21</v>
      </c>
      <c r="P2893" s="89">
        <v>34360.29</v>
      </c>
      <c r="Q2893" t="s">
        <v>142</v>
      </c>
      <c r="R2893" t="s">
        <v>131</v>
      </c>
    </row>
    <row r="2894" spans="3:18" hidden="1" x14ac:dyDescent="0.25">
      <c r="C2894" t="s">
        <v>45</v>
      </c>
      <c r="D2894" t="s">
        <v>21</v>
      </c>
      <c r="E2894" t="s">
        <v>43</v>
      </c>
      <c r="F2894" t="s">
        <v>41</v>
      </c>
      <c r="G2894" s="89">
        <v>64806</v>
      </c>
      <c r="H2894" t="s">
        <v>132</v>
      </c>
      <c r="I2894" t="s">
        <v>133</v>
      </c>
      <c r="J2894" s="89">
        <v>2527434</v>
      </c>
      <c r="K2894" t="s">
        <v>134</v>
      </c>
      <c r="L2894" t="s">
        <v>128</v>
      </c>
      <c r="N2894">
        <v>1</v>
      </c>
      <c r="O2894" s="89">
        <v>1944.18</v>
      </c>
      <c r="P2894" s="89">
        <v>55733.16</v>
      </c>
      <c r="Q2894" t="s">
        <v>135</v>
      </c>
      <c r="R2894" t="s">
        <v>131</v>
      </c>
    </row>
    <row r="2895" spans="3:18" hidden="1" x14ac:dyDescent="0.25">
      <c r="C2895" t="s">
        <v>45</v>
      </c>
      <c r="D2895" t="s">
        <v>24</v>
      </c>
      <c r="E2895" t="s">
        <v>48</v>
      </c>
      <c r="F2895" t="s">
        <v>41</v>
      </c>
      <c r="G2895" s="89">
        <v>13273034</v>
      </c>
      <c r="H2895" t="s">
        <v>42</v>
      </c>
      <c r="I2895" t="s">
        <v>133</v>
      </c>
      <c r="J2895" s="89">
        <v>491102258</v>
      </c>
      <c r="K2895" t="s">
        <v>144</v>
      </c>
      <c r="N2895">
        <v>1</v>
      </c>
      <c r="O2895" s="89">
        <v>398191.02</v>
      </c>
      <c r="P2895" s="89">
        <v>11945730.6</v>
      </c>
      <c r="Q2895" t="s">
        <v>135</v>
      </c>
      <c r="R2895" t="s">
        <v>42</v>
      </c>
    </row>
    <row r="2896" spans="3:18" hidden="1" x14ac:dyDescent="0.25">
      <c r="C2896" t="s">
        <v>45</v>
      </c>
      <c r="D2896" t="s">
        <v>149</v>
      </c>
      <c r="E2896" t="s">
        <v>43</v>
      </c>
      <c r="F2896" t="s">
        <v>41</v>
      </c>
      <c r="G2896" s="89">
        <v>641758</v>
      </c>
      <c r="H2896" t="s">
        <v>42</v>
      </c>
      <c r="I2896" t="s">
        <v>133</v>
      </c>
      <c r="J2896" s="89">
        <v>19252740</v>
      </c>
      <c r="K2896" t="s">
        <v>127</v>
      </c>
      <c r="L2896" t="s">
        <v>128</v>
      </c>
      <c r="M2896" t="s">
        <v>129</v>
      </c>
      <c r="N2896">
        <v>1</v>
      </c>
      <c r="O2896" s="89">
        <v>19252.740000000002</v>
      </c>
      <c r="P2896" s="89">
        <v>320879</v>
      </c>
      <c r="Q2896" t="s">
        <v>142</v>
      </c>
      <c r="R2896" t="s">
        <v>131</v>
      </c>
    </row>
    <row r="2897" spans="3:18" hidden="1" x14ac:dyDescent="0.25">
      <c r="C2897" t="s">
        <v>45</v>
      </c>
      <c r="D2897" t="s">
        <v>25</v>
      </c>
      <c r="E2897" t="s">
        <v>48</v>
      </c>
      <c r="F2897" t="s">
        <v>41</v>
      </c>
      <c r="G2897" s="89">
        <v>289715</v>
      </c>
      <c r="H2897" t="s">
        <v>140</v>
      </c>
      <c r="I2897" t="s">
        <v>147</v>
      </c>
      <c r="J2897" s="89">
        <v>869145</v>
      </c>
      <c r="K2897" t="s">
        <v>127</v>
      </c>
      <c r="L2897" t="s">
        <v>128</v>
      </c>
      <c r="N2897">
        <v>1</v>
      </c>
      <c r="O2897" s="89">
        <v>8691.4500000000007</v>
      </c>
      <c r="P2897" s="89">
        <v>37662.949999999997</v>
      </c>
      <c r="Q2897" t="s">
        <v>130</v>
      </c>
      <c r="R2897" t="s">
        <v>131</v>
      </c>
    </row>
    <row r="2898" spans="3:18" x14ac:dyDescent="0.25">
      <c r="C2898" t="s">
        <v>47</v>
      </c>
      <c r="D2898" t="s">
        <v>50</v>
      </c>
      <c r="E2898" t="s">
        <v>50</v>
      </c>
      <c r="F2898" t="s">
        <v>41</v>
      </c>
      <c r="G2898" s="89">
        <v>61321</v>
      </c>
      <c r="H2898" t="s">
        <v>79</v>
      </c>
      <c r="I2898" t="s">
        <v>133</v>
      </c>
      <c r="J2898" s="89">
        <v>1471704</v>
      </c>
      <c r="K2898" t="s">
        <v>127</v>
      </c>
      <c r="N2898">
        <v>1</v>
      </c>
      <c r="O2898" s="89">
        <v>3066.05</v>
      </c>
      <c r="P2898" s="89">
        <v>80943.72</v>
      </c>
      <c r="Q2898" t="s">
        <v>150</v>
      </c>
      <c r="R2898" t="s">
        <v>79</v>
      </c>
    </row>
    <row r="2899" spans="3:18" x14ac:dyDescent="0.25">
      <c r="C2899" t="s">
        <v>47</v>
      </c>
      <c r="D2899" t="s">
        <v>22</v>
      </c>
      <c r="E2899" t="s">
        <v>43</v>
      </c>
      <c r="F2899" t="s">
        <v>41</v>
      </c>
      <c r="G2899" s="89">
        <v>57872</v>
      </c>
      <c r="H2899" t="s">
        <v>42</v>
      </c>
      <c r="I2899" t="s">
        <v>141</v>
      </c>
      <c r="J2899" s="89">
        <v>578720</v>
      </c>
      <c r="K2899" t="s">
        <v>144</v>
      </c>
      <c r="N2899">
        <v>1</v>
      </c>
      <c r="O2899" s="89">
        <v>2314.88</v>
      </c>
      <c r="P2899" s="89">
        <v>34144.480000000003</v>
      </c>
      <c r="Q2899" t="s">
        <v>142</v>
      </c>
      <c r="R2899" t="s">
        <v>42</v>
      </c>
    </row>
    <row r="2900" spans="3:18" hidden="1" x14ac:dyDescent="0.25">
      <c r="C2900" t="s">
        <v>45</v>
      </c>
      <c r="D2900" t="s">
        <v>22</v>
      </c>
      <c r="E2900" t="s">
        <v>43</v>
      </c>
      <c r="F2900" t="s">
        <v>41</v>
      </c>
      <c r="G2900" s="89">
        <v>942279</v>
      </c>
      <c r="H2900" t="s">
        <v>146</v>
      </c>
      <c r="I2900" t="s">
        <v>133</v>
      </c>
      <c r="J2900" s="89">
        <v>30152928</v>
      </c>
      <c r="K2900" t="s">
        <v>144</v>
      </c>
      <c r="N2900">
        <v>1</v>
      </c>
      <c r="O2900" s="89">
        <v>28268.37</v>
      </c>
      <c r="P2900" s="89">
        <v>452293.92</v>
      </c>
      <c r="Q2900" t="s">
        <v>142</v>
      </c>
      <c r="R2900" t="s">
        <v>131</v>
      </c>
    </row>
    <row r="2901" spans="3:18" hidden="1" x14ac:dyDescent="0.25">
      <c r="C2901" t="s">
        <v>45</v>
      </c>
      <c r="D2901" t="s">
        <v>23</v>
      </c>
      <c r="E2901" t="s">
        <v>43</v>
      </c>
      <c r="F2901" t="s">
        <v>41</v>
      </c>
      <c r="G2901" s="89">
        <v>473095</v>
      </c>
      <c r="H2901" t="s">
        <v>145</v>
      </c>
      <c r="I2901" t="s">
        <v>133</v>
      </c>
      <c r="J2901" s="89">
        <v>12300470</v>
      </c>
      <c r="K2901" t="s">
        <v>144</v>
      </c>
      <c r="N2901">
        <v>1</v>
      </c>
      <c r="O2901" s="89">
        <v>14192.85</v>
      </c>
      <c r="P2901" s="89">
        <v>160852.29999999999</v>
      </c>
      <c r="Q2901" t="s">
        <v>130</v>
      </c>
      <c r="R2901" t="s">
        <v>131</v>
      </c>
    </row>
    <row r="2902" spans="3:18" x14ac:dyDescent="0.25">
      <c r="C2902" t="s">
        <v>47</v>
      </c>
      <c r="D2902" t="s">
        <v>20</v>
      </c>
      <c r="E2902" t="s">
        <v>43</v>
      </c>
      <c r="F2902" t="s">
        <v>41</v>
      </c>
      <c r="G2902" s="89">
        <v>765629</v>
      </c>
      <c r="H2902" t="s">
        <v>42</v>
      </c>
      <c r="I2902" t="s">
        <v>141</v>
      </c>
      <c r="J2902" s="89">
        <v>6125032</v>
      </c>
      <c r="K2902" t="s">
        <v>127</v>
      </c>
      <c r="L2902" t="s">
        <v>128</v>
      </c>
      <c r="M2902" t="s">
        <v>139</v>
      </c>
      <c r="N2902">
        <v>1</v>
      </c>
      <c r="O2902" s="89">
        <v>30625.16</v>
      </c>
      <c r="P2902" s="89">
        <v>214376.12</v>
      </c>
      <c r="Q2902" t="s">
        <v>130</v>
      </c>
      <c r="R2902" t="s">
        <v>131</v>
      </c>
    </row>
    <row r="2903" spans="3:18" hidden="1" x14ac:dyDescent="0.25">
      <c r="C2903" t="s">
        <v>45</v>
      </c>
      <c r="D2903" t="s">
        <v>24</v>
      </c>
      <c r="E2903" t="s">
        <v>48</v>
      </c>
      <c r="F2903" t="s">
        <v>41</v>
      </c>
      <c r="G2903" s="89">
        <v>108006</v>
      </c>
      <c r="H2903" t="s">
        <v>145</v>
      </c>
      <c r="I2903" t="s">
        <v>141</v>
      </c>
      <c r="J2903" s="89">
        <v>972054</v>
      </c>
      <c r="K2903" t="s">
        <v>134</v>
      </c>
      <c r="L2903" t="s">
        <v>128</v>
      </c>
      <c r="N2903">
        <v>1</v>
      </c>
      <c r="O2903" s="89">
        <v>3240.18</v>
      </c>
      <c r="P2903" s="89">
        <v>51842.879999999997</v>
      </c>
      <c r="Q2903" t="s">
        <v>142</v>
      </c>
      <c r="R2903" t="s">
        <v>131</v>
      </c>
    </row>
    <row r="2904" spans="3:18" x14ac:dyDescent="0.25">
      <c r="C2904" t="s">
        <v>47</v>
      </c>
      <c r="D2904" t="s">
        <v>138</v>
      </c>
      <c r="E2904" t="s">
        <v>43</v>
      </c>
      <c r="F2904" t="s">
        <v>41</v>
      </c>
      <c r="G2904" s="89">
        <v>1654602</v>
      </c>
      <c r="H2904" t="s">
        <v>42</v>
      </c>
      <c r="I2904" t="s">
        <v>126</v>
      </c>
      <c r="J2904" s="89">
        <v>16546020</v>
      </c>
      <c r="K2904" t="s">
        <v>127</v>
      </c>
      <c r="L2904" t="s">
        <v>128</v>
      </c>
      <c r="M2904" t="s">
        <v>139</v>
      </c>
      <c r="N2904">
        <v>1</v>
      </c>
      <c r="O2904" s="89">
        <v>66184.08</v>
      </c>
      <c r="P2904" s="89">
        <v>595656.72</v>
      </c>
      <c r="Q2904" t="s">
        <v>130</v>
      </c>
      <c r="R2904" t="s">
        <v>42</v>
      </c>
    </row>
    <row r="2905" spans="3:18" hidden="1" x14ac:dyDescent="0.25">
      <c r="C2905" t="s">
        <v>45</v>
      </c>
      <c r="D2905" t="s">
        <v>23</v>
      </c>
      <c r="E2905" t="s">
        <v>40</v>
      </c>
      <c r="F2905" t="s">
        <v>41</v>
      </c>
      <c r="G2905" s="89">
        <v>283064</v>
      </c>
      <c r="H2905" t="s">
        <v>146</v>
      </c>
      <c r="I2905" t="s">
        <v>133</v>
      </c>
      <c r="J2905" s="89">
        <v>7076600</v>
      </c>
      <c r="K2905" t="s">
        <v>134</v>
      </c>
      <c r="L2905" t="s">
        <v>128</v>
      </c>
      <c r="N2905">
        <v>1</v>
      </c>
      <c r="O2905" s="89">
        <v>11322.56</v>
      </c>
      <c r="P2905" s="89">
        <v>155685.20000000001</v>
      </c>
      <c r="Q2905" t="s">
        <v>142</v>
      </c>
      <c r="R2905" t="s">
        <v>131</v>
      </c>
    </row>
    <row r="2906" spans="3:18" hidden="1" x14ac:dyDescent="0.25">
      <c r="C2906" t="s">
        <v>39</v>
      </c>
      <c r="D2906" t="s">
        <v>22</v>
      </c>
      <c r="E2906" t="s">
        <v>43</v>
      </c>
      <c r="F2906" t="s">
        <v>41</v>
      </c>
      <c r="G2906" s="89">
        <v>362303</v>
      </c>
      <c r="H2906" t="s">
        <v>146</v>
      </c>
      <c r="I2906" t="s">
        <v>133</v>
      </c>
      <c r="J2906" s="89"/>
      <c r="N2906">
        <v>0</v>
      </c>
      <c r="O2906" s="89"/>
      <c r="P2906" s="89"/>
      <c r="R2906" t="s">
        <v>131</v>
      </c>
    </row>
    <row r="2907" spans="3:18" hidden="1" x14ac:dyDescent="0.25">
      <c r="C2907" t="s">
        <v>45</v>
      </c>
      <c r="D2907" t="s">
        <v>149</v>
      </c>
      <c r="E2907" t="s">
        <v>48</v>
      </c>
      <c r="F2907" t="s">
        <v>41</v>
      </c>
      <c r="G2907" s="89">
        <v>238130</v>
      </c>
      <c r="H2907" t="s">
        <v>42</v>
      </c>
      <c r="I2907" t="s">
        <v>126</v>
      </c>
      <c r="J2907" s="89">
        <v>3810080</v>
      </c>
      <c r="K2907" t="s">
        <v>127</v>
      </c>
      <c r="L2907" t="s">
        <v>128</v>
      </c>
      <c r="M2907" t="s">
        <v>136</v>
      </c>
      <c r="N2907">
        <v>1</v>
      </c>
      <c r="O2907" s="89">
        <v>7143.9</v>
      </c>
      <c r="P2907" s="89">
        <v>126208.9</v>
      </c>
      <c r="Q2907" t="s">
        <v>142</v>
      </c>
      <c r="R2907" t="s">
        <v>131</v>
      </c>
    </row>
    <row r="2908" spans="3:18" x14ac:dyDescent="0.25">
      <c r="C2908" t="s">
        <v>47</v>
      </c>
      <c r="D2908" t="s">
        <v>21</v>
      </c>
      <c r="E2908" t="s">
        <v>48</v>
      </c>
      <c r="F2908" t="s">
        <v>41</v>
      </c>
      <c r="G2908" s="89">
        <v>92883</v>
      </c>
      <c r="H2908" t="s">
        <v>140</v>
      </c>
      <c r="I2908" t="s">
        <v>126</v>
      </c>
      <c r="J2908" s="89">
        <v>1207479</v>
      </c>
      <c r="K2908" t="s">
        <v>127</v>
      </c>
      <c r="L2908" t="s">
        <v>128</v>
      </c>
      <c r="N2908">
        <v>1</v>
      </c>
      <c r="O2908" s="89">
        <v>5572.98</v>
      </c>
      <c r="P2908" s="89">
        <v>44583.839999999997</v>
      </c>
      <c r="Q2908" t="s">
        <v>142</v>
      </c>
      <c r="R2908" t="s">
        <v>131</v>
      </c>
    </row>
    <row r="2909" spans="3:18" x14ac:dyDescent="0.25">
      <c r="C2909" t="s">
        <v>47</v>
      </c>
      <c r="D2909" t="s">
        <v>21</v>
      </c>
      <c r="E2909" t="s">
        <v>40</v>
      </c>
      <c r="F2909" t="s">
        <v>41</v>
      </c>
      <c r="G2909" s="89">
        <v>48168</v>
      </c>
      <c r="H2909" t="s">
        <v>132</v>
      </c>
      <c r="I2909" t="s">
        <v>147</v>
      </c>
      <c r="J2909" s="89">
        <v>96336</v>
      </c>
      <c r="K2909" t="s">
        <v>144</v>
      </c>
      <c r="N2909">
        <v>1</v>
      </c>
      <c r="O2909" s="89">
        <v>2408.4</v>
      </c>
      <c r="P2909" s="89">
        <v>15895.44</v>
      </c>
      <c r="Q2909" t="s">
        <v>130</v>
      </c>
      <c r="R2909" t="s">
        <v>131</v>
      </c>
    </row>
    <row r="2910" spans="3:18" hidden="1" x14ac:dyDescent="0.25">
      <c r="C2910" t="s">
        <v>45</v>
      </c>
      <c r="D2910" t="s">
        <v>20</v>
      </c>
      <c r="E2910" t="s">
        <v>44</v>
      </c>
      <c r="F2910" t="s">
        <v>41</v>
      </c>
      <c r="G2910" s="89">
        <v>92430</v>
      </c>
      <c r="H2910" t="s">
        <v>42</v>
      </c>
      <c r="I2910" t="s">
        <v>133</v>
      </c>
      <c r="J2910" s="89">
        <v>2495610</v>
      </c>
      <c r="K2910" t="s">
        <v>127</v>
      </c>
      <c r="L2910" t="s">
        <v>128</v>
      </c>
      <c r="M2910" t="s">
        <v>139</v>
      </c>
      <c r="N2910">
        <v>1</v>
      </c>
      <c r="O2910" s="89">
        <v>2772.9</v>
      </c>
      <c r="P2910" s="89">
        <v>30501.9</v>
      </c>
      <c r="Q2910" t="s">
        <v>130</v>
      </c>
      <c r="R2910" t="s">
        <v>131</v>
      </c>
    </row>
    <row r="2911" spans="3:18" hidden="1" x14ac:dyDescent="0.25">
      <c r="C2911" t="s">
        <v>45</v>
      </c>
      <c r="D2911" t="s">
        <v>21</v>
      </c>
      <c r="E2911" t="s">
        <v>46</v>
      </c>
      <c r="F2911" t="s">
        <v>41</v>
      </c>
      <c r="G2911" s="89">
        <v>240800</v>
      </c>
      <c r="H2911" t="s">
        <v>42</v>
      </c>
      <c r="I2911" t="s">
        <v>133</v>
      </c>
      <c r="J2911" s="89">
        <v>7464800</v>
      </c>
      <c r="K2911" t="s">
        <v>127</v>
      </c>
      <c r="L2911" t="s">
        <v>128</v>
      </c>
      <c r="M2911" t="s">
        <v>129</v>
      </c>
      <c r="N2911">
        <v>1</v>
      </c>
      <c r="O2911" s="89">
        <v>7224</v>
      </c>
      <c r="P2911" s="89">
        <v>180600</v>
      </c>
      <c r="Q2911" t="s">
        <v>137</v>
      </c>
      <c r="R2911" t="s">
        <v>42</v>
      </c>
    </row>
    <row r="2912" spans="3:18" x14ac:dyDescent="0.25">
      <c r="C2912" t="s">
        <v>47</v>
      </c>
      <c r="D2912" t="s">
        <v>19</v>
      </c>
      <c r="E2912" t="s">
        <v>40</v>
      </c>
      <c r="F2912" t="s">
        <v>41</v>
      </c>
      <c r="G2912" s="89">
        <v>164700</v>
      </c>
      <c r="H2912" t="s">
        <v>146</v>
      </c>
      <c r="I2912" t="s">
        <v>147</v>
      </c>
      <c r="J2912" s="89">
        <v>823500</v>
      </c>
      <c r="K2912" t="s">
        <v>127</v>
      </c>
      <c r="L2912" t="s">
        <v>128</v>
      </c>
      <c r="N2912">
        <v>1</v>
      </c>
      <c r="O2912" s="89">
        <v>8235</v>
      </c>
      <c r="P2912" s="89">
        <v>158112</v>
      </c>
      <c r="Q2912" t="s">
        <v>135</v>
      </c>
      <c r="R2912" t="s">
        <v>131</v>
      </c>
    </row>
    <row r="2913" spans="3:18" hidden="1" x14ac:dyDescent="0.25">
      <c r="C2913" t="s">
        <v>45</v>
      </c>
      <c r="D2913" t="s">
        <v>24</v>
      </c>
      <c r="E2913" t="s">
        <v>52</v>
      </c>
      <c r="F2913" t="s">
        <v>41</v>
      </c>
      <c r="G2913" s="89">
        <v>1035668</v>
      </c>
      <c r="H2913" t="s">
        <v>42</v>
      </c>
      <c r="I2913" t="s">
        <v>126</v>
      </c>
      <c r="J2913" s="89">
        <v>17606356</v>
      </c>
      <c r="K2913" t="s">
        <v>144</v>
      </c>
      <c r="N2913">
        <v>1</v>
      </c>
      <c r="O2913" s="89">
        <v>31070.04</v>
      </c>
      <c r="P2913" s="89">
        <v>507477.32</v>
      </c>
      <c r="Q2913" t="s">
        <v>142</v>
      </c>
      <c r="R2913" t="s">
        <v>42</v>
      </c>
    </row>
    <row r="2914" spans="3:18" hidden="1" x14ac:dyDescent="0.25">
      <c r="C2914" t="s">
        <v>45</v>
      </c>
      <c r="D2914" t="s">
        <v>22</v>
      </c>
      <c r="E2914" t="s">
        <v>46</v>
      </c>
      <c r="F2914" t="s">
        <v>41</v>
      </c>
      <c r="G2914" s="89">
        <v>152101</v>
      </c>
      <c r="H2914" t="s">
        <v>42</v>
      </c>
      <c r="I2914" t="s">
        <v>141</v>
      </c>
      <c r="J2914" s="89">
        <v>1521010</v>
      </c>
      <c r="K2914" t="s">
        <v>144</v>
      </c>
      <c r="N2914">
        <v>1</v>
      </c>
      <c r="O2914" s="89">
        <v>4563.03</v>
      </c>
      <c r="P2914" s="89">
        <v>100386.66</v>
      </c>
      <c r="Q2914" t="s">
        <v>137</v>
      </c>
      <c r="R2914" t="s">
        <v>42</v>
      </c>
    </row>
    <row r="2915" spans="3:18" hidden="1" x14ac:dyDescent="0.25">
      <c r="C2915" t="s">
        <v>45</v>
      </c>
      <c r="D2915" t="s">
        <v>21</v>
      </c>
      <c r="E2915" t="s">
        <v>40</v>
      </c>
      <c r="F2915" t="s">
        <v>41</v>
      </c>
      <c r="G2915" s="89">
        <v>35540196</v>
      </c>
      <c r="H2915" t="s">
        <v>42</v>
      </c>
      <c r="I2915" t="s">
        <v>133</v>
      </c>
      <c r="J2915" s="89">
        <v>1030665684</v>
      </c>
      <c r="K2915" t="s">
        <v>127</v>
      </c>
      <c r="L2915" t="s">
        <v>128</v>
      </c>
      <c r="M2915" t="s">
        <v>129</v>
      </c>
      <c r="N2915">
        <v>1</v>
      </c>
      <c r="O2915" s="89">
        <v>1066205.8799999999</v>
      </c>
      <c r="P2915" s="89">
        <v>18480901.920000002</v>
      </c>
      <c r="Q2915" t="s">
        <v>142</v>
      </c>
      <c r="R2915" t="s">
        <v>42</v>
      </c>
    </row>
    <row r="2916" spans="3:18" hidden="1" x14ac:dyDescent="0.25">
      <c r="C2916" t="s">
        <v>45</v>
      </c>
      <c r="D2916" t="s">
        <v>19</v>
      </c>
      <c r="E2916" t="s">
        <v>43</v>
      </c>
      <c r="F2916" t="s">
        <v>41</v>
      </c>
      <c r="G2916" s="89">
        <v>175751</v>
      </c>
      <c r="H2916" t="s">
        <v>154</v>
      </c>
      <c r="I2916" t="s">
        <v>133</v>
      </c>
      <c r="J2916" s="89">
        <v>5096779</v>
      </c>
      <c r="K2916" t="s">
        <v>144</v>
      </c>
      <c r="N2916">
        <v>1</v>
      </c>
      <c r="O2916" s="89">
        <v>5272.53</v>
      </c>
      <c r="P2916" s="89">
        <v>128298.23</v>
      </c>
      <c r="Q2916" t="s">
        <v>137</v>
      </c>
      <c r="R2916" t="s">
        <v>131</v>
      </c>
    </row>
    <row r="2917" spans="3:18" hidden="1" x14ac:dyDescent="0.25">
      <c r="C2917" t="s">
        <v>45</v>
      </c>
      <c r="D2917" t="s">
        <v>21</v>
      </c>
      <c r="E2917" t="s">
        <v>44</v>
      </c>
      <c r="F2917" t="s">
        <v>41</v>
      </c>
      <c r="G2917" s="89">
        <v>92443</v>
      </c>
      <c r="H2917" t="s">
        <v>42</v>
      </c>
      <c r="I2917" t="s">
        <v>133</v>
      </c>
      <c r="J2917" s="89">
        <v>3143062</v>
      </c>
      <c r="K2917" t="s">
        <v>127</v>
      </c>
      <c r="L2917" t="s">
        <v>128</v>
      </c>
      <c r="M2917" t="s">
        <v>129</v>
      </c>
      <c r="N2917">
        <v>1</v>
      </c>
      <c r="O2917" s="89">
        <v>2773.29</v>
      </c>
      <c r="P2917" s="89">
        <v>73954.399999999994</v>
      </c>
      <c r="Q2917" t="s">
        <v>135</v>
      </c>
      <c r="R2917" t="s">
        <v>131</v>
      </c>
    </row>
    <row r="2918" spans="3:18" hidden="1" x14ac:dyDescent="0.25">
      <c r="C2918" t="s">
        <v>45</v>
      </c>
      <c r="D2918" t="s">
        <v>21</v>
      </c>
      <c r="E2918" t="s">
        <v>40</v>
      </c>
      <c r="F2918" t="s">
        <v>41</v>
      </c>
      <c r="G2918" s="89">
        <v>194123</v>
      </c>
      <c r="H2918" t="s">
        <v>140</v>
      </c>
      <c r="I2918" t="s">
        <v>126</v>
      </c>
      <c r="J2918" s="89">
        <v>3300091</v>
      </c>
      <c r="K2918" t="s">
        <v>127</v>
      </c>
      <c r="L2918" t="s">
        <v>128</v>
      </c>
      <c r="N2918">
        <v>1</v>
      </c>
      <c r="O2918" s="89">
        <v>7764.92</v>
      </c>
      <c r="P2918" s="89">
        <v>161122.09</v>
      </c>
      <c r="Q2918" t="s">
        <v>135</v>
      </c>
      <c r="R2918" t="s">
        <v>131</v>
      </c>
    </row>
    <row r="2919" spans="3:18" hidden="1" x14ac:dyDescent="0.25">
      <c r="C2919" t="s">
        <v>45</v>
      </c>
      <c r="D2919" t="s">
        <v>19</v>
      </c>
      <c r="E2919" t="s">
        <v>43</v>
      </c>
      <c r="F2919" t="s">
        <v>41</v>
      </c>
      <c r="G2919" s="89">
        <v>112119</v>
      </c>
      <c r="H2919" t="s">
        <v>145</v>
      </c>
      <c r="I2919" t="s">
        <v>141</v>
      </c>
      <c r="J2919" s="89">
        <v>1009071</v>
      </c>
      <c r="K2919" t="s">
        <v>127</v>
      </c>
      <c r="L2919" t="s">
        <v>128</v>
      </c>
      <c r="N2919">
        <v>1</v>
      </c>
      <c r="O2919" s="89">
        <v>4484.76</v>
      </c>
      <c r="P2919" s="89">
        <v>69513.78</v>
      </c>
      <c r="Q2919" t="s">
        <v>137</v>
      </c>
      <c r="R2919" t="s">
        <v>131</v>
      </c>
    </row>
    <row r="2920" spans="3:18" hidden="1" x14ac:dyDescent="0.25">
      <c r="C2920" t="s">
        <v>45</v>
      </c>
      <c r="D2920" t="s">
        <v>23</v>
      </c>
      <c r="E2920" t="s">
        <v>43</v>
      </c>
      <c r="F2920" t="s">
        <v>41</v>
      </c>
      <c r="G2920" s="89">
        <v>80718</v>
      </c>
      <c r="H2920" t="s">
        <v>42</v>
      </c>
      <c r="I2920" t="s">
        <v>126</v>
      </c>
      <c r="J2920" s="89">
        <v>1533642</v>
      </c>
      <c r="K2920" t="s">
        <v>127</v>
      </c>
      <c r="L2920" t="s">
        <v>128</v>
      </c>
      <c r="M2920" t="s">
        <v>152</v>
      </c>
      <c r="N2920">
        <v>1</v>
      </c>
      <c r="O2920" s="89">
        <v>3228.72</v>
      </c>
      <c r="P2920" s="89">
        <v>66188.759999999995</v>
      </c>
      <c r="Q2920" t="s">
        <v>135</v>
      </c>
      <c r="R2920" t="s">
        <v>131</v>
      </c>
    </row>
    <row r="2921" spans="3:18" x14ac:dyDescent="0.25">
      <c r="C2921" t="s">
        <v>47</v>
      </c>
      <c r="D2921" t="s">
        <v>22</v>
      </c>
      <c r="E2921" t="s">
        <v>40</v>
      </c>
      <c r="F2921" t="s">
        <v>41</v>
      </c>
      <c r="G2921" s="89">
        <v>214970</v>
      </c>
      <c r="H2921" t="s">
        <v>140</v>
      </c>
      <c r="I2921" t="s">
        <v>147</v>
      </c>
      <c r="J2921" s="89">
        <v>859880</v>
      </c>
      <c r="K2921" t="s">
        <v>144</v>
      </c>
      <c r="N2921">
        <v>1</v>
      </c>
      <c r="O2921" s="89">
        <v>12898.2</v>
      </c>
      <c r="P2921" s="89">
        <v>30095.8</v>
      </c>
      <c r="Q2921" t="s">
        <v>130</v>
      </c>
      <c r="R2921" t="s">
        <v>131</v>
      </c>
    </row>
    <row r="2922" spans="3:18" hidden="1" x14ac:dyDescent="0.25">
      <c r="C2922" t="s">
        <v>45</v>
      </c>
      <c r="D2922" t="s">
        <v>138</v>
      </c>
      <c r="E2922" t="s">
        <v>40</v>
      </c>
      <c r="F2922" t="s">
        <v>41</v>
      </c>
      <c r="G2922" s="89">
        <v>160040</v>
      </c>
      <c r="H2922" t="s">
        <v>140</v>
      </c>
      <c r="I2922" t="s">
        <v>126</v>
      </c>
      <c r="J2922" s="89">
        <v>3040760</v>
      </c>
      <c r="K2922" t="s">
        <v>134</v>
      </c>
      <c r="L2922" t="s">
        <v>128</v>
      </c>
      <c r="N2922">
        <v>1</v>
      </c>
      <c r="O2922" s="89">
        <v>4801.2</v>
      </c>
      <c r="P2922" s="89">
        <v>94423.6</v>
      </c>
      <c r="Q2922" t="s">
        <v>142</v>
      </c>
      <c r="R2922" t="s">
        <v>131</v>
      </c>
    </row>
    <row r="2923" spans="3:18" hidden="1" x14ac:dyDescent="0.25">
      <c r="C2923" t="s">
        <v>45</v>
      </c>
      <c r="D2923" t="s">
        <v>23</v>
      </c>
      <c r="E2923" t="s">
        <v>40</v>
      </c>
      <c r="F2923" t="s">
        <v>41</v>
      </c>
      <c r="G2923" s="89">
        <v>213353</v>
      </c>
      <c r="H2923" t="s">
        <v>132</v>
      </c>
      <c r="I2923" t="s">
        <v>141</v>
      </c>
      <c r="J2923" s="89">
        <v>1706824</v>
      </c>
      <c r="K2923" t="s">
        <v>127</v>
      </c>
      <c r="L2923" t="s">
        <v>128</v>
      </c>
      <c r="N2923">
        <v>1</v>
      </c>
      <c r="O2923" s="89">
        <v>8534.1200000000008</v>
      </c>
      <c r="P2923" s="89">
        <v>147213.57</v>
      </c>
      <c r="Q2923" t="s">
        <v>137</v>
      </c>
      <c r="R2923" t="s">
        <v>131</v>
      </c>
    </row>
    <row r="2924" spans="3:18" hidden="1" x14ac:dyDescent="0.25">
      <c r="C2924" t="s">
        <v>45</v>
      </c>
      <c r="D2924" t="s">
        <v>21</v>
      </c>
      <c r="E2924" t="s">
        <v>43</v>
      </c>
      <c r="F2924" t="s">
        <v>41</v>
      </c>
      <c r="G2924" s="89">
        <v>135430</v>
      </c>
      <c r="H2924" t="s">
        <v>42</v>
      </c>
      <c r="I2924" t="s">
        <v>141</v>
      </c>
      <c r="J2924" s="89">
        <v>1218870</v>
      </c>
      <c r="K2924" t="s">
        <v>127</v>
      </c>
      <c r="L2924" t="s">
        <v>128</v>
      </c>
      <c r="M2924" t="s">
        <v>129</v>
      </c>
      <c r="N2924">
        <v>1</v>
      </c>
      <c r="O2924" s="89">
        <v>5417.2</v>
      </c>
      <c r="P2924" s="89">
        <v>86675.199999999997</v>
      </c>
      <c r="Q2924" t="s">
        <v>137</v>
      </c>
      <c r="R2924" t="s">
        <v>42</v>
      </c>
    </row>
    <row r="2925" spans="3:18" hidden="1" x14ac:dyDescent="0.25">
      <c r="C2925" t="s">
        <v>45</v>
      </c>
      <c r="D2925" t="s">
        <v>23</v>
      </c>
      <c r="E2925" t="s">
        <v>48</v>
      </c>
      <c r="F2925" t="s">
        <v>41</v>
      </c>
      <c r="G2925" s="89">
        <v>264295</v>
      </c>
      <c r="H2925" t="s">
        <v>140</v>
      </c>
      <c r="I2925" t="s">
        <v>133</v>
      </c>
      <c r="J2925" s="89">
        <v>7400260</v>
      </c>
      <c r="K2925" t="s">
        <v>134</v>
      </c>
      <c r="L2925" t="s">
        <v>128</v>
      </c>
      <c r="N2925">
        <v>1</v>
      </c>
      <c r="O2925" s="89">
        <v>7928.85</v>
      </c>
      <c r="P2925" s="89">
        <v>76645.55</v>
      </c>
      <c r="Q2925" t="s">
        <v>130</v>
      </c>
      <c r="R2925" t="s">
        <v>131</v>
      </c>
    </row>
    <row r="2926" spans="3:18" hidden="1" x14ac:dyDescent="0.25">
      <c r="C2926" t="s">
        <v>45</v>
      </c>
      <c r="D2926" t="s">
        <v>23</v>
      </c>
      <c r="E2926" t="s">
        <v>48</v>
      </c>
      <c r="F2926" t="s">
        <v>41</v>
      </c>
      <c r="G2926" s="89">
        <v>145943</v>
      </c>
      <c r="H2926" t="s">
        <v>42</v>
      </c>
      <c r="I2926" t="s">
        <v>133</v>
      </c>
      <c r="J2926" s="89">
        <v>4086404</v>
      </c>
      <c r="K2926" t="s">
        <v>134</v>
      </c>
      <c r="N2926">
        <v>1</v>
      </c>
      <c r="O2926" s="89">
        <v>4378.29</v>
      </c>
      <c r="P2926" s="89">
        <v>131348.70000000001</v>
      </c>
      <c r="Q2926" t="s">
        <v>135</v>
      </c>
      <c r="R2926" t="s">
        <v>42</v>
      </c>
    </row>
    <row r="2927" spans="3:18" hidden="1" x14ac:dyDescent="0.25">
      <c r="C2927" t="s">
        <v>45</v>
      </c>
      <c r="D2927" t="s">
        <v>21</v>
      </c>
      <c r="E2927" t="s">
        <v>43</v>
      </c>
      <c r="F2927" t="s">
        <v>41</v>
      </c>
      <c r="G2927" s="89">
        <v>3079043</v>
      </c>
      <c r="H2927" t="s">
        <v>42</v>
      </c>
      <c r="I2927" t="s">
        <v>126</v>
      </c>
      <c r="J2927" s="89">
        <v>52343731</v>
      </c>
      <c r="K2927" t="s">
        <v>144</v>
      </c>
      <c r="N2927">
        <v>1</v>
      </c>
      <c r="O2927" s="89">
        <v>92371.29</v>
      </c>
      <c r="P2927" s="89">
        <v>2093749.24</v>
      </c>
      <c r="Q2927" t="s">
        <v>137</v>
      </c>
      <c r="R2927" t="s">
        <v>42</v>
      </c>
    </row>
    <row r="2928" spans="3:18" hidden="1" x14ac:dyDescent="0.25">
      <c r="C2928" t="s">
        <v>45</v>
      </c>
      <c r="D2928" t="s">
        <v>23</v>
      </c>
      <c r="E2928" t="s">
        <v>40</v>
      </c>
      <c r="F2928" t="s">
        <v>41</v>
      </c>
      <c r="G2928" s="89">
        <v>50621222</v>
      </c>
      <c r="H2928" t="s">
        <v>140</v>
      </c>
      <c r="I2928" t="s">
        <v>126</v>
      </c>
      <c r="J2928" s="89">
        <v>759318330</v>
      </c>
      <c r="K2928" t="s">
        <v>127</v>
      </c>
      <c r="L2928" t="s">
        <v>128</v>
      </c>
      <c r="N2928">
        <v>1</v>
      </c>
      <c r="O2928" s="89">
        <v>1518636.66</v>
      </c>
      <c r="P2928" s="89">
        <v>13161517.720000001</v>
      </c>
      <c r="Q2928" t="s">
        <v>130</v>
      </c>
      <c r="R2928" t="s">
        <v>131</v>
      </c>
    </row>
    <row r="2929" spans="3:18" hidden="1" x14ac:dyDescent="0.25">
      <c r="C2929" t="s">
        <v>45</v>
      </c>
      <c r="D2929" t="s">
        <v>22</v>
      </c>
      <c r="E2929" t="s">
        <v>52</v>
      </c>
      <c r="F2929" t="s">
        <v>41</v>
      </c>
      <c r="G2929" s="89">
        <v>16441</v>
      </c>
      <c r="H2929" t="s">
        <v>42</v>
      </c>
      <c r="I2929" t="s">
        <v>133</v>
      </c>
      <c r="J2929" s="89">
        <v>624758</v>
      </c>
      <c r="K2929" t="s">
        <v>127</v>
      </c>
      <c r="L2929" t="s">
        <v>128</v>
      </c>
      <c r="M2929" t="s">
        <v>143</v>
      </c>
      <c r="N2929">
        <v>1</v>
      </c>
      <c r="O2929" s="89">
        <v>657.64</v>
      </c>
      <c r="P2929" s="89">
        <v>24661.5</v>
      </c>
      <c r="Q2929" t="s">
        <v>150</v>
      </c>
      <c r="R2929" t="s">
        <v>42</v>
      </c>
    </row>
    <row r="2930" spans="3:18" hidden="1" x14ac:dyDescent="0.25">
      <c r="C2930" t="s">
        <v>45</v>
      </c>
      <c r="D2930" t="s">
        <v>20</v>
      </c>
      <c r="E2930" t="s">
        <v>48</v>
      </c>
      <c r="F2930" t="s">
        <v>41</v>
      </c>
      <c r="G2930" s="89">
        <v>46382</v>
      </c>
      <c r="H2930" t="s">
        <v>42</v>
      </c>
      <c r="I2930" t="s">
        <v>126</v>
      </c>
      <c r="J2930" s="89">
        <v>788494</v>
      </c>
      <c r="K2930" t="s">
        <v>127</v>
      </c>
      <c r="L2930" t="s">
        <v>128</v>
      </c>
      <c r="M2930" t="s">
        <v>139</v>
      </c>
      <c r="N2930">
        <v>1</v>
      </c>
      <c r="O2930" s="89">
        <v>1391.46</v>
      </c>
      <c r="P2930" s="89">
        <v>27365.38</v>
      </c>
      <c r="Q2930" t="s">
        <v>142</v>
      </c>
      <c r="R2930" t="s">
        <v>42</v>
      </c>
    </row>
    <row r="2931" spans="3:18" x14ac:dyDescent="0.25">
      <c r="C2931" t="s">
        <v>47</v>
      </c>
      <c r="D2931" t="s">
        <v>22</v>
      </c>
      <c r="E2931" t="s">
        <v>40</v>
      </c>
      <c r="F2931" t="s">
        <v>41</v>
      </c>
      <c r="G2931" s="89">
        <v>193</v>
      </c>
      <c r="H2931" t="s">
        <v>42</v>
      </c>
      <c r="I2931" t="s">
        <v>147</v>
      </c>
      <c r="J2931" s="89"/>
      <c r="K2931" t="s">
        <v>127</v>
      </c>
      <c r="L2931" t="s">
        <v>128</v>
      </c>
      <c r="M2931" t="s">
        <v>143</v>
      </c>
      <c r="N2931">
        <v>0</v>
      </c>
      <c r="O2931" s="89">
        <v>13.51</v>
      </c>
      <c r="P2931" s="89">
        <v>0</v>
      </c>
      <c r="Q2931" t="s">
        <v>130</v>
      </c>
      <c r="R2931" t="s">
        <v>131</v>
      </c>
    </row>
    <row r="2932" spans="3:18" hidden="1" x14ac:dyDescent="0.25">
      <c r="C2932" t="s">
        <v>45</v>
      </c>
      <c r="D2932" t="s">
        <v>23</v>
      </c>
      <c r="E2932" t="s">
        <v>48</v>
      </c>
      <c r="F2932" t="s">
        <v>41</v>
      </c>
      <c r="G2932" s="89">
        <v>369327</v>
      </c>
      <c r="H2932" t="s">
        <v>140</v>
      </c>
      <c r="I2932" t="s">
        <v>141</v>
      </c>
      <c r="J2932" s="89">
        <v>3323943</v>
      </c>
      <c r="K2932" t="s">
        <v>144</v>
      </c>
      <c r="N2932">
        <v>1</v>
      </c>
      <c r="O2932" s="89">
        <v>11079.81</v>
      </c>
      <c r="P2932" s="89">
        <v>70172.13</v>
      </c>
      <c r="Q2932" t="s">
        <v>130</v>
      </c>
      <c r="R2932" t="s">
        <v>131</v>
      </c>
    </row>
    <row r="2933" spans="3:18" hidden="1" x14ac:dyDescent="0.25">
      <c r="C2933" t="s">
        <v>45</v>
      </c>
      <c r="D2933" t="s">
        <v>22</v>
      </c>
      <c r="E2933" t="s">
        <v>40</v>
      </c>
      <c r="F2933" t="s">
        <v>53</v>
      </c>
      <c r="G2933" s="89">
        <v>423317</v>
      </c>
      <c r="H2933" t="s">
        <v>42</v>
      </c>
      <c r="I2933" t="s">
        <v>126</v>
      </c>
      <c r="J2933" s="89">
        <v>7619706</v>
      </c>
      <c r="K2933" t="s">
        <v>144</v>
      </c>
      <c r="N2933">
        <v>1</v>
      </c>
      <c r="O2933" s="89">
        <v>8466.34</v>
      </c>
      <c r="P2933" s="89">
        <v>334420.43</v>
      </c>
      <c r="Q2933" t="s">
        <v>137</v>
      </c>
      <c r="R2933" t="s">
        <v>42</v>
      </c>
    </row>
    <row r="2934" spans="3:18" hidden="1" x14ac:dyDescent="0.25">
      <c r="C2934" t="s">
        <v>45</v>
      </c>
      <c r="D2934" t="s">
        <v>149</v>
      </c>
      <c r="E2934" t="s">
        <v>43</v>
      </c>
      <c r="F2934" t="s">
        <v>41</v>
      </c>
      <c r="G2934" s="89">
        <v>702105</v>
      </c>
      <c r="H2934" t="s">
        <v>42</v>
      </c>
      <c r="I2934" t="s">
        <v>133</v>
      </c>
      <c r="J2934" s="89">
        <v>23169465</v>
      </c>
      <c r="K2934" t="s">
        <v>127</v>
      </c>
      <c r="L2934" t="s">
        <v>128</v>
      </c>
      <c r="M2934" t="s">
        <v>129</v>
      </c>
      <c r="N2934">
        <v>1</v>
      </c>
      <c r="O2934" s="89">
        <v>21063.15</v>
      </c>
      <c r="P2934" s="89">
        <v>512536.65</v>
      </c>
      <c r="Q2934" t="s">
        <v>137</v>
      </c>
      <c r="R2934" t="s">
        <v>131</v>
      </c>
    </row>
    <row r="2935" spans="3:18" hidden="1" x14ac:dyDescent="0.25">
      <c r="C2935" t="s">
        <v>45</v>
      </c>
      <c r="D2935" t="s">
        <v>22</v>
      </c>
      <c r="E2935" t="s">
        <v>48</v>
      </c>
      <c r="F2935" t="s">
        <v>41</v>
      </c>
      <c r="G2935" s="89">
        <v>76893</v>
      </c>
      <c r="H2935" t="s">
        <v>42</v>
      </c>
      <c r="I2935" t="s">
        <v>126</v>
      </c>
      <c r="J2935" s="89">
        <v>1460967</v>
      </c>
      <c r="K2935" t="s">
        <v>127</v>
      </c>
      <c r="L2935" t="s">
        <v>128</v>
      </c>
      <c r="M2935" t="s">
        <v>129</v>
      </c>
      <c r="N2935">
        <v>1</v>
      </c>
      <c r="O2935" s="89">
        <v>2306.79</v>
      </c>
      <c r="P2935" s="89">
        <v>27681.48</v>
      </c>
      <c r="Q2935" t="s">
        <v>130</v>
      </c>
      <c r="R2935" t="s">
        <v>42</v>
      </c>
    </row>
    <row r="2936" spans="3:18" hidden="1" x14ac:dyDescent="0.25">
      <c r="C2936" t="s">
        <v>45</v>
      </c>
      <c r="D2936" t="s">
        <v>24</v>
      </c>
      <c r="E2936" t="s">
        <v>40</v>
      </c>
      <c r="F2936" t="s">
        <v>41</v>
      </c>
      <c r="G2936" s="89">
        <v>566588</v>
      </c>
      <c r="H2936" t="s">
        <v>145</v>
      </c>
      <c r="I2936" t="s">
        <v>126</v>
      </c>
      <c r="J2936" s="89">
        <v>9631996</v>
      </c>
      <c r="K2936" t="s">
        <v>127</v>
      </c>
      <c r="L2936" t="s">
        <v>128</v>
      </c>
      <c r="N2936">
        <v>1</v>
      </c>
      <c r="O2936" s="89">
        <v>22663.52</v>
      </c>
      <c r="P2936" s="89">
        <v>379613.96</v>
      </c>
      <c r="Q2936" t="s">
        <v>137</v>
      </c>
      <c r="R2936" t="s">
        <v>131</v>
      </c>
    </row>
    <row r="2937" spans="3:18" hidden="1" x14ac:dyDescent="0.25">
      <c r="C2937" t="s">
        <v>45</v>
      </c>
      <c r="D2937" t="s">
        <v>19</v>
      </c>
      <c r="E2937" t="s">
        <v>43</v>
      </c>
      <c r="F2937" t="s">
        <v>41</v>
      </c>
      <c r="G2937" s="89">
        <v>441826</v>
      </c>
      <c r="H2937" t="s">
        <v>42</v>
      </c>
      <c r="I2937" t="s">
        <v>133</v>
      </c>
      <c r="J2937" s="89">
        <v>12812954</v>
      </c>
      <c r="K2937" t="s">
        <v>127</v>
      </c>
      <c r="L2937" t="s">
        <v>151</v>
      </c>
      <c r="M2937" t="s">
        <v>156</v>
      </c>
      <c r="N2937">
        <v>1</v>
      </c>
      <c r="O2937" s="89">
        <v>13254.78</v>
      </c>
      <c r="P2937" s="89">
        <v>256259.08</v>
      </c>
      <c r="Q2937" t="s">
        <v>142</v>
      </c>
      <c r="R2937" t="s">
        <v>42</v>
      </c>
    </row>
    <row r="2938" spans="3:18" hidden="1" x14ac:dyDescent="0.25">
      <c r="C2938" t="s">
        <v>45</v>
      </c>
      <c r="D2938" t="s">
        <v>21</v>
      </c>
      <c r="E2938" t="s">
        <v>40</v>
      </c>
      <c r="F2938" t="s">
        <v>41</v>
      </c>
      <c r="G2938" s="89">
        <v>92292</v>
      </c>
      <c r="H2938" t="s">
        <v>146</v>
      </c>
      <c r="I2938" t="s">
        <v>141</v>
      </c>
      <c r="J2938" s="89">
        <v>646044</v>
      </c>
      <c r="K2938" t="s">
        <v>144</v>
      </c>
      <c r="N2938">
        <v>1</v>
      </c>
      <c r="O2938" s="89">
        <v>4614.6000000000004</v>
      </c>
      <c r="P2938" s="89">
        <v>35993.879999999997</v>
      </c>
      <c r="Q2938" t="s">
        <v>130</v>
      </c>
      <c r="R2938" t="s">
        <v>131</v>
      </c>
    </row>
    <row r="2939" spans="3:18" x14ac:dyDescent="0.25">
      <c r="C2939" t="s">
        <v>47</v>
      </c>
      <c r="D2939" t="s">
        <v>149</v>
      </c>
      <c r="E2939" t="s">
        <v>48</v>
      </c>
      <c r="F2939" t="s">
        <v>41</v>
      </c>
      <c r="G2939" s="89">
        <v>4844496</v>
      </c>
      <c r="H2939" t="s">
        <v>42</v>
      </c>
      <c r="I2939" t="s">
        <v>147</v>
      </c>
      <c r="J2939" s="89">
        <v>9688992</v>
      </c>
      <c r="K2939" t="s">
        <v>144</v>
      </c>
      <c r="N2939">
        <v>1</v>
      </c>
      <c r="O2939" s="89">
        <v>193779.84</v>
      </c>
      <c r="P2939" s="89">
        <v>3827151.84</v>
      </c>
      <c r="Q2939" t="s">
        <v>137</v>
      </c>
      <c r="R2939" t="s">
        <v>131</v>
      </c>
    </row>
    <row r="2940" spans="3:18" hidden="1" x14ac:dyDescent="0.25">
      <c r="C2940" t="s">
        <v>45</v>
      </c>
      <c r="D2940" t="s">
        <v>22</v>
      </c>
      <c r="E2940" t="s">
        <v>40</v>
      </c>
      <c r="F2940" t="s">
        <v>41</v>
      </c>
      <c r="G2940" s="89">
        <v>6143173</v>
      </c>
      <c r="H2940" t="s">
        <v>140</v>
      </c>
      <c r="I2940" t="s">
        <v>147</v>
      </c>
      <c r="J2940" s="89">
        <v>18429519</v>
      </c>
      <c r="K2940" t="s">
        <v>127</v>
      </c>
      <c r="L2940" t="s">
        <v>128</v>
      </c>
      <c r="N2940">
        <v>1</v>
      </c>
      <c r="O2940" s="89">
        <v>245726.92</v>
      </c>
      <c r="P2940" s="89">
        <v>7310375.8700000001</v>
      </c>
      <c r="Q2940" t="s">
        <v>150</v>
      </c>
      <c r="R2940" t="s">
        <v>131</v>
      </c>
    </row>
    <row r="2941" spans="3:18" hidden="1" x14ac:dyDescent="0.25">
      <c r="C2941" t="s">
        <v>45</v>
      </c>
      <c r="D2941" t="s">
        <v>23</v>
      </c>
      <c r="E2941" t="s">
        <v>43</v>
      </c>
      <c r="F2941" t="s">
        <v>41</v>
      </c>
      <c r="G2941" s="89">
        <v>1003000</v>
      </c>
      <c r="H2941" t="s">
        <v>42</v>
      </c>
      <c r="I2941" t="s">
        <v>141</v>
      </c>
      <c r="J2941" s="89">
        <v>8024000</v>
      </c>
      <c r="K2941" t="s">
        <v>127</v>
      </c>
      <c r="L2941" t="s">
        <v>128</v>
      </c>
      <c r="M2941" t="s">
        <v>152</v>
      </c>
      <c r="N2941">
        <v>1</v>
      </c>
      <c r="O2941" s="89">
        <v>30090</v>
      </c>
      <c r="P2941" s="89">
        <v>240720</v>
      </c>
      <c r="Q2941" t="s">
        <v>130</v>
      </c>
      <c r="R2941" t="s">
        <v>131</v>
      </c>
    </row>
    <row r="2942" spans="3:18" hidden="1" x14ac:dyDescent="0.25">
      <c r="C2942" t="s">
        <v>45</v>
      </c>
      <c r="D2942" t="s">
        <v>23</v>
      </c>
      <c r="E2942" t="s">
        <v>44</v>
      </c>
      <c r="F2942" t="s">
        <v>41</v>
      </c>
      <c r="G2942" s="89">
        <v>80164</v>
      </c>
      <c r="H2942" t="s">
        <v>145</v>
      </c>
      <c r="I2942" t="s">
        <v>126</v>
      </c>
      <c r="J2942" s="89">
        <v>1442952</v>
      </c>
      <c r="K2942" t="s">
        <v>144</v>
      </c>
      <c r="N2942">
        <v>1</v>
      </c>
      <c r="O2942" s="89">
        <v>2404.92</v>
      </c>
      <c r="P2942" s="89">
        <v>23247.56</v>
      </c>
      <c r="Q2942" t="s">
        <v>130</v>
      </c>
      <c r="R2942" t="s">
        <v>131</v>
      </c>
    </row>
    <row r="2943" spans="3:18" hidden="1" x14ac:dyDescent="0.25">
      <c r="C2943" t="s">
        <v>45</v>
      </c>
      <c r="D2943" t="s">
        <v>23</v>
      </c>
      <c r="E2943" t="s">
        <v>40</v>
      </c>
      <c r="F2943" t="s">
        <v>41</v>
      </c>
      <c r="G2943" s="89">
        <v>131799</v>
      </c>
      <c r="H2943" t="s">
        <v>42</v>
      </c>
      <c r="I2943" t="s">
        <v>133</v>
      </c>
      <c r="J2943" s="89">
        <v>3822171</v>
      </c>
      <c r="K2943" t="s">
        <v>127</v>
      </c>
      <c r="L2943" t="s">
        <v>128</v>
      </c>
      <c r="M2943" t="s">
        <v>136</v>
      </c>
      <c r="N2943">
        <v>1</v>
      </c>
      <c r="O2943" s="89">
        <v>3953.97</v>
      </c>
      <c r="P2943" s="89">
        <v>50083.62</v>
      </c>
      <c r="Q2943" t="s">
        <v>130</v>
      </c>
      <c r="R2943" t="s">
        <v>131</v>
      </c>
    </row>
    <row r="2944" spans="3:18" hidden="1" x14ac:dyDescent="0.25">
      <c r="C2944" t="s">
        <v>45</v>
      </c>
      <c r="D2944" t="s">
        <v>21</v>
      </c>
      <c r="E2944" t="s">
        <v>43</v>
      </c>
      <c r="F2944" t="s">
        <v>41</v>
      </c>
      <c r="G2944" s="89">
        <v>27582</v>
      </c>
      <c r="H2944" t="s">
        <v>154</v>
      </c>
      <c r="I2944" t="s">
        <v>147</v>
      </c>
      <c r="J2944" s="89">
        <v>55164</v>
      </c>
      <c r="K2944" t="s">
        <v>127</v>
      </c>
      <c r="L2944" t="s">
        <v>128</v>
      </c>
      <c r="N2944">
        <v>1</v>
      </c>
      <c r="O2944" s="89">
        <v>827.46</v>
      </c>
      <c r="P2944" s="89">
        <v>551.64</v>
      </c>
      <c r="Q2944" t="s">
        <v>130</v>
      </c>
      <c r="R2944" t="s">
        <v>131</v>
      </c>
    </row>
    <row r="2945" spans="3:18" hidden="1" x14ac:dyDescent="0.25">
      <c r="C2945" t="s">
        <v>45</v>
      </c>
      <c r="D2945" t="s">
        <v>25</v>
      </c>
      <c r="E2945" t="s">
        <v>48</v>
      </c>
      <c r="F2945" t="s">
        <v>41</v>
      </c>
      <c r="G2945" s="89">
        <v>4786687</v>
      </c>
      <c r="H2945" t="s">
        <v>146</v>
      </c>
      <c r="I2945" t="s">
        <v>133</v>
      </c>
      <c r="J2945" s="89">
        <v>119667175</v>
      </c>
      <c r="K2945" t="s">
        <v>127</v>
      </c>
      <c r="L2945" t="s">
        <v>128</v>
      </c>
      <c r="N2945">
        <v>1</v>
      </c>
      <c r="O2945" s="89">
        <v>143600.60999999999</v>
      </c>
      <c r="P2945" s="89">
        <v>2441210.37</v>
      </c>
      <c r="Q2945" t="s">
        <v>142</v>
      </c>
      <c r="R2945" t="s">
        <v>131</v>
      </c>
    </row>
    <row r="2946" spans="3:18" hidden="1" x14ac:dyDescent="0.25">
      <c r="C2946" t="s">
        <v>45</v>
      </c>
      <c r="D2946" t="s">
        <v>21</v>
      </c>
      <c r="E2946" t="s">
        <v>43</v>
      </c>
      <c r="F2946" t="s">
        <v>41</v>
      </c>
      <c r="G2946" s="89">
        <v>10204963</v>
      </c>
      <c r="H2946" t="s">
        <v>140</v>
      </c>
      <c r="I2946" t="s">
        <v>141</v>
      </c>
      <c r="J2946" s="89">
        <v>81639704</v>
      </c>
      <c r="K2946" t="s">
        <v>127</v>
      </c>
      <c r="L2946" t="s">
        <v>128</v>
      </c>
      <c r="N2946">
        <v>1</v>
      </c>
      <c r="O2946" s="89">
        <v>408198.52</v>
      </c>
      <c r="P2946" s="89">
        <v>4694282.9800000004</v>
      </c>
      <c r="Q2946" t="s">
        <v>142</v>
      </c>
      <c r="R2946" t="s">
        <v>131</v>
      </c>
    </row>
    <row r="2947" spans="3:18" hidden="1" x14ac:dyDescent="0.25">
      <c r="C2947" t="s">
        <v>45</v>
      </c>
      <c r="D2947" t="s">
        <v>138</v>
      </c>
      <c r="E2947" t="s">
        <v>40</v>
      </c>
      <c r="F2947" t="s">
        <v>41</v>
      </c>
      <c r="G2947" s="89">
        <v>312037</v>
      </c>
      <c r="H2947" t="s">
        <v>42</v>
      </c>
      <c r="I2947" t="s">
        <v>133</v>
      </c>
      <c r="J2947" s="89">
        <v>8737036</v>
      </c>
      <c r="K2947" t="s">
        <v>144</v>
      </c>
      <c r="N2947">
        <v>1</v>
      </c>
      <c r="O2947" s="89">
        <v>9361.11</v>
      </c>
      <c r="P2947" s="89">
        <v>162259.24</v>
      </c>
      <c r="Q2947" t="s">
        <v>142</v>
      </c>
      <c r="R2947" t="s">
        <v>131</v>
      </c>
    </row>
    <row r="2948" spans="3:18" hidden="1" x14ac:dyDescent="0.25">
      <c r="C2948" t="s">
        <v>45</v>
      </c>
      <c r="D2948" t="s">
        <v>24</v>
      </c>
      <c r="E2948" t="s">
        <v>44</v>
      </c>
      <c r="F2948" t="s">
        <v>41</v>
      </c>
      <c r="G2948" s="89">
        <v>728879</v>
      </c>
      <c r="H2948" t="s">
        <v>42</v>
      </c>
      <c r="I2948" t="s">
        <v>126</v>
      </c>
      <c r="J2948" s="89">
        <v>13119822</v>
      </c>
      <c r="K2948" t="s">
        <v>127</v>
      </c>
      <c r="L2948" t="s">
        <v>128</v>
      </c>
      <c r="M2948" t="s">
        <v>148</v>
      </c>
      <c r="N2948">
        <v>1</v>
      </c>
      <c r="O2948" s="89">
        <v>29155.16</v>
      </c>
      <c r="P2948" s="89">
        <v>371728.29</v>
      </c>
      <c r="Q2948" t="s">
        <v>142</v>
      </c>
      <c r="R2948" t="s">
        <v>42</v>
      </c>
    </row>
    <row r="2949" spans="3:18" hidden="1" x14ac:dyDescent="0.25">
      <c r="C2949" t="s">
        <v>45</v>
      </c>
      <c r="D2949" t="s">
        <v>21</v>
      </c>
      <c r="E2949" t="s">
        <v>43</v>
      </c>
      <c r="F2949" t="s">
        <v>41</v>
      </c>
      <c r="G2949" s="89">
        <v>1501843</v>
      </c>
      <c r="H2949" t="s">
        <v>140</v>
      </c>
      <c r="I2949" t="s">
        <v>133</v>
      </c>
      <c r="J2949" s="89">
        <v>42051604</v>
      </c>
      <c r="K2949" t="s">
        <v>134</v>
      </c>
      <c r="L2949" t="s">
        <v>128</v>
      </c>
      <c r="N2949">
        <v>1</v>
      </c>
      <c r="O2949" s="89">
        <v>45055.29</v>
      </c>
      <c r="P2949" s="89">
        <v>1351658.7</v>
      </c>
      <c r="Q2949" t="s">
        <v>135</v>
      </c>
      <c r="R2949" t="s">
        <v>131</v>
      </c>
    </row>
    <row r="2950" spans="3:18" hidden="1" x14ac:dyDescent="0.25">
      <c r="C2950" t="s">
        <v>45</v>
      </c>
      <c r="D2950" t="s">
        <v>23</v>
      </c>
      <c r="E2950" t="s">
        <v>40</v>
      </c>
      <c r="F2950" t="s">
        <v>41</v>
      </c>
      <c r="G2950" s="89">
        <v>15721072</v>
      </c>
      <c r="H2950" t="s">
        <v>42</v>
      </c>
      <c r="I2950" t="s">
        <v>133</v>
      </c>
      <c r="J2950" s="89">
        <v>534516448</v>
      </c>
      <c r="K2950" t="s">
        <v>144</v>
      </c>
      <c r="N2950">
        <v>1</v>
      </c>
      <c r="O2950" s="89">
        <v>471632.16</v>
      </c>
      <c r="P2950" s="89">
        <v>11319171.84</v>
      </c>
      <c r="Q2950" t="s">
        <v>137</v>
      </c>
      <c r="R2950" t="s">
        <v>42</v>
      </c>
    </row>
    <row r="2951" spans="3:18" hidden="1" x14ac:dyDescent="0.25">
      <c r="C2951" t="s">
        <v>45</v>
      </c>
      <c r="D2951" t="s">
        <v>149</v>
      </c>
      <c r="E2951" t="s">
        <v>43</v>
      </c>
      <c r="F2951" t="s">
        <v>41</v>
      </c>
      <c r="G2951" s="89">
        <v>11748693</v>
      </c>
      <c r="H2951" t="s">
        <v>42</v>
      </c>
      <c r="I2951" t="s">
        <v>126</v>
      </c>
      <c r="J2951" s="89">
        <v>176230395</v>
      </c>
      <c r="K2951" t="s">
        <v>127</v>
      </c>
      <c r="L2951" t="s">
        <v>128</v>
      </c>
      <c r="M2951" t="s">
        <v>136</v>
      </c>
      <c r="N2951">
        <v>1</v>
      </c>
      <c r="O2951" s="89">
        <v>352460.79</v>
      </c>
      <c r="P2951" s="89">
        <v>2937173.25</v>
      </c>
      <c r="Q2951" t="s">
        <v>130</v>
      </c>
      <c r="R2951" t="s">
        <v>131</v>
      </c>
    </row>
    <row r="2952" spans="3:18" hidden="1" x14ac:dyDescent="0.25">
      <c r="C2952" t="s">
        <v>45</v>
      </c>
      <c r="D2952" t="s">
        <v>23</v>
      </c>
      <c r="E2952" t="s">
        <v>40</v>
      </c>
      <c r="F2952" t="s">
        <v>41</v>
      </c>
      <c r="G2952" s="89">
        <v>288796</v>
      </c>
      <c r="H2952" t="s">
        <v>145</v>
      </c>
      <c r="I2952" t="s">
        <v>133</v>
      </c>
      <c r="J2952" s="89">
        <v>7219900</v>
      </c>
      <c r="K2952" t="s">
        <v>134</v>
      </c>
      <c r="L2952" t="s">
        <v>128</v>
      </c>
      <c r="N2952">
        <v>1</v>
      </c>
      <c r="O2952" s="89">
        <v>8663.8799999999992</v>
      </c>
      <c r="P2952" s="89">
        <v>153061.88</v>
      </c>
      <c r="Q2952" t="s">
        <v>142</v>
      </c>
      <c r="R2952" t="s">
        <v>131</v>
      </c>
    </row>
    <row r="2953" spans="3:18" hidden="1" x14ac:dyDescent="0.25">
      <c r="C2953" t="s">
        <v>45</v>
      </c>
      <c r="D2953" t="s">
        <v>23</v>
      </c>
      <c r="E2953" t="s">
        <v>48</v>
      </c>
      <c r="F2953" t="s">
        <v>41</v>
      </c>
      <c r="G2953" s="89">
        <v>1469693</v>
      </c>
      <c r="H2953" t="s">
        <v>42</v>
      </c>
      <c r="I2953" t="s">
        <v>126</v>
      </c>
      <c r="J2953" s="89">
        <v>23515088</v>
      </c>
      <c r="K2953" t="s">
        <v>127</v>
      </c>
      <c r="L2953" t="s">
        <v>128</v>
      </c>
      <c r="M2953" t="s">
        <v>152</v>
      </c>
      <c r="N2953">
        <v>1</v>
      </c>
      <c r="O2953" s="89">
        <v>44090.79</v>
      </c>
      <c r="P2953" s="89">
        <v>352726.32</v>
      </c>
      <c r="Q2953" t="s">
        <v>130</v>
      </c>
      <c r="R2953" t="s">
        <v>42</v>
      </c>
    </row>
    <row r="2954" spans="3:18" hidden="1" x14ac:dyDescent="0.25">
      <c r="C2954" t="s">
        <v>45</v>
      </c>
      <c r="D2954" t="s">
        <v>19</v>
      </c>
      <c r="E2954" t="s">
        <v>43</v>
      </c>
      <c r="F2954" t="s">
        <v>41</v>
      </c>
      <c r="G2954" s="89">
        <v>2399</v>
      </c>
      <c r="H2954" t="s">
        <v>42</v>
      </c>
      <c r="I2954" t="s">
        <v>147</v>
      </c>
      <c r="J2954" s="89">
        <v>0</v>
      </c>
      <c r="K2954" t="s">
        <v>134</v>
      </c>
      <c r="L2954" t="s">
        <v>128</v>
      </c>
      <c r="M2954" t="s">
        <v>136</v>
      </c>
      <c r="N2954">
        <v>1</v>
      </c>
      <c r="O2954" s="89">
        <v>71.97</v>
      </c>
      <c r="P2954" s="89">
        <v>23.99</v>
      </c>
      <c r="Q2954" t="s">
        <v>130</v>
      </c>
      <c r="R2954" t="s">
        <v>131</v>
      </c>
    </row>
    <row r="2955" spans="3:18" hidden="1" x14ac:dyDescent="0.25">
      <c r="C2955" t="s">
        <v>45</v>
      </c>
      <c r="D2955" t="s">
        <v>22</v>
      </c>
      <c r="E2955" t="s">
        <v>44</v>
      </c>
      <c r="F2955" t="s">
        <v>41</v>
      </c>
      <c r="G2955" s="89">
        <v>36514401</v>
      </c>
      <c r="H2955" t="s">
        <v>42</v>
      </c>
      <c r="I2955" t="s">
        <v>133</v>
      </c>
      <c r="J2955" s="89">
        <v>1204975233</v>
      </c>
      <c r="K2955" t="s">
        <v>144</v>
      </c>
      <c r="N2955">
        <v>1</v>
      </c>
      <c r="O2955" s="89">
        <v>1095432.03</v>
      </c>
      <c r="P2955" s="89">
        <v>26290368.719999999</v>
      </c>
      <c r="Q2955" t="s">
        <v>137</v>
      </c>
      <c r="R2955" t="s">
        <v>42</v>
      </c>
    </row>
    <row r="2956" spans="3:18" hidden="1" x14ac:dyDescent="0.25">
      <c r="C2956" t="s">
        <v>45</v>
      </c>
      <c r="D2956" t="s">
        <v>21</v>
      </c>
      <c r="E2956" t="s">
        <v>40</v>
      </c>
      <c r="F2956" t="s">
        <v>41</v>
      </c>
      <c r="G2956" s="89">
        <v>6006574</v>
      </c>
      <c r="H2956" t="s">
        <v>140</v>
      </c>
      <c r="I2956" t="s">
        <v>147</v>
      </c>
      <c r="J2956" s="89">
        <v>30032870</v>
      </c>
      <c r="K2956" t="s">
        <v>144</v>
      </c>
      <c r="N2956">
        <v>1</v>
      </c>
      <c r="O2956" s="89">
        <v>240262.96</v>
      </c>
      <c r="P2956" s="89">
        <v>2823089.78</v>
      </c>
      <c r="Q2956" t="s">
        <v>142</v>
      </c>
      <c r="R2956" t="s">
        <v>131</v>
      </c>
    </row>
    <row r="2957" spans="3:18" hidden="1" x14ac:dyDescent="0.25">
      <c r="C2957" t="s">
        <v>45</v>
      </c>
      <c r="D2957" t="s">
        <v>138</v>
      </c>
      <c r="E2957" t="s">
        <v>43</v>
      </c>
      <c r="F2957" t="s">
        <v>41</v>
      </c>
      <c r="G2957" s="89">
        <v>114825</v>
      </c>
      <c r="H2957" t="s">
        <v>42</v>
      </c>
      <c r="I2957" t="s">
        <v>126</v>
      </c>
      <c r="J2957" s="89">
        <v>2296500</v>
      </c>
      <c r="K2957" t="s">
        <v>127</v>
      </c>
      <c r="L2957" t="s">
        <v>128</v>
      </c>
      <c r="M2957" t="s">
        <v>148</v>
      </c>
      <c r="N2957">
        <v>1</v>
      </c>
      <c r="O2957" s="89">
        <v>2296.5</v>
      </c>
      <c r="P2957" s="89">
        <v>47078.25</v>
      </c>
      <c r="Q2957" t="s">
        <v>142</v>
      </c>
      <c r="R2957" t="s">
        <v>42</v>
      </c>
    </row>
    <row r="2958" spans="3:18" hidden="1" x14ac:dyDescent="0.25">
      <c r="C2958" t="s">
        <v>45</v>
      </c>
      <c r="D2958" t="s">
        <v>21</v>
      </c>
      <c r="E2958" t="s">
        <v>43</v>
      </c>
      <c r="F2958" t="s">
        <v>53</v>
      </c>
      <c r="G2958" s="89">
        <v>55088</v>
      </c>
      <c r="H2958" t="s">
        <v>132</v>
      </c>
      <c r="I2958" t="s">
        <v>126</v>
      </c>
      <c r="J2958" s="89">
        <v>1046672</v>
      </c>
      <c r="K2958" t="s">
        <v>144</v>
      </c>
      <c r="N2958">
        <v>1</v>
      </c>
      <c r="O2958" s="89">
        <v>1652.64</v>
      </c>
      <c r="P2958" s="89">
        <v>17628.16</v>
      </c>
      <c r="Q2958" t="s">
        <v>130</v>
      </c>
      <c r="R2958" t="s">
        <v>131</v>
      </c>
    </row>
    <row r="2959" spans="3:18" x14ac:dyDescent="0.25">
      <c r="C2959" t="s">
        <v>47</v>
      </c>
      <c r="D2959" t="s">
        <v>25</v>
      </c>
      <c r="E2959" t="s">
        <v>40</v>
      </c>
      <c r="F2959" t="s">
        <v>41</v>
      </c>
      <c r="G2959" s="89">
        <v>261749</v>
      </c>
      <c r="H2959" t="s">
        <v>146</v>
      </c>
      <c r="I2959" t="s">
        <v>147</v>
      </c>
      <c r="J2959" s="89"/>
      <c r="K2959" t="s">
        <v>127</v>
      </c>
      <c r="L2959" t="s">
        <v>128</v>
      </c>
      <c r="N2959">
        <v>0</v>
      </c>
      <c r="O2959" s="89">
        <v>5234.9799999999996</v>
      </c>
      <c r="P2959" s="89">
        <v>34027.370000000003</v>
      </c>
      <c r="Q2959" t="s">
        <v>130</v>
      </c>
      <c r="R2959" t="s">
        <v>131</v>
      </c>
    </row>
    <row r="2960" spans="3:18" hidden="1" x14ac:dyDescent="0.25">
      <c r="C2960" t="s">
        <v>45</v>
      </c>
      <c r="D2960" t="s">
        <v>20</v>
      </c>
      <c r="E2960" t="s">
        <v>40</v>
      </c>
      <c r="F2960" t="s">
        <v>41</v>
      </c>
      <c r="G2960" s="89">
        <v>164295</v>
      </c>
      <c r="H2960" t="s">
        <v>42</v>
      </c>
      <c r="I2960" t="s">
        <v>126</v>
      </c>
      <c r="J2960" s="89">
        <v>1971540</v>
      </c>
      <c r="K2960" t="s">
        <v>127</v>
      </c>
      <c r="L2960" t="s">
        <v>128</v>
      </c>
      <c r="M2960" t="s">
        <v>139</v>
      </c>
      <c r="N2960">
        <v>1</v>
      </c>
      <c r="O2960" s="89">
        <v>4928.8500000000004</v>
      </c>
      <c r="P2960" s="89">
        <v>113363.55</v>
      </c>
      <c r="Q2960" t="s">
        <v>137</v>
      </c>
      <c r="R2960" t="s">
        <v>42</v>
      </c>
    </row>
    <row r="2961" spans="3:18" hidden="1" x14ac:dyDescent="0.25">
      <c r="C2961" t="s">
        <v>45</v>
      </c>
      <c r="D2961" t="s">
        <v>24</v>
      </c>
      <c r="E2961" t="s">
        <v>40</v>
      </c>
      <c r="F2961" t="s">
        <v>41</v>
      </c>
      <c r="G2961" s="89">
        <v>22537</v>
      </c>
      <c r="H2961" t="s">
        <v>42</v>
      </c>
      <c r="I2961" t="s">
        <v>133</v>
      </c>
      <c r="J2961" s="89">
        <v>495814</v>
      </c>
      <c r="K2961" t="s">
        <v>134</v>
      </c>
      <c r="L2961" t="s">
        <v>128</v>
      </c>
      <c r="M2961" t="s">
        <v>148</v>
      </c>
      <c r="N2961">
        <v>1</v>
      </c>
      <c r="O2961" s="89">
        <v>676.11</v>
      </c>
      <c r="P2961" s="89">
        <v>3380.55</v>
      </c>
      <c r="Q2961" t="s">
        <v>130</v>
      </c>
      <c r="R2961" t="s">
        <v>131</v>
      </c>
    </row>
    <row r="2962" spans="3:18" hidden="1" x14ac:dyDescent="0.25">
      <c r="C2962" t="s">
        <v>45</v>
      </c>
      <c r="D2962" t="s">
        <v>22</v>
      </c>
      <c r="E2962" t="s">
        <v>40</v>
      </c>
      <c r="F2962" t="s">
        <v>41</v>
      </c>
      <c r="G2962" s="89">
        <v>248877</v>
      </c>
      <c r="H2962" t="s">
        <v>132</v>
      </c>
      <c r="I2962" t="s">
        <v>133</v>
      </c>
      <c r="J2962" s="89">
        <v>5724171</v>
      </c>
      <c r="K2962" t="s">
        <v>127</v>
      </c>
      <c r="L2962" t="s">
        <v>151</v>
      </c>
      <c r="N2962">
        <v>1</v>
      </c>
      <c r="O2962" s="89">
        <v>7466.31</v>
      </c>
      <c r="P2962" s="89">
        <v>74663.100000000006</v>
      </c>
      <c r="Q2962" t="s">
        <v>130</v>
      </c>
      <c r="R2962" t="s">
        <v>131</v>
      </c>
    </row>
    <row r="2963" spans="3:18" x14ac:dyDescent="0.25">
      <c r="C2963" t="s">
        <v>47</v>
      </c>
      <c r="D2963" t="s">
        <v>21</v>
      </c>
      <c r="E2963" t="s">
        <v>40</v>
      </c>
      <c r="F2963" t="s">
        <v>41</v>
      </c>
      <c r="G2963" s="89">
        <v>3269182</v>
      </c>
      <c r="H2963" t="s">
        <v>140</v>
      </c>
      <c r="I2963" t="s">
        <v>141</v>
      </c>
      <c r="J2963" s="89">
        <v>22884274</v>
      </c>
      <c r="K2963" t="s">
        <v>144</v>
      </c>
      <c r="N2963">
        <v>1</v>
      </c>
      <c r="O2963" s="89">
        <v>130767.28</v>
      </c>
      <c r="P2963" s="89">
        <v>1078830.06</v>
      </c>
      <c r="Q2963" t="s">
        <v>130</v>
      </c>
      <c r="R2963" t="s">
        <v>131</v>
      </c>
    </row>
    <row r="2964" spans="3:18" hidden="1" x14ac:dyDescent="0.25">
      <c r="C2964" t="s">
        <v>45</v>
      </c>
      <c r="D2964" t="s">
        <v>21</v>
      </c>
      <c r="E2964" t="s">
        <v>43</v>
      </c>
      <c r="F2964" t="s">
        <v>41</v>
      </c>
      <c r="G2964" s="89">
        <v>1065287</v>
      </c>
      <c r="H2964" t="s">
        <v>145</v>
      </c>
      <c r="I2964" t="s">
        <v>133</v>
      </c>
      <c r="J2964" s="89">
        <v>26632175</v>
      </c>
      <c r="K2964" t="s">
        <v>134</v>
      </c>
      <c r="L2964" t="s">
        <v>128</v>
      </c>
      <c r="N2964">
        <v>1</v>
      </c>
      <c r="O2964" s="89">
        <v>31958.61</v>
      </c>
      <c r="P2964" s="89">
        <v>330238.96999999997</v>
      </c>
      <c r="Q2964" t="s">
        <v>130</v>
      </c>
      <c r="R2964" t="s">
        <v>131</v>
      </c>
    </row>
    <row r="2965" spans="3:18" hidden="1" x14ac:dyDescent="0.25">
      <c r="C2965" t="s">
        <v>45</v>
      </c>
      <c r="D2965" t="s">
        <v>23</v>
      </c>
      <c r="E2965" t="s">
        <v>48</v>
      </c>
      <c r="F2965" t="s">
        <v>41</v>
      </c>
      <c r="G2965" s="89">
        <v>1902096</v>
      </c>
      <c r="H2965" t="s">
        <v>42</v>
      </c>
      <c r="I2965" t="s">
        <v>126</v>
      </c>
      <c r="J2965" s="89">
        <v>30433536</v>
      </c>
      <c r="K2965" t="s">
        <v>127</v>
      </c>
      <c r="L2965" t="s">
        <v>128</v>
      </c>
      <c r="M2965" t="s">
        <v>152</v>
      </c>
      <c r="N2965">
        <v>1</v>
      </c>
      <c r="O2965" s="89">
        <v>76083.839999999997</v>
      </c>
      <c r="P2965" s="89">
        <v>951048</v>
      </c>
      <c r="Q2965" t="s">
        <v>142</v>
      </c>
      <c r="R2965" t="s">
        <v>42</v>
      </c>
    </row>
    <row r="2966" spans="3:18" hidden="1" x14ac:dyDescent="0.25">
      <c r="C2966" t="s">
        <v>45</v>
      </c>
      <c r="D2966" t="s">
        <v>138</v>
      </c>
      <c r="E2966" t="s">
        <v>43</v>
      </c>
      <c r="F2966" t="s">
        <v>41</v>
      </c>
      <c r="G2966" s="89">
        <v>43767</v>
      </c>
      <c r="H2966" t="s">
        <v>140</v>
      </c>
      <c r="I2966" t="s">
        <v>141</v>
      </c>
      <c r="J2966" s="89">
        <v>437670</v>
      </c>
      <c r="K2966" t="s">
        <v>144</v>
      </c>
      <c r="N2966">
        <v>1</v>
      </c>
      <c r="O2966" s="89">
        <v>1313.01</v>
      </c>
      <c r="P2966" s="89">
        <v>28448.55</v>
      </c>
      <c r="Q2966" t="s">
        <v>137</v>
      </c>
      <c r="R2966" t="s">
        <v>131</v>
      </c>
    </row>
    <row r="2967" spans="3:18" hidden="1" x14ac:dyDescent="0.25">
      <c r="C2967" t="s">
        <v>45</v>
      </c>
      <c r="D2967" t="s">
        <v>25</v>
      </c>
      <c r="E2967" t="s">
        <v>40</v>
      </c>
      <c r="F2967" t="s">
        <v>41</v>
      </c>
      <c r="G2967" s="89">
        <v>76393</v>
      </c>
      <c r="H2967" t="s">
        <v>145</v>
      </c>
      <c r="I2967" t="s">
        <v>133</v>
      </c>
      <c r="J2967" s="89">
        <v>2368183</v>
      </c>
      <c r="K2967" t="s">
        <v>144</v>
      </c>
      <c r="N2967">
        <v>1</v>
      </c>
      <c r="O2967" s="89">
        <v>2291.79</v>
      </c>
      <c r="P2967" s="89">
        <v>38960.43</v>
      </c>
      <c r="Q2967" t="s">
        <v>142</v>
      </c>
      <c r="R2967" t="s">
        <v>131</v>
      </c>
    </row>
    <row r="2968" spans="3:18" hidden="1" x14ac:dyDescent="0.25">
      <c r="C2968" t="s">
        <v>45</v>
      </c>
      <c r="D2968" t="s">
        <v>21</v>
      </c>
      <c r="E2968" t="s">
        <v>43</v>
      </c>
      <c r="F2968" t="s">
        <v>53</v>
      </c>
      <c r="G2968" s="89">
        <v>164591</v>
      </c>
      <c r="H2968" t="s">
        <v>42</v>
      </c>
      <c r="I2968" t="s">
        <v>133</v>
      </c>
      <c r="J2968" s="89">
        <v>4443957</v>
      </c>
      <c r="K2968" t="s">
        <v>144</v>
      </c>
      <c r="N2968">
        <v>1</v>
      </c>
      <c r="O2968" s="89">
        <v>4937.7299999999996</v>
      </c>
      <c r="P2968" s="89">
        <v>138256.44</v>
      </c>
      <c r="Q2968" t="s">
        <v>135</v>
      </c>
      <c r="R2968" t="s">
        <v>131</v>
      </c>
    </row>
    <row r="2969" spans="3:18" hidden="1" x14ac:dyDescent="0.25">
      <c r="C2969" t="s">
        <v>45</v>
      </c>
      <c r="D2969" t="s">
        <v>22</v>
      </c>
      <c r="E2969" t="s">
        <v>40</v>
      </c>
      <c r="F2969" t="s">
        <v>41</v>
      </c>
      <c r="G2969" s="89">
        <v>48254</v>
      </c>
      <c r="H2969" t="s">
        <v>42</v>
      </c>
      <c r="I2969" t="s">
        <v>126</v>
      </c>
      <c r="J2969" s="89">
        <v>868572</v>
      </c>
      <c r="K2969" t="s">
        <v>127</v>
      </c>
      <c r="L2969" t="s">
        <v>128</v>
      </c>
      <c r="M2969" t="s">
        <v>129</v>
      </c>
      <c r="N2969">
        <v>1</v>
      </c>
      <c r="O2969" s="89">
        <v>1447.62</v>
      </c>
      <c r="P2969" s="89">
        <v>30400.02</v>
      </c>
      <c r="Q2969" t="s">
        <v>137</v>
      </c>
      <c r="R2969" t="s">
        <v>42</v>
      </c>
    </row>
    <row r="2970" spans="3:18" hidden="1" x14ac:dyDescent="0.25">
      <c r="C2970" t="s">
        <v>45</v>
      </c>
      <c r="D2970" t="s">
        <v>21</v>
      </c>
      <c r="E2970" t="s">
        <v>46</v>
      </c>
      <c r="F2970" t="s">
        <v>41</v>
      </c>
      <c r="G2970" s="89">
        <v>205628</v>
      </c>
      <c r="H2970" t="s">
        <v>42</v>
      </c>
      <c r="I2970" t="s">
        <v>133</v>
      </c>
      <c r="J2970" s="89">
        <v>7196980</v>
      </c>
      <c r="K2970" t="s">
        <v>144</v>
      </c>
      <c r="N2970">
        <v>1</v>
      </c>
      <c r="O2970" s="89">
        <v>6168.84</v>
      </c>
      <c r="P2970" s="89">
        <v>98701.440000000002</v>
      </c>
      <c r="Q2970" t="s">
        <v>142</v>
      </c>
      <c r="R2970" t="s">
        <v>42</v>
      </c>
    </row>
    <row r="2971" spans="3:18" hidden="1" x14ac:dyDescent="0.25">
      <c r="C2971" t="s">
        <v>45</v>
      </c>
      <c r="D2971" t="s">
        <v>21</v>
      </c>
      <c r="E2971" t="s">
        <v>43</v>
      </c>
      <c r="F2971" t="s">
        <v>41</v>
      </c>
      <c r="G2971" s="89">
        <v>328150</v>
      </c>
      <c r="H2971" t="s">
        <v>42</v>
      </c>
      <c r="I2971" t="s">
        <v>126</v>
      </c>
      <c r="J2971" s="89">
        <v>5906700</v>
      </c>
      <c r="K2971" t="s">
        <v>144</v>
      </c>
      <c r="N2971">
        <v>1</v>
      </c>
      <c r="O2971" s="89">
        <v>9844.5</v>
      </c>
      <c r="P2971" s="89">
        <v>269083</v>
      </c>
      <c r="Q2971" t="s">
        <v>135</v>
      </c>
      <c r="R2971" t="s">
        <v>131</v>
      </c>
    </row>
    <row r="2972" spans="3:18" hidden="1" x14ac:dyDescent="0.25">
      <c r="C2972" t="s">
        <v>45</v>
      </c>
      <c r="D2972" t="s">
        <v>23</v>
      </c>
      <c r="E2972" t="s">
        <v>44</v>
      </c>
      <c r="F2972" t="s">
        <v>41</v>
      </c>
      <c r="G2972" s="89">
        <v>1379709</v>
      </c>
      <c r="H2972" t="s">
        <v>42</v>
      </c>
      <c r="I2972" t="s">
        <v>126</v>
      </c>
      <c r="J2972" s="89">
        <v>24834762</v>
      </c>
      <c r="K2972" t="s">
        <v>127</v>
      </c>
      <c r="L2972" t="s">
        <v>128</v>
      </c>
      <c r="M2972" t="s">
        <v>152</v>
      </c>
      <c r="N2972">
        <v>1</v>
      </c>
      <c r="O2972" s="89">
        <v>41391.269999999997</v>
      </c>
      <c r="P2972" s="89">
        <v>924405.03</v>
      </c>
      <c r="Q2972" t="s">
        <v>137</v>
      </c>
      <c r="R2972" t="s">
        <v>42</v>
      </c>
    </row>
    <row r="2973" spans="3:18" x14ac:dyDescent="0.25">
      <c r="C2973" t="s">
        <v>47</v>
      </c>
      <c r="D2973" t="s">
        <v>21</v>
      </c>
      <c r="E2973" t="s">
        <v>43</v>
      </c>
      <c r="F2973" t="s">
        <v>41</v>
      </c>
      <c r="G2973" s="89">
        <v>963955</v>
      </c>
      <c r="H2973" t="s">
        <v>140</v>
      </c>
      <c r="I2973" t="s">
        <v>126</v>
      </c>
      <c r="J2973" s="89">
        <v>12531415</v>
      </c>
      <c r="K2973" t="s">
        <v>144</v>
      </c>
      <c r="N2973">
        <v>1</v>
      </c>
      <c r="O2973" s="89">
        <v>48197.75</v>
      </c>
      <c r="P2973" s="89">
        <v>183151.45</v>
      </c>
      <c r="Q2973" t="s">
        <v>130</v>
      </c>
      <c r="R2973" t="s">
        <v>131</v>
      </c>
    </row>
    <row r="2974" spans="3:18" hidden="1" x14ac:dyDescent="0.25">
      <c r="C2974" t="s">
        <v>45</v>
      </c>
      <c r="D2974" t="s">
        <v>24</v>
      </c>
      <c r="E2974" t="s">
        <v>40</v>
      </c>
      <c r="F2974" t="s">
        <v>41</v>
      </c>
      <c r="G2974" s="89">
        <v>579881</v>
      </c>
      <c r="H2974" t="s">
        <v>140</v>
      </c>
      <c r="I2974" t="s">
        <v>147</v>
      </c>
      <c r="J2974" s="89">
        <v>1739643</v>
      </c>
      <c r="K2974" t="s">
        <v>127</v>
      </c>
      <c r="L2974" t="s">
        <v>128</v>
      </c>
      <c r="N2974">
        <v>1</v>
      </c>
      <c r="O2974" s="89">
        <v>17396.43</v>
      </c>
      <c r="P2974" s="89">
        <v>57988.1</v>
      </c>
      <c r="Q2974" t="s">
        <v>130</v>
      </c>
      <c r="R2974" t="s">
        <v>131</v>
      </c>
    </row>
    <row r="2975" spans="3:18" hidden="1" x14ac:dyDescent="0.25">
      <c r="C2975" t="s">
        <v>45</v>
      </c>
      <c r="D2975" t="s">
        <v>22</v>
      </c>
      <c r="E2975" t="s">
        <v>40</v>
      </c>
      <c r="F2975" t="s">
        <v>41</v>
      </c>
      <c r="G2975" s="89">
        <v>83432340</v>
      </c>
      <c r="H2975" t="s">
        <v>145</v>
      </c>
      <c r="I2975" t="s">
        <v>133</v>
      </c>
      <c r="J2975" s="89">
        <v>2169240840</v>
      </c>
      <c r="K2975" t="s">
        <v>127</v>
      </c>
      <c r="L2975" t="s">
        <v>128</v>
      </c>
      <c r="N2975">
        <v>1</v>
      </c>
      <c r="O2975" s="89">
        <v>2502970.2000000002</v>
      </c>
      <c r="P2975" s="89">
        <v>43384816.799999997</v>
      </c>
      <c r="Q2975" t="s">
        <v>142</v>
      </c>
      <c r="R2975" t="s">
        <v>131</v>
      </c>
    </row>
    <row r="2976" spans="3:18" hidden="1" x14ac:dyDescent="0.25">
      <c r="C2976" t="s">
        <v>45</v>
      </c>
      <c r="D2976" t="s">
        <v>22</v>
      </c>
      <c r="E2976" t="s">
        <v>44</v>
      </c>
      <c r="F2976" t="s">
        <v>41</v>
      </c>
      <c r="G2976" s="89">
        <v>455077</v>
      </c>
      <c r="H2976" t="s">
        <v>42</v>
      </c>
      <c r="I2976" t="s">
        <v>126</v>
      </c>
      <c r="J2976" s="89">
        <v>8646463</v>
      </c>
      <c r="K2976" t="s">
        <v>144</v>
      </c>
      <c r="N2976">
        <v>1</v>
      </c>
      <c r="O2976" s="89">
        <v>13652.31</v>
      </c>
      <c r="P2976" s="89">
        <v>373163.14</v>
      </c>
      <c r="Q2976" t="s">
        <v>135</v>
      </c>
      <c r="R2976" t="s">
        <v>42</v>
      </c>
    </row>
    <row r="2977" spans="3:18" hidden="1" x14ac:dyDescent="0.25">
      <c r="C2977" t="s">
        <v>45</v>
      </c>
      <c r="D2977" t="s">
        <v>22</v>
      </c>
      <c r="E2977" t="s">
        <v>40</v>
      </c>
      <c r="F2977" t="s">
        <v>41</v>
      </c>
      <c r="G2977" s="89">
        <v>14048</v>
      </c>
      <c r="H2977" t="s">
        <v>145</v>
      </c>
      <c r="I2977" t="s">
        <v>141</v>
      </c>
      <c r="J2977" s="89">
        <v>84288</v>
      </c>
      <c r="K2977" t="s">
        <v>127</v>
      </c>
      <c r="L2977" t="s">
        <v>151</v>
      </c>
      <c r="N2977">
        <v>1</v>
      </c>
      <c r="O2977" s="89">
        <v>421.44</v>
      </c>
      <c r="P2977" s="89">
        <v>1264.32</v>
      </c>
      <c r="Q2977" t="s">
        <v>130</v>
      </c>
      <c r="R2977" t="s">
        <v>131</v>
      </c>
    </row>
    <row r="2978" spans="3:18" hidden="1" x14ac:dyDescent="0.25">
      <c r="C2978" t="s">
        <v>45</v>
      </c>
      <c r="D2978" t="s">
        <v>23</v>
      </c>
      <c r="E2978" t="s">
        <v>43</v>
      </c>
      <c r="F2978" t="s">
        <v>41</v>
      </c>
      <c r="G2978" s="89">
        <v>3678459</v>
      </c>
      <c r="H2978" t="s">
        <v>140</v>
      </c>
      <c r="I2978" t="s">
        <v>126</v>
      </c>
      <c r="J2978" s="89">
        <v>51498426</v>
      </c>
      <c r="K2978" t="s">
        <v>127</v>
      </c>
      <c r="L2978" t="s">
        <v>128</v>
      </c>
      <c r="N2978">
        <v>1</v>
      </c>
      <c r="O2978" s="89">
        <v>110353.77</v>
      </c>
      <c r="P2978" s="89">
        <v>956399.34</v>
      </c>
      <c r="Q2978" t="s">
        <v>130</v>
      </c>
      <c r="R2978" t="s">
        <v>131</v>
      </c>
    </row>
    <row r="2979" spans="3:18" hidden="1" x14ac:dyDescent="0.25">
      <c r="C2979" t="s">
        <v>45</v>
      </c>
      <c r="D2979" t="s">
        <v>22</v>
      </c>
      <c r="E2979" t="s">
        <v>40</v>
      </c>
      <c r="F2979" t="s">
        <v>41</v>
      </c>
      <c r="G2979" s="89">
        <v>148160</v>
      </c>
      <c r="H2979" t="s">
        <v>140</v>
      </c>
      <c r="I2979" t="s">
        <v>141</v>
      </c>
      <c r="J2979" s="89">
        <v>1481600</v>
      </c>
      <c r="K2979" t="s">
        <v>134</v>
      </c>
      <c r="L2979" t="s">
        <v>128</v>
      </c>
      <c r="N2979">
        <v>1</v>
      </c>
      <c r="O2979" s="89">
        <v>4444.8</v>
      </c>
      <c r="P2979" s="89">
        <v>109638.39999999999</v>
      </c>
      <c r="Q2979" t="s">
        <v>137</v>
      </c>
      <c r="R2979" t="s">
        <v>131</v>
      </c>
    </row>
    <row r="2980" spans="3:18" hidden="1" x14ac:dyDescent="0.25">
      <c r="C2980" t="s">
        <v>45</v>
      </c>
      <c r="D2980" t="s">
        <v>24</v>
      </c>
      <c r="E2980" t="s">
        <v>48</v>
      </c>
      <c r="F2980" t="s">
        <v>41</v>
      </c>
      <c r="G2980" s="89">
        <v>1092844</v>
      </c>
      <c r="H2980" t="s">
        <v>132</v>
      </c>
      <c r="I2980" t="s">
        <v>126</v>
      </c>
      <c r="J2980" s="89">
        <v>19671192</v>
      </c>
      <c r="K2980" t="s">
        <v>127</v>
      </c>
      <c r="L2980" t="s">
        <v>128</v>
      </c>
      <c r="N2980">
        <v>1</v>
      </c>
      <c r="O2980" s="89">
        <v>32785.32</v>
      </c>
      <c r="P2980" s="89">
        <v>743133.92</v>
      </c>
      <c r="Q2980" t="s">
        <v>137</v>
      </c>
      <c r="R2980" t="s">
        <v>131</v>
      </c>
    </row>
    <row r="2981" spans="3:18" hidden="1" x14ac:dyDescent="0.25">
      <c r="C2981" t="s">
        <v>45</v>
      </c>
      <c r="D2981" t="s">
        <v>22</v>
      </c>
      <c r="E2981" t="s">
        <v>43</v>
      </c>
      <c r="F2981" t="s">
        <v>41</v>
      </c>
      <c r="G2981" s="89">
        <v>394799</v>
      </c>
      <c r="H2981" t="s">
        <v>42</v>
      </c>
      <c r="I2981" t="s">
        <v>133</v>
      </c>
      <c r="J2981" s="89">
        <v>13028367</v>
      </c>
      <c r="K2981" t="s">
        <v>127</v>
      </c>
      <c r="L2981" t="s">
        <v>128</v>
      </c>
      <c r="M2981" t="s">
        <v>143</v>
      </c>
      <c r="N2981">
        <v>1</v>
      </c>
      <c r="O2981" s="89">
        <v>11843.97</v>
      </c>
      <c r="P2981" s="89">
        <v>438226.89</v>
      </c>
      <c r="Q2981" t="s">
        <v>150</v>
      </c>
      <c r="R2981" t="s">
        <v>131</v>
      </c>
    </row>
    <row r="2982" spans="3:18" x14ac:dyDescent="0.25">
      <c r="C2982" t="s">
        <v>47</v>
      </c>
      <c r="D2982" t="s">
        <v>19</v>
      </c>
      <c r="E2982" t="s">
        <v>43</v>
      </c>
      <c r="F2982" t="s">
        <v>41</v>
      </c>
      <c r="G2982" s="89">
        <v>148294</v>
      </c>
      <c r="H2982" t="s">
        <v>132</v>
      </c>
      <c r="I2982" t="s">
        <v>147</v>
      </c>
      <c r="J2982" s="89">
        <v>741470</v>
      </c>
      <c r="K2982" t="s">
        <v>127</v>
      </c>
      <c r="L2982" t="s">
        <v>128</v>
      </c>
      <c r="N2982">
        <v>1</v>
      </c>
      <c r="O2982" s="89">
        <v>7414.7</v>
      </c>
      <c r="P2982" s="89">
        <v>50419.96</v>
      </c>
      <c r="Q2982" t="s">
        <v>130</v>
      </c>
      <c r="R2982" t="s">
        <v>131</v>
      </c>
    </row>
    <row r="2983" spans="3:18" hidden="1" x14ac:dyDescent="0.25">
      <c r="C2983" t="s">
        <v>45</v>
      </c>
      <c r="D2983" t="s">
        <v>138</v>
      </c>
      <c r="E2983" t="s">
        <v>43</v>
      </c>
      <c r="F2983" t="s">
        <v>41</v>
      </c>
      <c r="G2983" s="89">
        <v>33073</v>
      </c>
      <c r="H2983" t="s">
        <v>145</v>
      </c>
      <c r="I2983" t="s">
        <v>147</v>
      </c>
      <c r="J2983" s="89">
        <v>99219</v>
      </c>
      <c r="K2983" t="s">
        <v>134</v>
      </c>
      <c r="L2983" t="s">
        <v>128</v>
      </c>
      <c r="N2983">
        <v>1</v>
      </c>
      <c r="O2983" s="89">
        <v>992.19</v>
      </c>
      <c r="P2983" s="89">
        <v>5291.68</v>
      </c>
      <c r="Q2983" t="s">
        <v>130</v>
      </c>
      <c r="R2983" t="s">
        <v>131</v>
      </c>
    </row>
    <row r="2984" spans="3:18" hidden="1" x14ac:dyDescent="0.25">
      <c r="C2984" t="s">
        <v>45</v>
      </c>
      <c r="D2984" t="s">
        <v>19</v>
      </c>
      <c r="E2984" t="s">
        <v>43</v>
      </c>
      <c r="F2984" t="s">
        <v>41</v>
      </c>
      <c r="G2984" s="89">
        <v>25991778</v>
      </c>
      <c r="H2984" t="s">
        <v>146</v>
      </c>
      <c r="I2984" t="s">
        <v>126</v>
      </c>
      <c r="J2984" s="89">
        <v>389876670</v>
      </c>
      <c r="K2984" t="s">
        <v>127</v>
      </c>
      <c r="L2984" t="s">
        <v>128</v>
      </c>
      <c r="N2984">
        <v>1</v>
      </c>
      <c r="O2984" s="89">
        <v>779753.34</v>
      </c>
      <c r="P2984" s="89">
        <v>5458273.3799999999</v>
      </c>
      <c r="Q2984" t="s">
        <v>130</v>
      </c>
      <c r="R2984" t="s">
        <v>131</v>
      </c>
    </row>
    <row r="2985" spans="3:18" hidden="1" x14ac:dyDescent="0.25">
      <c r="C2985" t="s">
        <v>45</v>
      </c>
      <c r="D2985" t="s">
        <v>21</v>
      </c>
      <c r="E2985" t="s">
        <v>40</v>
      </c>
      <c r="F2985" t="s">
        <v>41</v>
      </c>
      <c r="G2985" s="89">
        <v>612560</v>
      </c>
      <c r="H2985" t="s">
        <v>146</v>
      </c>
      <c r="I2985" t="s">
        <v>133</v>
      </c>
      <c r="J2985" s="89">
        <v>19601920</v>
      </c>
      <c r="K2985" t="s">
        <v>144</v>
      </c>
      <c r="N2985">
        <v>1</v>
      </c>
      <c r="O2985" s="89">
        <v>18376.8</v>
      </c>
      <c r="P2985" s="89">
        <v>294028.79999999999</v>
      </c>
      <c r="Q2985" t="s">
        <v>142</v>
      </c>
      <c r="R2985" t="s">
        <v>131</v>
      </c>
    </row>
    <row r="2986" spans="3:18" hidden="1" x14ac:dyDescent="0.25">
      <c r="C2986" t="s">
        <v>45</v>
      </c>
      <c r="D2986" t="s">
        <v>22</v>
      </c>
      <c r="E2986" t="s">
        <v>46</v>
      </c>
      <c r="F2986" t="s">
        <v>41</v>
      </c>
      <c r="G2986" s="89">
        <v>8252354</v>
      </c>
      <c r="H2986" t="s">
        <v>42</v>
      </c>
      <c r="I2986" t="s">
        <v>133</v>
      </c>
      <c r="J2986" s="89">
        <v>264075328</v>
      </c>
      <c r="K2986" t="s">
        <v>127</v>
      </c>
      <c r="L2986" t="s">
        <v>128</v>
      </c>
      <c r="M2986" t="s">
        <v>143</v>
      </c>
      <c r="N2986">
        <v>1</v>
      </c>
      <c r="O2986" s="89">
        <v>247570.62</v>
      </c>
      <c r="P2986" s="89">
        <v>5859171.3399999999</v>
      </c>
      <c r="Q2986" t="s">
        <v>137</v>
      </c>
      <c r="R2986" t="s">
        <v>42</v>
      </c>
    </row>
    <row r="2987" spans="3:18" hidden="1" x14ac:dyDescent="0.25">
      <c r="C2987" t="s">
        <v>45</v>
      </c>
      <c r="D2987" t="s">
        <v>138</v>
      </c>
      <c r="E2987" t="s">
        <v>43</v>
      </c>
      <c r="F2987" t="s">
        <v>41</v>
      </c>
      <c r="G2987" s="89">
        <v>47159</v>
      </c>
      <c r="H2987" t="s">
        <v>140</v>
      </c>
      <c r="I2987" t="s">
        <v>147</v>
      </c>
      <c r="J2987" s="89">
        <v>141477</v>
      </c>
      <c r="K2987" t="s">
        <v>127</v>
      </c>
      <c r="L2987" t="s">
        <v>128</v>
      </c>
      <c r="N2987">
        <v>1</v>
      </c>
      <c r="O2987" s="89">
        <v>1414.77</v>
      </c>
      <c r="P2987" s="89">
        <v>23579.5</v>
      </c>
      <c r="Q2987" t="s">
        <v>142</v>
      </c>
      <c r="R2987" t="s">
        <v>131</v>
      </c>
    </row>
    <row r="2988" spans="3:18" hidden="1" x14ac:dyDescent="0.25">
      <c r="C2988" t="s">
        <v>45</v>
      </c>
      <c r="D2988" t="s">
        <v>21</v>
      </c>
      <c r="E2988" t="s">
        <v>40</v>
      </c>
      <c r="F2988" t="s">
        <v>41</v>
      </c>
      <c r="G2988" s="89">
        <v>4371</v>
      </c>
      <c r="H2988" t="s">
        <v>140</v>
      </c>
      <c r="I2988" t="s">
        <v>126</v>
      </c>
      <c r="J2988" s="89">
        <v>48081</v>
      </c>
      <c r="K2988" t="s">
        <v>134</v>
      </c>
      <c r="L2988" t="s">
        <v>128</v>
      </c>
      <c r="N2988">
        <v>1</v>
      </c>
      <c r="O2988" s="89">
        <v>131.13</v>
      </c>
      <c r="P2988" s="89">
        <v>218.55</v>
      </c>
      <c r="Q2988" t="s">
        <v>130</v>
      </c>
      <c r="R2988" t="s">
        <v>131</v>
      </c>
    </row>
    <row r="2989" spans="3:18" hidden="1" x14ac:dyDescent="0.25">
      <c r="C2989" t="s">
        <v>45</v>
      </c>
      <c r="D2989" t="s">
        <v>22</v>
      </c>
      <c r="E2989" t="s">
        <v>48</v>
      </c>
      <c r="F2989" t="s">
        <v>41</v>
      </c>
      <c r="G2989" s="89">
        <v>1047721</v>
      </c>
      <c r="H2989" t="s">
        <v>42</v>
      </c>
      <c r="I2989" t="s">
        <v>126</v>
      </c>
      <c r="J2989" s="89">
        <v>17811257</v>
      </c>
      <c r="K2989" t="s">
        <v>144</v>
      </c>
      <c r="N2989">
        <v>1</v>
      </c>
      <c r="O2989" s="89">
        <v>31431.63</v>
      </c>
      <c r="P2989" s="89">
        <v>513383.29</v>
      </c>
      <c r="Q2989" t="s">
        <v>142</v>
      </c>
      <c r="R2989" t="s">
        <v>42</v>
      </c>
    </row>
    <row r="2990" spans="3:18" hidden="1" x14ac:dyDescent="0.25">
      <c r="C2990" t="s">
        <v>45</v>
      </c>
      <c r="D2990" t="s">
        <v>23</v>
      </c>
      <c r="E2990" t="s">
        <v>40</v>
      </c>
      <c r="F2990" t="s">
        <v>41</v>
      </c>
      <c r="G2990" s="89">
        <v>276060</v>
      </c>
      <c r="H2990" t="s">
        <v>42</v>
      </c>
      <c r="I2990" t="s">
        <v>141</v>
      </c>
      <c r="J2990" s="89">
        <v>2208480</v>
      </c>
      <c r="K2990" t="s">
        <v>134</v>
      </c>
      <c r="L2990" t="s">
        <v>128</v>
      </c>
      <c r="M2990" t="s">
        <v>152</v>
      </c>
      <c r="N2990">
        <v>1</v>
      </c>
      <c r="O2990" s="89">
        <v>8281.7999999999993</v>
      </c>
      <c r="P2990" s="89">
        <v>69015</v>
      </c>
      <c r="Q2990" t="s">
        <v>130</v>
      </c>
      <c r="R2990" t="s">
        <v>131</v>
      </c>
    </row>
    <row r="2991" spans="3:18" x14ac:dyDescent="0.25">
      <c r="C2991" t="s">
        <v>47</v>
      </c>
      <c r="D2991" t="s">
        <v>22</v>
      </c>
      <c r="E2991" t="s">
        <v>40</v>
      </c>
      <c r="F2991" t="s">
        <v>41</v>
      </c>
      <c r="G2991" s="89">
        <v>89499</v>
      </c>
      <c r="H2991" t="s">
        <v>145</v>
      </c>
      <c r="I2991" t="s">
        <v>126</v>
      </c>
      <c r="J2991" s="89">
        <v>1073988</v>
      </c>
      <c r="K2991" t="s">
        <v>127</v>
      </c>
      <c r="L2991" t="s">
        <v>128</v>
      </c>
      <c r="N2991">
        <v>1</v>
      </c>
      <c r="O2991" s="89">
        <v>3579.96</v>
      </c>
      <c r="P2991" s="89">
        <v>28639.68</v>
      </c>
      <c r="Q2991" t="s">
        <v>130</v>
      </c>
      <c r="R2991" t="s">
        <v>131</v>
      </c>
    </row>
    <row r="2992" spans="3:18" hidden="1" x14ac:dyDescent="0.25">
      <c r="C2992" t="s">
        <v>45</v>
      </c>
      <c r="D2992" t="s">
        <v>23</v>
      </c>
      <c r="E2992" t="s">
        <v>40</v>
      </c>
      <c r="F2992" t="s">
        <v>41</v>
      </c>
      <c r="G2992" s="89">
        <v>25705562</v>
      </c>
      <c r="H2992" t="s">
        <v>145</v>
      </c>
      <c r="I2992" t="s">
        <v>126</v>
      </c>
      <c r="J2992" s="89">
        <v>411288992</v>
      </c>
      <c r="K2992" t="s">
        <v>127</v>
      </c>
      <c r="L2992" t="s">
        <v>128</v>
      </c>
      <c r="N2992">
        <v>1</v>
      </c>
      <c r="O2992" s="89">
        <v>771166.86</v>
      </c>
      <c r="P2992" s="89">
        <v>12595725.380000001</v>
      </c>
      <c r="Q2992" t="s">
        <v>142</v>
      </c>
      <c r="R2992" t="s">
        <v>131</v>
      </c>
    </row>
    <row r="2993" spans="3:18" hidden="1" x14ac:dyDescent="0.25">
      <c r="C2993" t="s">
        <v>45</v>
      </c>
      <c r="D2993" t="s">
        <v>22</v>
      </c>
      <c r="E2993" t="s">
        <v>40</v>
      </c>
      <c r="F2993" t="s">
        <v>41</v>
      </c>
      <c r="G2993" s="89">
        <v>36617261</v>
      </c>
      <c r="H2993" t="s">
        <v>132</v>
      </c>
      <c r="I2993" t="s">
        <v>133</v>
      </c>
      <c r="J2993" s="89">
        <v>952048786</v>
      </c>
      <c r="K2993" t="s">
        <v>127</v>
      </c>
      <c r="L2993" t="s">
        <v>128</v>
      </c>
      <c r="N2993">
        <v>1</v>
      </c>
      <c r="O2993" s="89">
        <v>1098517.83</v>
      </c>
      <c r="P2993" s="89">
        <v>10985178.300000001</v>
      </c>
      <c r="Q2993" t="s">
        <v>130</v>
      </c>
      <c r="R2993" t="s">
        <v>131</v>
      </c>
    </row>
    <row r="2994" spans="3:18" hidden="1" x14ac:dyDescent="0.25">
      <c r="C2994" t="s">
        <v>45</v>
      </c>
      <c r="D2994" t="s">
        <v>20</v>
      </c>
      <c r="E2994" t="s">
        <v>43</v>
      </c>
      <c r="F2994" t="s">
        <v>41</v>
      </c>
      <c r="G2994" s="89">
        <v>992023</v>
      </c>
      <c r="H2994" t="s">
        <v>132</v>
      </c>
      <c r="I2994" t="s">
        <v>133</v>
      </c>
      <c r="J2994" s="89">
        <v>28768667</v>
      </c>
      <c r="K2994" t="s">
        <v>144</v>
      </c>
      <c r="N2994">
        <v>1</v>
      </c>
      <c r="O2994" s="89">
        <v>29760.69</v>
      </c>
      <c r="P2994" s="89">
        <v>317447.36</v>
      </c>
      <c r="Q2994" t="s">
        <v>130</v>
      </c>
      <c r="R2994" t="s">
        <v>131</v>
      </c>
    </row>
    <row r="2995" spans="3:18" hidden="1" x14ac:dyDescent="0.25">
      <c r="C2995" t="s">
        <v>45</v>
      </c>
      <c r="D2995" t="s">
        <v>23</v>
      </c>
      <c r="E2995" t="s">
        <v>44</v>
      </c>
      <c r="F2995" t="s">
        <v>41</v>
      </c>
      <c r="G2995" s="89">
        <v>123707</v>
      </c>
      <c r="H2995" t="s">
        <v>42</v>
      </c>
      <c r="I2995" t="s">
        <v>133</v>
      </c>
      <c r="J2995" s="89">
        <v>4824573</v>
      </c>
      <c r="K2995" t="s">
        <v>127</v>
      </c>
      <c r="L2995" t="s">
        <v>128</v>
      </c>
      <c r="M2995" t="s">
        <v>152</v>
      </c>
      <c r="N2995">
        <v>1</v>
      </c>
      <c r="O2995" s="89">
        <v>3711.21</v>
      </c>
      <c r="P2995" s="89">
        <v>152159.60999999999</v>
      </c>
      <c r="Q2995" t="s">
        <v>150</v>
      </c>
      <c r="R2995" t="s">
        <v>42</v>
      </c>
    </row>
    <row r="2996" spans="3:18" hidden="1" x14ac:dyDescent="0.25">
      <c r="C2996" t="s">
        <v>45</v>
      </c>
      <c r="D2996" t="s">
        <v>22</v>
      </c>
      <c r="E2996" t="s">
        <v>40</v>
      </c>
      <c r="F2996" t="s">
        <v>41</v>
      </c>
      <c r="G2996" s="89">
        <v>22874419</v>
      </c>
      <c r="H2996" t="s">
        <v>42</v>
      </c>
      <c r="I2996" t="s">
        <v>133</v>
      </c>
      <c r="J2996" s="89">
        <v>663358151</v>
      </c>
      <c r="K2996" t="s">
        <v>127</v>
      </c>
      <c r="L2996" t="s">
        <v>128</v>
      </c>
      <c r="M2996" t="s">
        <v>143</v>
      </c>
      <c r="N2996">
        <v>1</v>
      </c>
      <c r="O2996" s="89">
        <v>686232.57</v>
      </c>
      <c r="P2996" s="89">
        <v>11665953.689999999</v>
      </c>
      <c r="Q2996" t="s">
        <v>142</v>
      </c>
      <c r="R2996" t="s">
        <v>42</v>
      </c>
    </row>
    <row r="2997" spans="3:18" x14ac:dyDescent="0.25">
      <c r="C2997" t="s">
        <v>47</v>
      </c>
      <c r="D2997" t="s">
        <v>24</v>
      </c>
      <c r="E2997" t="s">
        <v>48</v>
      </c>
      <c r="F2997" t="s">
        <v>41</v>
      </c>
      <c r="G2997" s="89">
        <v>1000115</v>
      </c>
      <c r="H2997" t="s">
        <v>145</v>
      </c>
      <c r="I2997" t="s">
        <v>141</v>
      </c>
      <c r="J2997" s="89">
        <v>9001035</v>
      </c>
      <c r="K2997" t="s">
        <v>144</v>
      </c>
      <c r="N2997">
        <v>1</v>
      </c>
      <c r="O2997" s="89">
        <v>40004.6</v>
      </c>
      <c r="P2997" s="89">
        <v>710081.65</v>
      </c>
      <c r="Q2997" t="s">
        <v>137</v>
      </c>
      <c r="R2997" t="s">
        <v>131</v>
      </c>
    </row>
    <row r="2998" spans="3:18" hidden="1" x14ac:dyDescent="0.25">
      <c r="C2998" t="s">
        <v>45</v>
      </c>
      <c r="D2998" t="s">
        <v>23</v>
      </c>
      <c r="E2998" t="s">
        <v>40</v>
      </c>
      <c r="F2998" t="s">
        <v>41</v>
      </c>
      <c r="G2998" s="89">
        <v>626574</v>
      </c>
      <c r="H2998" t="s">
        <v>132</v>
      </c>
      <c r="I2998" t="s">
        <v>141</v>
      </c>
      <c r="J2998" s="89">
        <v>5639166</v>
      </c>
      <c r="K2998" t="s">
        <v>144</v>
      </c>
      <c r="N2998">
        <v>1</v>
      </c>
      <c r="O2998" s="89">
        <v>25062.959999999999</v>
      </c>
      <c r="P2998" s="89">
        <v>488727.72</v>
      </c>
      <c r="Q2998" t="s">
        <v>137</v>
      </c>
      <c r="R2998" t="s">
        <v>131</v>
      </c>
    </row>
    <row r="2999" spans="3:18" hidden="1" x14ac:dyDescent="0.25">
      <c r="C2999" t="s">
        <v>45</v>
      </c>
      <c r="D2999" t="s">
        <v>19</v>
      </c>
      <c r="E2999" t="s">
        <v>43</v>
      </c>
      <c r="F2999" t="s">
        <v>41</v>
      </c>
      <c r="G2999" s="89">
        <v>259430</v>
      </c>
      <c r="H2999" t="s">
        <v>42</v>
      </c>
      <c r="I2999" t="s">
        <v>133</v>
      </c>
      <c r="J2999" s="89">
        <v>8820620</v>
      </c>
      <c r="K2999" t="s">
        <v>127</v>
      </c>
      <c r="L2999" t="s">
        <v>128</v>
      </c>
      <c r="M2999" t="s">
        <v>129</v>
      </c>
      <c r="N2999">
        <v>1</v>
      </c>
      <c r="O2999" s="89">
        <v>7782.9</v>
      </c>
      <c r="P2999" s="89">
        <v>158252.29999999999</v>
      </c>
      <c r="Q2999" t="s">
        <v>137</v>
      </c>
      <c r="R2999" t="s">
        <v>131</v>
      </c>
    </row>
    <row r="3000" spans="3:18" hidden="1" x14ac:dyDescent="0.25">
      <c r="C3000" t="s">
        <v>45</v>
      </c>
      <c r="D3000" t="s">
        <v>138</v>
      </c>
      <c r="E3000" t="s">
        <v>43</v>
      </c>
      <c r="F3000" t="s">
        <v>41</v>
      </c>
      <c r="G3000" s="89">
        <v>175994</v>
      </c>
      <c r="H3000" t="s">
        <v>42</v>
      </c>
      <c r="I3000" t="s">
        <v>133</v>
      </c>
      <c r="J3000" s="89">
        <v>5279820</v>
      </c>
      <c r="K3000" t="s">
        <v>127</v>
      </c>
      <c r="L3000" t="s">
        <v>128</v>
      </c>
      <c r="M3000" t="s">
        <v>152</v>
      </c>
      <c r="N3000">
        <v>1</v>
      </c>
      <c r="O3000" s="89">
        <v>5279.82</v>
      </c>
      <c r="P3000" s="89">
        <v>126715.68</v>
      </c>
      <c r="Q3000" t="s">
        <v>137</v>
      </c>
      <c r="R3000" t="s">
        <v>131</v>
      </c>
    </row>
    <row r="3001" spans="3:18" hidden="1" x14ac:dyDescent="0.25">
      <c r="C3001" t="s">
        <v>45</v>
      </c>
      <c r="D3001" t="s">
        <v>21</v>
      </c>
      <c r="E3001" t="s">
        <v>43</v>
      </c>
      <c r="F3001" t="s">
        <v>41</v>
      </c>
      <c r="G3001" s="89">
        <v>131756</v>
      </c>
      <c r="H3001" t="s">
        <v>42</v>
      </c>
      <c r="I3001" t="s">
        <v>133</v>
      </c>
      <c r="J3001" s="89">
        <v>3030388</v>
      </c>
      <c r="K3001" t="s">
        <v>127</v>
      </c>
      <c r="L3001" t="s">
        <v>151</v>
      </c>
      <c r="M3001" t="s">
        <v>156</v>
      </c>
      <c r="N3001">
        <v>1</v>
      </c>
      <c r="O3001" s="89">
        <v>3952.68</v>
      </c>
      <c r="P3001" s="89">
        <v>39526.800000000003</v>
      </c>
      <c r="Q3001" t="s">
        <v>130</v>
      </c>
      <c r="R3001" t="s">
        <v>131</v>
      </c>
    </row>
    <row r="3002" spans="3:18" hidden="1" x14ac:dyDescent="0.25">
      <c r="C3002" t="s">
        <v>45</v>
      </c>
      <c r="D3002" t="s">
        <v>23</v>
      </c>
      <c r="E3002" t="s">
        <v>48</v>
      </c>
      <c r="F3002" t="s">
        <v>41</v>
      </c>
      <c r="G3002" s="89">
        <v>47181</v>
      </c>
      <c r="H3002" t="s">
        <v>42</v>
      </c>
      <c r="I3002" t="s">
        <v>141</v>
      </c>
      <c r="J3002" s="89">
        <v>424629</v>
      </c>
      <c r="K3002" t="s">
        <v>144</v>
      </c>
      <c r="N3002">
        <v>1</v>
      </c>
      <c r="O3002" s="89">
        <v>1415.43</v>
      </c>
      <c r="P3002" s="89">
        <v>25477.74</v>
      </c>
      <c r="Q3002" t="s">
        <v>142</v>
      </c>
      <c r="R3002" t="s">
        <v>42</v>
      </c>
    </row>
    <row r="3003" spans="3:18" hidden="1" x14ac:dyDescent="0.25">
      <c r="C3003" t="s">
        <v>45</v>
      </c>
      <c r="D3003" t="s">
        <v>21</v>
      </c>
      <c r="E3003" t="s">
        <v>43</v>
      </c>
      <c r="F3003" t="s">
        <v>41</v>
      </c>
      <c r="G3003" s="89">
        <v>31700803</v>
      </c>
      <c r="H3003" t="s">
        <v>140</v>
      </c>
      <c r="I3003" t="s">
        <v>133</v>
      </c>
      <c r="J3003" s="89">
        <v>919323287</v>
      </c>
      <c r="K3003" t="s">
        <v>127</v>
      </c>
      <c r="L3003" t="s">
        <v>128</v>
      </c>
      <c r="N3003">
        <v>1</v>
      </c>
      <c r="O3003" s="89">
        <v>951024.09</v>
      </c>
      <c r="P3003" s="89">
        <v>27262690.579999998</v>
      </c>
      <c r="Q3003" t="s">
        <v>135</v>
      </c>
      <c r="R3003" t="s">
        <v>131</v>
      </c>
    </row>
    <row r="3004" spans="3:18" hidden="1" x14ac:dyDescent="0.25">
      <c r="C3004" t="s">
        <v>45</v>
      </c>
      <c r="D3004" t="s">
        <v>24</v>
      </c>
      <c r="E3004" t="s">
        <v>48</v>
      </c>
      <c r="F3004" t="s">
        <v>41</v>
      </c>
      <c r="G3004" s="89">
        <v>586514</v>
      </c>
      <c r="H3004" t="s">
        <v>140</v>
      </c>
      <c r="I3004" t="s">
        <v>133</v>
      </c>
      <c r="J3004" s="89">
        <v>16422392</v>
      </c>
      <c r="K3004" t="s">
        <v>134</v>
      </c>
      <c r="L3004" t="s">
        <v>128</v>
      </c>
      <c r="N3004">
        <v>1</v>
      </c>
      <c r="O3004" s="89">
        <v>17595.419999999998</v>
      </c>
      <c r="P3004" s="89">
        <v>181819.34</v>
      </c>
      <c r="Q3004" t="s">
        <v>130</v>
      </c>
      <c r="R3004" t="s">
        <v>131</v>
      </c>
    </row>
    <row r="3005" spans="3:18" hidden="1" x14ac:dyDescent="0.25">
      <c r="C3005" t="s">
        <v>45</v>
      </c>
      <c r="D3005" t="s">
        <v>22</v>
      </c>
      <c r="E3005" t="s">
        <v>43</v>
      </c>
      <c r="F3005" t="s">
        <v>41</v>
      </c>
      <c r="G3005" s="89">
        <v>363948</v>
      </c>
      <c r="H3005" t="s">
        <v>146</v>
      </c>
      <c r="I3005" t="s">
        <v>133</v>
      </c>
      <c r="J3005" s="89">
        <v>9826596</v>
      </c>
      <c r="K3005" t="s">
        <v>127</v>
      </c>
      <c r="L3005" t="s">
        <v>128</v>
      </c>
      <c r="N3005">
        <v>1</v>
      </c>
      <c r="O3005" s="89">
        <v>14557.92</v>
      </c>
      <c r="P3005" s="89">
        <v>484050.84</v>
      </c>
      <c r="Q3005" t="s">
        <v>150</v>
      </c>
      <c r="R3005" t="s">
        <v>131</v>
      </c>
    </row>
    <row r="3006" spans="3:18" hidden="1" x14ac:dyDescent="0.25">
      <c r="C3006" t="s">
        <v>45</v>
      </c>
      <c r="D3006" t="s">
        <v>24</v>
      </c>
      <c r="E3006" t="s">
        <v>46</v>
      </c>
      <c r="F3006" t="s">
        <v>41</v>
      </c>
      <c r="G3006" s="89">
        <v>25859</v>
      </c>
      <c r="H3006" t="s">
        <v>140</v>
      </c>
      <c r="I3006" t="s">
        <v>133</v>
      </c>
      <c r="J3006" s="89">
        <v>620616</v>
      </c>
      <c r="K3006" t="s">
        <v>127</v>
      </c>
      <c r="L3006" t="s">
        <v>128</v>
      </c>
      <c r="N3006">
        <v>1</v>
      </c>
      <c r="O3006" s="89">
        <v>775.77</v>
      </c>
      <c r="P3006" s="89">
        <v>20170.02</v>
      </c>
      <c r="Q3006" t="s">
        <v>137</v>
      </c>
      <c r="R3006" t="s">
        <v>131</v>
      </c>
    </row>
    <row r="3007" spans="3:18" hidden="1" x14ac:dyDescent="0.25">
      <c r="C3007" t="s">
        <v>45</v>
      </c>
      <c r="D3007" t="s">
        <v>23</v>
      </c>
      <c r="E3007" t="s">
        <v>40</v>
      </c>
      <c r="F3007" t="s">
        <v>41</v>
      </c>
      <c r="G3007" s="89">
        <v>938939</v>
      </c>
      <c r="H3007" t="s">
        <v>132</v>
      </c>
      <c r="I3007" t="s">
        <v>126</v>
      </c>
      <c r="J3007" s="89">
        <v>14084085</v>
      </c>
      <c r="K3007" t="s">
        <v>144</v>
      </c>
      <c r="N3007">
        <v>1</v>
      </c>
      <c r="O3007" s="89">
        <v>28168.17</v>
      </c>
      <c r="P3007" s="89">
        <v>262902.92</v>
      </c>
      <c r="Q3007" t="s">
        <v>130</v>
      </c>
      <c r="R3007" t="s">
        <v>131</v>
      </c>
    </row>
    <row r="3008" spans="3:18" hidden="1" x14ac:dyDescent="0.25">
      <c r="C3008" t="s">
        <v>45</v>
      </c>
      <c r="D3008" t="s">
        <v>23</v>
      </c>
      <c r="E3008" t="s">
        <v>52</v>
      </c>
      <c r="F3008" t="s">
        <v>53</v>
      </c>
      <c r="G3008" s="89">
        <v>196954</v>
      </c>
      <c r="H3008" t="s">
        <v>42</v>
      </c>
      <c r="I3008" t="s">
        <v>133</v>
      </c>
      <c r="J3008" s="89">
        <v>7484252</v>
      </c>
      <c r="K3008" t="s">
        <v>144</v>
      </c>
      <c r="N3008">
        <v>1</v>
      </c>
      <c r="O3008" s="89">
        <v>5908.62</v>
      </c>
      <c r="P3008" s="89">
        <v>165441.35999999999</v>
      </c>
      <c r="Q3008" t="s">
        <v>135</v>
      </c>
      <c r="R3008" t="s">
        <v>42</v>
      </c>
    </row>
    <row r="3009" spans="3:18" hidden="1" x14ac:dyDescent="0.25">
      <c r="C3009" t="s">
        <v>45</v>
      </c>
      <c r="D3009" t="s">
        <v>24</v>
      </c>
      <c r="E3009" t="s">
        <v>52</v>
      </c>
      <c r="F3009" t="s">
        <v>41</v>
      </c>
      <c r="G3009" s="89">
        <v>1086085</v>
      </c>
      <c r="H3009" t="s">
        <v>42</v>
      </c>
      <c r="I3009" t="s">
        <v>126</v>
      </c>
      <c r="J3009" s="89">
        <v>18463445</v>
      </c>
      <c r="K3009" t="s">
        <v>144</v>
      </c>
      <c r="N3009">
        <v>1</v>
      </c>
      <c r="O3009" s="89">
        <v>32582.55</v>
      </c>
      <c r="P3009" s="89">
        <v>771120.35</v>
      </c>
      <c r="Q3009" t="s">
        <v>137</v>
      </c>
      <c r="R3009" t="s">
        <v>42</v>
      </c>
    </row>
    <row r="3010" spans="3:18" x14ac:dyDescent="0.25">
      <c r="C3010" t="s">
        <v>47</v>
      </c>
      <c r="D3010" t="s">
        <v>138</v>
      </c>
      <c r="E3010" t="s">
        <v>43</v>
      </c>
      <c r="F3010" t="s">
        <v>41</v>
      </c>
      <c r="G3010" s="89">
        <v>476242</v>
      </c>
      <c r="H3010" t="s">
        <v>132</v>
      </c>
      <c r="I3010" t="s">
        <v>141</v>
      </c>
      <c r="J3010" s="89">
        <v>3809936</v>
      </c>
      <c r="K3010" t="s">
        <v>127</v>
      </c>
      <c r="L3010" t="s">
        <v>128</v>
      </c>
      <c r="N3010">
        <v>1</v>
      </c>
      <c r="O3010" s="89">
        <v>19049.68</v>
      </c>
      <c r="P3010" s="89">
        <v>252408.26</v>
      </c>
      <c r="Q3010" t="s">
        <v>142</v>
      </c>
      <c r="R3010" t="s">
        <v>131</v>
      </c>
    </row>
    <row r="3011" spans="3:18" hidden="1" x14ac:dyDescent="0.25">
      <c r="C3011" t="s">
        <v>45</v>
      </c>
      <c r="D3011" t="s">
        <v>138</v>
      </c>
      <c r="E3011" t="s">
        <v>48</v>
      </c>
      <c r="F3011" t="s">
        <v>41</v>
      </c>
      <c r="G3011" s="89">
        <v>791741</v>
      </c>
      <c r="H3011" t="s">
        <v>42</v>
      </c>
      <c r="I3011" t="s">
        <v>133</v>
      </c>
      <c r="J3011" s="89">
        <v>22168748</v>
      </c>
      <c r="K3011" t="s">
        <v>127</v>
      </c>
      <c r="L3011" t="s">
        <v>128</v>
      </c>
      <c r="M3011" t="s">
        <v>139</v>
      </c>
      <c r="N3011">
        <v>1</v>
      </c>
      <c r="O3011" s="89">
        <v>23752.23</v>
      </c>
      <c r="P3011" s="89">
        <v>570053.52</v>
      </c>
      <c r="Q3011" t="s">
        <v>137</v>
      </c>
      <c r="R3011" t="s">
        <v>42</v>
      </c>
    </row>
    <row r="3012" spans="3:18" hidden="1" x14ac:dyDescent="0.25">
      <c r="C3012" t="s">
        <v>45</v>
      </c>
      <c r="D3012" t="s">
        <v>149</v>
      </c>
      <c r="E3012" t="s">
        <v>43</v>
      </c>
      <c r="F3012" t="s">
        <v>41</v>
      </c>
      <c r="G3012" s="89">
        <v>83874</v>
      </c>
      <c r="H3012" t="s">
        <v>146</v>
      </c>
      <c r="I3012" t="s">
        <v>147</v>
      </c>
      <c r="J3012" s="89">
        <v>251622</v>
      </c>
      <c r="K3012" t="s">
        <v>127</v>
      </c>
      <c r="L3012" t="s">
        <v>128</v>
      </c>
      <c r="N3012">
        <v>1</v>
      </c>
      <c r="O3012" s="89">
        <v>2516.2199999999998</v>
      </c>
      <c r="P3012" s="89">
        <v>10064.879999999999</v>
      </c>
      <c r="Q3012" t="s">
        <v>130</v>
      </c>
      <c r="R3012" t="s">
        <v>131</v>
      </c>
    </row>
    <row r="3013" spans="3:18" x14ac:dyDescent="0.25">
      <c r="C3013" t="s">
        <v>47</v>
      </c>
      <c r="D3013" t="s">
        <v>24</v>
      </c>
      <c r="E3013" t="s">
        <v>40</v>
      </c>
      <c r="F3013" t="s">
        <v>41</v>
      </c>
      <c r="G3013" s="89">
        <v>235495</v>
      </c>
      <c r="H3013" t="s">
        <v>146</v>
      </c>
      <c r="I3013" t="s">
        <v>126</v>
      </c>
      <c r="J3013" s="89">
        <v>2354950</v>
      </c>
      <c r="K3013" t="s">
        <v>127</v>
      </c>
      <c r="L3013" t="s">
        <v>128</v>
      </c>
      <c r="N3013">
        <v>1</v>
      </c>
      <c r="O3013" s="89">
        <v>9419.7999999999993</v>
      </c>
      <c r="P3013" s="89">
        <v>115392.55</v>
      </c>
      <c r="Q3013" t="s">
        <v>142</v>
      </c>
      <c r="R3013" t="s">
        <v>131</v>
      </c>
    </row>
    <row r="3014" spans="3:18" hidden="1" x14ac:dyDescent="0.25">
      <c r="C3014" t="s">
        <v>45</v>
      </c>
      <c r="D3014" t="s">
        <v>24</v>
      </c>
      <c r="E3014" t="s">
        <v>48</v>
      </c>
      <c r="F3014" t="s">
        <v>53</v>
      </c>
      <c r="G3014" s="89">
        <v>27258</v>
      </c>
      <c r="H3014" t="s">
        <v>145</v>
      </c>
      <c r="I3014" t="s">
        <v>133</v>
      </c>
      <c r="J3014" s="89">
        <v>981288</v>
      </c>
      <c r="K3014" t="s">
        <v>144</v>
      </c>
      <c r="N3014">
        <v>1</v>
      </c>
      <c r="O3014" s="89">
        <v>817.74</v>
      </c>
      <c r="P3014" s="89">
        <v>2998.38</v>
      </c>
      <c r="Q3014" t="s">
        <v>130</v>
      </c>
      <c r="R3014" t="s">
        <v>131</v>
      </c>
    </row>
    <row r="3015" spans="3:18" hidden="1" x14ac:dyDescent="0.25">
      <c r="C3015" t="s">
        <v>45</v>
      </c>
      <c r="D3015" t="s">
        <v>20</v>
      </c>
      <c r="E3015" t="s">
        <v>43</v>
      </c>
      <c r="F3015" t="s">
        <v>41</v>
      </c>
      <c r="G3015" s="89">
        <v>131074</v>
      </c>
      <c r="H3015" t="s">
        <v>146</v>
      </c>
      <c r="I3015" t="s">
        <v>141</v>
      </c>
      <c r="J3015" s="89">
        <v>1179666</v>
      </c>
      <c r="K3015" t="s">
        <v>127</v>
      </c>
      <c r="L3015" t="s">
        <v>128</v>
      </c>
      <c r="N3015">
        <v>1</v>
      </c>
      <c r="O3015" s="89">
        <v>3932.22</v>
      </c>
      <c r="P3015" s="89">
        <v>89130.32</v>
      </c>
      <c r="Q3015" t="s">
        <v>137</v>
      </c>
      <c r="R3015" t="s">
        <v>131</v>
      </c>
    </row>
    <row r="3016" spans="3:18" hidden="1" x14ac:dyDescent="0.25">
      <c r="C3016" t="s">
        <v>45</v>
      </c>
      <c r="D3016" t="s">
        <v>24</v>
      </c>
      <c r="E3016" t="s">
        <v>52</v>
      </c>
      <c r="F3016" t="s">
        <v>41</v>
      </c>
      <c r="G3016" s="89">
        <v>34842509</v>
      </c>
      <c r="H3016" t="s">
        <v>42</v>
      </c>
      <c r="I3016" t="s">
        <v>133</v>
      </c>
      <c r="J3016" s="89">
        <v>1254330324</v>
      </c>
      <c r="K3016" t="s">
        <v>144</v>
      </c>
      <c r="N3016">
        <v>1</v>
      </c>
      <c r="O3016" s="89">
        <v>1045275.27</v>
      </c>
      <c r="P3016" s="89">
        <v>30661407.920000002</v>
      </c>
      <c r="Q3016" t="s">
        <v>135</v>
      </c>
      <c r="R3016" t="s">
        <v>42</v>
      </c>
    </row>
    <row r="3017" spans="3:18" x14ac:dyDescent="0.25">
      <c r="C3017" t="s">
        <v>47</v>
      </c>
      <c r="D3017" t="s">
        <v>20</v>
      </c>
      <c r="E3017" t="s">
        <v>40</v>
      </c>
      <c r="F3017" t="s">
        <v>41</v>
      </c>
      <c r="G3017" s="89">
        <v>1278747</v>
      </c>
      <c r="H3017" t="s">
        <v>140</v>
      </c>
      <c r="I3017" t="s">
        <v>126</v>
      </c>
      <c r="J3017" s="89">
        <v>16623711</v>
      </c>
      <c r="K3017" t="s">
        <v>144</v>
      </c>
      <c r="N3017">
        <v>1</v>
      </c>
      <c r="O3017" s="89">
        <v>51149.88</v>
      </c>
      <c r="P3017" s="89">
        <v>281324.34000000003</v>
      </c>
      <c r="Q3017" t="s">
        <v>130</v>
      </c>
      <c r="R3017" t="s">
        <v>131</v>
      </c>
    </row>
    <row r="3018" spans="3:18" hidden="1" x14ac:dyDescent="0.25">
      <c r="C3018" t="s">
        <v>45</v>
      </c>
      <c r="D3018" t="s">
        <v>22</v>
      </c>
      <c r="E3018" t="s">
        <v>40</v>
      </c>
      <c r="F3018" t="s">
        <v>41</v>
      </c>
      <c r="G3018" s="89">
        <v>83256</v>
      </c>
      <c r="H3018" t="s">
        <v>132</v>
      </c>
      <c r="I3018" t="s">
        <v>147</v>
      </c>
      <c r="J3018" s="89">
        <v>333024</v>
      </c>
      <c r="K3018" t="s">
        <v>134</v>
      </c>
      <c r="L3018" t="s">
        <v>128</v>
      </c>
      <c r="N3018">
        <v>1</v>
      </c>
      <c r="O3018" s="89">
        <v>2497.6799999999998</v>
      </c>
      <c r="P3018" s="89">
        <v>29139.599999999999</v>
      </c>
      <c r="Q3018" t="s">
        <v>130</v>
      </c>
      <c r="R3018" t="s">
        <v>131</v>
      </c>
    </row>
    <row r="3019" spans="3:18" x14ac:dyDescent="0.25">
      <c r="C3019" t="s">
        <v>47</v>
      </c>
      <c r="D3019" t="s">
        <v>23</v>
      </c>
      <c r="E3019" t="s">
        <v>40</v>
      </c>
      <c r="F3019" t="s">
        <v>41</v>
      </c>
      <c r="G3019" s="89">
        <v>124</v>
      </c>
      <c r="H3019" t="s">
        <v>132</v>
      </c>
      <c r="I3019" t="s">
        <v>147</v>
      </c>
      <c r="J3019" s="89"/>
      <c r="K3019" t="s">
        <v>127</v>
      </c>
      <c r="L3019" t="s">
        <v>128</v>
      </c>
      <c r="N3019">
        <v>0</v>
      </c>
      <c r="O3019" s="89">
        <v>7.44</v>
      </c>
      <c r="P3019" s="89">
        <v>0</v>
      </c>
      <c r="Q3019" t="s">
        <v>130</v>
      </c>
      <c r="R3019" t="s">
        <v>131</v>
      </c>
    </row>
    <row r="3020" spans="3:18" hidden="1" x14ac:dyDescent="0.25">
      <c r="C3020" t="s">
        <v>45</v>
      </c>
      <c r="D3020" t="s">
        <v>21</v>
      </c>
      <c r="E3020" t="s">
        <v>43</v>
      </c>
      <c r="F3020" t="s">
        <v>41</v>
      </c>
      <c r="G3020" s="89">
        <v>15171573</v>
      </c>
      <c r="H3020" t="s">
        <v>132</v>
      </c>
      <c r="I3020" t="s">
        <v>133</v>
      </c>
      <c r="J3020" s="89">
        <v>424804044</v>
      </c>
      <c r="K3020" t="s">
        <v>144</v>
      </c>
      <c r="N3020">
        <v>1</v>
      </c>
      <c r="O3020" s="89">
        <v>455147.19</v>
      </c>
      <c r="P3020" s="89">
        <v>7585786.5</v>
      </c>
      <c r="Q3020" t="s">
        <v>142</v>
      </c>
      <c r="R3020" t="s">
        <v>131</v>
      </c>
    </row>
    <row r="3021" spans="3:18" hidden="1" x14ac:dyDescent="0.25">
      <c r="C3021" t="s">
        <v>45</v>
      </c>
      <c r="D3021" t="s">
        <v>21</v>
      </c>
      <c r="E3021" t="s">
        <v>43</v>
      </c>
      <c r="F3021" t="s">
        <v>53</v>
      </c>
      <c r="G3021" s="89">
        <v>4468758</v>
      </c>
      <c r="H3021" t="s">
        <v>42</v>
      </c>
      <c r="I3021" t="s">
        <v>133</v>
      </c>
      <c r="J3021" s="89">
        <v>147469014</v>
      </c>
      <c r="K3021" t="s">
        <v>144</v>
      </c>
      <c r="N3021">
        <v>1</v>
      </c>
      <c r="O3021" s="89">
        <v>134062.74</v>
      </c>
      <c r="P3021" s="89">
        <v>3351568.5</v>
      </c>
      <c r="Q3021" t="s">
        <v>137</v>
      </c>
      <c r="R3021" t="s">
        <v>42</v>
      </c>
    </row>
    <row r="3022" spans="3:18" hidden="1" x14ac:dyDescent="0.25">
      <c r="C3022" t="s">
        <v>45</v>
      </c>
      <c r="D3022" t="s">
        <v>19</v>
      </c>
      <c r="E3022" t="s">
        <v>43</v>
      </c>
      <c r="F3022" t="s">
        <v>41</v>
      </c>
      <c r="G3022" s="89">
        <v>149536</v>
      </c>
      <c r="H3022" t="s">
        <v>140</v>
      </c>
      <c r="I3022" t="s">
        <v>126</v>
      </c>
      <c r="J3022" s="89">
        <v>2392576</v>
      </c>
      <c r="K3022" t="s">
        <v>127</v>
      </c>
      <c r="L3022" t="s">
        <v>128</v>
      </c>
      <c r="N3022">
        <v>1</v>
      </c>
      <c r="O3022" s="89">
        <v>4486.08</v>
      </c>
      <c r="P3022" s="89">
        <v>198882.88</v>
      </c>
      <c r="Q3022" t="s">
        <v>150</v>
      </c>
      <c r="R3022" t="s">
        <v>131</v>
      </c>
    </row>
    <row r="3023" spans="3:18" hidden="1" x14ac:dyDescent="0.25">
      <c r="C3023" t="s">
        <v>45</v>
      </c>
      <c r="D3023" t="s">
        <v>23</v>
      </c>
      <c r="E3023" t="s">
        <v>43</v>
      </c>
      <c r="F3023" t="s">
        <v>41</v>
      </c>
      <c r="G3023" s="89">
        <v>353575</v>
      </c>
      <c r="H3023" t="s">
        <v>42</v>
      </c>
      <c r="I3023" t="s">
        <v>133</v>
      </c>
      <c r="J3023" s="89">
        <v>12021550</v>
      </c>
      <c r="K3023" t="s">
        <v>144</v>
      </c>
      <c r="N3023">
        <v>1</v>
      </c>
      <c r="O3023" s="89">
        <v>10607.25</v>
      </c>
      <c r="P3023" s="89">
        <v>99001</v>
      </c>
      <c r="Q3023" t="s">
        <v>130</v>
      </c>
      <c r="R3023" t="s">
        <v>131</v>
      </c>
    </row>
    <row r="3024" spans="3:18" x14ac:dyDescent="0.25">
      <c r="C3024" t="s">
        <v>47</v>
      </c>
      <c r="D3024" t="s">
        <v>24</v>
      </c>
      <c r="E3024" t="s">
        <v>48</v>
      </c>
      <c r="F3024" t="s">
        <v>41</v>
      </c>
      <c r="G3024" s="89">
        <v>18094611</v>
      </c>
      <c r="H3024" t="s">
        <v>146</v>
      </c>
      <c r="I3024" t="s">
        <v>126</v>
      </c>
      <c r="J3024" s="89">
        <v>235229943</v>
      </c>
      <c r="K3024" t="s">
        <v>127</v>
      </c>
      <c r="L3024" t="s">
        <v>128</v>
      </c>
      <c r="N3024">
        <v>1</v>
      </c>
      <c r="O3024" s="89">
        <v>542838.32999999996</v>
      </c>
      <c r="P3024" s="89">
        <v>15561365.460000001</v>
      </c>
      <c r="Q3024" t="s">
        <v>135</v>
      </c>
      <c r="R3024" t="s">
        <v>131</v>
      </c>
    </row>
    <row r="3025" spans="3:18" x14ac:dyDescent="0.25">
      <c r="C3025" t="s">
        <v>47</v>
      </c>
      <c r="D3025" t="s">
        <v>24</v>
      </c>
      <c r="E3025" t="s">
        <v>40</v>
      </c>
      <c r="F3025" t="s">
        <v>41</v>
      </c>
      <c r="G3025" s="89">
        <v>6</v>
      </c>
      <c r="H3025" t="s">
        <v>145</v>
      </c>
      <c r="I3025" t="s">
        <v>147</v>
      </c>
      <c r="J3025" s="89"/>
      <c r="K3025" t="s">
        <v>127</v>
      </c>
      <c r="L3025" t="s">
        <v>128</v>
      </c>
      <c r="N3025">
        <v>0</v>
      </c>
      <c r="O3025" s="89">
        <v>0</v>
      </c>
      <c r="P3025" s="89">
        <v>0</v>
      </c>
      <c r="Q3025" t="s">
        <v>130</v>
      </c>
      <c r="R3025" t="s">
        <v>131</v>
      </c>
    </row>
    <row r="3026" spans="3:18" hidden="1" x14ac:dyDescent="0.25">
      <c r="C3026" t="s">
        <v>45</v>
      </c>
      <c r="D3026" t="s">
        <v>21</v>
      </c>
      <c r="E3026" t="s">
        <v>40</v>
      </c>
      <c r="F3026" t="s">
        <v>41</v>
      </c>
      <c r="G3026" s="89">
        <v>813542</v>
      </c>
      <c r="H3026" t="s">
        <v>42</v>
      </c>
      <c r="I3026" t="s">
        <v>133</v>
      </c>
      <c r="J3026" s="89">
        <v>26846886</v>
      </c>
      <c r="K3026" t="s">
        <v>134</v>
      </c>
      <c r="L3026" t="s">
        <v>128</v>
      </c>
      <c r="M3026" t="s">
        <v>129</v>
      </c>
      <c r="N3026">
        <v>1</v>
      </c>
      <c r="O3026" s="89">
        <v>24406.26</v>
      </c>
      <c r="P3026" s="89">
        <v>545073.14</v>
      </c>
      <c r="Q3026" t="s">
        <v>137</v>
      </c>
      <c r="R3026" t="s">
        <v>42</v>
      </c>
    </row>
    <row r="3027" spans="3:18" hidden="1" x14ac:dyDescent="0.25">
      <c r="C3027" t="s">
        <v>45</v>
      </c>
      <c r="D3027" t="s">
        <v>22</v>
      </c>
      <c r="E3027" t="s">
        <v>43</v>
      </c>
      <c r="F3027" t="s">
        <v>41</v>
      </c>
      <c r="G3027" s="89">
        <v>2322758</v>
      </c>
      <c r="H3027" t="s">
        <v>132</v>
      </c>
      <c r="I3027" t="s">
        <v>126</v>
      </c>
      <c r="J3027" s="89">
        <v>39486886</v>
      </c>
      <c r="K3027" t="s">
        <v>127</v>
      </c>
      <c r="L3027" t="s">
        <v>128</v>
      </c>
      <c r="N3027">
        <v>1</v>
      </c>
      <c r="O3027" s="89">
        <v>69682.740000000005</v>
      </c>
      <c r="P3027" s="89">
        <v>1579475.44</v>
      </c>
      <c r="Q3027" t="s">
        <v>137</v>
      </c>
      <c r="R3027" t="s">
        <v>131</v>
      </c>
    </row>
    <row r="3028" spans="3:18" hidden="1" x14ac:dyDescent="0.25">
      <c r="C3028" t="s">
        <v>45</v>
      </c>
      <c r="D3028" t="s">
        <v>22</v>
      </c>
      <c r="E3028" t="s">
        <v>40</v>
      </c>
      <c r="F3028" t="s">
        <v>41</v>
      </c>
      <c r="G3028" s="89">
        <v>197252</v>
      </c>
      <c r="H3028" t="s">
        <v>146</v>
      </c>
      <c r="I3028" t="s">
        <v>141</v>
      </c>
      <c r="J3028" s="89">
        <v>1380764</v>
      </c>
      <c r="K3028" t="s">
        <v>127</v>
      </c>
      <c r="L3028" t="s">
        <v>128</v>
      </c>
      <c r="N3028">
        <v>1</v>
      </c>
      <c r="O3028" s="89">
        <v>5917.56</v>
      </c>
      <c r="P3028" s="89">
        <v>122296.24</v>
      </c>
      <c r="Q3028" t="s">
        <v>137</v>
      </c>
      <c r="R3028" t="s">
        <v>131</v>
      </c>
    </row>
    <row r="3029" spans="3:18" hidden="1" x14ac:dyDescent="0.25">
      <c r="C3029" t="s">
        <v>45</v>
      </c>
      <c r="D3029" t="s">
        <v>22</v>
      </c>
      <c r="E3029" t="s">
        <v>40</v>
      </c>
      <c r="F3029" t="s">
        <v>53</v>
      </c>
      <c r="G3029" s="89">
        <v>99748</v>
      </c>
      <c r="H3029" t="s">
        <v>42</v>
      </c>
      <c r="I3029" t="s">
        <v>126</v>
      </c>
      <c r="J3029" s="89">
        <v>1496220</v>
      </c>
      <c r="K3029" t="s">
        <v>144</v>
      </c>
      <c r="N3029">
        <v>1</v>
      </c>
      <c r="O3029" s="89">
        <v>2992.44</v>
      </c>
      <c r="P3029" s="89">
        <v>36906.76</v>
      </c>
      <c r="Q3029" t="s">
        <v>130</v>
      </c>
      <c r="R3029" t="s">
        <v>42</v>
      </c>
    </row>
    <row r="3030" spans="3:18" hidden="1" x14ac:dyDescent="0.25">
      <c r="C3030" t="s">
        <v>45</v>
      </c>
      <c r="D3030" t="s">
        <v>21</v>
      </c>
      <c r="E3030" t="s">
        <v>43</v>
      </c>
      <c r="F3030" t="s">
        <v>53</v>
      </c>
      <c r="G3030" s="89">
        <v>190945</v>
      </c>
      <c r="H3030" t="s">
        <v>140</v>
      </c>
      <c r="I3030" t="s">
        <v>126</v>
      </c>
      <c r="J3030" s="89">
        <v>3437010</v>
      </c>
      <c r="K3030" t="s">
        <v>144</v>
      </c>
      <c r="N3030">
        <v>1</v>
      </c>
      <c r="O3030" s="89">
        <v>5728.35</v>
      </c>
      <c r="P3030" s="89">
        <v>93563.05</v>
      </c>
      <c r="Q3030" t="s">
        <v>142</v>
      </c>
      <c r="R3030" t="s">
        <v>131</v>
      </c>
    </row>
    <row r="3031" spans="3:18" hidden="1" x14ac:dyDescent="0.25">
      <c r="C3031" t="s">
        <v>45</v>
      </c>
      <c r="D3031" t="s">
        <v>23</v>
      </c>
      <c r="E3031" t="s">
        <v>43</v>
      </c>
      <c r="F3031" t="s">
        <v>53</v>
      </c>
      <c r="G3031" s="89">
        <v>65515</v>
      </c>
      <c r="H3031" t="s">
        <v>140</v>
      </c>
      <c r="I3031" t="s">
        <v>133</v>
      </c>
      <c r="J3031" s="89">
        <v>1965450</v>
      </c>
      <c r="K3031" t="s">
        <v>144</v>
      </c>
      <c r="N3031">
        <v>1</v>
      </c>
      <c r="O3031" s="89">
        <v>1965.45</v>
      </c>
      <c r="P3031" s="89">
        <v>9827.25</v>
      </c>
      <c r="Q3031" t="s">
        <v>130</v>
      </c>
      <c r="R3031" t="s">
        <v>131</v>
      </c>
    </row>
    <row r="3032" spans="3:18" hidden="1" x14ac:dyDescent="0.25">
      <c r="C3032" t="s">
        <v>45</v>
      </c>
      <c r="D3032" t="s">
        <v>22</v>
      </c>
      <c r="E3032" t="s">
        <v>40</v>
      </c>
      <c r="F3032" t="s">
        <v>41</v>
      </c>
      <c r="G3032" s="89">
        <v>12422</v>
      </c>
      <c r="H3032" t="s">
        <v>145</v>
      </c>
      <c r="I3032" t="s">
        <v>147</v>
      </c>
      <c r="J3032" s="89"/>
      <c r="K3032" t="s">
        <v>127</v>
      </c>
      <c r="L3032" t="s">
        <v>128</v>
      </c>
      <c r="N3032">
        <v>0</v>
      </c>
      <c r="O3032" s="89">
        <v>496.88</v>
      </c>
      <c r="P3032" s="89">
        <v>745.32</v>
      </c>
      <c r="Q3032" t="s">
        <v>130</v>
      </c>
      <c r="R3032" t="s">
        <v>131</v>
      </c>
    </row>
    <row r="3033" spans="3:18" hidden="1" x14ac:dyDescent="0.25">
      <c r="C3033" t="s">
        <v>45</v>
      </c>
      <c r="D3033" t="s">
        <v>23</v>
      </c>
      <c r="E3033" t="s">
        <v>40</v>
      </c>
      <c r="F3033" t="s">
        <v>53</v>
      </c>
      <c r="G3033" s="89">
        <v>128958</v>
      </c>
      <c r="H3033" t="s">
        <v>145</v>
      </c>
      <c r="I3033" t="s">
        <v>133</v>
      </c>
      <c r="J3033" s="89">
        <v>3997698</v>
      </c>
      <c r="K3033" t="s">
        <v>144</v>
      </c>
      <c r="N3033">
        <v>1</v>
      </c>
      <c r="O3033" s="89">
        <v>3868.74</v>
      </c>
      <c r="P3033" s="89">
        <v>45135.3</v>
      </c>
      <c r="Q3033" t="s">
        <v>130</v>
      </c>
      <c r="R3033" t="s">
        <v>131</v>
      </c>
    </row>
    <row r="3034" spans="3:18" hidden="1" x14ac:dyDescent="0.25">
      <c r="C3034" t="s">
        <v>45</v>
      </c>
      <c r="D3034" t="s">
        <v>19</v>
      </c>
      <c r="E3034" t="s">
        <v>43</v>
      </c>
      <c r="F3034" t="s">
        <v>41</v>
      </c>
      <c r="G3034" s="89">
        <v>84709</v>
      </c>
      <c r="H3034" t="s">
        <v>146</v>
      </c>
      <c r="I3034" t="s">
        <v>126</v>
      </c>
      <c r="J3034" s="89">
        <v>1101217</v>
      </c>
      <c r="K3034" t="s">
        <v>127</v>
      </c>
      <c r="L3034" t="s">
        <v>151</v>
      </c>
      <c r="N3034">
        <v>1</v>
      </c>
      <c r="O3034" s="89">
        <v>2541.27</v>
      </c>
      <c r="P3034" s="89">
        <v>37271.96</v>
      </c>
      <c r="Q3034" t="s">
        <v>142</v>
      </c>
      <c r="R3034" t="s">
        <v>131</v>
      </c>
    </row>
    <row r="3035" spans="3:18" x14ac:dyDescent="0.25">
      <c r="C3035" t="s">
        <v>47</v>
      </c>
      <c r="D3035" t="s">
        <v>50</v>
      </c>
      <c r="E3035" t="s">
        <v>50</v>
      </c>
      <c r="F3035" t="s">
        <v>41</v>
      </c>
      <c r="G3035" s="89">
        <v>8</v>
      </c>
      <c r="H3035" t="s">
        <v>79</v>
      </c>
      <c r="I3035" t="s">
        <v>153</v>
      </c>
      <c r="J3035" s="89"/>
      <c r="K3035" t="s">
        <v>127</v>
      </c>
      <c r="N3035">
        <v>0</v>
      </c>
      <c r="O3035" s="89">
        <v>0.32</v>
      </c>
      <c r="P3035" s="89">
        <v>7.6</v>
      </c>
      <c r="Q3035" t="s">
        <v>135</v>
      </c>
      <c r="R3035" t="s">
        <v>79</v>
      </c>
    </row>
    <row r="3036" spans="3:18" hidden="1" x14ac:dyDescent="0.25">
      <c r="C3036" t="s">
        <v>45</v>
      </c>
      <c r="D3036" t="s">
        <v>50</v>
      </c>
      <c r="E3036" t="s">
        <v>50</v>
      </c>
      <c r="F3036" t="s">
        <v>41</v>
      </c>
      <c r="G3036" s="89">
        <v>1863910</v>
      </c>
      <c r="H3036" t="s">
        <v>79</v>
      </c>
      <c r="I3036" t="s">
        <v>126</v>
      </c>
      <c r="J3036" s="89">
        <v>31686470</v>
      </c>
      <c r="K3036" t="s">
        <v>127</v>
      </c>
      <c r="N3036">
        <v>1</v>
      </c>
      <c r="O3036" s="89">
        <v>74556.399999999994</v>
      </c>
      <c r="P3036" s="89">
        <v>2218052.9</v>
      </c>
      <c r="Q3036" t="s">
        <v>150</v>
      </c>
      <c r="R3036" t="s">
        <v>79</v>
      </c>
    </row>
    <row r="3037" spans="3:18" hidden="1" x14ac:dyDescent="0.25">
      <c r="C3037" t="s">
        <v>45</v>
      </c>
      <c r="D3037" t="s">
        <v>19</v>
      </c>
      <c r="E3037" t="s">
        <v>43</v>
      </c>
      <c r="F3037" t="s">
        <v>41</v>
      </c>
      <c r="G3037" s="89">
        <v>6187373</v>
      </c>
      <c r="H3037" t="s">
        <v>132</v>
      </c>
      <c r="I3037" t="s">
        <v>133</v>
      </c>
      <c r="J3037" s="89">
        <v>173246444</v>
      </c>
      <c r="K3037" t="s">
        <v>127</v>
      </c>
      <c r="L3037" t="s">
        <v>128</v>
      </c>
      <c r="N3037">
        <v>1</v>
      </c>
      <c r="O3037" s="89">
        <v>185621.19</v>
      </c>
      <c r="P3037" s="89">
        <v>1794338.17</v>
      </c>
      <c r="Q3037" t="s">
        <v>130</v>
      </c>
      <c r="R3037" t="s">
        <v>131</v>
      </c>
    </row>
    <row r="3038" spans="3:18" hidden="1" x14ac:dyDescent="0.25">
      <c r="C3038" t="s">
        <v>45</v>
      </c>
      <c r="D3038" t="s">
        <v>23</v>
      </c>
      <c r="E3038" t="s">
        <v>48</v>
      </c>
      <c r="F3038" t="s">
        <v>41</v>
      </c>
      <c r="G3038" s="89">
        <v>874292</v>
      </c>
      <c r="H3038" t="s">
        <v>42</v>
      </c>
      <c r="I3038" t="s">
        <v>133</v>
      </c>
      <c r="J3038" s="89">
        <v>27977344</v>
      </c>
      <c r="K3038" t="s">
        <v>134</v>
      </c>
      <c r="L3038" t="s">
        <v>128</v>
      </c>
      <c r="M3038" t="s">
        <v>152</v>
      </c>
      <c r="N3038">
        <v>1</v>
      </c>
      <c r="O3038" s="89">
        <v>26228.76</v>
      </c>
      <c r="P3038" s="89">
        <v>612004.4</v>
      </c>
      <c r="Q3038" t="s">
        <v>137</v>
      </c>
      <c r="R3038" t="s">
        <v>131</v>
      </c>
    </row>
    <row r="3039" spans="3:18" hidden="1" x14ac:dyDescent="0.25">
      <c r="C3039" t="s">
        <v>45</v>
      </c>
      <c r="D3039" t="s">
        <v>19</v>
      </c>
      <c r="E3039" t="s">
        <v>43</v>
      </c>
      <c r="F3039" t="s">
        <v>41</v>
      </c>
      <c r="G3039" s="89">
        <v>1698137</v>
      </c>
      <c r="H3039" t="s">
        <v>145</v>
      </c>
      <c r="I3039" t="s">
        <v>133</v>
      </c>
      <c r="J3039" s="89">
        <v>50944110</v>
      </c>
      <c r="K3039" t="s">
        <v>144</v>
      </c>
      <c r="N3039">
        <v>1</v>
      </c>
      <c r="O3039" s="89">
        <v>50944.11</v>
      </c>
      <c r="P3039" s="89">
        <v>798124.39</v>
      </c>
      <c r="Q3039" t="s">
        <v>142</v>
      </c>
      <c r="R3039" t="s">
        <v>131</v>
      </c>
    </row>
    <row r="3040" spans="3:18" hidden="1" x14ac:dyDescent="0.25">
      <c r="C3040" t="s">
        <v>45</v>
      </c>
      <c r="D3040" t="s">
        <v>19</v>
      </c>
      <c r="E3040" t="s">
        <v>43</v>
      </c>
      <c r="F3040" t="s">
        <v>41</v>
      </c>
      <c r="G3040" s="89">
        <v>293875</v>
      </c>
      <c r="H3040" t="s">
        <v>146</v>
      </c>
      <c r="I3040" t="s">
        <v>133</v>
      </c>
      <c r="J3040" s="89">
        <v>9404000</v>
      </c>
      <c r="K3040" t="s">
        <v>134</v>
      </c>
      <c r="L3040" t="s">
        <v>128</v>
      </c>
      <c r="N3040">
        <v>1</v>
      </c>
      <c r="O3040" s="89">
        <v>8816.25</v>
      </c>
      <c r="P3040" s="89">
        <v>155753.75</v>
      </c>
      <c r="Q3040" t="s">
        <v>142</v>
      </c>
      <c r="R3040" t="s">
        <v>131</v>
      </c>
    </row>
    <row r="3041" spans="3:18" x14ac:dyDescent="0.25">
      <c r="C3041" t="s">
        <v>47</v>
      </c>
      <c r="D3041" t="s">
        <v>23</v>
      </c>
      <c r="E3041" t="s">
        <v>48</v>
      </c>
      <c r="F3041" t="s">
        <v>41</v>
      </c>
      <c r="G3041" s="89">
        <v>9976</v>
      </c>
      <c r="H3041" t="s">
        <v>132</v>
      </c>
      <c r="I3041" t="s">
        <v>133</v>
      </c>
      <c r="J3041" s="89">
        <v>239424</v>
      </c>
      <c r="K3041" t="s">
        <v>127</v>
      </c>
      <c r="L3041" t="s">
        <v>128</v>
      </c>
      <c r="N3041">
        <v>1</v>
      </c>
      <c r="O3041" s="89">
        <v>199.52</v>
      </c>
      <c r="P3041" s="89">
        <v>14964</v>
      </c>
      <c r="Q3041" t="s">
        <v>150</v>
      </c>
      <c r="R3041" t="s">
        <v>131</v>
      </c>
    </row>
    <row r="3042" spans="3:18" hidden="1" x14ac:dyDescent="0.25">
      <c r="C3042" t="s">
        <v>45</v>
      </c>
      <c r="D3042" t="s">
        <v>19</v>
      </c>
      <c r="E3042" t="s">
        <v>43</v>
      </c>
      <c r="F3042" t="s">
        <v>53</v>
      </c>
      <c r="G3042" s="89">
        <v>96481</v>
      </c>
      <c r="H3042" t="s">
        <v>42</v>
      </c>
      <c r="I3042" t="s">
        <v>126</v>
      </c>
      <c r="J3042" s="89">
        <v>1543696</v>
      </c>
      <c r="K3042" t="s">
        <v>144</v>
      </c>
      <c r="N3042">
        <v>1</v>
      </c>
      <c r="O3042" s="89">
        <v>2894.43</v>
      </c>
      <c r="P3042" s="89">
        <v>40522.019999999997</v>
      </c>
      <c r="Q3042" t="s">
        <v>142</v>
      </c>
      <c r="R3042" t="s">
        <v>131</v>
      </c>
    </row>
    <row r="3043" spans="3:18" hidden="1" x14ac:dyDescent="0.25">
      <c r="C3043" t="s">
        <v>45</v>
      </c>
      <c r="D3043" t="s">
        <v>138</v>
      </c>
      <c r="E3043" t="s">
        <v>43</v>
      </c>
      <c r="F3043" t="s">
        <v>41</v>
      </c>
      <c r="G3043" s="89">
        <v>15015404</v>
      </c>
      <c r="H3043" t="s">
        <v>140</v>
      </c>
      <c r="I3043" t="s">
        <v>133</v>
      </c>
      <c r="J3043" s="89">
        <v>390400504</v>
      </c>
      <c r="K3043" t="s">
        <v>127</v>
      </c>
      <c r="L3043" t="s">
        <v>128</v>
      </c>
      <c r="N3043">
        <v>1</v>
      </c>
      <c r="O3043" s="89">
        <v>450462.12</v>
      </c>
      <c r="P3043" s="89">
        <v>4354467.16</v>
      </c>
      <c r="Q3043" t="s">
        <v>130</v>
      </c>
      <c r="R3043" t="s">
        <v>131</v>
      </c>
    </row>
    <row r="3044" spans="3:18" hidden="1" x14ac:dyDescent="0.25">
      <c r="C3044" t="s">
        <v>45</v>
      </c>
      <c r="D3044" t="s">
        <v>22</v>
      </c>
      <c r="E3044" t="s">
        <v>40</v>
      </c>
      <c r="F3044" t="s">
        <v>41</v>
      </c>
      <c r="G3044" s="89">
        <v>1273041</v>
      </c>
      <c r="H3044" t="s">
        <v>132</v>
      </c>
      <c r="I3044" t="s">
        <v>126</v>
      </c>
      <c r="J3044" s="89">
        <v>21641697</v>
      </c>
      <c r="K3044" t="s">
        <v>134</v>
      </c>
      <c r="L3044" t="s">
        <v>128</v>
      </c>
      <c r="N3044">
        <v>1</v>
      </c>
      <c r="O3044" s="89">
        <v>38191.230000000003</v>
      </c>
      <c r="P3044" s="89">
        <v>611059.68000000005</v>
      </c>
      <c r="Q3044" t="s">
        <v>142</v>
      </c>
      <c r="R3044" t="s">
        <v>131</v>
      </c>
    </row>
    <row r="3045" spans="3:18" x14ac:dyDescent="0.25">
      <c r="C3045" t="s">
        <v>47</v>
      </c>
      <c r="D3045" t="s">
        <v>20</v>
      </c>
      <c r="E3045" t="s">
        <v>40</v>
      </c>
      <c r="F3045" t="s">
        <v>41</v>
      </c>
      <c r="G3045" s="89">
        <v>214003</v>
      </c>
      <c r="H3045" t="s">
        <v>145</v>
      </c>
      <c r="I3045" t="s">
        <v>126</v>
      </c>
      <c r="J3045" s="89">
        <v>2782039</v>
      </c>
      <c r="K3045" t="s">
        <v>144</v>
      </c>
      <c r="N3045">
        <v>1</v>
      </c>
      <c r="O3045" s="89">
        <v>10700.15</v>
      </c>
      <c r="P3045" s="89">
        <v>147662.07</v>
      </c>
      <c r="Q3045" t="s">
        <v>137</v>
      </c>
      <c r="R3045" t="s">
        <v>131</v>
      </c>
    </row>
    <row r="3046" spans="3:18" hidden="1" x14ac:dyDescent="0.25">
      <c r="C3046" t="s">
        <v>45</v>
      </c>
      <c r="D3046" t="s">
        <v>20</v>
      </c>
      <c r="E3046" t="s">
        <v>43</v>
      </c>
      <c r="F3046" t="s">
        <v>41</v>
      </c>
      <c r="G3046" s="89">
        <v>199020</v>
      </c>
      <c r="H3046" t="s">
        <v>140</v>
      </c>
      <c r="I3046" t="s">
        <v>126</v>
      </c>
      <c r="J3046" s="89">
        <v>3383340</v>
      </c>
      <c r="K3046" t="s">
        <v>134</v>
      </c>
      <c r="L3046" t="s">
        <v>128</v>
      </c>
      <c r="N3046">
        <v>1</v>
      </c>
      <c r="O3046" s="89">
        <v>5970.6</v>
      </c>
      <c r="P3046" s="89">
        <v>151255.20000000001</v>
      </c>
      <c r="Q3046" t="s">
        <v>137</v>
      </c>
      <c r="R3046" t="s">
        <v>131</v>
      </c>
    </row>
    <row r="3047" spans="3:18" x14ac:dyDescent="0.25">
      <c r="C3047" t="s">
        <v>47</v>
      </c>
      <c r="D3047" t="s">
        <v>22</v>
      </c>
      <c r="E3047" t="s">
        <v>40</v>
      </c>
      <c r="F3047" t="s">
        <v>41</v>
      </c>
      <c r="G3047" s="89">
        <v>24223</v>
      </c>
      <c r="H3047" t="s">
        <v>140</v>
      </c>
      <c r="I3047" t="s">
        <v>126</v>
      </c>
      <c r="J3047" s="89">
        <v>411791</v>
      </c>
      <c r="K3047" t="s">
        <v>127</v>
      </c>
      <c r="L3047" t="s">
        <v>128</v>
      </c>
      <c r="N3047">
        <v>1</v>
      </c>
      <c r="O3047" s="89">
        <v>1453.38</v>
      </c>
      <c r="P3047" s="89">
        <v>23496.31</v>
      </c>
      <c r="Q3047" t="s">
        <v>135</v>
      </c>
      <c r="R3047" t="s">
        <v>131</v>
      </c>
    </row>
    <row r="3048" spans="3:18" hidden="1" x14ac:dyDescent="0.25">
      <c r="C3048" t="s">
        <v>45</v>
      </c>
      <c r="D3048" t="s">
        <v>21</v>
      </c>
      <c r="E3048" t="s">
        <v>40</v>
      </c>
      <c r="F3048" t="s">
        <v>41</v>
      </c>
      <c r="G3048" s="89">
        <v>56122</v>
      </c>
      <c r="H3048" t="s">
        <v>146</v>
      </c>
      <c r="I3048" t="s">
        <v>141</v>
      </c>
      <c r="J3048" s="89">
        <v>448976</v>
      </c>
      <c r="K3048" t="s">
        <v>127</v>
      </c>
      <c r="L3048" t="s">
        <v>128</v>
      </c>
      <c r="N3048">
        <v>1</v>
      </c>
      <c r="O3048" s="89">
        <v>2244.88</v>
      </c>
      <c r="P3048" s="89">
        <v>39846.620000000003</v>
      </c>
      <c r="Q3048" t="s">
        <v>137</v>
      </c>
      <c r="R3048" t="s">
        <v>131</v>
      </c>
    </row>
    <row r="3049" spans="3:18" x14ac:dyDescent="0.25">
      <c r="C3049" t="s">
        <v>47</v>
      </c>
      <c r="D3049" t="s">
        <v>19</v>
      </c>
      <c r="E3049" t="s">
        <v>43</v>
      </c>
      <c r="F3049" t="s">
        <v>41</v>
      </c>
      <c r="G3049" s="89">
        <v>1853449</v>
      </c>
      <c r="H3049" t="s">
        <v>140</v>
      </c>
      <c r="I3049" t="s">
        <v>141</v>
      </c>
      <c r="J3049" s="89">
        <v>12974143</v>
      </c>
      <c r="K3049" t="s">
        <v>127</v>
      </c>
      <c r="L3049" t="s">
        <v>128</v>
      </c>
      <c r="N3049">
        <v>1</v>
      </c>
      <c r="O3049" s="89">
        <v>74137.960000000006</v>
      </c>
      <c r="P3049" s="89">
        <v>852586.54</v>
      </c>
      <c r="Q3049" t="s">
        <v>142</v>
      </c>
      <c r="R3049" t="s">
        <v>131</v>
      </c>
    </row>
    <row r="3050" spans="3:18" hidden="1" x14ac:dyDescent="0.25">
      <c r="C3050" t="s">
        <v>45</v>
      </c>
      <c r="D3050" t="s">
        <v>21</v>
      </c>
      <c r="E3050" t="s">
        <v>43</v>
      </c>
      <c r="F3050" t="s">
        <v>41</v>
      </c>
      <c r="G3050" s="89">
        <v>586622</v>
      </c>
      <c r="H3050" t="s">
        <v>146</v>
      </c>
      <c r="I3050" t="s">
        <v>153</v>
      </c>
      <c r="J3050" s="89"/>
      <c r="K3050" t="s">
        <v>127</v>
      </c>
      <c r="L3050" t="s">
        <v>128</v>
      </c>
      <c r="N3050">
        <v>0</v>
      </c>
      <c r="O3050" s="89">
        <v>17598.66</v>
      </c>
      <c r="P3050" s="89">
        <v>41063.54</v>
      </c>
      <c r="Q3050" t="s">
        <v>130</v>
      </c>
      <c r="R3050" t="s">
        <v>131</v>
      </c>
    </row>
    <row r="3051" spans="3:18" hidden="1" x14ac:dyDescent="0.25">
      <c r="C3051" t="s">
        <v>45</v>
      </c>
      <c r="D3051" t="s">
        <v>24</v>
      </c>
      <c r="E3051" t="s">
        <v>48</v>
      </c>
      <c r="F3051" t="s">
        <v>41</v>
      </c>
      <c r="G3051" s="89">
        <v>1819568</v>
      </c>
      <c r="H3051" t="s">
        <v>42</v>
      </c>
      <c r="I3051" t="s">
        <v>133</v>
      </c>
      <c r="J3051" s="89">
        <v>58226176</v>
      </c>
      <c r="K3051" t="s">
        <v>144</v>
      </c>
      <c r="N3051">
        <v>1</v>
      </c>
      <c r="O3051" s="89">
        <v>54587.040000000001</v>
      </c>
      <c r="P3051" s="89">
        <v>1000762.4</v>
      </c>
      <c r="Q3051" t="s">
        <v>142</v>
      </c>
      <c r="R3051" t="s">
        <v>42</v>
      </c>
    </row>
    <row r="3052" spans="3:18" hidden="1" x14ac:dyDescent="0.25">
      <c r="C3052" t="s">
        <v>45</v>
      </c>
      <c r="D3052" t="s">
        <v>24</v>
      </c>
      <c r="E3052" t="s">
        <v>48</v>
      </c>
      <c r="F3052" t="s">
        <v>41</v>
      </c>
      <c r="G3052" s="89">
        <v>36690490</v>
      </c>
      <c r="H3052" t="s">
        <v>140</v>
      </c>
      <c r="I3052" t="s">
        <v>141</v>
      </c>
      <c r="J3052" s="89">
        <v>256833430</v>
      </c>
      <c r="K3052" t="s">
        <v>127</v>
      </c>
      <c r="L3052" t="s">
        <v>128</v>
      </c>
      <c r="N3052">
        <v>1</v>
      </c>
      <c r="O3052" s="89">
        <v>1100714.7</v>
      </c>
      <c r="P3052" s="89">
        <v>7705002.9000000004</v>
      </c>
      <c r="Q3052" t="s">
        <v>130</v>
      </c>
      <c r="R3052" t="s">
        <v>131</v>
      </c>
    </row>
    <row r="3053" spans="3:18" hidden="1" x14ac:dyDescent="0.25">
      <c r="C3053" t="s">
        <v>45</v>
      </c>
      <c r="D3053" t="s">
        <v>24</v>
      </c>
      <c r="E3053" t="s">
        <v>48</v>
      </c>
      <c r="F3053" t="s">
        <v>41</v>
      </c>
      <c r="G3053" s="89">
        <v>18484</v>
      </c>
      <c r="H3053" t="s">
        <v>146</v>
      </c>
      <c r="I3053" t="s">
        <v>147</v>
      </c>
      <c r="J3053" s="89">
        <v>73936</v>
      </c>
      <c r="K3053" t="s">
        <v>127</v>
      </c>
      <c r="L3053" t="s">
        <v>128</v>
      </c>
      <c r="N3053">
        <v>1</v>
      </c>
      <c r="O3053" s="89">
        <v>369.68</v>
      </c>
      <c r="P3053" s="89">
        <v>9981.36</v>
      </c>
      <c r="Q3053" t="s">
        <v>142</v>
      </c>
      <c r="R3053" t="s">
        <v>131</v>
      </c>
    </row>
    <row r="3054" spans="3:18" x14ac:dyDescent="0.25">
      <c r="C3054" t="s">
        <v>47</v>
      </c>
      <c r="D3054" t="s">
        <v>20</v>
      </c>
      <c r="E3054" t="s">
        <v>43</v>
      </c>
      <c r="F3054" t="s">
        <v>41</v>
      </c>
      <c r="G3054" s="89">
        <v>4079524</v>
      </c>
      <c r="H3054" t="s">
        <v>140</v>
      </c>
      <c r="I3054" t="s">
        <v>147</v>
      </c>
      <c r="J3054" s="89">
        <v>12238572</v>
      </c>
      <c r="K3054" t="s">
        <v>127</v>
      </c>
      <c r="L3054" t="s">
        <v>128</v>
      </c>
      <c r="N3054">
        <v>1</v>
      </c>
      <c r="O3054" s="89">
        <v>203976.2</v>
      </c>
      <c r="P3054" s="89">
        <v>3630776.36</v>
      </c>
      <c r="Q3054" t="s">
        <v>135</v>
      </c>
      <c r="R3054" t="s">
        <v>131</v>
      </c>
    </row>
    <row r="3055" spans="3:18" hidden="1" x14ac:dyDescent="0.25">
      <c r="C3055" t="s">
        <v>45</v>
      </c>
      <c r="D3055" t="s">
        <v>149</v>
      </c>
      <c r="E3055" t="s">
        <v>43</v>
      </c>
      <c r="F3055" t="s">
        <v>41</v>
      </c>
      <c r="G3055" s="89">
        <v>750557</v>
      </c>
      <c r="H3055" t="s">
        <v>145</v>
      </c>
      <c r="I3055" t="s">
        <v>126</v>
      </c>
      <c r="J3055" s="89">
        <v>14260583</v>
      </c>
      <c r="K3055" t="s">
        <v>144</v>
      </c>
      <c r="N3055">
        <v>1</v>
      </c>
      <c r="O3055" s="89">
        <v>22516.71</v>
      </c>
      <c r="P3055" s="89">
        <v>232672.67</v>
      </c>
      <c r="Q3055" t="s">
        <v>130</v>
      </c>
      <c r="R3055" t="s">
        <v>131</v>
      </c>
    </row>
    <row r="3056" spans="3:18" hidden="1" x14ac:dyDescent="0.25">
      <c r="C3056" t="s">
        <v>45</v>
      </c>
      <c r="D3056" t="s">
        <v>24</v>
      </c>
      <c r="E3056" t="s">
        <v>40</v>
      </c>
      <c r="F3056" t="s">
        <v>41</v>
      </c>
      <c r="G3056" s="89">
        <v>588922</v>
      </c>
      <c r="H3056" t="s">
        <v>42</v>
      </c>
      <c r="I3056" t="s">
        <v>133</v>
      </c>
      <c r="J3056" s="89">
        <v>11778440</v>
      </c>
      <c r="K3056" t="s">
        <v>134</v>
      </c>
      <c r="L3056" t="s">
        <v>128</v>
      </c>
      <c r="M3056" t="s">
        <v>148</v>
      </c>
      <c r="N3056">
        <v>1</v>
      </c>
      <c r="O3056" s="89">
        <v>17667.66</v>
      </c>
      <c r="P3056" s="89">
        <v>235568.8</v>
      </c>
      <c r="Q3056" t="s">
        <v>142</v>
      </c>
      <c r="R3056" t="s">
        <v>131</v>
      </c>
    </row>
    <row r="3057" spans="3:18" hidden="1" x14ac:dyDescent="0.25">
      <c r="C3057" t="s">
        <v>45</v>
      </c>
      <c r="D3057" t="s">
        <v>21</v>
      </c>
      <c r="E3057" t="s">
        <v>43</v>
      </c>
      <c r="F3057" t="s">
        <v>41</v>
      </c>
      <c r="G3057" s="89">
        <v>74612</v>
      </c>
      <c r="H3057" t="s">
        <v>42</v>
      </c>
      <c r="I3057" t="s">
        <v>133</v>
      </c>
      <c r="J3057" s="89">
        <v>1716076</v>
      </c>
      <c r="K3057" t="s">
        <v>127</v>
      </c>
      <c r="L3057" t="s">
        <v>128</v>
      </c>
      <c r="M3057" t="s">
        <v>143</v>
      </c>
      <c r="N3057">
        <v>1</v>
      </c>
      <c r="O3057" s="89">
        <v>2238.36</v>
      </c>
      <c r="P3057" s="89">
        <v>96249.48</v>
      </c>
      <c r="Q3057" t="s">
        <v>150</v>
      </c>
      <c r="R3057" t="s">
        <v>42</v>
      </c>
    </row>
    <row r="3058" spans="3:18" hidden="1" x14ac:dyDescent="0.25">
      <c r="C3058" t="s">
        <v>45</v>
      </c>
      <c r="D3058" t="s">
        <v>138</v>
      </c>
      <c r="E3058" t="s">
        <v>43</v>
      </c>
      <c r="F3058" t="s">
        <v>41</v>
      </c>
      <c r="G3058" s="89">
        <v>3731407</v>
      </c>
      <c r="H3058" t="s">
        <v>140</v>
      </c>
      <c r="I3058" t="s">
        <v>147</v>
      </c>
      <c r="J3058" s="89">
        <v>11194221</v>
      </c>
      <c r="K3058" t="s">
        <v>127</v>
      </c>
      <c r="L3058" t="s">
        <v>128</v>
      </c>
      <c r="N3058">
        <v>1</v>
      </c>
      <c r="O3058" s="89">
        <v>111942.21</v>
      </c>
      <c r="P3058" s="89">
        <v>410454.77</v>
      </c>
      <c r="Q3058" t="s">
        <v>130</v>
      </c>
      <c r="R3058" t="s">
        <v>131</v>
      </c>
    </row>
    <row r="3059" spans="3:18" hidden="1" x14ac:dyDescent="0.25">
      <c r="C3059" t="s">
        <v>45</v>
      </c>
      <c r="D3059" t="s">
        <v>22</v>
      </c>
      <c r="E3059" t="s">
        <v>48</v>
      </c>
      <c r="F3059" t="s">
        <v>53</v>
      </c>
      <c r="G3059" s="89">
        <v>121423</v>
      </c>
      <c r="H3059" t="s">
        <v>42</v>
      </c>
      <c r="I3059" t="s">
        <v>133</v>
      </c>
      <c r="J3059" s="89">
        <v>3156998</v>
      </c>
      <c r="K3059" t="s">
        <v>144</v>
      </c>
      <c r="N3059">
        <v>1</v>
      </c>
      <c r="O3059" s="89">
        <v>3642.69</v>
      </c>
      <c r="P3059" s="89">
        <v>27927.29</v>
      </c>
      <c r="Q3059" t="s">
        <v>130</v>
      </c>
      <c r="R3059" t="s">
        <v>42</v>
      </c>
    </row>
    <row r="3060" spans="3:18" hidden="1" x14ac:dyDescent="0.25">
      <c r="C3060" t="s">
        <v>45</v>
      </c>
      <c r="D3060" t="s">
        <v>24</v>
      </c>
      <c r="E3060" t="s">
        <v>48</v>
      </c>
      <c r="F3060" t="s">
        <v>41</v>
      </c>
      <c r="G3060" s="89">
        <v>411019</v>
      </c>
      <c r="H3060" t="s">
        <v>140</v>
      </c>
      <c r="I3060" t="s">
        <v>126</v>
      </c>
      <c r="J3060" s="89">
        <v>6165285</v>
      </c>
      <c r="K3060" t="s">
        <v>134</v>
      </c>
      <c r="L3060" t="s">
        <v>128</v>
      </c>
      <c r="N3060">
        <v>1</v>
      </c>
      <c r="O3060" s="89">
        <v>12330.57</v>
      </c>
      <c r="P3060" s="89">
        <v>197289.12</v>
      </c>
      <c r="Q3060" t="s">
        <v>142</v>
      </c>
      <c r="R3060" t="s">
        <v>131</v>
      </c>
    </row>
    <row r="3061" spans="3:18" hidden="1" x14ac:dyDescent="0.25">
      <c r="C3061" t="s">
        <v>45</v>
      </c>
      <c r="D3061" t="s">
        <v>138</v>
      </c>
      <c r="E3061" t="s">
        <v>43</v>
      </c>
      <c r="F3061" t="s">
        <v>41</v>
      </c>
      <c r="G3061" s="89">
        <v>4588965</v>
      </c>
      <c r="H3061" t="s">
        <v>140</v>
      </c>
      <c r="I3061" t="s">
        <v>147</v>
      </c>
      <c r="J3061" s="89">
        <v>9177930</v>
      </c>
      <c r="K3061" t="s">
        <v>144</v>
      </c>
      <c r="N3061">
        <v>1</v>
      </c>
      <c r="O3061" s="89">
        <v>183558.6</v>
      </c>
      <c r="P3061" s="89">
        <v>1055461.95</v>
      </c>
      <c r="Q3061" t="s">
        <v>130</v>
      </c>
      <c r="R3061" t="s">
        <v>131</v>
      </c>
    </row>
    <row r="3062" spans="3:18" hidden="1" x14ac:dyDescent="0.25">
      <c r="C3062" t="s">
        <v>45</v>
      </c>
      <c r="D3062" t="s">
        <v>20</v>
      </c>
      <c r="E3062" t="s">
        <v>48</v>
      </c>
      <c r="F3062" t="s">
        <v>41</v>
      </c>
      <c r="G3062" s="89">
        <v>151799</v>
      </c>
      <c r="H3062" t="s">
        <v>42</v>
      </c>
      <c r="I3062" t="s">
        <v>133</v>
      </c>
      <c r="J3062" s="89">
        <v>5009367</v>
      </c>
      <c r="K3062" t="s">
        <v>127</v>
      </c>
      <c r="L3062" t="s">
        <v>128</v>
      </c>
      <c r="M3062" t="s">
        <v>139</v>
      </c>
      <c r="N3062">
        <v>1</v>
      </c>
      <c r="O3062" s="89">
        <v>4553.97</v>
      </c>
      <c r="P3062" s="89">
        <v>194302.72</v>
      </c>
      <c r="Q3062" t="s">
        <v>150</v>
      </c>
      <c r="R3062" t="s">
        <v>131</v>
      </c>
    </row>
    <row r="3063" spans="3:18" hidden="1" x14ac:dyDescent="0.25">
      <c r="C3063" t="s">
        <v>45</v>
      </c>
      <c r="D3063" t="s">
        <v>23</v>
      </c>
      <c r="E3063" t="s">
        <v>40</v>
      </c>
      <c r="F3063" t="s">
        <v>41</v>
      </c>
      <c r="G3063" s="89">
        <v>52813933</v>
      </c>
      <c r="H3063" t="s">
        <v>42</v>
      </c>
      <c r="I3063" t="s">
        <v>133</v>
      </c>
      <c r="J3063" s="89">
        <v>1478790124</v>
      </c>
      <c r="K3063" t="s">
        <v>127</v>
      </c>
      <c r="L3063" t="s">
        <v>128</v>
      </c>
      <c r="M3063" t="s">
        <v>152</v>
      </c>
      <c r="N3063">
        <v>1</v>
      </c>
      <c r="O3063" s="89">
        <v>1584417.99</v>
      </c>
      <c r="P3063" s="89">
        <v>15316040.57</v>
      </c>
      <c r="Q3063" t="s">
        <v>130</v>
      </c>
      <c r="R3063" t="s">
        <v>131</v>
      </c>
    </row>
    <row r="3064" spans="3:18" hidden="1" x14ac:dyDescent="0.25">
      <c r="C3064" t="s">
        <v>45</v>
      </c>
      <c r="D3064" t="s">
        <v>21</v>
      </c>
      <c r="E3064" t="s">
        <v>43</v>
      </c>
      <c r="F3064" t="s">
        <v>41</v>
      </c>
      <c r="G3064" s="89">
        <v>68427</v>
      </c>
      <c r="H3064" t="s">
        <v>132</v>
      </c>
      <c r="I3064" t="s">
        <v>147</v>
      </c>
      <c r="J3064" s="89">
        <v>205281</v>
      </c>
      <c r="K3064" t="s">
        <v>127</v>
      </c>
      <c r="L3064" t="s">
        <v>128</v>
      </c>
      <c r="N3064">
        <v>1</v>
      </c>
      <c r="O3064" s="89">
        <v>2737.08</v>
      </c>
      <c r="P3064" s="89">
        <v>47214.63</v>
      </c>
      <c r="Q3064" t="s">
        <v>137</v>
      </c>
      <c r="R3064" t="s">
        <v>131</v>
      </c>
    </row>
    <row r="3065" spans="3:18" hidden="1" x14ac:dyDescent="0.25">
      <c r="C3065" t="s">
        <v>45</v>
      </c>
      <c r="D3065" t="s">
        <v>24</v>
      </c>
      <c r="E3065" t="s">
        <v>52</v>
      </c>
      <c r="F3065" t="s">
        <v>41</v>
      </c>
      <c r="G3065" s="89">
        <v>45143</v>
      </c>
      <c r="H3065" t="s">
        <v>42</v>
      </c>
      <c r="I3065" t="s">
        <v>141</v>
      </c>
      <c r="J3065" s="89">
        <v>316001</v>
      </c>
      <c r="K3065" t="s">
        <v>144</v>
      </c>
      <c r="N3065">
        <v>1</v>
      </c>
      <c r="O3065" s="89">
        <v>1354.29</v>
      </c>
      <c r="P3065" s="89">
        <v>23474.36</v>
      </c>
      <c r="Q3065" t="s">
        <v>142</v>
      </c>
      <c r="R3065" t="s">
        <v>42</v>
      </c>
    </row>
    <row r="3066" spans="3:18" hidden="1" x14ac:dyDescent="0.25">
      <c r="C3066" t="s">
        <v>45</v>
      </c>
      <c r="D3066" t="s">
        <v>21</v>
      </c>
      <c r="E3066" t="s">
        <v>43</v>
      </c>
      <c r="F3066" t="s">
        <v>41</v>
      </c>
      <c r="G3066" s="89">
        <v>173074</v>
      </c>
      <c r="H3066" t="s">
        <v>42</v>
      </c>
      <c r="I3066" t="s">
        <v>133</v>
      </c>
      <c r="J3066" s="89">
        <v>5019146</v>
      </c>
      <c r="K3066" t="s">
        <v>134</v>
      </c>
      <c r="N3066">
        <v>1</v>
      </c>
      <c r="O3066" s="89">
        <v>5192.22</v>
      </c>
      <c r="P3066" s="89">
        <v>171343.26</v>
      </c>
      <c r="Q3066" t="s">
        <v>135</v>
      </c>
      <c r="R3066" t="s">
        <v>42</v>
      </c>
    </row>
    <row r="3067" spans="3:18" hidden="1" x14ac:dyDescent="0.25">
      <c r="C3067" t="s">
        <v>45</v>
      </c>
      <c r="D3067" t="s">
        <v>149</v>
      </c>
      <c r="E3067" t="s">
        <v>43</v>
      </c>
      <c r="F3067" t="s">
        <v>53</v>
      </c>
      <c r="G3067" s="89">
        <v>432313</v>
      </c>
      <c r="H3067" t="s">
        <v>140</v>
      </c>
      <c r="I3067" t="s">
        <v>133</v>
      </c>
      <c r="J3067" s="89">
        <v>12104764</v>
      </c>
      <c r="K3067" t="s">
        <v>144</v>
      </c>
      <c r="N3067">
        <v>1</v>
      </c>
      <c r="O3067" s="89">
        <v>12969.39</v>
      </c>
      <c r="P3067" s="89">
        <v>358819.79</v>
      </c>
      <c r="Q3067" t="s">
        <v>135</v>
      </c>
      <c r="R3067" t="s">
        <v>131</v>
      </c>
    </row>
    <row r="3068" spans="3:18" hidden="1" x14ac:dyDescent="0.25">
      <c r="C3068" t="s">
        <v>45</v>
      </c>
      <c r="D3068" t="s">
        <v>21</v>
      </c>
      <c r="E3068" t="s">
        <v>40</v>
      </c>
      <c r="F3068" t="s">
        <v>41</v>
      </c>
      <c r="G3068" s="89">
        <v>1388588</v>
      </c>
      <c r="H3068" t="s">
        <v>42</v>
      </c>
      <c r="I3068" t="s">
        <v>133</v>
      </c>
      <c r="J3068" s="89">
        <v>45823404</v>
      </c>
      <c r="K3068" t="s">
        <v>134</v>
      </c>
      <c r="L3068" t="s">
        <v>128</v>
      </c>
      <c r="M3068" t="s">
        <v>129</v>
      </c>
      <c r="N3068">
        <v>1</v>
      </c>
      <c r="O3068" s="89">
        <v>41657.64</v>
      </c>
      <c r="P3068" s="89">
        <v>999783.36</v>
      </c>
      <c r="Q3068" t="s">
        <v>137</v>
      </c>
      <c r="R3068" t="s">
        <v>131</v>
      </c>
    </row>
    <row r="3069" spans="3:18" hidden="1" x14ac:dyDescent="0.25">
      <c r="C3069" t="s">
        <v>45</v>
      </c>
      <c r="D3069" t="s">
        <v>24</v>
      </c>
      <c r="E3069" t="s">
        <v>44</v>
      </c>
      <c r="F3069" t="s">
        <v>41</v>
      </c>
      <c r="G3069" s="89">
        <v>163242</v>
      </c>
      <c r="H3069" t="s">
        <v>42</v>
      </c>
      <c r="I3069" t="s">
        <v>126</v>
      </c>
      <c r="J3069" s="89">
        <v>2611872</v>
      </c>
      <c r="K3069" t="s">
        <v>144</v>
      </c>
      <c r="N3069">
        <v>1</v>
      </c>
      <c r="O3069" s="89">
        <v>4897.26</v>
      </c>
      <c r="P3069" s="89">
        <v>102842.46</v>
      </c>
      <c r="Q3069" t="s">
        <v>137</v>
      </c>
      <c r="R3069" t="s">
        <v>42</v>
      </c>
    </row>
    <row r="3070" spans="3:18" hidden="1" x14ac:dyDescent="0.25">
      <c r="C3070" t="s">
        <v>39</v>
      </c>
      <c r="D3070" t="s">
        <v>21</v>
      </c>
      <c r="E3070" t="s">
        <v>43</v>
      </c>
      <c r="F3070" t="s">
        <v>41</v>
      </c>
      <c r="G3070" s="89">
        <v>126083</v>
      </c>
      <c r="H3070" t="s">
        <v>145</v>
      </c>
      <c r="I3070" t="s">
        <v>133</v>
      </c>
      <c r="J3070" s="89"/>
      <c r="N3070">
        <v>0</v>
      </c>
      <c r="O3070" s="89"/>
      <c r="P3070" s="89"/>
      <c r="R3070" t="s">
        <v>131</v>
      </c>
    </row>
    <row r="3071" spans="3:18" hidden="1" x14ac:dyDescent="0.25">
      <c r="C3071" t="s">
        <v>45</v>
      </c>
      <c r="D3071" t="s">
        <v>149</v>
      </c>
      <c r="E3071" t="s">
        <v>43</v>
      </c>
      <c r="F3071" t="s">
        <v>41</v>
      </c>
      <c r="G3071" s="89">
        <v>211223</v>
      </c>
      <c r="H3071" t="s">
        <v>42</v>
      </c>
      <c r="I3071" t="s">
        <v>133</v>
      </c>
      <c r="J3071" s="89">
        <v>8026474</v>
      </c>
      <c r="K3071" t="s">
        <v>134</v>
      </c>
      <c r="L3071" t="s">
        <v>128</v>
      </c>
      <c r="M3071" t="s">
        <v>136</v>
      </c>
      <c r="N3071">
        <v>1</v>
      </c>
      <c r="O3071" s="89">
        <v>6336.69</v>
      </c>
      <c r="P3071" s="89">
        <v>179539.55</v>
      </c>
      <c r="Q3071" t="s">
        <v>135</v>
      </c>
      <c r="R3071" t="s">
        <v>131</v>
      </c>
    </row>
    <row r="3072" spans="3:18" x14ac:dyDescent="0.25">
      <c r="C3072" t="s">
        <v>47</v>
      </c>
      <c r="D3072" t="s">
        <v>20</v>
      </c>
      <c r="E3072" t="s">
        <v>43</v>
      </c>
      <c r="F3072" t="s">
        <v>41</v>
      </c>
      <c r="G3072" s="89">
        <v>27489</v>
      </c>
      <c r="H3072" t="s">
        <v>145</v>
      </c>
      <c r="I3072" t="s">
        <v>126</v>
      </c>
      <c r="J3072" s="89">
        <v>329868</v>
      </c>
      <c r="K3072" t="s">
        <v>127</v>
      </c>
      <c r="L3072" t="s">
        <v>128</v>
      </c>
      <c r="N3072">
        <v>1</v>
      </c>
      <c r="O3072" s="89">
        <v>824.67</v>
      </c>
      <c r="P3072" s="89">
        <v>4948.0200000000004</v>
      </c>
      <c r="Q3072" t="s">
        <v>130</v>
      </c>
      <c r="R3072" t="s">
        <v>131</v>
      </c>
    </row>
    <row r="3073" spans="3:18" hidden="1" x14ac:dyDescent="0.25">
      <c r="C3073" t="s">
        <v>45</v>
      </c>
      <c r="D3073" t="s">
        <v>19</v>
      </c>
      <c r="E3073" t="s">
        <v>43</v>
      </c>
      <c r="F3073" t="s">
        <v>41</v>
      </c>
      <c r="G3073" s="89">
        <v>33925</v>
      </c>
      <c r="H3073" t="s">
        <v>154</v>
      </c>
      <c r="I3073" t="s">
        <v>126</v>
      </c>
      <c r="J3073" s="89">
        <v>542800</v>
      </c>
      <c r="K3073" t="s">
        <v>127</v>
      </c>
      <c r="L3073" t="s">
        <v>128</v>
      </c>
      <c r="N3073">
        <v>1</v>
      </c>
      <c r="O3073" s="89">
        <v>1357</v>
      </c>
      <c r="P3073" s="89">
        <v>21712</v>
      </c>
      <c r="Q3073" t="s">
        <v>137</v>
      </c>
      <c r="R3073" t="s">
        <v>131</v>
      </c>
    </row>
    <row r="3074" spans="3:18" hidden="1" x14ac:dyDescent="0.25">
      <c r="C3074" t="s">
        <v>45</v>
      </c>
      <c r="D3074" t="s">
        <v>22</v>
      </c>
      <c r="E3074" t="s">
        <v>48</v>
      </c>
      <c r="F3074" t="s">
        <v>41</v>
      </c>
      <c r="G3074" s="89">
        <v>55909</v>
      </c>
      <c r="H3074" t="s">
        <v>140</v>
      </c>
      <c r="I3074" t="s">
        <v>126</v>
      </c>
      <c r="J3074" s="89">
        <v>782726</v>
      </c>
      <c r="K3074" t="s">
        <v>127</v>
      </c>
      <c r="L3074" t="s">
        <v>128</v>
      </c>
      <c r="N3074">
        <v>1</v>
      </c>
      <c r="O3074" s="89">
        <v>1677.27</v>
      </c>
      <c r="P3074" s="89">
        <v>36340.85</v>
      </c>
      <c r="Q3074" t="s">
        <v>137</v>
      </c>
      <c r="R3074" t="s">
        <v>131</v>
      </c>
    </row>
    <row r="3075" spans="3:18" hidden="1" x14ac:dyDescent="0.25">
      <c r="C3075" t="s">
        <v>45</v>
      </c>
      <c r="D3075" t="s">
        <v>23</v>
      </c>
      <c r="E3075" t="s">
        <v>40</v>
      </c>
      <c r="F3075" t="s">
        <v>41</v>
      </c>
      <c r="G3075" s="89">
        <v>121476</v>
      </c>
      <c r="H3075" t="s">
        <v>140</v>
      </c>
      <c r="I3075" t="s">
        <v>126</v>
      </c>
      <c r="J3075" s="89">
        <v>1943616</v>
      </c>
      <c r="K3075" t="s">
        <v>144</v>
      </c>
      <c r="N3075">
        <v>1</v>
      </c>
      <c r="O3075" s="89">
        <v>3644.28</v>
      </c>
      <c r="P3075" s="89">
        <v>97180.800000000003</v>
      </c>
      <c r="Q3075" t="s">
        <v>135</v>
      </c>
      <c r="R3075" t="s">
        <v>131</v>
      </c>
    </row>
    <row r="3076" spans="3:18" hidden="1" x14ac:dyDescent="0.25">
      <c r="C3076" t="s">
        <v>45</v>
      </c>
      <c r="D3076" t="s">
        <v>149</v>
      </c>
      <c r="E3076" t="s">
        <v>43</v>
      </c>
      <c r="F3076" t="s">
        <v>41</v>
      </c>
      <c r="G3076" s="89">
        <v>15844525</v>
      </c>
      <c r="H3076" t="s">
        <v>42</v>
      </c>
      <c r="I3076" t="s">
        <v>133</v>
      </c>
      <c r="J3076" s="89">
        <v>475335750</v>
      </c>
      <c r="K3076" t="s">
        <v>144</v>
      </c>
      <c r="N3076">
        <v>1</v>
      </c>
      <c r="O3076" s="89">
        <v>475335.75</v>
      </c>
      <c r="P3076" s="89">
        <v>4753357.5</v>
      </c>
      <c r="Q3076" t="s">
        <v>130</v>
      </c>
      <c r="R3076" t="s">
        <v>42</v>
      </c>
    </row>
    <row r="3077" spans="3:18" hidden="1" x14ac:dyDescent="0.25">
      <c r="C3077" t="s">
        <v>45</v>
      </c>
      <c r="D3077" t="s">
        <v>21</v>
      </c>
      <c r="E3077" t="s">
        <v>43</v>
      </c>
      <c r="F3077" t="s">
        <v>41</v>
      </c>
      <c r="G3077" s="89">
        <v>65983</v>
      </c>
      <c r="H3077" t="s">
        <v>132</v>
      </c>
      <c r="I3077" t="s">
        <v>133</v>
      </c>
      <c r="J3077" s="89">
        <v>1715558</v>
      </c>
      <c r="K3077" t="s">
        <v>127</v>
      </c>
      <c r="L3077" t="s">
        <v>151</v>
      </c>
      <c r="N3077">
        <v>1</v>
      </c>
      <c r="O3077" s="89">
        <v>1979.49</v>
      </c>
      <c r="P3077" s="89">
        <v>52126.57</v>
      </c>
      <c r="Q3077" t="s">
        <v>137</v>
      </c>
      <c r="R3077" t="s">
        <v>131</v>
      </c>
    </row>
    <row r="3078" spans="3:18" hidden="1" x14ac:dyDescent="0.25">
      <c r="C3078" t="s">
        <v>45</v>
      </c>
      <c r="D3078" t="s">
        <v>22</v>
      </c>
      <c r="E3078" t="s">
        <v>48</v>
      </c>
      <c r="F3078" t="s">
        <v>53</v>
      </c>
      <c r="G3078" s="89">
        <v>180510</v>
      </c>
      <c r="H3078" t="s">
        <v>42</v>
      </c>
      <c r="I3078" t="s">
        <v>133</v>
      </c>
      <c r="J3078" s="89">
        <v>6137340</v>
      </c>
      <c r="K3078" t="s">
        <v>127</v>
      </c>
      <c r="L3078" t="s">
        <v>128</v>
      </c>
      <c r="M3078" t="s">
        <v>143</v>
      </c>
      <c r="N3078">
        <v>1</v>
      </c>
      <c r="O3078" s="89">
        <v>5415.3</v>
      </c>
      <c r="P3078" s="89">
        <v>146213.1</v>
      </c>
      <c r="Q3078" t="s">
        <v>135</v>
      </c>
      <c r="R3078" t="s">
        <v>42</v>
      </c>
    </row>
    <row r="3079" spans="3:18" hidden="1" x14ac:dyDescent="0.25">
      <c r="C3079" t="s">
        <v>45</v>
      </c>
      <c r="D3079" t="s">
        <v>22</v>
      </c>
      <c r="E3079" t="s">
        <v>48</v>
      </c>
      <c r="F3079" t="s">
        <v>53</v>
      </c>
      <c r="G3079" s="89">
        <v>517690</v>
      </c>
      <c r="H3079" t="s">
        <v>42</v>
      </c>
      <c r="I3079" t="s">
        <v>133</v>
      </c>
      <c r="J3079" s="89">
        <v>15530700</v>
      </c>
      <c r="K3079" t="s">
        <v>144</v>
      </c>
      <c r="N3079">
        <v>1</v>
      </c>
      <c r="O3079" s="89">
        <v>15530.7</v>
      </c>
      <c r="P3079" s="89">
        <v>269198.8</v>
      </c>
      <c r="Q3079" t="s">
        <v>142</v>
      </c>
      <c r="R3079" t="s">
        <v>42</v>
      </c>
    </row>
    <row r="3080" spans="3:18" x14ac:dyDescent="0.25">
      <c r="C3080" t="s">
        <v>47</v>
      </c>
      <c r="D3080" t="s">
        <v>138</v>
      </c>
      <c r="E3080" t="s">
        <v>40</v>
      </c>
      <c r="F3080" t="s">
        <v>41</v>
      </c>
      <c r="G3080" s="89">
        <v>5578112</v>
      </c>
      <c r="H3080" t="s">
        <v>132</v>
      </c>
      <c r="I3080" t="s">
        <v>147</v>
      </c>
      <c r="J3080" s="89">
        <v>27890560</v>
      </c>
      <c r="K3080" t="s">
        <v>144</v>
      </c>
      <c r="N3080">
        <v>1</v>
      </c>
      <c r="O3080" s="89">
        <v>223124.48000000001</v>
      </c>
      <c r="P3080" s="89">
        <v>3291086.08</v>
      </c>
      <c r="Q3080" t="s">
        <v>142</v>
      </c>
      <c r="R3080" t="s">
        <v>131</v>
      </c>
    </row>
    <row r="3081" spans="3:18" hidden="1" x14ac:dyDescent="0.25">
      <c r="C3081" t="s">
        <v>45</v>
      </c>
      <c r="D3081" t="s">
        <v>19</v>
      </c>
      <c r="E3081" t="s">
        <v>43</v>
      </c>
      <c r="F3081" t="s">
        <v>41</v>
      </c>
      <c r="G3081" s="89">
        <v>2345521</v>
      </c>
      <c r="H3081" t="s">
        <v>140</v>
      </c>
      <c r="I3081" t="s">
        <v>133</v>
      </c>
      <c r="J3081" s="89">
        <v>75056672</v>
      </c>
      <c r="K3081" t="s">
        <v>144</v>
      </c>
      <c r="N3081">
        <v>1</v>
      </c>
      <c r="O3081" s="89">
        <v>70365.63</v>
      </c>
      <c r="P3081" s="89">
        <v>1970237.64</v>
      </c>
      <c r="Q3081" t="s">
        <v>135</v>
      </c>
      <c r="R3081" t="s">
        <v>131</v>
      </c>
    </row>
    <row r="3082" spans="3:18" hidden="1" x14ac:dyDescent="0.25">
      <c r="C3082" t="s">
        <v>45</v>
      </c>
      <c r="D3082" t="s">
        <v>23</v>
      </c>
      <c r="E3082" t="s">
        <v>48</v>
      </c>
      <c r="F3082" t="s">
        <v>41</v>
      </c>
      <c r="G3082" s="89">
        <v>95893102</v>
      </c>
      <c r="H3082" t="s">
        <v>42</v>
      </c>
      <c r="I3082" t="s">
        <v>133</v>
      </c>
      <c r="J3082" s="89">
        <v>3548044774</v>
      </c>
      <c r="K3082" t="s">
        <v>144</v>
      </c>
      <c r="N3082">
        <v>1</v>
      </c>
      <c r="O3082" s="89">
        <v>2876793.06</v>
      </c>
      <c r="P3082" s="89">
        <v>86303791.799999997</v>
      </c>
      <c r="Q3082" t="s">
        <v>135</v>
      </c>
      <c r="R3082" t="s">
        <v>42</v>
      </c>
    </row>
    <row r="3083" spans="3:18" hidden="1" x14ac:dyDescent="0.25">
      <c r="C3083" t="s">
        <v>45</v>
      </c>
      <c r="D3083" t="s">
        <v>21</v>
      </c>
      <c r="E3083" t="s">
        <v>43</v>
      </c>
      <c r="F3083" t="s">
        <v>41</v>
      </c>
      <c r="G3083" s="89">
        <v>63968</v>
      </c>
      <c r="H3083" t="s">
        <v>132</v>
      </c>
      <c r="I3083" t="s">
        <v>126</v>
      </c>
      <c r="J3083" s="89">
        <v>1279360</v>
      </c>
      <c r="K3083" t="s">
        <v>134</v>
      </c>
      <c r="L3083" t="s">
        <v>128</v>
      </c>
      <c r="N3083">
        <v>1</v>
      </c>
      <c r="O3083" s="89">
        <v>1919.04</v>
      </c>
      <c r="P3083" s="89">
        <v>42218.879999999997</v>
      </c>
      <c r="Q3083" t="s">
        <v>137</v>
      </c>
      <c r="R3083" t="s">
        <v>131</v>
      </c>
    </row>
    <row r="3084" spans="3:18" hidden="1" x14ac:dyDescent="0.25">
      <c r="C3084" t="s">
        <v>45</v>
      </c>
      <c r="D3084" t="s">
        <v>138</v>
      </c>
      <c r="E3084" t="s">
        <v>48</v>
      </c>
      <c r="F3084" t="s">
        <v>41</v>
      </c>
      <c r="G3084" s="89">
        <v>245068</v>
      </c>
      <c r="H3084" t="s">
        <v>42</v>
      </c>
      <c r="I3084" t="s">
        <v>133</v>
      </c>
      <c r="J3084" s="89">
        <v>5391496</v>
      </c>
      <c r="K3084" t="s">
        <v>134</v>
      </c>
      <c r="L3084" t="s">
        <v>128</v>
      </c>
      <c r="M3084" t="s">
        <v>139</v>
      </c>
      <c r="N3084">
        <v>1</v>
      </c>
      <c r="O3084" s="89">
        <v>7352.04</v>
      </c>
      <c r="P3084" s="89">
        <v>132336.72</v>
      </c>
      <c r="Q3084" t="s">
        <v>142</v>
      </c>
      <c r="R3084" t="s">
        <v>131</v>
      </c>
    </row>
    <row r="3085" spans="3:18" hidden="1" x14ac:dyDescent="0.25">
      <c r="C3085" t="s">
        <v>45</v>
      </c>
      <c r="D3085" t="s">
        <v>21</v>
      </c>
      <c r="E3085" t="s">
        <v>43</v>
      </c>
      <c r="F3085" t="s">
        <v>41</v>
      </c>
      <c r="G3085" s="89">
        <v>1408114</v>
      </c>
      <c r="H3085" t="s">
        <v>146</v>
      </c>
      <c r="I3085" t="s">
        <v>126</v>
      </c>
      <c r="J3085" s="89">
        <v>23937938</v>
      </c>
      <c r="K3085" t="s">
        <v>144</v>
      </c>
      <c r="N3085">
        <v>1</v>
      </c>
      <c r="O3085" s="89">
        <v>42243.42</v>
      </c>
      <c r="P3085" s="89">
        <v>704057</v>
      </c>
      <c r="Q3085" t="s">
        <v>142</v>
      </c>
      <c r="R3085" t="s">
        <v>131</v>
      </c>
    </row>
    <row r="3086" spans="3:18" hidden="1" x14ac:dyDescent="0.25">
      <c r="C3086" t="s">
        <v>45</v>
      </c>
      <c r="D3086" t="s">
        <v>23</v>
      </c>
      <c r="E3086" t="s">
        <v>40</v>
      </c>
      <c r="F3086" t="s">
        <v>41</v>
      </c>
      <c r="G3086" s="89">
        <v>1113795</v>
      </c>
      <c r="H3086" t="s">
        <v>146</v>
      </c>
      <c r="I3086" t="s">
        <v>133</v>
      </c>
      <c r="J3086" s="89">
        <v>30072465</v>
      </c>
      <c r="K3086" t="s">
        <v>144</v>
      </c>
      <c r="N3086">
        <v>1</v>
      </c>
      <c r="O3086" s="89">
        <v>33413.85</v>
      </c>
      <c r="P3086" s="89">
        <v>790794.45</v>
      </c>
      <c r="Q3086" t="s">
        <v>137</v>
      </c>
      <c r="R3086" t="s">
        <v>131</v>
      </c>
    </row>
    <row r="3087" spans="3:18" hidden="1" x14ac:dyDescent="0.25">
      <c r="C3087" t="s">
        <v>45</v>
      </c>
      <c r="D3087" t="s">
        <v>19</v>
      </c>
      <c r="E3087" t="s">
        <v>43</v>
      </c>
      <c r="F3087" t="s">
        <v>41</v>
      </c>
      <c r="G3087" s="89">
        <v>55916</v>
      </c>
      <c r="H3087" t="s">
        <v>146</v>
      </c>
      <c r="I3087" t="s">
        <v>141</v>
      </c>
      <c r="J3087" s="89">
        <v>559160</v>
      </c>
      <c r="K3087" t="s">
        <v>144</v>
      </c>
      <c r="N3087">
        <v>1</v>
      </c>
      <c r="O3087" s="89">
        <v>1677.48</v>
      </c>
      <c r="P3087" s="89">
        <v>16215.64</v>
      </c>
      <c r="Q3087" t="s">
        <v>130</v>
      </c>
      <c r="R3087" t="s">
        <v>131</v>
      </c>
    </row>
    <row r="3088" spans="3:18" hidden="1" x14ac:dyDescent="0.25">
      <c r="C3088" t="s">
        <v>45</v>
      </c>
      <c r="D3088" t="s">
        <v>23</v>
      </c>
      <c r="E3088" t="s">
        <v>40</v>
      </c>
      <c r="F3088" t="s">
        <v>41</v>
      </c>
      <c r="G3088" s="89">
        <v>160112</v>
      </c>
      <c r="H3088" t="s">
        <v>42</v>
      </c>
      <c r="I3088" t="s">
        <v>133</v>
      </c>
      <c r="J3088" s="89">
        <v>4963472</v>
      </c>
      <c r="K3088" t="s">
        <v>134</v>
      </c>
      <c r="L3088" t="s">
        <v>128</v>
      </c>
      <c r="M3088" t="s">
        <v>152</v>
      </c>
      <c r="N3088">
        <v>1</v>
      </c>
      <c r="O3088" s="89">
        <v>4803.3599999999997</v>
      </c>
      <c r="P3088" s="89">
        <v>44831.360000000001</v>
      </c>
      <c r="Q3088" t="s">
        <v>130</v>
      </c>
      <c r="R3088" t="s">
        <v>131</v>
      </c>
    </row>
    <row r="3089" spans="3:18" hidden="1" x14ac:dyDescent="0.25">
      <c r="C3089" t="s">
        <v>45</v>
      </c>
      <c r="D3089" t="s">
        <v>22</v>
      </c>
      <c r="E3089" t="s">
        <v>52</v>
      </c>
      <c r="F3089" t="s">
        <v>41</v>
      </c>
      <c r="G3089" s="89">
        <v>256058</v>
      </c>
      <c r="H3089" t="s">
        <v>42</v>
      </c>
      <c r="I3089" t="s">
        <v>126</v>
      </c>
      <c r="J3089" s="89">
        <v>5121160</v>
      </c>
      <c r="K3089" t="s">
        <v>127</v>
      </c>
      <c r="L3089" t="s">
        <v>128</v>
      </c>
      <c r="M3089" t="s">
        <v>143</v>
      </c>
      <c r="N3089">
        <v>1</v>
      </c>
      <c r="O3089" s="89">
        <v>7681.74</v>
      </c>
      <c r="P3089" s="89">
        <v>174119.44</v>
      </c>
      <c r="Q3089" t="s">
        <v>137</v>
      </c>
      <c r="R3089" t="s">
        <v>42</v>
      </c>
    </row>
    <row r="3090" spans="3:18" hidden="1" x14ac:dyDescent="0.25">
      <c r="C3090" t="s">
        <v>45</v>
      </c>
      <c r="D3090" t="s">
        <v>138</v>
      </c>
      <c r="E3090" t="s">
        <v>43</v>
      </c>
      <c r="F3090" t="s">
        <v>41</v>
      </c>
      <c r="G3090" s="89">
        <v>27896</v>
      </c>
      <c r="H3090" t="s">
        <v>145</v>
      </c>
      <c r="I3090" t="s">
        <v>141</v>
      </c>
      <c r="J3090" s="89">
        <v>251064</v>
      </c>
      <c r="K3090" t="s">
        <v>144</v>
      </c>
      <c r="N3090">
        <v>1</v>
      </c>
      <c r="O3090" s="89">
        <v>836.88</v>
      </c>
      <c r="P3090" s="89">
        <v>13390.08</v>
      </c>
      <c r="Q3090" t="s">
        <v>142</v>
      </c>
      <c r="R3090" t="s">
        <v>131</v>
      </c>
    </row>
    <row r="3091" spans="3:18" hidden="1" x14ac:dyDescent="0.25">
      <c r="C3091" t="s">
        <v>39</v>
      </c>
      <c r="D3091" t="s">
        <v>19</v>
      </c>
      <c r="E3091" t="s">
        <v>43</v>
      </c>
      <c r="F3091" t="s">
        <v>41</v>
      </c>
      <c r="G3091" s="89">
        <v>1204460</v>
      </c>
      <c r="H3091" t="s">
        <v>140</v>
      </c>
      <c r="I3091" t="s">
        <v>133</v>
      </c>
      <c r="J3091" s="89"/>
      <c r="N3091">
        <v>0</v>
      </c>
      <c r="O3091" s="89"/>
      <c r="P3091" s="89"/>
      <c r="R3091" t="s">
        <v>131</v>
      </c>
    </row>
    <row r="3092" spans="3:18" hidden="1" x14ac:dyDescent="0.25">
      <c r="C3092" t="s">
        <v>45</v>
      </c>
      <c r="D3092" t="s">
        <v>149</v>
      </c>
      <c r="E3092" t="s">
        <v>43</v>
      </c>
      <c r="F3092" t="s">
        <v>41</v>
      </c>
      <c r="G3092" s="89">
        <v>3317822</v>
      </c>
      <c r="H3092" t="s">
        <v>132</v>
      </c>
      <c r="I3092" t="s">
        <v>133</v>
      </c>
      <c r="J3092" s="89">
        <v>99534660</v>
      </c>
      <c r="K3092" t="s">
        <v>127</v>
      </c>
      <c r="L3092" t="s">
        <v>128</v>
      </c>
      <c r="N3092">
        <v>1</v>
      </c>
      <c r="O3092" s="89">
        <v>99534.66</v>
      </c>
      <c r="P3092" s="89">
        <v>2289297.1800000002</v>
      </c>
      <c r="Q3092" t="s">
        <v>137</v>
      </c>
      <c r="R3092" t="s">
        <v>131</v>
      </c>
    </row>
    <row r="3093" spans="3:18" x14ac:dyDescent="0.25">
      <c r="C3093" t="s">
        <v>47</v>
      </c>
      <c r="D3093" t="s">
        <v>50</v>
      </c>
      <c r="E3093" t="s">
        <v>50</v>
      </c>
      <c r="F3093" t="s">
        <v>41</v>
      </c>
      <c r="G3093" s="89">
        <v>12816</v>
      </c>
      <c r="H3093" t="s">
        <v>79</v>
      </c>
      <c r="I3093" t="s">
        <v>147</v>
      </c>
      <c r="J3093" s="89">
        <v>38448</v>
      </c>
      <c r="K3093" t="s">
        <v>127</v>
      </c>
      <c r="N3093">
        <v>1</v>
      </c>
      <c r="O3093" s="89">
        <v>384.48</v>
      </c>
      <c r="P3093" s="89">
        <v>6408</v>
      </c>
      <c r="Q3093" t="s">
        <v>142</v>
      </c>
      <c r="R3093" t="s">
        <v>79</v>
      </c>
    </row>
    <row r="3094" spans="3:18" x14ac:dyDescent="0.25">
      <c r="C3094" t="s">
        <v>47</v>
      </c>
      <c r="D3094" t="s">
        <v>21</v>
      </c>
      <c r="E3094" t="s">
        <v>40</v>
      </c>
      <c r="F3094" t="s">
        <v>41</v>
      </c>
      <c r="G3094" s="89">
        <v>2241294</v>
      </c>
      <c r="H3094" t="s">
        <v>42</v>
      </c>
      <c r="I3094" t="s">
        <v>126</v>
      </c>
      <c r="J3094" s="89">
        <v>29136822</v>
      </c>
      <c r="K3094" t="s">
        <v>127</v>
      </c>
      <c r="L3094" t="s">
        <v>128</v>
      </c>
      <c r="M3094" t="s">
        <v>129</v>
      </c>
      <c r="N3094">
        <v>1</v>
      </c>
      <c r="O3094" s="89">
        <v>89651.76</v>
      </c>
      <c r="P3094" s="89">
        <v>1120647</v>
      </c>
      <c r="Q3094" t="s">
        <v>142</v>
      </c>
      <c r="R3094" t="s">
        <v>131</v>
      </c>
    </row>
    <row r="3095" spans="3:18" hidden="1" x14ac:dyDescent="0.25">
      <c r="C3095" t="s">
        <v>45</v>
      </c>
      <c r="D3095" t="s">
        <v>22</v>
      </c>
      <c r="E3095" t="s">
        <v>40</v>
      </c>
      <c r="F3095" t="s">
        <v>41</v>
      </c>
      <c r="G3095" s="89">
        <v>1213985</v>
      </c>
      <c r="H3095" t="s">
        <v>146</v>
      </c>
      <c r="I3095" t="s">
        <v>133</v>
      </c>
      <c r="J3095" s="89">
        <v>35205565</v>
      </c>
      <c r="K3095" t="s">
        <v>127</v>
      </c>
      <c r="L3095" t="s">
        <v>128</v>
      </c>
      <c r="N3095">
        <v>1</v>
      </c>
      <c r="O3095" s="89">
        <v>48559.4</v>
      </c>
      <c r="P3095" s="89">
        <v>1371803.05</v>
      </c>
      <c r="Q3095" t="s">
        <v>150</v>
      </c>
      <c r="R3095" t="s">
        <v>131</v>
      </c>
    </row>
    <row r="3096" spans="3:18" hidden="1" x14ac:dyDescent="0.25">
      <c r="C3096" t="s">
        <v>45</v>
      </c>
      <c r="D3096" t="s">
        <v>149</v>
      </c>
      <c r="E3096" t="s">
        <v>43</v>
      </c>
      <c r="F3096" t="s">
        <v>41</v>
      </c>
      <c r="G3096" s="89">
        <v>3922961</v>
      </c>
      <c r="H3096" t="s">
        <v>140</v>
      </c>
      <c r="I3096" t="s">
        <v>147</v>
      </c>
      <c r="J3096" s="89">
        <v>11768883</v>
      </c>
      <c r="K3096" t="s">
        <v>127</v>
      </c>
      <c r="L3096" t="s">
        <v>128</v>
      </c>
      <c r="N3096">
        <v>1</v>
      </c>
      <c r="O3096" s="89">
        <v>117688.83</v>
      </c>
      <c r="P3096" s="89">
        <v>470755.32</v>
      </c>
      <c r="Q3096" t="s">
        <v>130</v>
      </c>
      <c r="R3096" t="s">
        <v>131</v>
      </c>
    </row>
    <row r="3097" spans="3:18" hidden="1" x14ac:dyDescent="0.25">
      <c r="C3097" t="s">
        <v>45</v>
      </c>
      <c r="D3097" t="s">
        <v>22</v>
      </c>
      <c r="E3097" t="s">
        <v>44</v>
      </c>
      <c r="F3097" t="s">
        <v>41</v>
      </c>
      <c r="G3097" s="89">
        <v>3003838</v>
      </c>
      <c r="H3097" t="s">
        <v>42</v>
      </c>
      <c r="I3097" t="s">
        <v>133</v>
      </c>
      <c r="J3097" s="89">
        <v>87111302</v>
      </c>
      <c r="K3097" t="s">
        <v>127</v>
      </c>
      <c r="L3097" t="s">
        <v>128</v>
      </c>
      <c r="M3097" t="s">
        <v>143</v>
      </c>
      <c r="N3097">
        <v>1</v>
      </c>
      <c r="O3097" s="89">
        <v>90115.14</v>
      </c>
      <c r="P3097" s="89">
        <v>931189.78</v>
      </c>
      <c r="Q3097" t="s">
        <v>130</v>
      </c>
      <c r="R3097" t="s">
        <v>42</v>
      </c>
    </row>
    <row r="3098" spans="3:18" hidden="1" x14ac:dyDescent="0.25">
      <c r="C3098" t="s">
        <v>45</v>
      </c>
      <c r="D3098" t="s">
        <v>19</v>
      </c>
      <c r="E3098" t="s">
        <v>43</v>
      </c>
      <c r="F3098" t="s">
        <v>53</v>
      </c>
      <c r="G3098" s="89">
        <v>437796</v>
      </c>
      <c r="H3098" t="s">
        <v>42</v>
      </c>
      <c r="I3098" t="s">
        <v>133</v>
      </c>
      <c r="J3098" s="89">
        <v>13571676</v>
      </c>
      <c r="K3098" t="s">
        <v>144</v>
      </c>
      <c r="N3098">
        <v>1</v>
      </c>
      <c r="O3098" s="89">
        <v>13133.88</v>
      </c>
      <c r="P3098" s="89">
        <v>148850.64000000001</v>
      </c>
      <c r="Q3098" t="s">
        <v>130</v>
      </c>
      <c r="R3098" t="s">
        <v>42</v>
      </c>
    </row>
    <row r="3099" spans="3:18" x14ac:dyDescent="0.25">
      <c r="C3099" t="s">
        <v>47</v>
      </c>
      <c r="D3099" t="s">
        <v>22</v>
      </c>
      <c r="E3099" t="s">
        <v>40</v>
      </c>
      <c r="F3099" t="s">
        <v>41</v>
      </c>
      <c r="G3099" s="89">
        <v>23541239</v>
      </c>
      <c r="H3099" t="s">
        <v>140</v>
      </c>
      <c r="I3099" t="s">
        <v>141</v>
      </c>
      <c r="J3099" s="89">
        <v>164788673</v>
      </c>
      <c r="K3099" t="s">
        <v>127</v>
      </c>
      <c r="L3099" t="s">
        <v>128</v>
      </c>
      <c r="N3099">
        <v>1</v>
      </c>
      <c r="O3099" s="89">
        <v>941649.56</v>
      </c>
      <c r="P3099" s="89">
        <v>4002010.63</v>
      </c>
      <c r="Q3099" t="s">
        <v>130</v>
      </c>
      <c r="R3099" t="s">
        <v>131</v>
      </c>
    </row>
    <row r="3100" spans="3:18" hidden="1" x14ac:dyDescent="0.25">
      <c r="C3100" t="s">
        <v>45</v>
      </c>
      <c r="D3100" t="s">
        <v>21</v>
      </c>
      <c r="E3100" t="s">
        <v>40</v>
      </c>
      <c r="F3100" t="s">
        <v>41</v>
      </c>
      <c r="G3100" s="89">
        <v>562491</v>
      </c>
      <c r="H3100" t="s">
        <v>42</v>
      </c>
      <c r="I3100" t="s">
        <v>126</v>
      </c>
      <c r="J3100" s="89">
        <v>8437365</v>
      </c>
      <c r="K3100" t="s">
        <v>144</v>
      </c>
      <c r="N3100">
        <v>1</v>
      </c>
      <c r="O3100" s="89">
        <v>16874.73</v>
      </c>
      <c r="P3100" s="89">
        <v>404993.52</v>
      </c>
      <c r="Q3100" t="s">
        <v>137</v>
      </c>
      <c r="R3100" t="s">
        <v>131</v>
      </c>
    </row>
    <row r="3101" spans="3:18" hidden="1" x14ac:dyDescent="0.25">
      <c r="C3101" t="s">
        <v>45</v>
      </c>
      <c r="D3101" t="s">
        <v>19</v>
      </c>
      <c r="E3101" t="s">
        <v>43</v>
      </c>
      <c r="F3101" t="s">
        <v>53</v>
      </c>
      <c r="G3101" s="89">
        <v>604050</v>
      </c>
      <c r="H3101" t="s">
        <v>42</v>
      </c>
      <c r="I3101" t="s">
        <v>133</v>
      </c>
      <c r="J3101" s="89">
        <v>18725550</v>
      </c>
      <c r="K3101" t="s">
        <v>127</v>
      </c>
      <c r="L3101" t="s">
        <v>128</v>
      </c>
      <c r="M3101" t="s">
        <v>136</v>
      </c>
      <c r="N3101">
        <v>1</v>
      </c>
      <c r="O3101" s="89">
        <v>18121.5</v>
      </c>
      <c r="P3101" s="89">
        <v>501361.5</v>
      </c>
      <c r="Q3101" t="s">
        <v>135</v>
      </c>
      <c r="R3101" t="s">
        <v>42</v>
      </c>
    </row>
    <row r="3102" spans="3:18" hidden="1" x14ac:dyDescent="0.25">
      <c r="C3102" t="s">
        <v>45</v>
      </c>
      <c r="D3102" t="s">
        <v>24</v>
      </c>
      <c r="E3102" t="s">
        <v>48</v>
      </c>
      <c r="F3102" t="s">
        <v>41</v>
      </c>
      <c r="G3102" s="89">
        <v>418749</v>
      </c>
      <c r="H3102" t="s">
        <v>42</v>
      </c>
      <c r="I3102" t="s">
        <v>141</v>
      </c>
      <c r="J3102" s="89">
        <v>3349992</v>
      </c>
      <c r="K3102" t="s">
        <v>127</v>
      </c>
      <c r="L3102" t="s">
        <v>128</v>
      </c>
      <c r="M3102" t="s">
        <v>148</v>
      </c>
      <c r="N3102">
        <v>1</v>
      </c>
      <c r="O3102" s="89">
        <v>12562.47</v>
      </c>
      <c r="P3102" s="89">
        <v>263811.87</v>
      </c>
      <c r="Q3102" t="s">
        <v>137</v>
      </c>
      <c r="R3102" t="s">
        <v>131</v>
      </c>
    </row>
    <row r="3103" spans="3:18" hidden="1" x14ac:dyDescent="0.25">
      <c r="C3103" t="s">
        <v>45</v>
      </c>
      <c r="D3103" t="s">
        <v>24</v>
      </c>
      <c r="E3103" t="s">
        <v>52</v>
      </c>
      <c r="F3103" t="s">
        <v>41</v>
      </c>
      <c r="G3103" s="89">
        <v>548065</v>
      </c>
      <c r="H3103" t="s">
        <v>42</v>
      </c>
      <c r="I3103" t="s">
        <v>126</v>
      </c>
      <c r="J3103" s="89">
        <v>8769040</v>
      </c>
      <c r="K3103" t="s">
        <v>144</v>
      </c>
      <c r="N3103">
        <v>1</v>
      </c>
      <c r="O3103" s="89">
        <v>16441.95</v>
      </c>
      <c r="P3103" s="89">
        <v>164419.5</v>
      </c>
      <c r="Q3103" t="s">
        <v>130</v>
      </c>
      <c r="R3103" t="s">
        <v>42</v>
      </c>
    </row>
    <row r="3104" spans="3:18" hidden="1" x14ac:dyDescent="0.25">
      <c r="C3104" t="s">
        <v>45</v>
      </c>
      <c r="D3104" t="s">
        <v>21</v>
      </c>
      <c r="E3104" t="s">
        <v>40</v>
      </c>
      <c r="F3104" t="s">
        <v>41</v>
      </c>
      <c r="G3104" s="89">
        <v>492034</v>
      </c>
      <c r="H3104" t="s">
        <v>42</v>
      </c>
      <c r="I3104" t="s">
        <v>133</v>
      </c>
      <c r="J3104" s="89">
        <v>16237122</v>
      </c>
      <c r="K3104" t="s">
        <v>127</v>
      </c>
      <c r="L3104" t="s">
        <v>128</v>
      </c>
      <c r="M3104" t="s">
        <v>148</v>
      </c>
      <c r="N3104">
        <v>1</v>
      </c>
      <c r="O3104" s="89">
        <v>14761.02</v>
      </c>
      <c r="P3104" s="89">
        <v>403467.88</v>
      </c>
      <c r="Q3104" t="s">
        <v>135</v>
      </c>
      <c r="R3104" t="s">
        <v>42</v>
      </c>
    </row>
    <row r="3105" spans="3:18" hidden="1" x14ac:dyDescent="0.25">
      <c r="C3105" t="s">
        <v>45</v>
      </c>
      <c r="D3105" t="s">
        <v>20</v>
      </c>
      <c r="E3105" t="s">
        <v>43</v>
      </c>
      <c r="F3105" t="s">
        <v>41</v>
      </c>
      <c r="G3105" s="89">
        <v>51617105</v>
      </c>
      <c r="H3105" t="s">
        <v>42</v>
      </c>
      <c r="I3105" t="s">
        <v>133</v>
      </c>
      <c r="J3105" s="89">
        <v>1754981570</v>
      </c>
      <c r="K3105" t="s">
        <v>127</v>
      </c>
      <c r="L3105" t="s">
        <v>128</v>
      </c>
      <c r="M3105" t="s">
        <v>139</v>
      </c>
      <c r="N3105">
        <v>1</v>
      </c>
      <c r="O3105" s="89">
        <v>1548513.15</v>
      </c>
      <c r="P3105" s="89">
        <v>42842197.149999999</v>
      </c>
      <c r="Q3105" t="s">
        <v>135</v>
      </c>
      <c r="R3105" t="s">
        <v>131</v>
      </c>
    </row>
    <row r="3106" spans="3:18" hidden="1" x14ac:dyDescent="0.25">
      <c r="C3106" t="s">
        <v>45</v>
      </c>
      <c r="D3106" t="s">
        <v>21</v>
      </c>
      <c r="E3106" t="s">
        <v>43</v>
      </c>
      <c r="F3106" t="s">
        <v>41</v>
      </c>
      <c r="G3106" s="89">
        <v>641703</v>
      </c>
      <c r="H3106" t="s">
        <v>42</v>
      </c>
      <c r="I3106" t="s">
        <v>133</v>
      </c>
      <c r="J3106" s="89">
        <v>16684278</v>
      </c>
      <c r="K3106" t="s">
        <v>127</v>
      </c>
      <c r="L3106" t="s">
        <v>128</v>
      </c>
      <c r="M3106" t="s">
        <v>139</v>
      </c>
      <c r="N3106">
        <v>1</v>
      </c>
      <c r="O3106" s="89">
        <v>19251.09</v>
      </c>
      <c r="P3106" s="89">
        <v>442775.07</v>
      </c>
      <c r="Q3106" t="s">
        <v>137</v>
      </c>
      <c r="R3106" t="s">
        <v>42</v>
      </c>
    </row>
    <row r="3107" spans="3:18" hidden="1" x14ac:dyDescent="0.25">
      <c r="C3107" t="s">
        <v>45</v>
      </c>
      <c r="D3107" t="s">
        <v>24</v>
      </c>
      <c r="E3107" t="s">
        <v>43</v>
      </c>
      <c r="F3107" t="s">
        <v>41</v>
      </c>
      <c r="G3107" s="89">
        <v>641379</v>
      </c>
      <c r="H3107" t="s">
        <v>42</v>
      </c>
      <c r="I3107" t="s">
        <v>133</v>
      </c>
      <c r="J3107" s="89">
        <v>24372402</v>
      </c>
      <c r="K3107" t="s">
        <v>144</v>
      </c>
      <c r="N3107">
        <v>1</v>
      </c>
      <c r="O3107" s="89">
        <v>19241.37</v>
      </c>
      <c r="P3107" s="89">
        <v>686275.53</v>
      </c>
      <c r="Q3107" t="s">
        <v>150</v>
      </c>
      <c r="R3107" t="s">
        <v>42</v>
      </c>
    </row>
    <row r="3108" spans="3:18" hidden="1" x14ac:dyDescent="0.25">
      <c r="C3108" t="s">
        <v>45</v>
      </c>
      <c r="D3108" t="s">
        <v>23</v>
      </c>
      <c r="E3108" t="s">
        <v>43</v>
      </c>
      <c r="F3108" t="s">
        <v>41</v>
      </c>
      <c r="G3108" s="89">
        <v>351128</v>
      </c>
      <c r="H3108" t="s">
        <v>132</v>
      </c>
      <c r="I3108" t="s">
        <v>141</v>
      </c>
      <c r="J3108" s="89">
        <v>2809024</v>
      </c>
      <c r="K3108" t="s">
        <v>127</v>
      </c>
      <c r="L3108" t="s">
        <v>128</v>
      </c>
      <c r="N3108">
        <v>1</v>
      </c>
      <c r="O3108" s="89">
        <v>10533.84</v>
      </c>
      <c r="P3108" s="89">
        <v>84270.720000000001</v>
      </c>
      <c r="Q3108" t="s">
        <v>130</v>
      </c>
      <c r="R3108" t="s">
        <v>131</v>
      </c>
    </row>
    <row r="3109" spans="3:18" hidden="1" x14ac:dyDescent="0.25">
      <c r="C3109" t="s">
        <v>45</v>
      </c>
      <c r="D3109" t="s">
        <v>22</v>
      </c>
      <c r="E3109" t="s">
        <v>44</v>
      </c>
      <c r="F3109" t="s">
        <v>41</v>
      </c>
      <c r="G3109" s="89">
        <v>63498</v>
      </c>
      <c r="H3109" t="s">
        <v>42</v>
      </c>
      <c r="I3109" t="s">
        <v>133</v>
      </c>
      <c r="J3109" s="89">
        <v>1396956</v>
      </c>
      <c r="K3109" t="s">
        <v>134</v>
      </c>
      <c r="L3109" t="s">
        <v>128</v>
      </c>
      <c r="M3109" t="s">
        <v>143</v>
      </c>
      <c r="N3109">
        <v>1</v>
      </c>
      <c r="O3109" s="89">
        <v>1904.94</v>
      </c>
      <c r="P3109" s="89">
        <v>32383.98</v>
      </c>
      <c r="Q3109" t="s">
        <v>142</v>
      </c>
      <c r="R3109" t="s">
        <v>42</v>
      </c>
    </row>
    <row r="3110" spans="3:18" hidden="1" x14ac:dyDescent="0.25">
      <c r="C3110" t="s">
        <v>45</v>
      </c>
      <c r="D3110" t="s">
        <v>22</v>
      </c>
      <c r="E3110" t="s">
        <v>43</v>
      </c>
      <c r="F3110" t="s">
        <v>41</v>
      </c>
      <c r="G3110" s="89">
        <v>579528</v>
      </c>
      <c r="H3110" t="s">
        <v>145</v>
      </c>
      <c r="I3110" t="s">
        <v>133</v>
      </c>
      <c r="J3110" s="89">
        <v>16806312</v>
      </c>
      <c r="K3110" t="s">
        <v>144</v>
      </c>
      <c r="N3110">
        <v>1</v>
      </c>
      <c r="O3110" s="89">
        <v>17385.84</v>
      </c>
      <c r="P3110" s="89">
        <v>168063.12</v>
      </c>
      <c r="Q3110" t="s">
        <v>130</v>
      </c>
      <c r="R3110" t="s">
        <v>131</v>
      </c>
    </row>
    <row r="3111" spans="3:18" hidden="1" x14ac:dyDescent="0.25">
      <c r="C3111" t="s">
        <v>45</v>
      </c>
      <c r="D3111" t="s">
        <v>22</v>
      </c>
      <c r="E3111" t="s">
        <v>48</v>
      </c>
      <c r="F3111" t="s">
        <v>41</v>
      </c>
      <c r="G3111" s="89">
        <v>717288</v>
      </c>
      <c r="H3111" t="s">
        <v>42</v>
      </c>
      <c r="I3111" t="s">
        <v>133</v>
      </c>
      <c r="J3111" s="89">
        <v>21518640</v>
      </c>
      <c r="K3111" t="s">
        <v>134</v>
      </c>
      <c r="L3111" t="s">
        <v>128</v>
      </c>
      <c r="M3111" t="s">
        <v>143</v>
      </c>
      <c r="N3111">
        <v>1</v>
      </c>
      <c r="O3111" s="89">
        <v>21518.639999999999</v>
      </c>
      <c r="P3111" s="89">
        <v>487755.84</v>
      </c>
      <c r="Q3111" t="s">
        <v>137</v>
      </c>
      <c r="R3111" t="s">
        <v>42</v>
      </c>
    </row>
    <row r="3112" spans="3:18" hidden="1" x14ac:dyDescent="0.25">
      <c r="C3112" t="s">
        <v>45</v>
      </c>
      <c r="D3112" t="s">
        <v>21</v>
      </c>
      <c r="E3112" t="s">
        <v>48</v>
      </c>
      <c r="F3112" t="s">
        <v>41</v>
      </c>
      <c r="G3112" s="89">
        <v>45232</v>
      </c>
      <c r="H3112" t="s">
        <v>42</v>
      </c>
      <c r="I3112" t="s">
        <v>141</v>
      </c>
      <c r="J3112" s="89">
        <v>452320</v>
      </c>
      <c r="K3112" t="s">
        <v>127</v>
      </c>
      <c r="L3112" t="s">
        <v>128</v>
      </c>
      <c r="M3112" t="s">
        <v>129</v>
      </c>
      <c r="N3112">
        <v>1</v>
      </c>
      <c r="O3112" s="89">
        <v>1809.28</v>
      </c>
      <c r="P3112" s="89">
        <v>18545.12</v>
      </c>
      <c r="Q3112" t="s">
        <v>142</v>
      </c>
      <c r="R3112" t="s">
        <v>131</v>
      </c>
    </row>
    <row r="3113" spans="3:18" hidden="1" x14ac:dyDescent="0.25">
      <c r="C3113" t="s">
        <v>45</v>
      </c>
      <c r="D3113" t="s">
        <v>19</v>
      </c>
      <c r="E3113" t="s">
        <v>43</v>
      </c>
      <c r="F3113" t="s">
        <v>41</v>
      </c>
      <c r="G3113" s="89">
        <v>1239826</v>
      </c>
      <c r="H3113" t="s">
        <v>145</v>
      </c>
      <c r="I3113" t="s">
        <v>147</v>
      </c>
      <c r="J3113" s="89">
        <v>6199130</v>
      </c>
      <c r="K3113" t="s">
        <v>144</v>
      </c>
      <c r="N3113">
        <v>1</v>
      </c>
      <c r="O3113" s="89">
        <v>37194.78</v>
      </c>
      <c r="P3113" s="89">
        <v>843081.68</v>
      </c>
      <c r="Q3113" t="s">
        <v>137</v>
      </c>
      <c r="R3113" t="s">
        <v>131</v>
      </c>
    </row>
    <row r="3114" spans="3:18" hidden="1" x14ac:dyDescent="0.25">
      <c r="C3114" t="s">
        <v>45</v>
      </c>
      <c r="D3114" t="s">
        <v>20</v>
      </c>
      <c r="E3114" t="s">
        <v>43</v>
      </c>
      <c r="F3114" t="s">
        <v>41</v>
      </c>
      <c r="G3114" s="89">
        <v>487012</v>
      </c>
      <c r="H3114" t="s">
        <v>146</v>
      </c>
      <c r="I3114" t="s">
        <v>133</v>
      </c>
      <c r="J3114" s="89">
        <v>14123348</v>
      </c>
      <c r="K3114" t="s">
        <v>127</v>
      </c>
      <c r="L3114" t="s">
        <v>128</v>
      </c>
      <c r="N3114">
        <v>1</v>
      </c>
      <c r="O3114" s="89">
        <v>14610.36</v>
      </c>
      <c r="P3114" s="89">
        <v>525972.96</v>
      </c>
      <c r="Q3114" t="s">
        <v>150</v>
      </c>
      <c r="R3114" t="s">
        <v>131</v>
      </c>
    </row>
    <row r="3115" spans="3:18" hidden="1" x14ac:dyDescent="0.25">
      <c r="C3115" t="s">
        <v>45</v>
      </c>
      <c r="D3115" t="s">
        <v>23</v>
      </c>
      <c r="E3115" t="s">
        <v>46</v>
      </c>
      <c r="F3115" t="s">
        <v>41</v>
      </c>
      <c r="G3115" s="89">
        <v>1282118</v>
      </c>
      <c r="H3115" t="s">
        <v>42</v>
      </c>
      <c r="I3115" t="s">
        <v>126</v>
      </c>
      <c r="J3115" s="89">
        <v>19231770</v>
      </c>
      <c r="K3115" t="s">
        <v>127</v>
      </c>
      <c r="L3115" t="s">
        <v>128</v>
      </c>
      <c r="M3115" t="s">
        <v>152</v>
      </c>
      <c r="N3115">
        <v>1</v>
      </c>
      <c r="O3115" s="89">
        <v>38463.54</v>
      </c>
      <c r="P3115" s="89">
        <v>358993.04</v>
      </c>
      <c r="Q3115" t="s">
        <v>130</v>
      </c>
      <c r="R3115" t="s">
        <v>42</v>
      </c>
    </row>
    <row r="3116" spans="3:18" hidden="1" x14ac:dyDescent="0.25">
      <c r="C3116" t="s">
        <v>45</v>
      </c>
      <c r="D3116" t="s">
        <v>21</v>
      </c>
      <c r="E3116" t="s">
        <v>43</v>
      </c>
      <c r="F3116" t="s">
        <v>53</v>
      </c>
      <c r="G3116" s="89">
        <v>538917</v>
      </c>
      <c r="H3116" t="s">
        <v>42</v>
      </c>
      <c r="I3116" t="s">
        <v>133</v>
      </c>
      <c r="J3116" s="89">
        <v>14550759</v>
      </c>
      <c r="K3116" t="s">
        <v>144</v>
      </c>
      <c r="N3116">
        <v>1</v>
      </c>
      <c r="O3116" s="89">
        <v>16167.51</v>
      </c>
      <c r="P3116" s="89">
        <v>269458.5</v>
      </c>
      <c r="Q3116" t="s">
        <v>142</v>
      </c>
      <c r="R3116" t="s">
        <v>42</v>
      </c>
    </row>
    <row r="3117" spans="3:18" hidden="1" x14ac:dyDescent="0.25">
      <c r="C3117" t="s">
        <v>45</v>
      </c>
      <c r="D3117" t="s">
        <v>23</v>
      </c>
      <c r="E3117" t="s">
        <v>48</v>
      </c>
      <c r="F3117" t="s">
        <v>41</v>
      </c>
      <c r="G3117" s="89">
        <v>24133145</v>
      </c>
      <c r="H3117" t="s">
        <v>140</v>
      </c>
      <c r="I3117" t="s">
        <v>126</v>
      </c>
      <c r="J3117" s="89">
        <v>361997175</v>
      </c>
      <c r="K3117" t="s">
        <v>127</v>
      </c>
      <c r="L3117" t="s">
        <v>128</v>
      </c>
      <c r="N3117">
        <v>1</v>
      </c>
      <c r="O3117" s="89">
        <v>723994.35</v>
      </c>
      <c r="P3117" s="89">
        <v>6757280.5999999996</v>
      </c>
      <c r="Q3117" t="s">
        <v>130</v>
      </c>
      <c r="R3117" t="s">
        <v>131</v>
      </c>
    </row>
    <row r="3118" spans="3:18" hidden="1" x14ac:dyDescent="0.25">
      <c r="C3118" t="s">
        <v>45</v>
      </c>
      <c r="D3118" t="s">
        <v>24</v>
      </c>
      <c r="E3118" t="s">
        <v>48</v>
      </c>
      <c r="F3118" t="s">
        <v>53</v>
      </c>
      <c r="G3118" s="89">
        <v>23757</v>
      </c>
      <c r="H3118" t="s">
        <v>132</v>
      </c>
      <c r="I3118" t="s">
        <v>141</v>
      </c>
      <c r="J3118" s="89">
        <v>142542</v>
      </c>
      <c r="K3118" t="s">
        <v>127</v>
      </c>
      <c r="L3118" t="s">
        <v>128</v>
      </c>
      <c r="N3118">
        <v>1</v>
      </c>
      <c r="O3118" s="89">
        <v>950.28</v>
      </c>
      <c r="P3118" s="89">
        <v>6176.82</v>
      </c>
      <c r="Q3118" t="s">
        <v>130</v>
      </c>
      <c r="R3118" t="s">
        <v>131</v>
      </c>
    </row>
    <row r="3119" spans="3:18" hidden="1" x14ac:dyDescent="0.25">
      <c r="C3119" t="s">
        <v>45</v>
      </c>
      <c r="D3119" t="s">
        <v>24</v>
      </c>
      <c r="E3119" t="s">
        <v>44</v>
      </c>
      <c r="F3119" t="s">
        <v>41</v>
      </c>
      <c r="G3119" s="89">
        <v>48190</v>
      </c>
      <c r="H3119" t="s">
        <v>42</v>
      </c>
      <c r="I3119" t="s">
        <v>126</v>
      </c>
      <c r="J3119" s="89">
        <v>915610</v>
      </c>
      <c r="K3119" t="s">
        <v>144</v>
      </c>
      <c r="N3119">
        <v>1</v>
      </c>
      <c r="O3119" s="89">
        <v>1445.7</v>
      </c>
      <c r="P3119" s="89">
        <v>11083.7</v>
      </c>
      <c r="Q3119" t="s">
        <v>130</v>
      </c>
      <c r="R3119" t="s">
        <v>131</v>
      </c>
    </row>
    <row r="3120" spans="3:18" hidden="1" x14ac:dyDescent="0.25">
      <c r="C3120" t="s">
        <v>45</v>
      </c>
      <c r="D3120" t="s">
        <v>20</v>
      </c>
      <c r="E3120" t="s">
        <v>43</v>
      </c>
      <c r="F3120" t="s">
        <v>41</v>
      </c>
      <c r="G3120" s="89">
        <v>2000142</v>
      </c>
      <c r="H3120" t="s">
        <v>146</v>
      </c>
      <c r="I3120" t="s">
        <v>133</v>
      </c>
      <c r="J3120" s="89">
        <v>62004402</v>
      </c>
      <c r="K3120" t="s">
        <v>144</v>
      </c>
      <c r="N3120">
        <v>1</v>
      </c>
      <c r="O3120" s="89">
        <v>60004.26</v>
      </c>
      <c r="P3120" s="89">
        <v>440031.24</v>
      </c>
      <c r="Q3120" t="s">
        <v>130</v>
      </c>
      <c r="R3120" t="s">
        <v>131</v>
      </c>
    </row>
    <row r="3121" spans="3:18" hidden="1" x14ac:dyDescent="0.25">
      <c r="C3121" t="s">
        <v>45</v>
      </c>
      <c r="D3121" t="s">
        <v>21</v>
      </c>
      <c r="E3121" t="s">
        <v>40</v>
      </c>
      <c r="F3121" t="s">
        <v>41</v>
      </c>
      <c r="G3121" s="89">
        <v>66633</v>
      </c>
      <c r="H3121" t="s">
        <v>146</v>
      </c>
      <c r="I3121" t="s">
        <v>133</v>
      </c>
      <c r="J3121" s="89">
        <v>2132256</v>
      </c>
      <c r="K3121" t="s">
        <v>134</v>
      </c>
      <c r="N3121">
        <v>1</v>
      </c>
      <c r="O3121" s="89">
        <v>1998.99</v>
      </c>
      <c r="P3121" s="89">
        <v>29318.52</v>
      </c>
      <c r="Q3121" t="s">
        <v>142</v>
      </c>
      <c r="R3121" t="s">
        <v>131</v>
      </c>
    </row>
    <row r="3122" spans="3:18" hidden="1" x14ac:dyDescent="0.25">
      <c r="C3122" t="s">
        <v>45</v>
      </c>
      <c r="D3122" t="s">
        <v>23</v>
      </c>
      <c r="E3122" t="s">
        <v>48</v>
      </c>
      <c r="F3122" t="s">
        <v>41</v>
      </c>
      <c r="G3122" s="89">
        <v>421125</v>
      </c>
      <c r="H3122" t="s">
        <v>132</v>
      </c>
      <c r="I3122" t="s">
        <v>133</v>
      </c>
      <c r="J3122" s="89">
        <v>12633750</v>
      </c>
      <c r="K3122" t="s">
        <v>144</v>
      </c>
      <c r="N3122">
        <v>1</v>
      </c>
      <c r="O3122" s="89">
        <v>12633.75</v>
      </c>
      <c r="P3122" s="89">
        <v>117915</v>
      </c>
      <c r="Q3122" t="s">
        <v>130</v>
      </c>
      <c r="R3122" t="s">
        <v>131</v>
      </c>
    </row>
    <row r="3123" spans="3:18" hidden="1" x14ac:dyDescent="0.25">
      <c r="C3123" t="s">
        <v>45</v>
      </c>
      <c r="D3123" t="s">
        <v>24</v>
      </c>
      <c r="E3123" t="s">
        <v>48</v>
      </c>
      <c r="F3123" t="s">
        <v>41</v>
      </c>
      <c r="G3123" s="89">
        <v>125807</v>
      </c>
      <c r="H3123" t="s">
        <v>42</v>
      </c>
      <c r="I3123" t="s">
        <v>141</v>
      </c>
      <c r="J3123" s="89">
        <v>880649</v>
      </c>
      <c r="K3123" t="s">
        <v>144</v>
      </c>
      <c r="N3123">
        <v>1</v>
      </c>
      <c r="O3123" s="89">
        <v>5032.28</v>
      </c>
      <c r="P3123" s="89">
        <v>21387.19</v>
      </c>
      <c r="Q3123" t="s">
        <v>130</v>
      </c>
      <c r="R3123" t="s">
        <v>131</v>
      </c>
    </row>
    <row r="3124" spans="3:18" hidden="1" x14ac:dyDescent="0.25">
      <c r="C3124" t="s">
        <v>45</v>
      </c>
      <c r="D3124" t="s">
        <v>21</v>
      </c>
      <c r="E3124" t="s">
        <v>43</v>
      </c>
      <c r="F3124" t="s">
        <v>41</v>
      </c>
      <c r="G3124" s="89">
        <v>23186163</v>
      </c>
      <c r="H3124" t="s">
        <v>146</v>
      </c>
      <c r="I3124" t="s">
        <v>126</v>
      </c>
      <c r="J3124" s="89">
        <v>394164771</v>
      </c>
      <c r="K3124" t="s">
        <v>127</v>
      </c>
      <c r="L3124" t="s">
        <v>128</v>
      </c>
      <c r="N3124">
        <v>1</v>
      </c>
      <c r="O3124" s="89">
        <v>695584.89</v>
      </c>
      <c r="P3124" s="89">
        <v>15534729.210000001</v>
      </c>
      <c r="Q3124" t="s">
        <v>137</v>
      </c>
      <c r="R3124" t="s">
        <v>131</v>
      </c>
    </row>
    <row r="3125" spans="3:18" hidden="1" x14ac:dyDescent="0.25">
      <c r="C3125" t="s">
        <v>45</v>
      </c>
      <c r="D3125" t="s">
        <v>20</v>
      </c>
      <c r="E3125" t="s">
        <v>43</v>
      </c>
      <c r="F3125" t="s">
        <v>41</v>
      </c>
      <c r="G3125" s="89">
        <v>882845</v>
      </c>
      <c r="H3125" t="s">
        <v>132</v>
      </c>
      <c r="I3125" t="s">
        <v>141</v>
      </c>
      <c r="J3125" s="89">
        <v>7062760</v>
      </c>
      <c r="K3125" t="s">
        <v>127</v>
      </c>
      <c r="L3125" t="s">
        <v>128</v>
      </c>
      <c r="N3125">
        <v>1</v>
      </c>
      <c r="O3125" s="89">
        <v>35313.800000000003</v>
      </c>
      <c r="P3125" s="89">
        <v>423765.6</v>
      </c>
      <c r="Q3125" t="s">
        <v>142</v>
      </c>
      <c r="R3125" t="s">
        <v>131</v>
      </c>
    </row>
    <row r="3126" spans="3:18" hidden="1" x14ac:dyDescent="0.25">
      <c r="C3126" t="s">
        <v>45</v>
      </c>
      <c r="D3126" t="s">
        <v>23</v>
      </c>
      <c r="E3126" t="s">
        <v>40</v>
      </c>
      <c r="F3126" t="s">
        <v>41</v>
      </c>
      <c r="G3126" s="89">
        <v>459237</v>
      </c>
      <c r="H3126" t="s">
        <v>42</v>
      </c>
      <c r="I3126" t="s">
        <v>126</v>
      </c>
      <c r="J3126" s="89">
        <v>7807029</v>
      </c>
      <c r="K3126" t="s">
        <v>127</v>
      </c>
      <c r="L3126" t="s">
        <v>128</v>
      </c>
      <c r="M3126" t="s">
        <v>152</v>
      </c>
      <c r="N3126">
        <v>1</v>
      </c>
      <c r="O3126" s="89">
        <v>13777.11</v>
      </c>
      <c r="P3126" s="89">
        <v>293911.67999999999</v>
      </c>
      <c r="Q3126" t="s">
        <v>137</v>
      </c>
      <c r="R3126" t="s">
        <v>42</v>
      </c>
    </row>
    <row r="3127" spans="3:18" hidden="1" x14ac:dyDescent="0.25">
      <c r="C3127" t="s">
        <v>45</v>
      </c>
      <c r="D3127" t="s">
        <v>138</v>
      </c>
      <c r="E3127" t="s">
        <v>43</v>
      </c>
      <c r="F3127" t="s">
        <v>41</v>
      </c>
      <c r="G3127" s="89">
        <v>64600</v>
      </c>
      <c r="H3127" t="s">
        <v>42</v>
      </c>
      <c r="I3127" t="s">
        <v>126</v>
      </c>
      <c r="J3127" s="89">
        <v>904400</v>
      </c>
      <c r="K3127" t="s">
        <v>127</v>
      </c>
      <c r="L3127" t="s">
        <v>128</v>
      </c>
      <c r="M3127" t="s">
        <v>139</v>
      </c>
      <c r="N3127">
        <v>1</v>
      </c>
      <c r="O3127" s="89">
        <v>2584</v>
      </c>
      <c r="P3127" s="89">
        <v>81396</v>
      </c>
      <c r="Q3127" t="s">
        <v>150</v>
      </c>
      <c r="R3127" t="s">
        <v>131</v>
      </c>
    </row>
    <row r="3128" spans="3:18" hidden="1" x14ac:dyDescent="0.25">
      <c r="C3128" t="s">
        <v>45</v>
      </c>
      <c r="D3128" t="s">
        <v>23</v>
      </c>
      <c r="E3128" t="s">
        <v>48</v>
      </c>
      <c r="F3128" t="s">
        <v>41</v>
      </c>
      <c r="G3128" s="89">
        <v>27727</v>
      </c>
      <c r="H3128" t="s">
        <v>146</v>
      </c>
      <c r="I3128" t="s">
        <v>126</v>
      </c>
      <c r="J3128" s="89">
        <v>471359</v>
      </c>
      <c r="K3128" t="s">
        <v>144</v>
      </c>
      <c r="N3128">
        <v>1</v>
      </c>
      <c r="O3128" s="89">
        <v>831.81</v>
      </c>
      <c r="P3128" s="89">
        <v>4713.59</v>
      </c>
      <c r="Q3128" t="s">
        <v>130</v>
      </c>
      <c r="R3128" t="s">
        <v>131</v>
      </c>
    </row>
    <row r="3129" spans="3:18" hidden="1" x14ac:dyDescent="0.25">
      <c r="C3129" t="s">
        <v>45</v>
      </c>
      <c r="D3129" t="s">
        <v>24</v>
      </c>
      <c r="E3129" t="s">
        <v>48</v>
      </c>
      <c r="F3129" t="s">
        <v>41</v>
      </c>
      <c r="G3129" s="89">
        <v>3445664</v>
      </c>
      <c r="H3129" t="s">
        <v>140</v>
      </c>
      <c r="I3129" t="s">
        <v>133</v>
      </c>
      <c r="J3129" s="89">
        <v>99924256</v>
      </c>
      <c r="K3129" t="s">
        <v>134</v>
      </c>
      <c r="L3129" t="s">
        <v>128</v>
      </c>
      <c r="N3129">
        <v>1</v>
      </c>
      <c r="O3129" s="89">
        <v>103369.92</v>
      </c>
      <c r="P3129" s="89">
        <v>2411964.7999999998</v>
      </c>
      <c r="Q3129" t="s">
        <v>137</v>
      </c>
      <c r="R3129" t="s">
        <v>131</v>
      </c>
    </row>
    <row r="3130" spans="3:18" hidden="1" x14ac:dyDescent="0.25">
      <c r="C3130" t="s">
        <v>45</v>
      </c>
      <c r="D3130" t="s">
        <v>21</v>
      </c>
      <c r="E3130" t="s">
        <v>40</v>
      </c>
      <c r="F3130" t="s">
        <v>41</v>
      </c>
      <c r="G3130" s="89">
        <v>160206</v>
      </c>
      <c r="H3130" t="s">
        <v>140</v>
      </c>
      <c r="I3130" t="s">
        <v>133</v>
      </c>
      <c r="J3130" s="89">
        <v>4485768</v>
      </c>
      <c r="K3130" t="s">
        <v>134</v>
      </c>
      <c r="L3130" t="s">
        <v>128</v>
      </c>
      <c r="N3130">
        <v>1</v>
      </c>
      <c r="O3130" s="89">
        <v>4806.18</v>
      </c>
      <c r="P3130" s="89">
        <v>115348.32</v>
      </c>
      <c r="Q3130" t="s">
        <v>137</v>
      </c>
      <c r="R3130" t="s">
        <v>131</v>
      </c>
    </row>
    <row r="3131" spans="3:18" hidden="1" x14ac:dyDescent="0.25">
      <c r="C3131" t="s">
        <v>45</v>
      </c>
      <c r="D3131" t="s">
        <v>22</v>
      </c>
      <c r="E3131" t="s">
        <v>40</v>
      </c>
      <c r="F3131" t="s">
        <v>41</v>
      </c>
      <c r="G3131" s="89">
        <v>67897</v>
      </c>
      <c r="H3131" t="s">
        <v>42</v>
      </c>
      <c r="I3131" t="s">
        <v>126</v>
      </c>
      <c r="J3131" s="89">
        <v>1357940</v>
      </c>
      <c r="K3131" t="s">
        <v>134</v>
      </c>
      <c r="L3131" t="s">
        <v>128</v>
      </c>
      <c r="M3131" t="s">
        <v>143</v>
      </c>
      <c r="N3131">
        <v>1</v>
      </c>
      <c r="O3131" s="89">
        <v>1357.94</v>
      </c>
      <c r="P3131" s="89">
        <v>44133.05</v>
      </c>
      <c r="Q3131" t="s">
        <v>137</v>
      </c>
      <c r="R3131" t="s">
        <v>42</v>
      </c>
    </row>
    <row r="3132" spans="3:18" hidden="1" x14ac:dyDescent="0.25">
      <c r="C3132" t="s">
        <v>45</v>
      </c>
      <c r="D3132" t="s">
        <v>20</v>
      </c>
      <c r="E3132" t="s">
        <v>43</v>
      </c>
      <c r="F3132" t="s">
        <v>41</v>
      </c>
      <c r="G3132" s="89">
        <v>102197</v>
      </c>
      <c r="H3132" t="s">
        <v>42</v>
      </c>
      <c r="I3132" t="s">
        <v>126</v>
      </c>
      <c r="J3132" s="89">
        <v>1430758</v>
      </c>
      <c r="K3132" t="s">
        <v>127</v>
      </c>
      <c r="L3132" t="s">
        <v>128</v>
      </c>
      <c r="M3132" t="s">
        <v>143</v>
      </c>
      <c r="N3132">
        <v>1</v>
      </c>
      <c r="O3132" s="89">
        <v>2043.94</v>
      </c>
      <c r="P3132" s="89">
        <v>44966.68</v>
      </c>
      <c r="Q3132" t="s">
        <v>142</v>
      </c>
      <c r="R3132" t="s">
        <v>131</v>
      </c>
    </row>
    <row r="3133" spans="3:18" x14ac:dyDescent="0.25">
      <c r="C3133" t="s">
        <v>47</v>
      </c>
      <c r="D3133" t="s">
        <v>138</v>
      </c>
      <c r="E3133" t="s">
        <v>40</v>
      </c>
      <c r="F3133" t="s">
        <v>41</v>
      </c>
      <c r="G3133" s="89">
        <v>38708</v>
      </c>
      <c r="H3133" t="s">
        <v>145</v>
      </c>
      <c r="I3133" t="s">
        <v>141</v>
      </c>
      <c r="J3133" s="89">
        <v>387080</v>
      </c>
      <c r="K3133" t="s">
        <v>144</v>
      </c>
      <c r="N3133">
        <v>1</v>
      </c>
      <c r="O3133" s="89">
        <v>1548.32</v>
      </c>
      <c r="P3133" s="89">
        <v>28643.919999999998</v>
      </c>
      <c r="Q3133" t="s">
        <v>137</v>
      </c>
      <c r="R3133" t="s">
        <v>131</v>
      </c>
    </row>
    <row r="3134" spans="3:18" hidden="1" x14ac:dyDescent="0.25">
      <c r="C3134" t="s">
        <v>45</v>
      </c>
      <c r="D3134" t="s">
        <v>21</v>
      </c>
      <c r="E3134" t="s">
        <v>43</v>
      </c>
      <c r="F3134" t="s">
        <v>41</v>
      </c>
      <c r="G3134" s="89">
        <v>179219323</v>
      </c>
      <c r="H3134" t="s">
        <v>145</v>
      </c>
      <c r="I3134" t="s">
        <v>133</v>
      </c>
      <c r="J3134" s="89">
        <v>5018141044</v>
      </c>
      <c r="K3134" t="s">
        <v>127</v>
      </c>
      <c r="L3134" t="s">
        <v>128</v>
      </c>
      <c r="N3134">
        <v>1</v>
      </c>
      <c r="O3134" s="89">
        <v>5376579.6900000004</v>
      </c>
      <c r="P3134" s="89">
        <v>123661332.87</v>
      </c>
      <c r="Q3134" t="s">
        <v>137</v>
      </c>
      <c r="R3134" t="s">
        <v>131</v>
      </c>
    </row>
    <row r="3135" spans="3:18" hidden="1" x14ac:dyDescent="0.25">
      <c r="C3135" t="s">
        <v>45</v>
      </c>
      <c r="D3135" t="s">
        <v>23</v>
      </c>
      <c r="E3135" t="s">
        <v>43</v>
      </c>
      <c r="F3135" t="s">
        <v>41</v>
      </c>
      <c r="G3135" s="89">
        <v>5578224</v>
      </c>
      <c r="H3135" t="s">
        <v>140</v>
      </c>
      <c r="I3135" t="s">
        <v>133</v>
      </c>
      <c r="J3135" s="89">
        <v>161768496</v>
      </c>
      <c r="K3135" t="s">
        <v>127</v>
      </c>
      <c r="L3135" t="s">
        <v>128</v>
      </c>
      <c r="N3135">
        <v>1</v>
      </c>
      <c r="O3135" s="89">
        <v>167346.72</v>
      </c>
      <c r="P3135" s="89">
        <v>3737410.08</v>
      </c>
      <c r="Q3135" t="s">
        <v>137</v>
      </c>
      <c r="R3135" t="s">
        <v>131</v>
      </c>
    </row>
    <row r="3136" spans="3:18" hidden="1" x14ac:dyDescent="0.25">
      <c r="C3136" t="s">
        <v>45</v>
      </c>
      <c r="D3136" t="s">
        <v>22</v>
      </c>
      <c r="E3136" t="s">
        <v>40</v>
      </c>
      <c r="F3136" t="s">
        <v>41</v>
      </c>
      <c r="G3136" s="89">
        <v>859988</v>
      </c>
      <c r="H3136" t="s">
        <v>140</v>
      </c>
      <c r="I3136" t="s">
        <v>126</v>
      </c>
      <c r="J3136" s="89">
        <v>15479784</v>
      </c>
      <c r="K3136" t="s">
        <v>134</v>
      </c>
      <c r="L3136" t="s">
        <v>128</v>
      </c>
      <c r="N3136">
        <v>1</v>
      </c>
      <c r="O3136" s="89">
        <v>25799.64</v>
      </c>
      <c r="P3136" s="89">
        <v>412794.24</v>
      </c>
      <c r="Q3136" t="s">
        <v>142</v>
      </c>
      <c r="R3136" t="s">
        <v>131</v>
      </c>
    </row>
    <row r="3137" spans="3:18" hidden="1" x14ac:dyDescent="0.25">
      <c r="C3137" t="s">
        <v>45</v>
      </c>
      <c r="D3137" t="s">
        <v>20</v>
      </c>
      <c r="E3137" t="s">
        <v>43</v>
      </c>
      <c r="F3137" t="s">
        <v>41</v>
      </c>
      <c r="G3137" s="89">
        <v>21210207</v>
      </c>
      <c r="H3137" t="s">
        <v>146</v>
      </c>
      <c r="I3137" t="s">
        <v>133</v>
      </c>
      <c r="J3137" s="89">
        <v>530255175</v>
      </c>
      <c r="K3137" t="s">
        <v>127</v>
      </c>
      <c r="L3137" t="s">
        <v>128</v>
      </c>
      <c r="N3137">
        <v>1</v>
      </c>
      <c r="O3137" s="89">
        <v>636306.21</v>
      </c>
      <c r="P3137" s="89">
        <v>10817205.57</v>
      </c>
      <c r="Q3137" t="s">
        <v>142</v>
      </c>
      <c r="R3137" t="s">
        <v>131</v>
      </c>
    </row>
    <row r="3138" spans="3:18" hidden="1" x14ac:dyDescent="0.25">
      <c r="C3138" t="s">
        <v>45</v>
      </c>
      <c r="D3138" t="s">
        <v>24</v>
      </c>
      <c r="E3138" t="s">
        <v>44</v>
      </c>
      <c r="F3138" t="s">
        <v>41</v>
      </c>
      <c r="G3138" s="89">
        <v>1835273</v>
      </c>
      <c r="H3138" t="s">
        <v>140</v>
      </c>
      <c r="I3138" t="s">
        <v>147</v>
      </c>
      <c r="J3138" s="89">
        <v>5505819</v>
      </c>
      <c r="K3138" t="s">
        <v>127</v>
      </c>
      <c r="L3138" t="s">
        <v>128</v>
      </c>
      <c r="N3138">
        <v>1</v>
      </c>
      <c r="O3138" s="89">
        <v>73410.92</v>
      </c>
      <c r="P3138" s="89">
        <v>201880.03</v>
      </c>
      <c r="Q3138" t="s">
        <v>130</v>
      </c>
      <c r="R3138" t="s">
        <v>131</v>
      </c>
    </row>
    <row r="3139" spans="3:18" hidden="1" x14ac:dyDescent="0.25">
      <c r="C3139" t="s">
        <v>45</v>
      </c>
      <c r="D3139" t="s">
        <v>23</v>
      </c>
      <c r="E3139" t="s">
        <v>48</v>
      </c>
      <c r="F3139" t="s">
        <v>41</v>
      </c>
      <c r="G3139" s="89">
        <v>17686</v>
      </c>
      <c r="H3139" t="s">
        <v>42</v>
      </c>
      <c r="I3139" t="s">
        <v>147</v>
      </c>
      <c r="J3139" s="89">
        <v>70744</v>
      </c>
      <c r="K3139" t="s">
        <v>127</v>
      </c>
      <c r="L3139" t="s">
        <v>151</v>
      </c>
      <c r="M3139" t="s">
        <v>156</v>
      </c>
      <c r="N3139">
        <v>1</v>
      </c>
      <c r="O3139" s="89">
        <v>530.58000000000004</v>
      </c>
      <c r="P3139" s="89">
        <v>10611.6</v>
      </c>
      <c r="Q3139" t="s">
        <v>142</v>
      </c>
      <c r="R3139" t="s">
        <v>131</v>
      </c>
    </row>
    <row r="3140" spans="3:18" hidden="1" x14ac:dyDescent="0.25">
      <c r="C3140" t="s">
        <v>45</v>
      </c>
      <c r="D3140" t="s">
        <v>22</v>
      </c>
      <c r="E3140" t="s">
        <v>40</v>
      </c>
      <c r="F3140" t="s">
        <v>41</v>
      </c>
      <c r="G3140" s="89">
        <v>320620</v>
      </c>
      <c r="H3140" t="s">
        <v>42</v>
      </c>
      <c r="I3140" t="s">
        <v>133</v>
      </c>
      <c r="J3140" s="89">
        <v>6733020</v>
      </c>
      <c r="K3140" t="s">
        <v>127</v>
      </c>
      <c r="L3140" t="s">
        <v>128</v>
      </c>
      <c r="M3140" t="s">
        <v>143</v>
      </c>
      <c r="N3140">
        <v>1</v>
      </c>
      <c r="O3140" s="89">
        <v>9618.6</v>
      </c>
      <c r="P3140" s="89">
        <v>448868</v>
      </c>
      <c r="Q3140" t="s">
        <v>150</v>
      </c>
      <c r="R3140" t="s">
        <v>42</v>
      </c>
    </row>
    <row r="3141" spans="3:18" hidden="1" x14ac:dyDescent="0.25">
      <c r="C3141" t="s">
        <v>45</v>
      </c>
      <c r="D3141" t="s">
        <v>19</v>
      </c>
      <c r="E3141" t="s">
        <v>43</v>
      </c>
      <c r="F3141" t="s">
        <v>41</v>
      </c>
      <c r="G3141" s="89">
        <v>488691</v>
      </c>
      <c r="H3141" t="s">
        <v>42</v>
      </c>
      <c r="I3141" t="s">
        <v>141</v>
      </c>
      <c r="J3141" s="89">
        <v>4398219</v>
      </c>
      <c r="K3141" t="s">
        <v>127</v>
      </c>
      <c r="L3141" t="s">
        <v>128</v>
      </c>
      <c r="M3141" t="s">
        <v>136</v>
      </c>
      <c r="N3141">
        <v>1</v>
      </c>
      <c r="O3141" s="89">
        <v>14660.73</v>
      </c>
      <c r="P3141" s="89">
        <v>317649.15000000002</v>
      </c>
      <c r="Q3141" t="s">
        <v>137</v>
      </c>
      <c r="R3141" t="s">
        <v>131</v>
      </c>
    </row>
    <row r="3142" spans="3:18" hidden="1" x14ac:dyDescent="0.25">
      <c r="C3142" t="s">
        <v>45</v>
      </c>
      <c r="D3142" t="s">
        <v>21</v>
      </c>
      <c r="E3142" t="s">
        <v>48</v>
      </c>
      <c r="F3142" t="s">
        <v>41</v>
      </c>
      <c r="G3142" s="89">
        <v>1324975</v>
      </c>
      <c r="H3142" t="s">
        <v>42</v>
      </c>
      <c r="I3142" t="s">
        <v>126</v>
      </c>
      <c r="J3142" s="89">
        <v>22524575</v>
      </c>
      <c r="K3142" t="s">
        <v>127</v>
      </c>
      <c r="L3142" t="s">
        <v>128</v>
      </c>
      <c r="M3142" t="s">
        <v>129</v>
      </c>
      <c r="N3142">
        <v>1</v>
      </c>
      <c r="O3142" s="89">
        <v>52999</v>
      </c>
      <c r="P3142" s="89">
        <v>688987</v>
      </c>
      <c r="Q3142" t="s">
        <v>142</v>
      </c>
      <c r="R3142" t="s">
        <v>42</v>
      </c>
    </row>
    <row r="3143" spans="3:18" hidden="1" x14ac:dyDescent="0.25">
      <c r="C3143" t="s">
        <v>45</v>
      </c>
      <c r="D3143" t="s">
        <v>20</v>
      </c>
      <c r="E3143" t="s">
        <v>43</v>
      </c>
      <c r="F3143" t="s">
        <v>41</v>
      </c>
      <c r="G3143" s="89">
        <v>260947978</v>
      </c>
      <c r="H3143" t="s">
        <v>42</v>
      </c>
      <c r="I3143" t="s">
        <v>133</v>
      </c>
      <c r="J3143" s="89">
        <v>8089387318</v>
      </c>
      <c r="K3143" t="s">
        <v>127</v>
      </c>
      <c r="L3143" t="s">
        <v>128</v>
      </c>
      <c r="M3143" t="s">
        <v>139</v>
      </c>
      <c r="N3143">
        <v>1</v>
      </c>
      <c r="O3143" s="89">
        <v>7828439.3399999999</v>
      </c>
      <c r="P3143" s="89">
        <v>182663584.59999999</v>
      </c>
      <c r="Q3143" t="s">
        <v>137</v>
      </c>
      <c r="R3143" t="s">
        <v>131</v>
      </c>
    </row>
    <row r="3144" spans="3:18" hidden="1" x14ac:dyDescent="0.25">
      <c r="C3144" t="s">
        <v>45</v>
      </c>
      <c r="D3144" t="s">
        <v>22</v>
      </c>
      <c r="E3144" t="s">
        <v>43</v>
      </c>
      <c r="F3144" t="s">
        <v>41</v>
      </c>
      <c r="G3144" s="89">
        <v>3936252</v>
      </c>
      <c r="H3144" t="s">
        <v>145</v>
      </c>
      <c r="I3144" t="s">
        <v>126</v>
      </c>
      <c r="J3144" s="89">
        <v>66916284</v>
      </c>
      <c r="K3144" t="s">
        <v>127</v>
      </c>
      <c r="L3144" t="s">
        <v>128</v>
      </c>
      <c r="N3144">
        <v>1</v>
      </c>
      <c r="O3144" s="89">
        <v>118087.56</v>
      </c>
      <c r="P3144" s="89">
        <v>1928763.48</v>
      </c>
      <c r="Q3144" t="s">
        <v>142</v>
      </c>
      <c r="R3144" t="s">
        <v>131</v>
      </c>
    </row>
    <row r="3145" spans="3:18" hidden="1" x14ac:dyDescent="0.25">
      <c r="C3145" t="s">
        <v>45</v>
      </c>
      <c r="D3145" t="s">
        <v>138</v>
      </c>
      <c r="E3145" t="s">
        <v>43</v>
      </c>
      <c r="F3145" t="s">
        <v>41</v>
      </c>
      <c r="G3145" s="89">
        <v>993859</v>
      </c>
      <c r="H3145" t="s">
        <v>140</v>
      </c>
      <c r="I3145" t="s">
        <v>126</v>
      </c>
      <c r="J3145" s="89">
        <v>16895603</v>
      </c>
      <c r="K3145" t="s">
        <v>144</v>
      </c>
      <c r="N3145">
        <v>1</v>
      </c>
      <c r="O3145" s="89">
        <v>29815.77</v>
      </c>
      <c r="P3145" s="89">
        <v>675824.12</v>
      </c>
      <c r="Q3145" t="s">
        <v>137</v>
      </c>
      <c r="R3145" t="s">
        <v>131</v>
      </c>
    </row>
    <row r="3146" spans="3:18" x14ac:dyDescent="0.25">
      <c r="C3146" t="s">
        <v>47</v>
      </c>
      <c r="D3146" t="s">
        <v>149</v>
      </c>
      <c r="E3146" t="s">
        <v>43</v>
      </c>
      <c r="F3146" t="s">
        <v>41</v>
      </c>
      <c r="G3146" s="89">
        <v>2532</v>
      </c>
      <c r="H3146" t="s">
        <v>140</v>
      </c>
      <c r="I3146" t="s">
        <v>141</v>
      </c>
      <c r="J3146" s="89">
        <v>20256</v>
      </c>
      <c r="K3146" t="s">
        <v>127</v>
      </c>
      <c r="L3146" t="s">
        <v>128</v>
      </c>
      <c r="N3146">
        <v>1</v>
      </c>
      <c r="O3146" s="89">
        <v>126.6</v>
      </c>
      <c r="P3146" s="89">
        <v>455.76</v>
      </c>
      <c r="Q3146" t="s">
        <v>130</v>
      </c>
      <c r="R3146" t="s">
        <v>131</v>
      </c>
    </row>
    <row r="3147" spans="3:18" hidden="1" x14ac:dyDescent="0.25">
      <c r="C3147" t="s">
        <v>45</v>
      </c>
      <c r="D3147" t="s">
        <v>21</v>
      </c>
      <c r="E3147" t="s">
        <v>40</v>
      </c>
      <c r="F3147" t="s">
        <v>41</v>
      </c>
      <c r="G3147" s="89">
        <v>43005159</v>
      </c>
      <c r="H3147" t="s">
        <v>42</v>
      </c>
      <c r="I3147" t="s">
        <v>133</v>
      </c>
      <c r="J3147" s="89">
        <v>1462175406</v>
      </c>
      <c r="K3147" t="s">
        <v>127</v>
      </c>
      <c r="L3147" t="s">
        <v>128</v>
      </c>
      <c r="M3147" t="s">
        <v>129</v>
      </c>
      <c r="N3147">
        <v>1</v>
      </c>
      <c r="O3147" s="89">
        <v>1290154.77</v>
      </c>
      <c r="P3147" s="89">
        <v>35264230.380000003</v>
      </c>
      <c r="Q3147" t="s">
        <v>135</v>
      </c>
      <c r="R3147" t="s">
        <v>131</v>
      </c>
    </row>
    <row r="3148" spans="3:18" hidden="1" x14ac:dyDescent="0.25">
      <c r="C3148" t="s">
        <v>45</v>
      </c>
      <c r="D3148" t="s">
        <v>22</v>
      </c>
      <c r="E3148" t="s">
        <v>43</v>
      </c>
      <c r="F3148" t="s">
        <v>41</v>
      </c>
      <c r="G3148" s="89">
        <v>4922281</v>
      </c>
      <c r="H3148" t="s">
        <v>132</v>
      </c>
      <c r="I3148" t="s">
        <v>126</v>
      </c>
      <c r="J3148" s="89">
        <v>68911934</v>
      </c>
      <c r="K3148" t="s">
        <v>127</v>
      </c>
      <c r="L3148" t="s">
        <v>128</v>
      </c>
      <c r="N3148">
        <v>1</v>
      </c>
      <c r="O3148" s="89">
        <v>147668.43</v>
      </c>
      <c r="P3148" s="89">
        <v>1476684.3</v>
      </c>
      <c r="Q3148" t="s">
        <v>130</v>
      </c>
      <c r="R3148" t="s">
        <v>131</v>
      </c>
    </row>
    <row r="3149" spans="3:18" x14ac:dyDescent="0.25">
      <c r="C3149" t="s">
        <v>47</v>
      </c>
      <c r="D3149" t="s">
        <v>21</v>
      </c>
      <c r="E3149" t="s">
        <v>43</v>
      </c>
      <c r="F3149" t="s">
        <v>41</v>
      </c>
      <c r="G3149" s="89">
        <v>131000</v>
      </c>
      <c r="H3149" t="s">
        <v>42</v>
      </c>
      <c r="I3149" t="s">
        <v>141</v>
      </c>
      <c r="J3149" s="89">
        <v>1310000</v>
      </c>
      <c r="K3149" t="s">
        <v>127</v>
      </c>
      <c r="L3149" t="s">
        <v>128</v>
      </c>
      <c r="M3149" t="s">
        <v>129</v>
      </c>
      <c r="N3149">
        <v>1</v>
      </c>
      <c r="O3149" s="89">
        <v>5240</v>
      </c>
      <c r="P3149" s="89">
        <v>94320</v>
      </c>
      <c r="Q3149" t="s">
        <v>137</v>
      </c>
      <c r="R3149" t="s">
        <v>131</v>
      </c>
    </row>
    <row r="3150" spans="3:18" hidden="1" x14ac:dyDescent="0.25">
      <c r="C3150" t="s">
        <v>45</v>
      </c>
      <c r="D3150" t="s">
        <v>21</v>
      </c>
      <c r="E3150" t="s">
        <v>43</v>
      </c>
      <c r="F3150" t="s">
        <v>53</v>
      </c>
      <c r="G3150" s="89">
        <v>28502</v>
      </c>
      <c r="H3150" t="s">
        <v>146</v>
      </c>
      <c r="I3150" t="s">
        <v>147</v>
      </c>
      <c r="J3150" s="89">
        <v>85506</v>
      </c>
      <c r="K3150" t="s">
        <v>127</v>
      </c>
      <c r="L3150" t="s">
        <v>128</v>
      </c>
      <c r="N3150">
        <v>1</v>
      </c>
      <c r="O3150" s="89">
        <v>570.04</v>
      </c>
      <c r="P3150" s="89">
        <v>3420.24</v>
      </c>
      <c r="Q3150" t="s">
        <v>130</v>
      </c>
      <c r="R3150" t="s">
        <v>131</v>
      </c>
    </row>
    <row r="3151" spans="3:18" hidden="1" x14ac:dyDescent="0.25">
      <c r="C3151" t="s">
        <v>45</v>
      </c>
      <c r="D3151" t="s">
        <v>24</v>
      </c>
      <c r="E3151" t="s">
        <v>52</v>
      </c>
      <c r="F3151" t="s">
        <v>41</v>
      </c>
      <c r="G3151" s="89">
        <v>5687735</v>
      </c>
      <c r="H3151" t="s">
        <v>42</v>
      </c>
      <c r="I3151" t="s">
        <v>133</v>
      </c>
      <c r="J3151" s="89">
        <v>193382990</v>
      </c>
      <c r="K3151" t="s">
        <v>127</v>
      </c>
      <c r="L3151" t="s">
        <v>128</v>
      </c>
      <c r="M3151" t="s">
        <v>148</v>
      </c>
      <c r="N3151">
        <v>1</v>
      </c>
      <c r="O3151" s="89">
        <v>170632.05</v>
      </c>
      <c r="P3151" s="89">
        <v>4777697.4000000004</v>
      </c>
      <c r="Q3151" t="s">
        <v>135</v>
      </c>
      <c r="R3151" t="s">
        <v>42</v>
      </c>
    </row>
    <row r="3152" spans="3:18" hidden="1" x14ac:dyDescent="0.25">
      <c r="C3152" t="s">
        <v>45</v>
      </c>
      <c r="D3152" t="s">
        <v>149</v>
      </c>
      <c r="E3152" t="s">
        <v>43</v>
      </c>
      <c r="F3152" t="s">
        <v>41</v>
      </c>
      <c r="G3152" s="89">
        <v>649366</v>
      </c>
      <c r="H3152" t="s">
        <v>132</v>
      </c>
      <c r="I3152" t="s">
        <v>133</v>
      </c>
      <c r="J3152" s="89">
        <v>20130346</v>
      </c>
      <c r="K3152" t="s">
        <v>127</v>
      </c>
      <c r="L3152" t="s">
        <v>128</v>
      </c>
      <c r="N3152">
        <v>1</v>
      </c>
      <c r="O3152" s="89">
        <v>19480.98</v>
      </c>
      <c r="P3152" s="89">
        <v>558454.76</v>
      </c>
      <c r="Q3152" t="s">
        <v>135</v>
      </c>
      <c r="R3152" t="s">
        <v>131</v>
      </c>
    </row>
    <row r="3153" spans="3:18" x14ac:dyDescent="0.25">
      <c r="C3153" t="s">
        <v>47</v>
      </c>
      <c r="D3153" t="s">
        <v>22</v>
      </c>
      <c r="E3153" t="s">
        <v>48</v>
      </c>
      <c r="F3153" t="s">
        <v>41</v>
      </c>
      <c r="G3153" s="89">
        <v>117122</v>
      </c>
      <c r="H3153" t="s">
        <v>42</v>
      </c>
      <c r="I3153" t="s">
        <v>126</v>
      </c>
      <c r="J3153" s="89">
        <v>1171220</v>
      </c>
      <c r="K3153" t="s">
        <v>127</v>
      </c>
      <c r="L3153" t="s">
        <v>128</v>
      </c>
      <c r="M3153" t="s">
        <v>143</v>
      </c>
      <c r="N3153">
        <v>1</v>
      </c>
      <c r="O3153" s="89">
        <v>5856.1</v>
      </c>
      <c r="P3153" s="89">
        <v>14054.64</v>
      </c>
      <c r="Q3153" t="s">
        <v>130</v>
      </c>
      <c r="R3153" t="s">
        <v>131</v>
      </c>
    </row>
    <row r="3154" spans="3:18" hidden="1" x14ac:dyDescent="0.25">
      <c r="C3154" t="s">
        <v>45</v>
      </c>
      <c r="D3154" t="s">
        <v>23</v>
      </c>
      <c r="E3154" t="s">
        <v>40</v>
      </c>
      <c r="F3154" t="s">
        <v>41</v>
      </c>
      <c r="G3154" s="89">
        <v>156437</v>
      </c>
      <c r="H3154" t="s">
        <v>42</v>
      </c>
      <c r="I3154" t="s">
        <v>141</v>
      </c>
      <c r="J3154" s="89">
        <v>1251496</v>
      </c>
      <c r="K3154" t="s">
        <v>127</v>
      </c>
      <c r="L3154" t="s">
        <v>128</v>
      </c>
      <c r="M3154" t="s">
        <v>152</v>
      </c>
      <c r="N3154">
        <v>1</v>
      </c>
      <c r="O3154" s="89">
        <v>7821.85</v>
      </c>
      <c r="P3154" s="89">
        <v>234655.5</v>
      </c>
      <c r="Q3154" t="s">
        <v>150</v>
      </c>
      <c r="R3154" t="s">
        <v>131</v>
      </c>
    </row>
    <row r="3155" spans="3:18" hidden="1" x14ac:dyDescent="0.25">
      <c r="C3155" t="s">
        <v>45</v>
      </c>
      <c r="D3155" t="s">
        <v>22</v>
      </c>
      <c r="E3155" t="s">
        <v>40</v>
      </c>
      <c r="F3155" t="s">
        <v>41</v>
      </c>
      <c r="G3155" s="89">
        <v>3867077</v>
      </c>
      <c r="H3155" t="s">
        <v>42</v>
      </c>
      <c r="I3155" t="s">
        <v>126</v>
      </c>
      <c r="J3155" s="89">
        <v>65740309</v>
      </c>
      <c r="K3155" t="s">
        <v>127</v>
      </c>
      <c r="L3155" t="s">
        <v>128</v>
      </c>
      <c r="M3155" t="s">
        <v>143</v>
      </c>
      <c r="N3155">
        <v>1</v>
      </c>
      <c r="O3155" s="89">
        <v>116012.31</v>
      </c>
      <c r="P3155" s="89">
        <v>2552270.8199999998</v>
      </c>
      <c r="Q3155" t="s">
        <v>137</v>
      </c>
      <c r="R3155" t="s">
        <v>42</v>
      </c>
    </row>
    <row r="3156" spans="3:18" hidden="1" x14ac:dyDescent="0.25">
      <c r="C3156" t="s">
        <v>45</v>
      </c>
      <c r="D3156" t="s">
        <v>23</v>
      </c>
      <c r="E3156" t="s">
        <v>43</v>
      </c>
      <c r="F3156" t="s">
        <v>41</v>
      </c>
      <c r="G3156" s="89">
        <v>15242</v>
      </c>
      <c r="H3156" t="s">
        <v>140</v>
      </c>
      <c r="I3156" t="s">
        <v>147</v>
      </c>
      <c r="J3156" s="89">
        <v>45726</v>
      </c>
      <c r="K3156" t="s">
        <v>127</v>
      </c>
      <c r="L3156" t="s">
        <v>128</v>
      </c>
      <c r="N3156">
        <v>1</v>
      </c>
      <c r="O3156" s="89">
        <v>914.52</v>
      </c>
      <c r="P3156" s="89">
        <v>9907.2999999999993</v>
      </c>
      <c r="Q3156" t="s">
        <v>137</v>
      </c>
      <c r="R3156" t="s">
        <v>131</v>
      </c>
    </row>
    <row r="3157" spans="3:18" x14ac:dyDescent="0.25">
      <c r="C3157" t="s">
        <v>47</v>
      </c>
      <c r="D3157" t="s">
        <v>24</v>
      </c>
      <c r="E3157" t="s">
        <v>48</v>
      </c>
      <c r="F3157" t="s">
        <v>41</v>
      </c>
      <c r="G3157" s="89">
        <v>1761232</v>
      </c>
      <c r="H3157" t="s">
        <v>146</v>
      </c>
      <c r="I3157" t="s">
        <v>126</v>
      </c>
      <c r="J3157" s="89">
        <v>24657248</v>
      </c>
      <c r="K3157" t="s">
        <v>144</v>
      </c>
      <c r="N3157">
        <v>1</v>
      </c>
      <c r="O3157" s="89">
        <v>52836.959999999999</v>
      </c>
      <c r="P3157" s="89">
        <v>1285699.3600000001</v>
      </c>
      <c r="Q3157" t="s">
        <v>137</v>
      </c>
      <c r="R3157" t="s">
        <v>131</v>
      </c>
    </row>
    <row r="3158" spans="3:18" hidden="1" x14ac:dyDescent="0.25">
      <c r="C3158" t="s">
        <v>45</v>
      </c>
      <c r="D3158" t="s">
        <v>21</v>
      </c>
      <c r="E3158" t="s">
        <v>43</v>
      </c>
      <c r="F3158" t="s">
        <v>41</v>
      </c>
      <c r="G3158" s="89">
        <v>1086143</v>
      </c>
      <c r="H3158" t="s">
        <v>145</v>
      </c>
      <c r="I3158" t="s">
        <v>126</v>
      </c>
      <c r="J3158" s="89">
        <v>19550574</v>
      </c>
      <c r="K3158" t="s">
        <v>127</v>
      </c>
      <c r="L3158" t="s">
        <v>128</v>
      </c>
      <c r="N3158">
        <v>1</v>
      </c>
      <c r="O3158" s="89">
        <v>43445.72</v>
      </c>
      <c r="P3158" s="89">
        <v>944944.41</v>
      </c>
      <c r="Q3158" t="s">
        <v>135</v>
      </c>
      <c r="R3158" t="s">
        <v>131</v>
      </c>
    </row>
    <row r="3159" spans="3:18" x14ac:dyDescent="0.25">
      <c r="C3159" t="s">
        <v>47</v>
      </c>
      <c r="D3159" t="s">
        <v>24</v>
      </c>
      <c r="E3159" t="s">
        <v>48</v>
      </c>
      <c r="F3159" t="s">
        <v>41</v>
      </c>
      <c r="G3159" s="89">
        <v>12231029</v>
      </c>
      <c r="H3159" t="s">
        <v>146</v>
      </c>
      <c r="I3159" t="s">
        <v>147</v>
      </c>
      <c r="J3159" s="89">
        <v>36693087</v>
      </c>
      <c r="K3159" t="s">
        <v>127</v>
      </c>
      <c r="L3159" t="s">
        <v>128</v>
      </c>
      <c r="N3159">
        <v>1</v>
      </c>
      <c r="O3159" s="89">
        <v>489241.16</v>
      </c>
      <c r="P3159" s="89">
        <v>1712344.06</v>
      </c>
      <c r="Q3159" t="s">
        <v>130</v>
      </c>
      <c r="R3159" t="s">
        <v>131</v>
      </c>
    </row>
    <row r="3160" spans="3:18" hidden="1" x14ac:dyDescent="0.25">
      <c r="C3160" t="s">
        <v>45</v>
      </c>
      <c r="D3160" t="s">
        <v>22</v>
      </c>
      <c r="E3160" t="s">
        <v>43</v>
      </c>
      <c r="F3160" t="s">
        <v>41</v>
      </c>
      <c r="G3160" s="89">
        <v>579242</v>
      </c>
      <c r="H3160" t="s">
        <v>140</v>
      </c>
      <c r="I3160" t="s">
        <v>147</v>
      </c>
      <c r="J3160" s="89">
        <v>1158484</v>
      </c>
      <c r="K3160" t="s">
        <v>144</v>
      </c>
      <c r="N3160">
        <v>1</v>
      </c>
      <c r="O3160" s="89">
        <v>23169.68</v>
      </c>
      <c r="P3160" s="89">
        <v>110055.98</v>
      </c>
      <c r="Q3160" t="s">
        <v>130</v>
      </c>
      <c r="R3160" t="s">
        <v>131</v>
      </c>
    </row>
    <row r="3161" spans="3:18" x14ac:dyDescent="0.25">
      <c r="C3161" t="s">
        <v>47</v>
      </c>
      <c r="D3161" t="s">
        <v>25</v>
      </c>
      <c r="E3161" t="s">
        <v>48</v>
      </c>
      <c r="F3161" t="s">
        <v>41</v>
      </c>
      <c r="G3161" s="89">
        <v>844</v>
      </c>
      <c r="H3161" t="s">
        <v>132</v>
      </c>
      <c r="I3161" t="s">
        <v>147</v>
      </c>
      <c r="J3161" s="89">
        <v>0</v>
      </c>
      <c r="K3161" t="s">
        <v>127</v>
      </c>
      <c r="L3161" t="s">
        <v>128</v>
      </c>
      <c r="N3161">
        <v>1</v>
      </c>
      <c r="O3161" s="89">
        <v>33.76</v>
      </c>
      <c r="P3161" s="89">
        <v>0</v>
      </c>
      <c r="Q3161" t="s">
        <v>130</v>
      </c>
      <c r="R3161" t="s">
        <v>131</v>
      </c>
    </row>
    <row r="3162" spans="3:18" hidden="1" x14ac:dyDescent="0.25">
      <c r="C3162" t="s">
        <v>45</v>
      </c>
      <c r="D3162" t="s">
        <v>149</v>
      </c>
      <c r="E3162" t="s">
        <v>43</v>
      </c>
      <c r="F3162" t="s">
        <v>41</v>
      </c>
      <c r="G3162" s="89">
        <v>712223</v>
      </c>
      <c r="H3162" t="s">
        <v>42</v>
      </c>
      <c r="I3162" t="s">
        <v>126</v>
      </c>
      <c r="J3162" s="89">
        <v>10683345</v>
      </c>
      <c r="K3162" t="s">
        <v>144</v>
      </c>
      <c r="N3162">
        <v>1</v>
      </c>
      <c r="O3162" s="89">
        <v>21366.69</v>
      </c>
      <c r="P3162" s="89">
        <v>477189.41</v>
      </c>
      <c r="Q3162" t="s">
        <v>137</v>
      </c>
      <c r="R3162" t="s">
        <v>131</v>
      </c>
    </row>
    <row r="3163" spans="3:18" hidden="1" x14ac:dyDescent="0.25">
      <c r="C3163" t="s">
        <v>45</v>
      </c>
      <c r="D3163" t="s">
        <v>22</v>
      </c>
      <c r="E3163" t="s">
        <v>40</v>
      </c>
      <c r="F3163" t="s">
        <v>41</v>
      </c>
      <c r="G3163" s="89">
        <v>10334903</v>
      </c>
      <c r="H3163" t="s">
        <v>132</v>
      </c>
      <c r="I3163" t="s">
        <v>133</v>
      </c>
      <c r="J3163" s="89">
        <v>310047090</v>
      </c>
      <c r="K3163" t="s">
        <v>144</v>
      </c>
      <c r="N3163">
        <v>1</v>
      </c>
      <c r="O3163" s="89">
        <v>310047.09000000003</v>
      </c>
      <c r="P3163" s="89">
        <v>7234432.0999999996</v>
      </c>
      <c r="Q3163" t="s">
        <v>137</v>
      </c>
      <c r="R3163" t="s">
        <v>131</v>
      </c>
    </row>
    <row r="3164" spans="3:18" hidden="1" x14ac:dyDescent="0.25">
      <c r="C3164" t="s">
        <v>45</v>
      </c>
      <c r="D3164" t="s">
        <v>20</v>
      </c>
      <c r="E3164" t="s">
        <v>43</v>
      </c>
      <c r="F3164" t="s">
        <v>41</v>
      </c>
      <c r="G3164" s="89">
        <v>3411423</v>
      </c>
      <c r="H3164" t="s">
        <v>140</v>
      </c>
      <c r="I3164" t="s">
        <v>133</v>
      </c>
      <c r="J3164" s="89">
        <v>102342690</v>
      </c>
      <c r="K3164" t="s">
        <v>127</v>
      </c>
      <c r="L3164" t="s">
        <v>128</v>
      </c>
      <c r="N3164">
        <v>1</v>
      </c>
      <c r="O3164" s="89">
        <v>102342.69</v>
      </c>
      <c r="P3164" s="89">
        <v>4093707.6</v>
      </c>
      <c r="Q3164" t="s">
        <v>150</v>
      </c>
      <c r="R3164" t="s">
        <v>131</v>
      </c>
    </row>
    <row r="3165" spans="3:18" hidden="1" x14ac:dyDescent="0.25">
      <c r="C3165" t="s">
        <v>45</v>
      </c>
      <c r="D3165" t="s">
        <v>149</v>
      </c>
      <c r="E3165" t="s">
        <v>43</v>
      </c>
      <c r="F3165" t="s">
        <v>41</v>
      </c>
      <c r="G3165" s="89">
        <v>128737</v>
      </c>
      <c r="H3165" t="s">
        <v>140</v>
      </c>
      <c r="I3165" t="s">
        <v>147</v>
      </c>
      <c r="J3165" s="89">
        <v>128737</v>
      </c>
      <c r="K3165" t="s">
        <v>134</v>
      </c>
      <c r="L3165" t="s">
        <v>128</v>
      </c>
      <c r="N3165">
        <v>1</v>
      </c>
      <c r="O3165" s="89">
        <v>3862.11</v>
      </c>
      <c r="P3165" s="89">
        <v>5149.4799999999996</v>
      </c>
      <c r="Q3165" t="s">
        <v>130</v>
      </c>
      <c r="R3165" t="s">
        <v>131</v>
      </c>
    </row>
    <row r="3166" spans="3:18" hidden="1" x14ac:dyDescent="0.25">
      <c r="C3166" t="s">
        <v>45</v>
      </c>
      <c r="D3166" t="s">
        <v>19</v>
      </c>
      <c r="E3166" t="s">
        <v>43</v>
      </c>
      <c r="F3166" t="s">
        <v>41</v>
      </c>
      <c r="G3166" s="89">
        <v>49306</v>
      </c>
      <c r="H3166" t="s">
        <v>42</v>
      </c>
      <c r="I3166" t="s">
        <v>126</v>
      </c>
      <c r="J3166" s="89">
        <v>986120</v>
      </c>
      <c r="K3166" t="s">
        <v>144</v>
      </c>
      <c r="N3166">
        <v>1</v>
      </c>
      <c r="O3166" s="89">
        <v>1479.18</v>
      </c>
      <c r="P3166" s="89">
        <v>41417.040000000001</v>
      </c>
      <c r="Q3166" t="s">
        <v>135</v>
      </c>
      <c r="R3166" t="s">
        <v>131</v>
      </c>
    </row>
    <row r="3167" spans="3:18" hidden="1" x14ac:dyDescent="0.25">
      <c r="C3167" t="s">
        <v>45</v>
      </c>
      <c r="D3167" t="s">
        <v>21</v>
      </c>
      <c r="E3167" t="s">
        <v>48</v>
      </c>
      <c r="F3167" t="s">
        <v>41</v>
      </c>
      <c r="G3167" s="89">
        <v>277782</v>
      </c>
      <c r="H3167" t="s">
        <v>140</v>
      </c>
      <c r="I3167" t="s">
        <v>133</v>
      </c>
      <c r="J3167" s="89">
        <v>7777896</v>
      </c>
      <c r="K3167" t="s">
        <v>127</v>
      </c>
      <c r="L3167" t="s">
        <v>128</v>
      </c>
      <c r="N3167">
        <v>1</v>
      </c>
      <c r="O3167" s="89">
        <v>8333.4599999999991</v>
      </c>
      <c r="P3167" s="89">
        <v>230559.06</v>
      </c>
      <c r="Q3167" t="s">
        <v>135</v>
      </c>
      <c r="R3167" t="s">
        <v>131</v>
      </c>
    </row>
    <row r="3168" spans="3:18" hidden="1" x14ac:dyDescent="0.25">
      <c r="C3168" t="s">
        <v>45</v>
      </c>
      <c r="D3168" t="s">
        <v>24</v>
      </c>
      <c r="E3168" t="s">
        <v>48</v>
      </c>
      <c r="F3168" t="s">
        <v>41</v>
      </c>
      <c r="G3168" s="89">
        <v>634890</v>
      </c>
      <c r="H3168" t="s">
        <v>42</v>
      </c>
      <c r="I3168" t="s">
        <v>126</v>
      </c>
      <c r="J3168" s="89">
        <v>8253570</v>
      </c>
      <c r="K3168" t="s">
        <v>127</v>
      </c>
      <c r="L3168" t="s">
        <v>128</v>
      </c>
      <c r="M3168" t="s">
        <v>148</v>
      </c>
      <c r="N3168">
        <v>1</v>
      </c>
      <c r="O3168" s="89">
        <v>25395.599999999999</v>
      </c>
      <c r="P3168" s="89">
        <v>336491.7</v>
      </c>
      <c r="Q3168" t="s">
        <v>142</v>
      </c>
      <c r="R3168" t="s">
        <v>42</v>
      </c>
    </row>
    <row r="3169" spans="3:18" hidden="1" x14ac:dyDescent="0.25">
      <c r="C3169" t="s">
        <v>45</v>
      </c>
      <c r="D3169" t="s">
        <v>22</v>
      </c>
      <c r="E3169" t="s">
        <v>48</v>
      </c>
      <c r="F3169" t="s">
        <v>41</v>
      </c>
      <c r="G3169" s="89">
        <v>51009</v>
      </c>
      <c r="H3169" t="s">
        <v>145</v>
      </c>
      <c r="I3169" t="s">
        <v>133</v>
      </c>
      <c r="J3169" s="89">
        <v>1071189</v>
      </c>
      <c r="K3169" t="s">
        <v>127</v>
      </c>
      <c r="L3169" t="s">
        <v>128</v>
      </c>
      <c r="N3169">
        <v>1</v>
      </c>
      <c r="O3169" s="89">
        <v>1530.27</v>
      </c>
      <c r="P3169" s="89">
        <v>41317.29</v>
      </c>
      <c r="Q3169" t="s">
        <v>135</v>
      </c>
      <c r="R3169" t="s">
        <v>131</v>
      </c>
    </row>
    <row r="3170" spans="3:18" hidden="1" x14ac:dyDescent="0.25">
      <c r="C3170" t="s">
        <v>45</v>
      </c>
      <c r="D3170" t="s">
        <v>24</v>
      </c>
      <c r="E3170" t="s">
        <v>52</v>
      </c>
      <c r="F3170" t="s">
        <v>41</v>
      </c>
      <c r="G3170" s="89">
        <v>8452957</v>
      </c>
      <c r="H3170" t="s">
        <v>42</v>
      </c>
      <c r="I3170" t="s">
        <v>133</v>
      </c>
      <c r="J3170" s="89">
        <v>262041667</v>
      </c>
      <c r="K3170" t="s">
        <v>127</v>
      </c>
      <c r="L3170" t="s">
        <v>128</v>
      </c>
      <c r="M3170" t="s">
        <v>148</v>
      </c>
      <c r="N3170">
        <v>1</v>
      </c>
      <c r="O3170" s="89">
        <v>253588.71</v>
      </c>
      <c r="P3170" s="89">
        <v>4311008.07</v>
      </c>
      <c r="Q3170" t="s">
        <v>142</v>
      </c>
      <c r="R3170" t="s">
        <v>42</v>
      </c>
    </row>
    <row r="3171" spans="3:18" hidden="1" x14ac:dyDescent="0.25">
      <c r="C3171" t="s">
        <v>45</v>
      </c>
      <c r="D3171" t="s">
        <v>24</v>
      </c>
      <c r="E3171" t="s">
        <v>43</v>
      </c>
      <c r="F3171" t="s">
        <v>41</v>
      </c>
      <c r="G3171" s="89">
        <v>182967</v>
      </c>
      <c r="H3171" t="s">
        <v>145</v>
      </c>
      <c r="I3171" t="s">
        <v>133</v>
      </c>
      <c r="J3171" s="89">
        <v>5123076</v>
      </c>
      <c r="K3171" t="s">
        <v>127</v>
      </c>
      <c r="L3171" t="s">
        <v>128</v>
      </c>
      <c r="N3171">
        <v>1</v>
      </c>
      <c r="O3171" s="89">
        <v>5489.01</v>
      </c>
      <c r="P3171" s="89">
        <v>53060.43</v>
      </c>
      <c r="Q3171" t="s">
        <v>130</v>
      </c>
      <c r="R3171" t="s">
        <v>131</v>
      </c>
    </row>
    <row r="3172" spans="3:18" hidden="1" x14ac:dyDescent="0.25">
      <c r="C3172" t="s">
        <v>45</v>
      </c>
      <c r="D3172" t="s">
        <v>20</v>
      </c>
      <c r="E3172" t="s">
        <v>40</v>
      </c>
      <c r="F3172" t="s">
        <v>41</v>
      </c>
      <c r="G3172" s="89">
        <v>710313</v>
      </c>
      <c r="H3172" t="s">
        <v>42</v>
      </c>
      <c r="I3172" t="s">
        <v>126</v>
      </c>
      <c r="J3172" s="89">
        <v>9944382</v>
      </c>
      <c r="K3172" t="s">
        <v>127</v>
      </c>
      <c r="L3172" t="s">
        <v>128</v>
      </c>
      <c r="M3172" t="s">
        <v>139</v>
      </c>
      <c r="N3172">
        <v>1</v>
      </c>
      <c r="O3172" s="89">
        <v>21309.39</v>
      </c>
      <c r="P3172" s="89">
        <v>198887.64</v>
      </c>
      <c r="Q3172" t="s">
        <v>130</v>
      </c>
      <c r="R3172" t="s">
        <v>42</v>
      </c>
    </row>
    <row r="3173" spans="3:18" hidden="1" x14ac:dyDescent="0.25">
      <c r="C3173" t="s">
        <v>45</v>
      </c>
      <c r="D3173" t="s">
        <v>21</v>
      </c>
      <c r="E3173" t="s">
        <v>40</v>
      </c>
      <c r="F3173" t="s">
        <v>41</v>
      </c>
      <c r="G3173" s="89">
        <v>181010</v>
      </c>
      <c r="H3173" t="s">
        <v>146</v>
      </c>
      <c r="I3173" t="s">
        <v>126</v>
      </c>
      <c r="J3173" s="89">
        <v>2172120</v>
      </c>
      <c r="K3173" t="s">
        <v>144</v>
      </c>
      <c r="N3173">
        <v>1</v>
      </c>
      <c r="O3173" s="89">
        <v>5430.3</v>
      </c>
      <c r="P3173" s="89">
        <v>115846.39999999999</v>
      </c>
      <c r="Q3173" t="s">
        <v>137</v>
      </c>
      <c r="R3173" t="s">
        <v>131</v>
      </c>
    </row>
    <row r="3174" spans="3:18" hidden="1" x14ac:dyDescent="0.25">
      <c r="C3174" t="s">
        <v>45</v>
      </c>
      <c r="D3174" t="s">
        <v>149</v>
      </c>
      <c r="E3174" t="s">
        <v>48</v>
      </c>
      <c r="F3174" t="s">
        <v>41</v>
      </c>
      <c r="G3174" s="89">
        <v>1672843</v>
      </c>
      <c r="H3174" t="s">
        <v>42</v>
      </c>
      <c r="I3174" t="s">
        <v>133</v>
      </c>
      <c r="J3174" s="89">
        <v>55203819</v>
      </c>
      <c r="K3174" t="s">
        <v>127</v>
      </c>
      <c r="L3174" t="s">
        <v>128</v>
      </c>
      <c r="M3174" t="s">
        <v>136</v>
      </c>
      <c r="N3174">
        <v>1</v>
      </c>
      <c r="O3174" s="89">
        <v>50185.29</v>
      </c>
      <c r="P3174" s="89">
        <v>1204446.96</v>
      </c>
      <c r="Q3174" t="s">
        <v>137</v>
      </c>
      <c r="R3174" t="s">
        <v>131</v>
      </c>
    </row>
    <row r="3175" spans="3:18" hidden="1" x14ac:dyDescent="0.25">
      <c r="C3175" t="s">
        <v>45</v>
      </c>
      <c r="D3175" t="s">
        <v>23</v>
      </c>
      <c r="E3175" t="s">
        <v>40</v>
      </c>
      <c r="F3175" t="s">
        <v>41</v>
      </c>
      <c r="G3175" s="89">
        <v>123577</v>
      </c>
      <c r="H3175" t="s">
        <v>140</v>
      </c>
      <c r="I3175" t="s">
        <v>126</v>
      </c>
      <c r="J3175" s="89">
        <v>1730078</v>
      </c>
      <c r="K3175" t="s">
        <v>134</v>
      </c>
      <c r="L3175" t="s">
        <v>128</v>
      </c>
      <c r="N3175">
        <v>1</v>
      </c>
      <c r="O3175" s="89">
        <v>3707.31</v>
      </c>
      <c r="P3175" s="89">
        <v>38308.870000000003</v>
      </c>
      <c r="Q3175" t="s">
        <v>130</v>
      </c>
      <c r="R3175" t="s">
        <v>131</v>
      </c>
    </row>
    <row r="3176" spans="3:18" hidden="1" x14ac:dyDescent="0.25">
      <c r="C3176" t="s">
        <v>45</v>
      </c>
      <c r="D3176" t="s">
        <v>24</v>
      </c>
      <c r="E3176" t="s">
        <v>46</v>
      </c>
      <c r="F3176" t="s">
        <v>41</v>
      </c>
      <c r="G3176" s="89">
        <v>1061214</v>
      </c>
      <c r="H3176" t="s">
        <v>42</v>
      </c>
      <c r="I3176" t="s">
        <v>133</v>
      </c>
      <c r="J3176" s="89">
        <v>33958848</v>
      </c>
      <c r="K3176" t="s">
        <v>144</v>
      </c>
      <c r="N3176">
        <v>1</v>
      </c>
      <c r="O3176" s="89">
        <v>31836.42</v>
      </c>
      <c r="P3176" s="89">
        <v>275915.64</v>
      </c>
      <c r="Q3176" t="s">
        <v>130</v>
      </c>
      <c r="R3176" t="s">
        <v>42</v>
      </c>
    </row>
    <row r="3177" spans="3:18" hidden="1" x14ac:dyDescent="0.25">
      <c r="C3177" t="s">
        <v>45</v>
      </c>
      <c r="D3177" t="s">
        <v>24</v>
      </c>
      <c r="E3177" t="s">
        <v>48</v>
      </c>
      <c r="F3177" t="s">
        <v>53</v>
      </c>
      <c r="G3177" s="89">
        <v>227494</v>
      </c>
      <c r="H3177" t="s">
        <v>140</v>
      </c>
      <c r="I3177" t="s">
        <v>126</v>
      </c>
      <c r="J3177" s="89">
        <v>2502434</v>
      </c>
      <c r="K3177" t="s">
        <v>144</v>
      </c>
      <c r="N3177">
        <v>1</v>
      </c>
      <c r="O3177" s="89">
        <v>6824.82</v>
      </c>
      <c r="P3177" s="89">
        <v>179720.26</v>
      </c>
      <c r="Q3177" t="s">
        <v>137</v>
      </c>
      <c r="R3177" t="s">
        <v>131</v>
      </c>
    </row>
    <row r="3178" spans="3:18" hidden="1" x14ac:dyDescent="0.25">
      <c r="C3178" t="s">
        <v>45</v>
      </c>
      <c r="D3178" t="s">
        <v>23</v>
      </c>
      <c r="E3178" t="s">
        <v>40</v>
      </c>
      <c r="F3178" t="s">
        <v>41</v>
      </c>
      <c r="G3178" s="89">
        <v>2175744</v>
      </c>
      <c r="H3178" t="s">
        <v>42</v>
      </c>
      <c r="I3178" t="s">
        <v>133</v>
      </c>
      <c r="J3178" s="89">
        <v>67448064</v>
      </c>
      <c r="K3178" t="s">
        <v>144</v>
      </c>
      <c r="N3178">
        <v>1</v>
      </c>
      <c r="O3178" s="89">
        <v>65272.32</v>
      </c>
      <c r="P3178" s="89">
        <v>652723.19999999995</v>
      </c>
      <c r="Q3178" t="s">
        <v>130</v>
      </c>
      <c r="R3178" t="s">
        <v>42</v>
      </c>
    </row>
    <row r="3179" spans="3:18" hidden="1" x14ac:dyDescent="0.25">
      <c r="C3179" t="s">
        <v>45</v>
      </c>
      <c r="D3179" t="s">
        <v>24</v>
      </c>
      <c r="E3179" t="s">
        <v>44</v>
      </c>
      <c r="F3179" t="s">
        <v>41</v>
      </c>
      <c r="G3179" s="89">
        <v>404919</v>
      </c>
      <c r="H3179" t="s">
        <v>146</v>
      </c>
      <c r="I3179" t="s">
        <v>141</v>
      </c>
      <c r="J3179" s="89">
        <v>3239352</v>
      </c>
      <c r="K3179" t="s">
        <v>127</v>
      </c>
      <c r="L3179" t="s">
        <v>128</v>
      </c>
      <c r="N3179">
        <v>1</v>
      </c>
      <c r="O3179" s="89">
        <v>12147.57</v>
      </c>
      <c r="P3179" s="89">
        <v>97180.56</v>
      </c>
      <c r="Q3179" t="s">
        <v>130</v>
      </c>
      <c r="R3179" t="s">
        <v>131</v>
      </c>
    </row>
    <row r="3180" spans="3:18" hidden="1" x14ac:dyDescent="0.25">
      <c r="C3180" t="s">
        <v>45</v>
      </c>
      <c r="D3180" t="s">
        <v>24</v>
      </c>
      <c r="E3180" t="s">
        <v>40</v>
      </c>
      <c r="F3180" t="s">
        <v>41</v>
      </c>
      <c r="G3180" s="89">
        <v>201389</v>
      </c>
      <c r="H3180" t="s">
        <v>146</v>
      </c>
      <c r="I3180" t="s">
        <v>141</v>
      </c>
      <c r="J3180" s="89">
        <v>1409723</v>
      </c>
      <c r="K3180" t="s">
        <v>127</v>
      </c>
      <c r="L3180" t="s">
        <v>128</v>
      </c>
      <c r="N3180">
        <v>1</v>
      </c>
      <c r="O3180" s="89">
        <v>6041.67</v>
      </c>
      <c r="P3180" s="89">
        <v>36250.019999999997</v>
      </c>
      <c r="Q3180" t="s">
        <v>130</v>
      </c>
      <c r="R3180" t="s">
        <v>131</v>
      </c>
    </row>
    <row r="3181" spans="3:18" hidden="1" x14ac:dyDescent="0.25">
      <c r="C3181" t="s">
        <v>45</v>
      </c>
      <c r="D3181" t="s">
        <v>20</v>
      </c>
      <c r="E3181" t="s">
        <v>43</v>
      </c>
      <c r="F3181" t="s">
        <v>41</v>
      </c>
      <c r="G3181" s="89">
        <v>36956</v>
      </c>
      <c r="H3181" t="s">
        <v>140</v>
      </c>
      <c r="I3181" t="s">
        <v>147</v>
      </c>
      <c r="J3181" s="89">
        <v>184780</v>
      </c>
      <c r="K3181" t="s">
        <v>127</v>
      </c>
      <c r="L3181" t="s">
        <v>128</v>
      </c>
      <c r="N3181">
        <v>1</v>
      </c>
      <c r="O3181" s="89">
        <v>1478.24</v>
      </c>
      <c r="P3181" s="89">
        <v>41760.28</v>
      </c>
      <c r="Q3181" t="s">
        <v>150</v>
      </c>
      <c r="R3181" t="s">
        <v>131</v>
      </c>
    </row>
    <row r="3182" spans="3:18" hidden="1" x14ac:dyDescent="0.25">
      <c r="C3182" t="s">
        <v>45</v>
      </c>
      <c r="D3182" t="s">
        <v>21</v>
      </c>
      <c r="E3182" t="s">
        <v>44</v>
      </c>
      <c r="F3182" t="s">
        <v>41</v>
      </c>
      <c r="G3182" s="89">
        <v>1649967</v>
      </c>
      <c r="H3182" t="s">
        <v>42</v>
      </c>
      <c r="I3182" t="s">
        <v>133</v>
      </c>
      <c r="J3182" s="89">
        <v>51148977</v>
      </c>
      <c r="K3182" t="s">
        <v>127</v>
      </c>
      <c r="L3182" t="s">
        <v>128</v>
      </c>
      <c r="M3182" t="s">
        <v>129</v>
      </c>
      <c r="N3182">
        <v>1</v>
      </c>
      <c r="O3182" s="89">
        <v>49499.01</v>
      </c>
      <c r="P3182" s="89">
        <v>1154976.8999999999</v>
      </c>
      <c r="Q3182" t="s">
        <v>137</v>
      </c>
      <c r="R3182" t="s">
        <v>42</v>
      </c>
    </row>
    <row r="3183" spans="3:18" hidden="1" x14ac:dyDescent="0.25">
      <c r="C3183" t="s">
        <v>45</v>
      </c>
      <c r="D3183" t="s">
        <v>20</v>
      </c>
      <c r="E3183" t="s">
        <v>40</v>
      </c>
      <c r="F3183" t="s">
        <v>41</v>
      </c>
      <c r="G3183" s="89">
        <v>1056681</v>
      </c>
      <c r="H3183" t="s">
        <v>42</v>
      </c>
      <c r="I3183" t="s">
        <v>133</v>
      </c>
      <c r="J3183" s="89">
        <v>36983835</v>
      </c>
      <c r="K3183" t="s">
        <v>127</v>
      </c>
      <c r="L3183" t="s">
        <v>128</v>
      </c>
      <c r="M3183" t="s">
        <v>139</v>
      </c>
      <c r="N3183">
        <v>1</v>
      </c>
      <c r="O3183" s="89">
        <v>31700.43</v>
      </c>
      <c r="P3183" s="89">
        <v>877045.23</v>
      </c>
      <c r="Q3183" t="s">
        <v>135</v>
      </c>
      <c r="R3183" t="s">
        <v>42</v>
      </c>
    </row>
    <row r="3184" spans="3:18" hidden="1" x14ac:dyDescent="0.25">
      <c r="C3184" t="s">
        <v>45</v>
      </c>
      <c r="D3184" t="s">
        <v>21</v>
      </c>
      <c r="E3184" t="s">
        <v>43</v>
      </c>
      <c r="F3184" t="s">
        <v>53</v>
      </c>
      <c r="G3184" s="89">
        <v>174076</v>
      </c>
      <c r="H3184" t="s">
        <v>42</v>
      </c>
      <c r="I3184" t="s">
        <v>126</v>
      </c>
      <c r="J3184" s="89">
        <v>3307444</v>
      </c>
      <c r="K3184" t="s">
        <v>127</v>
      </c>
      <c r="L3184" t="s">
        <v>128</v>
      </c>
      <c r="M3184" t="s">
        <v>129</v>
      </c>
      <c r="N3184">
        <v>1</v>
      </c>
      <c r="O3184" s="89">
        <v>5222.28</v>
      </c>
      <c r="P3184" s="89">
        <v>134038.51999999999</v>
      </c>
      <c r="Q3184" t="s">
        <v>137</v>
      </c>
      <c r="R3184" t="s">
        <v>42</v>
      </c>
    </row>
    <row r="3185" spans="3:18" hidden="1" x14ac:dyDescent="0.25">
      <c r="C3185" t="s">
        <v>45</v>
      </c>
      <c r="D3185" t="s">
        <v>24</v>
      </c>
      <c r="E3185" t="s">
        <v>40</v>
      </c>
      <c r="F3185" t="s">
        <v>41</v>
      </c>
      <c r="G3185" s="89">
        <v>3295137</v>
      </c>
      <c r="H3185" t="s">
        <v>42</v>
      </c>
      <c r="I3185" t="s">
        <v>133</v>
      </c>
      <c r="J3185" s="89">
        <v>118624932</v>
      </c>
      <c r="K3185" t="s">
        <v>144</v>
      </c>
      <c r="N3185">
        <v>1</v>
      </c>
      <c r="O3185" s="89">
        <v>98854.11</v>
      </c>
      <c r="P3185" s="89">
        <v>2899720.56</v>
      </c>
      <c r="Q3185" t="s">
        <v>135</v>
      </c>
      <c r="R3185" t="s">
        <v>42</v>
      </c>
    </row>
    <row r="3186" spans="3:18" hidden="1" x14ac:dyDescent="0.25">
      <c r="C3186" t="s">
        <v>45</v>
      </c>
      <c r="D3186" t="s">
        <v>23</v>
      </c>
      <c r="E3186" t="s">
        <v>48</v>
      </c>
      <c r="F3186" t="s">
        <v>41</v>
      </c>
      <c r="G3186" s="89">
        <v>42664</v>
      </c>
      <c r="H3186" t="s">
        <v>42</v>
      </c>
      <c r="I3186" t="s">
        <v>141</v>
      </c>
      <c r="J3186" s="89">
        <v>383976</v>
      </c>
      <c r="K3186" t="s">
        <v>127</v>
      </c>
      <c r="L3186" t="s">
        <v>128</v>
      </c>
      <c r="M3186" t="s">
        <v>129</v>
      </c>
      <c r="N3186">
        <v>1</v>
      </c>
      <c r="O3186" s="89">
        <v>1706.56</v>
      </c>
      <c r="P3186" s="89">
        <v>9386.08</v>
      </c>
      <c r="Q3186" t="s">
        <v>130</v>
      </c>
      <c r="R3186" t="s">
        <v>42</v>
      </c>
    </row>
    <row r="3187" spans="3:18" hidden="1" x14ac:dyDescent="0.25">
      <c r="C3187" t="s">
        <v>45</v>
      </c>
      <c r="D3187" t="s">
        <v>24</v>
      </c>
      <c r="E3187" t="s">
        <v>44</v>
      </c>
      <c r="F3187" t="s">
        <v>41</v>
      </c>
      <c r="G3187" s="89">
        <v>50253</v>
      </c>
      <c r="H3187" t="s">
        <v>132</v>
      </c>
      <c r="I3187" t="s">
        <v>126</v>
      </c>
      <c r="J3187" s="89">
        <v>904554</v>
      </c>
      <c r="K3187" t="s">
        <v>127</v>
      </c>
      <c r="L3187" t="s">
        <v>128</v>
      </c>
      <c r="N3187">
        <v>1</v>
      </c>
      <c r="O3187" s="89">
        <v>1507.59</v>
      </c>
      <c r="P3187" s="89">
        <v>31659.39</v>
      </c>
      <c r="Q3187" t="s">
        <v>137</v>
      </c>
      <c r="R3187" t="s">
        <v>131</v>
      </c>
    </row>
    <row r="3188" spans="3:18" hidden="1" x14ac:dyDescent="0.25">
      <c r="C3188" t="s">
        <v>45</v>
      </c>
      <c r="D3188" t="s">
        <v>22</v>
      </c>
      <c r="E3188" t="s">
        <v>43</v>
      </c>
      <c r="F3188" t="s">
        <v>41</v>
      </c>
      <c r="G3188" s="89">
        <v>21048</v>
      </c>
      <c r="H3188" t="s">
        <v>42</v>
      </c>
      <c r="I3188" t="s">
        <v>141</v>
      </c>
      <c r="J3188" s="89">
        <v>168384</v>
      </c>
      <c r="K3188" t="s">
        <v>127</v>
      </c>
      <c r="L3188" t="s">
        <v>128</v>
      </c>
      <c r="M3188" t="s">
        <v>143</v>
      </c>
      <c r="N3188">
        <v>1</v>
      </c>
      <c r="O3188" s="89">
        <v>420.96</v>
      </c>
      <c r="P3188" s="89">
        <v>10524</v>
      </c>
      <c r="Q3188" t="s">
        <v>142</v>
      </c>
      <c r="R3188" t="s">
        <v>42</v>
      </c>
    </row>
    <row r="3189" spans="3:18" hidden="1" x14ac:dyDescent="0.25">
      <c r="C3189" t="s">
        <v>45</v>
      </c>
      <c r="D3189" t="s">
        <v>22</v>
      </c>
      <c r="E3189" t="s">
        <v>40</v>
      </c>
      <c r="F3189" t="s">
        <v>41</v>
      </c>
      <c r="G3189" s="89">
        <v>882093</v>
      </c>
      <c r="H3189" t="s">
        <v>140</v>
      </c>
      <c r="I3189" t="s">
        <v>126</v>
      </c>
      <c r="J3189" s="89">
        <v>15877674</v>
      </c>
      <c r="K3189" t="s">
        <v>127</v>
      </c>
      <c r="L3189" t="s">
        <v>128</v>
      </c>
      <c r="N3189">
        <v>1</v>
      </c>
      <c r="O3189" s="89">
        <v>26462.79</v>
      </c>
      <c r="P3189" s="89">
        <v>1014406.95</v>
      </c>
      <c r="Q3189" t="s">
        <v>150</v>
      </c>
      <c r="R3189" t="s">
        <v>131</v>
      </c>
    </row>
    <row r="3190" spans="3:18" hidden="1" x14ac:dyDescent="0.25">
      <c r="C3190" t="s">
        <v>45</v>
      </c>
      <c r="D3190" t="s">
        <v>24</v>
      </c>
      <c r="E3190" t="s">
        <v>48</v>
      </c>
      <c r="F3190" t="s">
        <v>41</v>
      </c>
      <c r="G3190" s="89">
        <v>17171</v>
      </c>
      <c r="H3190" t="s">
        <v>140</v>
      </c>
      <c r="I3190" t="s">
        <v>133</v>
      </c>
      <c r="J3190" s="89">
        <v>583814</v>
      </c>
      <c r="K3190" t="s">
        <v>144</v>
      </c>
      <c r="N3190">
        <v>1</v>
      </c>
      <c r="O3190" s="89">
        <v>515.13</v>
      </c>
      <c r="P3190" s="89">
        <v>25756.5</v>
      </c>
      <c r="Q3190" t="s">
        <v>150</v>
      </c>
      <c r="R3190" t="s">
        <v>131</v>
      </c>
    </row>
    <row r="3191" spans="3:18" x14ac:dyDescent="0.25">
      <c r="C3191" t="s">
        <v>47</v>
      </c>
      <c r="D3191" t="s">
        <v>23</v>
      </c>
      <c r="E3191" t="s">
        <v>40</v>
      </c>
      <c r="F3191" t="s">
        <v>41</v>
      </c>
      <c r="G3191" s="89">
        <v>1591643</v>
      </c>
      <c r="H3191" t="s">
        <v>42</v>
      </c>
      <c r="I3191" t="s">
        <v>147</v>
      </c>
      <c r="J3191" s="89">
        <v>6366572</v>
      </c>
      <c r="K3191" t="s">
        <v>144</v>
      </c>
      <c r="N3191">
        <v>1</v>
      </c>
      <c r="O3191" s="89">
        <v>47749.29</v>
      </c>
      <c r="P3191" s="89">
        <v>684406.49</v>
      </c>
      <c r="Q3191" t="s">
        <v>142</v>
      </c>
      <c r="R3191" t="s">
        <v>131</v>
      </c>
    </row>
    <row r="3192" spans="3:18" x14ac:dyDescent="0.25">
      <c r="C3192" t="s">
        <v>47</v>
      </c>
      <c r="D3192" t="s">
        <v>50</v>
      </c>
      <c r="E3192" t="s">
        <v>50</v>
      </c>
      <c r="F3192" t="s">
        <v>41</v>
      </c>
      <c r="G3192" s="89">
        <v>2548573</v>
      </c>
      <c r="H3192" t="s">
        <v>79</v>
      </c>
      <c r="I3192" t="s">
        <v>147</v>
      </c>
      <c r="J3192" s="89">
        <v>7645719</v>
      </c>
      <c r="K3192" t="s">
        <v>127</v>
      </c>
      <c r="N3192">
        <v>1</v>
      </c>
      <c r="O3192" s="89">
        <v>127428.65</v>
      </c>
      <c r="P3192" s="89">
        <v>3032801.87</v>
      </c>
      <c r="Q3192" t="s">
        <v>150</v>
      </c>
      <c r="R3192" t="s">
        <v>79</v>
      </c>
    </row>
    <row r="3193" spans="3:18" x14ac:dyDescent="0.25">
      <c r="C3193" t="s">
        <v>47</v>
      </c>
      <c r="D3193" t="s">
        <v>20</v>
      </c>
      <c r="E3193" t="s">
        <v>43</v>
      </c>
      <c r="F3193" t="s">
        <v>41</v>
      </c>
      <c r="G3193" s="89">
        <v>7383</v>
      </c>
      <c r="H3193" t="s">
        <v>140</v>
      </c>
      <c r="I3193" t="s">
        <v>147</v>
      </c>
      <c r="J3193" s="89">
        <v>22149</v>
      </c>
      <c r="K3193" t="s">
        <v>127</v>
      </c>
      <c r="L3193" t="s">
        <v>128</v>
      </c>
      <c r="N3193">
        <v>1</v>
      </c>
      <c r="O3193" s="89">
        <v>0</v>
      </c>
      <c r="P3193" s="89">
        <v>3839.16</v>
      </c>
      <c r="Q3193" t="s">
        <v>142</v>
      </c>
      <c r="R3193" t="s">
        <v>131</v>
      </c>
    </row>
    <row r="3194" spans="3:18" x14ac:dyDescent="0.25">
      <c r="C3194" t="s">
        <v>47</v>
      </c>
      <c r="D3194" t="s">
        <v>19</v>
      </c>
      <c r="E3194" t="s">
        <v>43</v>
      </c>
      <c r="F3194" t="s">
        <v>41</v>
      </c>
      <c r="G3194" s="89">
        <v>220446</v>
      </c>
      <c r="H3194" t="s">
        <v>146</v>
      </c>
      <c r="I3194" t="s">
        <v>147</v>
      </c>
      <c r="J3194" s="89">
        <v>1102230</v>
      </c>
      <c r="K3194" t="s">
        <v>134</v>
      </c>
      <c r="L3194" t="s">
        <v>128</v>
      </c>
      <c r="N3194">
        <v>1</v>
      </c>
      <c r="O3194" s="89">
        <v>8817.84</v>
      </c>
      <c r="P3194" s="89">
        <v>59520.42</v>
      </c>
      <c r="Q3194" t="s">
        <v>130</v>
      </c>
      <c r="R3194" t="s">
        <v>131</v>
      </c>
    </row>
    <row r="3195" spans="3:18" hidden="1" x14ac:dyDescent="0.25">
      <c r="C3195" t="s">
        <v>45</v>
      </c>
      <c r="D3195" t="s">
        <v>23</v>
      </c>
      <c r="E3195" t="s">
        <v>48</v>
      </c>
      <c r="F3195" t="s">
        <v>41</v>
      </c>
      <c r="G3195" s="89">
        <v>9052658</v>
      </c>
      <c r="H3195" t="s">
        <v>140</v>
      </c>
      <c r="I3195" t="s">
        <v>147</v>
      </c>
      <c r="J3195" s="89">
        <v>27157974</v>
      </c>
      <c r="K3195" t="s">
        <v>127</v>
      </c>
      <c r="L3195" t="s">
        <v>128</v>
      </c>
      <c r="N3195">
        <v>1</v>
      </c>
      <c r="O3195" s="89">
        <v>271579.74</v>
      </c>
      <c r="P3195" s="89">
        <v>1176845.54</v>
      </c>
      <c r="Q3195" t="s">
        <v>130</v>
      </c>
      <c r="R3195" t="s">
        <v>131</v>
      </c>
    </row>
    <row r="3196" spans="3:18" hidden="1" x14ac:dyDescent="0.25">
      <c r="C3196" t="s">
        <v>45</v>
      </c>
      <c r="D3196" t="s">
        <v>24</v>
      </c>
      <c r="E3196" t="s">
        <v>52</v>
      </c>
      <c r="F3196" t="s">
        <v>41</v>
      </c>
      <c r="G3196" s="89">
        <v>294722</v>
      </c>
      <c r="H3196" t="s">
        <v>42</v>
      </c>
      <c r="I3196" t="s">
        <v>126</v>
      </c>
      <c r="J3196" s="89">
        <v>4715552</v>
      </c>
      <c r="K3196" t="s">
        <v>127</v>
      </c>
      <c r="L3196" t="s">
        <v>128</v>
      </c>
      <c r="M3196" t="s">
        <v>148</v>
      </c>
      <c r="N3196">
        <v>1</v>
      </c>
      <c r="O3196" s="89">
        <v>8841.66</v>
      </c>
      <c r="P3196" s="89">
        <v>253460.92</v>
      </c>
      <c r="Q3196" t="s">
        <v>135</v>
      </c>
      <c r="R3196" t="s">
        <v>42</v>
      </c>
    </row>
    <row r="3197" spans="3:18" hidden="1" x14ac:dyDescent="0.25">
      <c r="C3197" t="s">
        <v>45</v>
      </c>
      <c r="D3197" t="s">
        <v>22</v>
      </c>
      <c r="E3197" t="s">
        <v>40</v>
      </c>
      <c r="F3197" t="s">
        <v>53</v>
      </c>
      <c r="G3197" s="89">
        <v>166952</v>
      </c>
      <c r="H3197" t="s">
        <v>145</v>
      </c>
      <c r="I3197" t="s">
        <v>133</v>
      </c>
      <c r="J3197" s="89">
        <v>4841608</v>
      </c>
      <c r="K3197" t="s">
        <v>144</v>
      </c>
      <c r="N3197">
        <v>1</v>
      </c>
      <c r="O3197" s="89">
        <v>5008.5600000000004</v>
      </c>
      <c r="P3197" s="89">
        <v>138570.16</v>
      </c>
      <c r="Q3197" t="s">
        <v>135</v>
      </c>
      <c r="R3197" t="s">
        <v>131</v>
      </c>
    </row>
    <row r="3198" spans="3:18" hidden="1" x14ac:dyDescent="0.25">
      <c r="C3198" t="s">
        <v>45</v>
      </c>
      <c r="D3198" t="s">
        <v>23</v>
      </c>
      <c r="E3198" t="s">
        <v>52</v>
      </c>
      <c r="F3198" t="s">
        <v>53</v>
      </c>
      <c r="G3198" s="89">
        <v>102225</v>
      </c>
      <c r="H3198" t="s">
        <v>42</v>
      </c>
      <c r="I3198" t="s">
        <v>133</v>
      </c>
      <c r="J3198" s="89">
        <v>3986775</v>
      </c>
      <c r="K3198" t="s">
        <v>127</v>
      </c>
      <c r="L3198" t="s">
        <v>128</v>
      </c>
      <c r="M3198" t="s">
        <v>152</v>
      </c>
      <c r="N3198">
        <v>1</v>
      </c>
      <c r="O3198" s="89">
        <v>3066.75</v>
      </c>
      <c r="P3198" s="89">
        <v>83824.5</v>
      </c>
      <c r="Q3198" t="s">
        <v>135</v>
      </c>
      <c r="R3198" t="s">
        <v>42</v>
      </c>
    </row>
    <row r="3199" spans="3:18" hidden="1" x14ac:dyDescent="0.25">
      <c r="C3199" t="s">
        <v>45</v>
      </c>
      <c r="D3199" t="s">
        <v>138</v>
      </c>
      <c r="E3199" t="s">
        <v>43</v>
      </c>
      <c r="F3199" t="s">
        <v>41</v>
      </c>
      <c r="G3199" s="89">
        <v>2891218</v>
      </c>
      <c r="H3199" t="s">
        <v>146</v>
      </c>
      <c r="I3199" t="s">
        <v>133</v>
      </c>
      <c r="J3199" s="89">
        <v>72280450</v>
      </c>
      <c r="K3199" t="s">
        <v>127</v>
      </c>
      <c r="L3199" t="s">
        <v>128</v>
      </c>
      <c r="N3199">
        <v>1</v>
      </c>
      <c r="O3199" s="89">
        <v>86736.54</v>
      </c>
      <c r="P3199" s="89">
        <v>693892.32</v>
      </c>
      <c r="Q3199" t="s">
        <v>130</v>
      </c>
      <c r="R3199" t="s">
        <v>131</v>
      </c>
    </row>
    <row r="3200" spans="3:18" x14ac:dyDescent="0.25">
      <c r="C3200" t="s">
        <v>47</v>
      </c>
      <c r="D3200" t="s">
        <v>21</v>
      </c>
      <c r="E3200" t="s">
        <v>40</v>
      </c>
      <c r="F3200" t="s">
        <v>41</v>
      </c>
      <c r="G3200" s="89">
        <v>1138721</v>
      </c>
      <c r="H3200" t="s">
        <v>140</v>
      </c>
      <c r="I3200" t="s">
        <v>153</v>
      </c>
      <c r="J3200" s="89"/>
      <c r="K3200" t="s">
        <v>127</v>
      </c>
      <c r="L3200" t="s">
        <v>151</v>
      </c>
      <c r="N3200">
        <v>0</v>
      </c>
      <c r="O3200" s="89">
        <v>45548.84</v>
      </c>
      <c r="P3200" s="89">
        <v>296067.46000000002</v>
      </c>
      <c r="Q3200" t="s">
        <v>130</v>
      </c>
      <c r="R3200" t="s">
        <v>131</v>
      </c>
    </row>
    <row r="3201" spans="3:18" hidden="1" x14ac:dyDescent="0.25">
      <c r="C3201" t="s">
        <v>45</v>
      </c>
      <c r="D3201" t="s">
        <v>22</v>
      </c>
      <c r="E3201" t="s">
        <v>43</v>
      </c>
      <c r="F3201" t="s">
        <v>53</v>
      </c>
      <c r="G3201" s="89">
        <v>299262</v>
      </c>
      <c r="H3201" t="s">
        <v>42</v>
      </c>
      <c r="I3201" t="s">
        <v>126</v>
      </c>
      <c r="J3201" s="89">
        <v>4488930</v>
      </c>
      <c r="K3201" t="s">
        <v>144</v>
      </c>
      <c r="N3201">
        <v>1</v>
      </c>
      <c r="O3201" s="89">
        <v>8977.86</v>
      </c>
      <c r="P3201" s="89">
        <v>92771.22</v>
      </c>
      <c r="Q3201" t="s">
        <v>130</v>
      </c>
      <c r="R3201" t="s">
        <v>42</v>
      </c>
    </row>
    <row r="3202" spans="3:18" hidden="1" x14ac:dyDescent="0.25">
      <c r="C3202" t="s">
        <v>45</v>
      </c>
      <c r="D3202" t="s">
        <v>19</v>
      </c>
      <c r="E3202" t="s">
        <v>43</v>
      </c>
      <c r="F3202" t="s">
        <v>41</v>
      </c>
      <c r="G3202" s="89">
        <v>224475</v>
      </c>
      <c r="H3202" t="s">
        <v>145</v>
      </c>
      <c r="I3202" t="s">
        <v>141</v>
      </c>
      <c r="J3202" s="89">
        <v>1346850</v>
      </c>
      <c r="K3202" t="s">
        <v>144</v>
      </c>
      <c r="N3202">
        <v>1</v>
      </c>
      <c r="O3202" s="89">
        <v>6734.25</v>
      </c>
      <c r="P3202" s="89">
        <v>130195.5</v>
      </c>
      <c r="Q3202" t="s">
        <v>142</v>
      </c>
      <c r="R3202" t="s">
        <v>131</v>
      </c>
    </row>
    <row r="3203" spans="3:18" hidden="1" x14ac:dyDescent="0.25">
      <c r="C3203" t="s">
        <v>45</v>
      </c>
      <c r="D3203" t="s">
        <v>24</v>
      </c>
      <c r="E3203" t="s">
        <v>40</v>
      </c>
      <c r="F3203" t="s">
        <v>41</v>
      </c>
      <c r="G3203" s="89">
        <v>116182</v>
      </c>
      <c r="H3203" t="s">
        <v>146</v>
      </c>
      <c r="I3203" t="s">
        <v>133</v>
      </c>
      <c r="J3203" s="89">
        <v>3950188</v>
      </c>
      <c r="K3203" t="s">
        <v>144</v>
      </c>
      <c r="N3203">
        <v>1</v>
      </c>
      <c r="O3203" s="89">
        <v>2323.64</v>
      </c>
      <c r="P3203" s="89">
        <v>80165.58</v>
      </c>
      <c r="Q3203" t="s">
        <v>137</v>
      </c>
      <c r="R3203" t="s">
        <v>131</v>
      </c>
    </row>
    <row r="3204" spans="3:18" hidden="1" x14ac:dyDescent="0.25">
      <c r="C3204" t="s">
        <v>45</v>
      </c>
      <c r="D3204" t="s">
        <v>21</v>
      </c>
      <c r="E3204" t="s">
        <v>43</v>
      </c>
      <c r="F3204" t="s">
        <v>41</v>
      </c>
      <c r="G3204" s="89">
        <v>429309</v>
      </c>
      <c r="H3204" t="s">
        <v>140</v>
      </c>
      <c r="I3204" t="s">
        <v>133</v>
      </c>
      <c r="J3204" s="89">
        <v>11162034</v>
      </c>
      <c r="K3204" t="s">
        <v>127</v>
      </c>
      <c r="L3204" t="s">
        <v>151</v>
      </c>
      <c r="N3204">
        <v>1</v>
      </c>
      <c r="O3204" s="89">
        <v>12879.27</v>
      </c>
      <c r="P3204" s="89">
        <v>120206.52</v>
      </c>
      <c r="Q3204" t="s">
        <v>130</v>
      </c>
      <c r="R3204" t="s">
        <v>131</v>
      </c>
    </row>
    <row r="3205" spans="3:18" hidden="1" x14ac:dyDescent="0.25">
      <c r="C3205" t="s">
        <v>45</v>
      </c>
      <c r="D3205" t="s">
        <v>149</v>
      </c>
      <c r="E3205" t="s">
        <v>43</v>
      </c>
      <c r="F3205" t="s">
        <v>41</v>
      </c>
      <c r="G3205" s="89">
        <v>128737</v>
      </c>
      <c r="H3205" t="s">
        <v>42</v>
      </c>
      <c r="I3205" t="s">
        <v>133</v>
      </c>
      <c r="J3205" s="89">
        <v>3733373</v>
      </c>
      <c r="K3205" t="s">
        <v>134</v>
      </c>
      <c r="N3205">
        <v>1</v>
      </c>
      <c r="O3205" s="89">
        <v>3862.11</v>
      </c>
      <c r="P3205" s="89">
        <v>57931.65</v>
      </c>
      <c r="Q3205" t="s">
        <v>142</v>
      </c>
      <c r="R3205" t="s">
        <v>42</v>
      </c>
    </row>
    <row r="3206" spans="3:18" hidden="1" x14ac:dyDescent="0.25">
      <c r="C3206" t="s">
        <v>45</v>
      </c>
      <c r="D3206" t="s">
        <v>22</v>
      </c>
      <c r="E3206" t="s">
        <v>43</v>
      </c>
      <c r="F3206" t="s">
        <v>41</v>
      </c>
      <c r="G3206" s="89">
        <v>240588</v>
      </c>
      <c r="H3206" t="s">
        <v>42</v>
      </c>
      <c r="I3206" t="s">
        <v>126</v>
      </c>
      <c r="J3206" s="89">
        <v>4330584</v>
      </c>
      <c r="K3206" t="s">
        <v>144</v>
      </c>
      <c r="N3206">
        <v>1</v>
      </c>
      <c r="O3206" s="89">
        <v>7217.64</v>
      </c>
      <c r="P3206" s="89">
        <v>55335.24</v>
      </c>
      <c r="Q3206" t="s">
        <v>130</v>
      </c>
      <c r="R3206" t="s">
        <v>131</v>
      </c>
    </row>
    <row r="3207" spans="3:18" hidden="1" x14ac:dyDescent="0.25">
      <c r="C3207" t="s">
        <v>45</v>
      </c>
      <c r="D3207" t="s">
        <v>21</v>
      </c>
      <c r="E3207" t="s">
        <v>43</v>
      </c>
      <c r="F3207" t="s">
        <v>41</v>
      </c>
      <c r="G3207" s="89">
        <v>1632699</v>
      </c>
      <c r="H3207" t="s">
        <v>146</v>
      </c>
      <c r="I3207" t="s">
        <v>133</v>
      </c>
      <c r="J3207" s="89">
        <v>45715572</v>
      </c>
      <c r="K3207" t="s">
        <v>134</v>
      </c>
      <c r="L3207" t="s">
        <v>128</v>
      </c>
      <c r="N3207">
        <v>1</v>
      </c>
      <c r="O3207" s="89">
        <v>48980.97</v>
      </c>
      <c r="P3207" s="89">
        <v>1126562.31</v>
      </c>
      <c r="Q3207" t="s">
        <v>137</v>
      </c>
      <c r="R3207" t="s">
        <v>131</v>
      </c>
    </row>
    <row r="3208" spans="3:18" hidden="1" x14ac:dyDescent="0.25">
      <c r="C3208" t="s">
        <v>45</v>
      </c>
      <c r="D3208" t="s">
        <v>24</v>
      </c>
      <c r="E3208" t="s">
        <v>43</v>
      </c>
      <c r="F3208" t="s">
        <v>41</v>
      </c>
      <c r="G3208" s="89">
        <v>40795</v>
      </c>
      <c r="H3208" t="s">
        <v>140</v>
      </c>
      <c r="I3208" t="s">
        <v>133</v>
      </c>
      <c r="J3208" s="89">
        <v>897490</v>
      </c>
      <c r="K3208" t="s">
        <v>127</v>
      </c>
      <c r="L3208" t="s">
        <v>128</v>
      </c>
      <c r="N3208">
        <v>1</v>
      </c>
      <c r="O3208" s="89">
        <v>1223.8499999999999</v>
      </c>
      <c r="P3208" s="89">
        <v>6119.25</v>
      </c>
      <c r="Q3208" t="s">
        <v>130</v>
      </c>
      <c r="R3208" t="s">
        <v>131</v>
      </c>
    </row>
    <row r="3209" spans="3:18" hidden="1" x14ac:dyDescent="0.25">
      <c r="C3209" t="s">
        <v>45</v>
      </c>
      <c r="D3209" t="s">
        <v>21</v>
      </c>
      <c r="E3209" t="s">
        <v>40</v>
      </c>
      <c r="F3209" t="s">
        <v>41</v>
      </c>
      <c r="G3209" s="89">
        <v>143702382</v>
      </c>
      <c r="H3209" t="s">
        <v>42</v>
      </c>
      <c r="I3209" t="s">
        <v>133</v>
      </c>
      <c r="J3209" s="89">
        <v>4598476224</v>
      </c>
      <c r="K3209" t="s">
        <v>127</v>
      </c>
      <c r="L3209" t="s">
        <v>128</v>
      </c>
      <c r="M3209" t="s">
        <v>129</v>
      </c>
      <c r="N3209">
        <v>1</v>
      </c>
      <c r="O3209" s="89">
        <v>4311071.46</v>
      </c>
      <c r="P3209" s="89">
        <v>103465715.04000001</v>
      </c>
      <c r="Q3209" t="s">
        <v>137</v>
      </c>
      <c r="R3209" t="s">
        <v>131</v>
      </c>
    </row>
    <row r="3210" spans="3:18" x14ac:dyDescent="0.25">
      <c r="C3210" t="s">
        <v>47</v>
      </c>
      <c r="D3210" t="s">
        <v>138</v>
      </c>
      <c r="E3210" t="s">
        <v>40</v>
      </c>
      <c r="F3210" t="s">
        <v>41</v>
      </c>
      <c r="G3210" s="89">
        <v>244082</v>
      </c>
      <c r="H3210" t="s">
        <v>140</v>
      </c>
      <c r="I3210" t="s">
        <v>126</v>
      </c>
      <c r="J3210" s="89">
        <v>3417148</v>
      </c>
      <c r="K3210" t="s">
        <v>144</v>
      </c>
      <c r="N3210">
        <v>1</v>
      </c>
      <c r="O3210" s="89">
        <v>9763.2800000000007</v>
      </c>
      <c r="P3210" s="89">
        <v>144008.38</v>
      </c>
      <c r="Q3210" t="s">
        <v>142</v>
      </c>
      <c r="R3210" t="s">
        <v>131</v>
      </c>
    </row>
    <row r="3211" spans="3:18" hidden="1" x14ac:dyDescent="0.25">
      <c r="C3211" t="s">
        <v>45</v>
      </c>
      <c r="D3211" t="s">
        <v>21</v>
      </c>
      <c r="E3211" t="s">
        <v>43</v>
      </c>
      <c r="F3211" t="s">
        <v>41</v>
      </c>
      <c r="G3211" s="89">
        <v>568559</v>
      </c>
      <c r="H3211" t="s">
        <v>140</v>
      </c>
      <c r="I3211" t="s">
        <v>126</v>
      </c>
      <c r="J3211" s="89">
        <v>7959826</v>
      </c>
      <c r="K3211" t="s">
        <v>134</v>
      </c>
      <c r="L3211" t="s">
        <v>128</v>
      </c>
      <c r="N3211">
        <v>1</v>
      </c>
      <c r="O3211" s="89">
        <v>17056.77</v>
      </c>
      <c r="P3211" s="89">
        <v>142139.75</v>
      </c>
      <c r="Q3211" t="s">
        <v>130</v>
      </c>
      <c r="R3211" t="s">
        <v>131</v>
      </c>
    </row>
    <row r="3212" spans="3:18" hidden="1" x14ac:dyDescent="0.25">
      <c r="C3212" t="s">
        <v>45</v>
      </c>
      <c r="D3212" t="s">
        <v>20</v>
      </c>
      <c r="E3212" t="s">
        <v>43</v>
      </c>
      <c r="F3212" t="s">
        <v>41</v>
      </c>
      <c r="G3212" s="89">
        <v>349300</v>
      </c>
      <c r="H3212" t="s">
        <v>132</v>
      </c>
      <c r="I3212" t="s">
        <v>147</v>
      </c>
      <c r="J3212" s="89">
        <v>1047900</v>
      </c>
      <c r="K3212" t="s">
        <v>127</v>
      </c>
      <c r="L3212" t="s">
        <v>128</v>
      </c>
      <c r="N3212">
        <v>1</v>
      </c>
      <c r="O3212" s="89">
        <v>10479</v>
      </c>
      <c r="P3212" s="89">
        <v>38423</v>
      </c>
      <c r="Q3212" t="s">
        <v>130</v>
      </c>
      <c r="R3212" t="s">
        <v>131</v>
      </c>
    </row>
    <row r="3213" spans="3:18" hidden="1" x14ac:dyDescent="0.25">
      <c r="C3213" t="s">
        <v>45</v>
      </c>
      <c r="D3213" t="s">
        <v>24</v>
      </c>
      <c r="E3213" t="s">
        <v>40</v>
      </c>
      <c r="F3213" t="s">
        <v>41</v>
      </c>
      <c r="G3213" s="89">
        <v>565238</v>
      </c>
      <c r="H3213" t="s">
        <v>146</v>
      </c>
      <c r="I3213" t="s">
        <v>126</v>
      </c>
      <c r="J3213" s="89">
        <v>9609046</v>
      </c>
      <c r="K3213" t="s">
        <v>127</v>
      </c>
      <c r="L3213" t="s">
        <v>128</v>
      </c>
      <c r="N3213">
        <v>1</v>
      </c>
      <c r="O3213" s="89">
        <v>16957.14</v>
      </c>
      <c r="P3213" s="89">
        <v>271314.24</v>
      </c>
      <c r="Q3213" t="s">
        <v>142</v>
      </c>
      <c r="R3213" t="s">
        <v>131</v>
      </c>
    </row>
    <row r="3214" spans="3:18" hidden="1" x14ac:dyDescent="0.25">
      <c r="C3214" t="s">
        <v>45</v>
      </c>
      <c r="D3214" t="s">
        <v>25</v>
      </c>
      <c r="E3214" t="s">
        <v>44</v>
      </c>
      <c r="F3214" t="s">
        <v>41</v>
      </c>
      <c r="G3214" s="89">
        <v>81718</v>
      </c>
      <c r="H3214" t="s">
        <v>140</v>
      </c>
      <c r="I3214" t="s">
        <v>133</v>
      </c>
      <c r="J3214" s="89">
        <v>3268720</v>
      </c>
      <c r="K3214" t="s">
        <v>144</v>
      </c>
      <c r="N3214">
        <v>1</v>
      </c>
      <c r="O3214" s="89">
        <v>2451.54</v>
      </c>
      <c r="P3214" s="89">
        <v>55568.24</v>
      </c>
      <c r="Q3214" t="s">
        <v>137</v>
      </c>
      <c r="R3214" t="s">
        <v>131</v>
      </c>
    </row>
    <row r="3215" spans="3:18" hidden="1" x14ac:dyDescent="0.25">
      <c r="C3215" t="s">
        <v>45</v>
      </c>
      <c r="D3215" t="s">
        <v>23</v>
      </c>
      <c r="E3215" t="s">
        <v>46</v>
      </c>
      <c r="F3215" t="s">
        <v>41</v>
      </c>
      <c r="G3215" s="89">
        <v>89818</v>
      </c>
      <c r="H3215" t="s">
        <v>42</v>
      </c>
      <c r="I3215" t="s">
        <v>126</v>
      </c>
      <c r="J3215" s="89">
        <v>1616724</v>
      </c>
      <c r="K3215" t="s">
        <v>134</v>
      </c>
      <c r="L3215" t="s">
        <v>128</v>
      </c>
      <c r="M3215" t="s">
        <v>152</v>
      </c>
      <c r="N3215">
        <v>1</v>
      </c>
      <c r="O3215" s="89">
        <v>2694.54</v>
      </c>
      <c r="P3215" s="89">
        <v>19759.96</v>
      </c>
      <c r="Q3215" t="s">
        <v>130</v>
      </c>
      <c r="R3215" t="s">
        <v>42</v>
      </c>
    </row>
    <row r="3216" spans="3:18" hidden="1" x14ac:dyDescent="0.25">
      <c r="C3216" t="s">
        <v>45</v>
      </c>
      <c r="D3216" t="s">
        <v>24</v>
      </c>
      <c r="E3216" t="s">
        <v>40</v>
      </c>
      <c r="F3216" t="s">
        <v>53</v>
      </c>
      <c r="G3216" s="89">
        <v>199142</v>
      </c>
      <c r="H3216" t="s">
        <v>42</v>
      </c>
      <c r="I3216" t="s">
        <v>126</v>
      </c>
      <c r="J3216" s="89">
        <v>3982840</v>
      </c>
      <c r="K3216" t="s">
        <v>144</v>
      </c>
      <c r="N3216">
        <v>1</v>
      </c>
      <c r="O3216" s="89">
        <v>5974.26</v>
      </c>
      <c r="P3216" s="89">
        <v>151347.92000000001</v>
      </c>
      <c r="Q3216" t="s">
        <v>137</v>
      </c>
      <c r="R3216" t="s">
        <v>42</v>
      </c>
    </row>
    <row r="3217" spans="3:18" hidden="1" x14ac:dyDescent="0.25">
      <c r="C3217" t="s">
        <v>45</v>
      </c>
      <c r="D3217" t="s">
        <v>20</v>
      </c>
      <c r="E3217" t="s">
        <v>43</v>
      </c>
      <c r="F3217" t="s">
        <v>41</v>
      </c>
      <c r="G3217" s="89">
        <v>18</v>
      </c>
      <c r="H3217" t="s">
        <v>146</v>
      </c>
      <c r="I3217" t="s">
        <v>153</v>
      </c>
      <c r="J3217" s="89"/>
      <c r="K3217" t="s">
        <v>127</v>
      </c>
      <c r="L3217" t="s">
        <v>128</v>
      </c>
      <c r="N3217">
        <v>0</v>
      </c>
      <c r="O3217" s="89">
        <v>0</v>
      </c>
      <c r="P3217" s="89">
        <v>0</v>
      </c>
      <c r="Q3217" t="s">
        <v>130</v>
      </c>
      <c r="R3217" t="s">
        <v>131</v>
      </c>
    </row>
    <row r="3218" spans="3:18" hidden="1" x14ac:dyDescent="0.25">
      <c r="C3218" t="s">
        <v>45</v>
      </c>
      <c r="D3218" t="s">
        <v>19</v>
      </c>
      <c r="E3218" t="s">
        <v>43</v>
      </c>
      <c r="F3218" t="s">
        <v>53</v>
      </c>
      <c r="G3218" s="89">
        <v>5404241</v>
      </c>
      <c r="H3218" t="s">
        <v>42</v>
      </c>
      <c r="I3218" t="s">
        <v>133</v>
      </c>
      <c r="J3218" s="89">
        <v>156722989</v>
      </c>
      <c r="K3218" t="s">
        <v>144</v>
      </c>
      <c r="N3218">
        <v>1</v>
      </c>
      <c r="O3218" s="89">
        <v>162127.23000000001</v>
      </c>
      <c r="P3218" s="89">
        <v>2864247.73</v>
      </c>
      <c r="Q3218" t="s">
        <v>142</v>
      </c>
      <c r="R3218" t="s">
        <v>42</v>
      </c>
    </row>
    <row r="3219" spans="3:18" hidden="1" x14ac:dyDescent="0.25">
      <c r="C3219" t="s">
        <v>45</v>
      </c>
      <c r="D3219" t="s">
        <v>22</v>
      </c>
      <c r="E3219" t="s">
        <v>44</v>
      </c>
      <c r="F3219" t="s">
        <v>41</v>
      </c>
      <c r="G3219" s="89">
        <v>9317436</v>
      </c>
      <c r="H3219" t="s">
        <v>42</v>
      </c>
      <c r="I3219" t="s">
        <v>133</v>
      </c>
      <c r="J3219" s="89">
        <v>260888208</v>
      </c>
      <c r="K3219" t="s">
        <v>127</v>
      </c>
      <c r="L3219" t="s">
        <v>128</v>
      </c>
      <c r="M3219" t="s">
        <v>143</v>
      </c>
      <c r="N3219">
        <v>1</v>
      </c>
      <c r="O3219" s="89">
        <v>279523.08</v>
      </c>
      <c r="P3219" s="89">
        <v>4845066.72</v>
      </c>
      <c r="Q3219" t="s">
        <v>142</v>
      </c>
      <c r="R3219" t="s">
        <v>42</v>
      </c>
    </row>
    <row r="3220" spans="3:18" hidden="1" x14ac:dyDescent="0.25">
      <c r="C3220" t="s">
        <v>45</v>
      </c>
      <c r="D3220" t="s">
        <v>21</v>
      </c>
      <c r="E3220" t="s">
        <v>40</v>
      </c>
      <c r="F3220" t="s">
        <v>53</v>
      </c>
      <c r="G3220" s="89">
        <v>9092801</v>
      </c>
      <c r="H3220" t="s">
        <v>42</v>
      </c>
      <c r="I3220" t="s">
        <v>133</v>
      </c>
      <c r="J3220" s="89">
        <v>290969632</v>
      </c>
      <c r="K3220" t="s">
        <v>144</v>
      </c>
      <c r="N3220">
        <v>1</v>
      </c>
      <c r="O3220" s="89">
        <v>272784.03000000003</v>
      </c>
      <c r="P3220" s="89">
        <v>6728672.7400000002</v>
      </c>
      <c r="Q3220" t="s">
        <v>137</v>
      </c>
      <c r="R3220" t="s">
        <v>42</v>
      </c>
    </row>
    <row r="3221" spans="3:18" x14ac:dyDescent="0.25">
      <c r="C3221" t="s">
        <v>47</v>
      </c>
      <c r="D3221" t="s">
        <v>24</v>
      </c>
      <c r="E3221" t="s">
        <v>48</v>
      </c>
      <c r="F3221" t="s">
        <v>41</v>
      </c>
      <c r="G3221" s="89">
        <v>750542</v>
      </c>
      <c r="H3221" t="s">
        <v>140</v>
      </c>
      <c r="I3221" t="s">
        <v>126</v>
      </c>
      <c r="J3221" s="89">
        <v>9757046</v>
      </c>
      <c r="K3221" t="s">
        <v>127</v>
      </c>
      <c r="L3221" t="s">
        <v>128</v>
      </c>
      <c r="N3221">
        <v>1</v>
      </c>
      <c r="O3221" s="89">
        <v>22516.26</v>
      </c>
      <c r="P3221" s="89">
        <v>577917.34</v>
      </c>
      <c r="Q3221" t="s">
        <v>137</v>
      </c>
      <c r="R3221" t="s">
        <v>131</v>
      </c>
    </row>
    <row r="3222" spans="3:18" hidden="1" x14ac:dyDescent="0.25">
      <c r="C3222" t="s">
        <v>45</v>
      </c>
      <c r="D3222" t="s">
        <v>22</v>
      </c>
      <c r="E3222" t="s">
        <v>43</v>
      </c>
      <c r="F3222" t="s">
        <v>41</v>
      </c>
      <c r="G3222" s="89">
        <v>672908</v>
      </c>
      <c r="H3222" t="s">
        <v>140</v>
      </c>
      <c r="I3222" t="s">
        <v>141</v>
      </c>
      <c r="J3222" s="89">
        <v>3364540</v>
      </c>
      <c r="K3222" t="s">
        <v>134</v>
      </c>
      <c r="L3222" t="s">
        <v>128</v>
      </c>
      <c r="N3222">
        <v>1</v>
      </c>
      <c r="O3222" s="89">
        <v>20187.240000000002</v>
      </c>
      <c r="P3222" s="89">
        <v>457577.44</v>
      </c>
      <c r="Q3222" t="s">
        <v>137</v>
      </c>
      <c r="R3222" t="s">
        <v>131</v>
      </c>
    </row>
    <row r="3223" spans="3:18" hidden="1" x14ac:dyDescent="0.25">
      <c r="C3223" t="s">
        <v>45</v>
      </c>
      <c r="D3223" t="s">
        <v>22</v>
      </c>
      <c r="E3223" t="s">
        <v>43</v>
      </c>
      <c r="F3223" t="s">
        <v>41</v>
      </c>
      <c r="G3223" s="89">
        <v>289757</v>
      </c>
      <c r="H3223" t="s">
        <v>140</v>
      </c>
      <c r="I3223" t="s">
        <v>126</v>
      </c>
      <c r="J3223" s="89">
        <v>4056598</v>
      </c>
      <c r="K3223" t="s">
        <v>144</v>
      </c>
      <c r="N3223">
        <v>1</v>
      </c>
      <c r="O3223" s="89">
        <v>8692.7099999999991</v>
      </c>
      <c r="P3223" s="89">
        <v>147776.07</v>
      </c>
      <c r="Q3223" t="s">
        <v>142</v>
      </c>
      <c r="R3223" t="s">
        <v>131</v>
      </c>
    </row>
    <row r="3224" spans="3:18" hidden="1" x14ac:dyDescent="0.25">
      <c r="C3224" t="s">
        <v>45</v>
      </c>
      <c r="D3224" t="s">
        <v>21</v>
      </c>
      <c r="E3224" t="s">
        <v>40</v>
      </c>
      <c r="F3224" t="s">
        <v>41</v>
      </c>
      <c r="G3224" s="89">
        <v>797179</v>
      </c>
      <c r="H3224" t="s">
        <v>145</v>
      </c>
      <c r="I3224" t="s">
        <v>133</v>
      </c>
      <c r="J3224" s="89">
        <v>23915370</v>
      </c>
      <c r="K3224" t="s">
        <v>144</v>
      </c>
      <c r="N3224">
        <v>1</v>
      </c>
      <c r="O3224" s="89">
        <v>23915.37</v>
      </c>
      <c r="P3224" s="89">
        <v>558025.30000000005</v>
      </c>
      <c r="Q3224" t="s">
        <v>137</v>
      </c>
      <c r="R3224" t="s">
        <v>131</v>
      </c>
    </row>
    <row r="3225" spans="3:18" hidden="1" x14ac:dyDescent="0.25">
      <c r="C3225" t="s">
        <v>45</v>
      </c>
      <c r="D3225" t="s">
        <v>149</v>
      </c>
      <c r="E3225" t="s">
        <v>43</v>
      </c>
      <c r="F3225" t="s">
        <v>41</v>
      </c>
      <c r="G3225" s="89">
        <v>12539596</v>
      </c>
      <c r="H3225" t="s">
        <v>140</v>
      </c>
      <c r="I3225" t="s">
        <v>133</v>
      </c>
      <c r="J3225" s="89">
        <v>326029496</v>
      </c>
      <c r="K3225" t="s">
        <v>127</v>
      </c>
      <c r="L3225" t="s">
        <v>128</v>
      </c>
      <c r="N3225">
        <v>1</v>
      </c>
      <c r="O3225" s="89">
        <v>376187.88</v>
      </c>
      <c r="P3225" s="89">
        <v>3636482.84</v>
      </c>
      <c r="Q3225" t="s">
        <v>130</v>
      </c>
      <c r="R3225" t="s">
        <v>131</v>
      </c>
    </row>
    <row r="3226" spans="3:18" hidden="1" x14ac:dyDescent="0.25">
      <c r="C3226" t="s">
        <v>45</v>
      </c>
      <c r="D3226" t="s">
        <v>21</v>
      </c>
      <c r="E3226" t="s">
        <v>43</v>
      </c>
      <c r="F3226" t="s">
        <v>41</v>
      </c>
      <c r="G3226" s="89">
        <v>256366</v>
      </c>
      <c r="H3226" t="s">
        <v>42</v>
      </c>
      <c r="I3226" t="s">
        <v>126</v>
      </c>
      <c r="J3226" s="89">
        <v>3589124</v>
      </c>
      <c r="K3226" t="s">
        <v>127</v>
      </c>
      <c r="L3226" t="s">
        <v>128</v>
      </c>
      <c r="M3226" t="s">
        <v>152</v>
      </c>
      <c r="N3226">
        <v>1</v>
      </c>
      <c r="O3226" s="89">
        <v>7690.98</v>
      </c>
      <c r="P3226" s="89">
        <v>48709.54</v>
      </c>
      <c r="Q3226" t="s">
        <v>130</v>
      </c>
      <c r="R3226" t="s">
        <v>42</v>
      </c>
    </row>
    <row r="3227" spans="3:18" x14ac:dyDescent="0.25">
      <c r="C3227" t="s">
        <v>47</v>
      </c>
      <c r="D3227" t="s">
        <v>21</v>
      </c>
      <c r="E3227" t="s">
        <v>48</v>
      </c>
      <c r="F3227" t="s">
        <v>41</v>
      </c>
      <c r="G3227" s="89">
        <v>215097</v>
      </c>
      <c r="H3227" t="s">
        <v>140</v>
      </c>
      <c r="I3227" t="s">
        <v>126</v>
      </c>
      <c r="J3227" s="89">
        <v>2581164</v>
      </c>
      <c r="K3227" t="s">
        <v>127</v>
      </c>
      <c r="L3227" t="s">
        <v>128</v>
      </c>
      <c r="N3227">
        <v>1</v>
      </c>
      <c r="O3227" s="89">
        <v>10754.85</v>
      </c>
      <c r="P3227" s="89">
        <v>146265.96</v>
      </c>
      <c r="Q3227" t="s">
        <v>137</v>
      </c>
      <c r="R3227" t="s">
        <v>131</v>
      </c>
    </row>
    <row r="3228" spans="3:18" hidden="1" x14ac:dyDescent="0.25">
      <c r="C3228" t="s">
        <v>45</v>
      </c>
      <c r="D3228" t="s">
        <v>22</v>
      </c>
      <c r="E3228" t="s">
        <v>40</v>
      </c>
      <c r="F3228" t="s">
        <v>41</v>
      </c>
      <c r="G3228" s="89">
        <v>102857</v>
      </c>
      <c r="H3228" t="s">
        <v>140</v>
      </c>
      <c r="I3228" t="s">
        <v>126</v>
      </c>
      <c r="J3228" s="89">
        <v>1954283</v>
      </c>
      <c r="K3228" t="s">
        <v>134</v>
      </c>
      <c r="L3228" t="s">
        <v>128</v>
      </c>
      <c r="N3228">
        <v>1</v>
      </c>
      <c r="O3228" s="89">
        <v>3085.71</v>
      </c>
      <c r="P3228" s="89">
        <v>107999.85</v>
      </c>
      <c r="Q3228" t="s">
        <v>150</v>
      </c>
      <c r="R3228" t="s">
        <v>131</v>
      </c>
    </row>
    <row r="3229" spans="3:18" hidden="1" x14ac:dyDescent="0.25">
      <c r="C3229" t="s">
        <v>45</v>
      </c>
      <c r="D3229" t="s">
        <v>23</v>
      </c>
      <c r="E3229" t="s">
        <v>48</v>
      </c>
      <c r="F3229" t="s">
        <v>41</v>
      </c>
      <c r="G3229" s="89">
        <v>47193</v>
      </c>
      <c r="H3229" t="s">
        <v>145</v>
      </c>
      <c r="I3229" t="s">
        <v>141</v>
      </c>
      <c r="J3229" s="89">
        <v>424737</v>
      </c>
      <c r="K3229" t="s">
        <v>144</v>
      </c>
      <c r="N3229">
        <v>1</v>
      </c>
      <c r="O3229" s="89">
        <v>1415.79</v>
      </c>
      <c r="P3229" s="89">
        <v>14157.9</v>
      </c>
      <c r="Q3229" t="s">
        <v>130</v>
      </c>
      <c r="R3229" t="s">
        <v>131</v>
      </c>
    </row>
    <row r="3230" spans="3:18" x14ac:dyDescent="0.25">
      <c r="C3230" t="s">
        <v>47</v>
      </c>
      <c r="D3230" t="s">
        <v>23</v>
      </c>
      <c r="E3230" t="s">
        <v>40</v>
      </c>
      <c r="F3230" t="s">
        <v>41</v>
      </c>
      <c r="G3230" s="89">
        <v>704751</v>
      </c>
      <c r="H3230" t="s">
        <v>140</v>
      </c>
      <c r="I3230" t="s">
        <v>147</v>
      </c>
      <c r="J3230" s="89">
        <v>2114253</v>
      </c>
      <c r="K3230" t="s">
        <v>144</v>
      </c>
      <c r="N3230">
        <v>1</v>
      </c>
      <c r="O3230" s="89">
        <v>28190.04</v>
      </c>
      <c r="P3230" s="89">
        <v>436945.62</v>
      </c>
      <c r="Q3230" t="s">
        <v>137</v>
      </c>
      <c r="R3230" t="s">
        <v>131</v>
      </c>
    </row>
    <row r="3231" spans="3:18" x14ac:dyDescent="0.25">
      <c r="C3231" t="s">
        <v>47</v>
      </c>
      <c r="D3231" t="s">
        <v>24</v>
      </c>
      <c r="E3231" t="s">
        <v>48</v>
      </c>
      <c r="F3231" t="s">
        <v>41</v>
      </c>
      <c r="G3231" s="89">
        <v>2001580</v>
      </c>
      <c r="H3231" t="s">
        <v>140</v>
      </c>
      <c r="I3231" t="s">
        <v>141</v>
      </c>
      <c r="J3231" s="89">
        <v>14011060</v>
      </c>
      <c r="K3231" t="s">
        <v>144</v>
      </c>
      <c r="N3231">
        <v>1</v>
      </c>
      <c r="O3231" s="89">
        <v>80063.199999999997</v>
      </c>
      <c r="P3231" s="89">
        <v>580458.19999999995</v>
      </c>
      <c r="Q3231" t="s">
        <v>130</v>
      </c>
      <c r="R3231" t="s">
        <v>131</v>
      </c>
    </row>
    <row r="3232" spans="3:18" hidden="1" x14ac:dyDescent="0.25">
      <c r="C3232" t="s">
        <v>45</v>
      </c>
      <c r="D3232" t="s">
        <v>23</v>
      </c>
      <c r="E3232" t="s">
        <v>43</v>
      </c>
      <c r="F3232" t="s">
        <v>41</v>
      </c>
      <c r="G3232" s="89">
        <v>560971</v>
      </c>
      <c r="H3232" t="s">
        <v>42</v>
      </c>
      <c r="I3232" t="s">
        <v>133</v>
      </c>
      <c r="J3232" s="89">
        <v>20194956</v>
      </c>
      <c r="K3232" t="s">
        <v>144</v>
      </c>
      <c r="N3232">
        <v>1</v>
      </c>
      <c r="O3232" s="89">
        <v>16829.13</v>
      </c>
      <c r="P3232" s="89">
        <v>403899.12</v>
      </c>
      <c r="Q3232" t="s">
        <v>137</v>
      </c>
      <c r="R3232" t="s">
        <v>42</v>
      </c>
    </row>
    <row r="3233" spans="3:18" hidden="1" x14ac:dyDescent="0.25">
      <c r="C3233" t="s">
        <v>45</v>
      </c>
      <c r="D3233" t="s">
        <v>19</v>
      </c>
      <c r="E3233" t="s">
        <v>43</v>
      </c>
      <c r="F3233" t="s">
        <v>53</v>
      </c>
      <c r="G3233" s="89">
        <v>242365</v>
      </c>
      <c r="H3233" t="s">
        <v>140</v>
      </c>
      <c r="I3233" t="s">
        <v>133</v>
      </c>
      <c r="J3233" s="89">
        <v>8725140</v>
      </c>
      <c r="K3233" t="s">
        <v>144</v>
      </c>
      <c r="N3233">
        <v>1</v>
      </c>
      <c r="O3233" s="89">
        <v>7270.95</v>
      </c>
      <c r="P3233" s="89">
        <v>159960.9</v>
      </c>
      <c r="Q3233" t="s">
        <v>137</v>
      </c>
      <c r="R3233" t="s">
        <v>131</v>
      </c>
    </row>
    <row r="3234" spans="3:18" x14ac:dyDescent="0.25">
      <c r="C3234" t="s">
        <v>47</v>
      </c>
      <c r="D3234" t="s">
        <v>22</v>
      </c>
      <c r="E3234" t="s">
        <v>40</v>
      </c>
      <c r="F3234" t="s">
        <v>41</v>
      </c>
      <c r="G3234" s="89">
        <v>643719</v>
      </c>
      <c r="H3234" t="s">
        <v>146</v>
      </c>
      <c r="I3234" t="s">
        <v>141</v>
      </c>
      <c r="J3234" s="89">
        <v>5149752</v>
      </c>
      <c r="K3234" t="s">
        <v>127</v>
      </c>
      <c r="L3234" t="s">
        <v>128</v>
      </c>
      <c r="N3234">
        <v>1</v>
      </c>
      <c r="O3234" s="89">
        <v>25748.76</v>
      </c>
      <c r="P3234" s="89">
        <v>431291.73</v>
      </c>
      <c r="Q3234" t="s">
        <v>137</v>
      </c>
      <c r="R3234" t="s">
        <v>131</v>
      </c>
    </row>
    <row r="3235" spans="3:18" hidden="1" x14ac:dyDescent="0.25">
      <c r="C3235" t="s">
        <v>45</v>
      </c>
      <c r="D3235" t="s">
        <v>21</v>
      </c>
      <c r="E3235" t="s">
        <v>44</v>
      </c>
      <c r="F3235" t="s">
        <v>53</v>
      </c>
      <c r="G3235" s="89">
        <v>385422</v>
      </c>
      <c r="H3235" t="s">
        <v>42</v>
      </c>
      <c r="I3235" t="s">
        <v>133</v>
      </c>
      <c r="J3235" s="89">
        <v>13104348</v>
      </c>
      <c r="K3235" t="s">
        <v>144</v>
      </c>
      <c r="N3235">
        <v>1</v>
      </c>
      <c r="O3235" s="89">
        <v>11562.66</v>
      </c>
      <c r="P3235" s="89">
        <v>323754.48</v>
      </c>
      <c r="Q3235" t="s">
        <v>135</v>
      </c>
      <c r="R3235" t="s">
        <v>42</v>
      </c>
    </row>
    <row r="3236" spans="3:18" hidden="1" x14ac:dyDescent="0.25">
      <c r="C3236" t="s">
        <v>45</v>
      </c>
      <c r="D3236" t="s">
        <v>24</v>
      </c>
      <c r="E3236" t="s">
        <v>43</v>
      </c>
      <c r="F3236" t="s">
        <v>41</v>
      </c>
      <c r="G3236" s="89">
        <v>60205</v>
      </c>
      <c r="H3236" t="s">
        <v>145</v>
      </c>
      <c r="I3236" t="s">
        <v>133</v>
      </c>
      <c r="J3236" s="89">
        <v>1806150</v>
      </c>
      <c r="K3236" t="s">
        <v>127</v>
      </c>
      <c r="L3236" t="s">
        <v>128</v>
      </c>
      <c r="N3236">
        <v>1</v>
      </c>
      <c r="O3236" s="89">
        <v>1806.15</v>
      </c>
      <c r="P3236" s="89">
        <v>25286.1</v>
      </c>
      <c r="Q3236" t="s">
        <v>142</v>
      </c>
      <c r="R3236" t="s">
        <v>131</v>
      </c>
    </row>
    <row r="3237" spans="3:18" hidden="1" x14ac:dyDescent="0.25">
      <c r="C3237" t="s">
        <v>45</v>
      </c>
      <c r="D3237" t="s">
        <v>23</v>
      </c>
      <c r="E3237" t="s">
        <v>48</v>
      </c>
      <c r="F3237" t="s">
        <v>41</v>
      </c>
      <c r="G3237" s="89">
        <v>21916100</v>
      </c>
      <c r="H3237" t="s">
        <v>140</v>
      </c>
      <c r="I3237" t="s">
        <v>141</v>
      </c>
      <c r="J3237" s="89">
        <v>153412700</v>
      </c>
      <c r="K3237" t="s">
        <v>127</v>
      </c>
      <c r="L3237" t="s">
        <v>128</v>
      </c>
      <c r="N3237">
        <v>1</v>
      </c>
      <c r="O3237" s="89">
        <v>657483</v>
      </c>
      <c r="P3237" s="89">
        <v>4821542</v>
      </c>
      <c r="Q3237" t="s">
        <v>130</v>
      </c>
      <c r="R3237" t="s">
        <v>131</v>
      </c>
    </row>
    <row r="3238" spans="3:18" hidden="1" x14ac:dyDescent="0.25">
      <c r="C3238" t="s">
        <v>45</v>
      </c>
      <c r="D3238" t="s">
        <v>23</v>
      </c>
      <c r="E3238" t="s">
        <v>40</v>
      </c>
      <c r="F3238" t="s">
        <v>41</v>
      </c>
      <c r="G3238" s="89">
        <v>378510</v>
      </c>
      <c r="H3238" t="s">
        <v>140</v>
      </c>
      <c r="I3238" t="s">
        <v>126</v>
      </c>
      <c r="J3238" s="89">
        <v>6813180</v>
      </c>
      <c r="K3238" t="s">
        <v>134</v>
      </c>
      <c r="L3238" t="s">
        <v>128</v>
      </c>
      <c r="N3238">
        <v>1</v>
      </c>
      <c r="O3238" s="89">
        <v>11355.3</v>
      </c>
      <c r="P3238" s="89">
        <v>177899.7</v>
      </c>
      <c r="Q3238" t="s">
        <v>142</v>
      </c>
      <c r="R3238" t="s">
        <v>131</v>
      </c>
    </row>
    <row r="3239" spans="3:18" x14ac:dyDescent="0.25">
      <c r="C3239" t="s">
        <v>47</v>
      </c>
      <c r="D3239" t="s">
        <v>20</v>
      </c>
      <c r="E3239" t="s">
        <v>43</v>
      </c>
      <c r="F3239" t="s">
        <v>41</v>
      </c>
      <c r="G3239" s="89">
        <v>5583675</v>
      </c>
      <c r="H3239" t="s">
        <v>140</v>
      </c>
      <c r="I3239" t="s">
        <v>141</v>
      </c>
      <c r="J3239" s="89">
        <v>44669400</v>
      </c>
      <c r="K3239" t="s">
        <v>127</v>
      </c>
      <c r="L3239" t="s">
        <v>128</v>
      </c>
      <c r="N3239">
        <v>1</v>
      </c>
      <c r="O3239" s="89">
        <v>167510.25</v>
      </c>
      <c r="P3239" s="89">
        <v>2736000.75</v>
      </c>
      <c r="Q3239" t="s">
        <v>142</v>
      </c>
      <c r="R3239" t="s">
        <v>131</v>
      </c>
    </row>
    <row r="3240" spans="3:18" x14ac:dyDescent="0.25">
      <c r="C3240" t="s">
        <v>47</v>
      </c>
      <c r="D3240" t="s">
        <v>21</v>
      </c>
      <c r="E3240" t="s">
        <v>43</v>
      </c>
      <c r="F3240" t="s">
        <v>41</v>
      </c>
      <c r="G3240" s="89">
        <v>65500</v>
      </c>
      <c r="H3240" t="s">
        <v>140</v>
      </c>
      <c r="I3240" t="s">
        <v>126</v>
      </c>
      <c r="J3240" s="89">
        <v>1179000</v>
      </c>
      <c r="K3240" t="s">
        <v>127</v>
      </c>
      <c r="L3240" t="s">
        <v>128</v>
      </c>
      <c r="N3240">
        <v>1</v>
      </c>
      <c r="O3240" s="89">
        <v>1310</v>
      </c>
      <c r="P3240" s="89">
        <v>98250</v>
      </c>
      <c r="Q3240" t="s">
        <v>150</v>
      </c>
      <c r="R3240" t="s">
        <v>131</v>
      </c>
    </row>
    <row r="3241" spans="3:18" hidden="1" x14ac:dyDescent="0.25">
      <c r="C3241" t="s">
        <v>45</v>
      </c>
      <c r="D3241" t="s">
        <v>22</v>
      </c>
      <c r="E3241" t="s">
        <v>40</v>
      </c>
      <c r="F3241" t="s">
        <v>41</v>
      </c>
      <c r="G3241" s="89">
        <v>125081</v>
      </c>
      <c r="H3241" t="s">
        <v>132</v>
      </c>
      <c r="I3241" t="s">
        <v>126</v>
      </c>
      <c r="J3241" s="89">
        <v>2251458</v>
      </c>
      <c r="K3241" t="s">
        <v>144</v>
      </c>
      <c r="N3241">
        <v>1</v>
      </c>
      <c r="O3241" s="89">
        <v>3752.43</v>
      </c>
      <c r="P3241" s="89">
        <v>101315.61</v>
      </c>
      <c r="Q3241" t="s">
        <v>135</v>
      </c>
      <c r="R3241" t="s">
        <v>131</v>
      </c>
    </row>
    <row r="3242" spans="3:18" x14ac:dyDescent="0.25">
      <c r="C3242" t="s">
        <v>47</v>
      </c>
      <c r="D3242" t="s">
        <v>21</v>
      </c>
      <c r="E3242" t="s">
        <v>43</v>
      </c>
      <c r="F3242" t="s">
        <v>41</v>
      </c>
      <c r="G3242" s="89">
        <v>351000</v>
      </c>
      <c r="H3242" t="s">
        <v>146</v>
      </c>
      <c r="I3242" t="s">
        <v>147</v>
      </c>
      <c r="J3242" s="89">
        <v>1404000</v>
      </c>
      <c r="K3242" t="s">
        <v>127</v>
      </c>
      <c r="L3242" t="s">
        <v>128</v>
      </c>
      <c r="N3242">
        <v>1</v>
      </c>
      <c r="O3242" s="89">
        <v>14040</v>
      </c>
      <c r="P3242" s="89">
        <v>526500</v>
      </c>
      <c r="Q3242" t="s">
        <v>150</v>
      </c>
      <c r="R3242" t="s">
        <v>131</v>
      </c>
    </row>
    <row r="3243" spans="3:18" hidden="1" x14ac:dyDescent="0.25">
      <c r="C3243" t="s">
        <v>45</v>
      </c>
      <c r="D3243" t="s">
        <v>24</v>
      </c>
      <c r="E3243" t="s">
        <v>44</v>
      </c>
      <c r="F3243" t="s">
        <v>53</v>
      </c>
      <c r="G3243" s="89">
        <v>117639</v>
      </c>
      <c r="H3243" t="s">
        <v>140</v>
      </c>
      <c r="I3243" t="s">
        <v>133</v>
      </c>
      <c r="J3243" s="89">
        <v>2588058</v>
      </c>
      <c r="K3243" t="s">
        <v>127</v>
      </c>
      <c r="L3243" t="s">
        <v>128</v>
      </c>
      <c r="N3243">
        <v>1</v>
      </c>
      <c r="O3243" s="89">
        <v>4705.5600000000004</v>
      </c>
      <c r="P3243" s="89">
        <v>49408.38</v>
      </c>
      <c r="Q3243" t="s">
        <v>142</v>
      </c>
      <c r="R3243" t="s">
        <v>131</v>
      </c>
    </row>
    <row r="3244" spans="3:18" hidden="1" x14ac:dyDescent="0.25">
      <c r="C3244" t="s">
        <v>45</v>
      </c>
      <c r="D3244" t="s">
        <v>24</v>
      </c>
      <c r="E3244" t="s">
        <v>48</v>
      </c>
      <c r="F3244" t="s">
        <v>53</v>
      </c>
      <c r="G3244" s="89">
        <v>140583</v>
      </c>
      <c r="H3244" t="s">
        <v>42</v>
      </c>
      <c r="I3244" t="s">
        <v>133</v>
      </c>
      <c r="J3244" s="89">
        <v>3092826</v>
      </c>
      <c r="K3244" t="s">
        <v>144</v>
      </c>
      <c r="N3244">
        <v>1</v>
      </c>
      <c r="O3244" s="89">
        <v>4217.49</v>
      </c>
      <c r="P3244" s="89">
        <v>101219.76</v>
      </c>
      <c r="Q3244" t="s">
        <v>137</v>
      </c>
      <c r="R3244" t="s">
        <v>42</v>
      </c>
    </row>
    <row r="3245" spans="3:18" hidden="1" x14ac:dyDescent="0.25">
      <c r="C3245" t="s">
        <v>45</v>
      </c>
      <c r="D3245" t="s">
        <v>20</v>
      </c>
      <c r="E3245" t="s">
        <v>43</v>
      </c>
      <c r="F3245" t="s">
        <v>41</v>
      </c>
      <c r="G3245" s="89">
        <v>136272</v>
      </c>
      <c r="H3245" t="s">
        <v>132</v>
      </c>
      <c r="I3245" t="s">
        <v>126</v>
      </c>
      <c r="J3245" s="89">
        <v>2725440</v>
      </c>
      <c r="K3245" t="s">
        <v>144</v>
      </c>
      <c r="N3245">
        <v>1</v>
      </c>
      <c r="O3245" s="89">
        <v>4088.16</v>
      </c>
      <c r="P3245" s="89">
        <v>84488.639999999999</v>
      </c>
      <c r="Q3245" t="s">
        <v>137</v>
      </c>
      <c r="R3245" t="s">
        <v>131</v>
      </c>
    </row>
    <row r="3246" spans="3:18" hidden="1" x14ac:dyDescent="0.25">
      <c r="C3246" t="s">
        <v>45</v>
      </c>
      <c r="D3246" t="s">
        <v>24</v>
      </c>
      <c r="E3246" t="s">
        <v>43</v>
      </c>
      <c r="F3246" t="s">
        <v>41</v>
      </c>
      <c r="G3246" s="89">
        <v>795553</v>
      </c>
      <c r="H3246" t="s">
        <v>42</v>
      </c>
      <c r="I3246" t="s">
        <v>147</v>
      </c>
      <c r="J3246" s="89">
        <v>795553</v>
      </c>
      <c r="K3246" t="s">
        <v>127</v>
      </c>
      <c r="L3246" t="s">
        <v>128</v>
      </c>
      <c r="M3246" t="s">
        <v>148</v>
      </c>
      <c r="N3246">
        <v>1</v>
      </c>
      <c r="O3246" s="89">
        <v>39777.65</v>
      </c>
      <c r="P3246" s="89">
        <v>167066.13</v>
      </c>
      <c r="Q3246" t="s">
        <v>130</v>
      </c>
      <c r="R3246" t="s">
        <v>131</v>
      </c>
    </row>
    <row r="3247" spans="3:18" hidden="1" x14ac:dyDescent="0.25">
      <c r="C3247" t="s">
        <v>45</v>
      </c>
      <c r="D3247" t="s">
        <v>138</v>
      </c>
      <c r="E3247" t="s">
        <v>40</v>
      </c>
      <c r="F3247" t="s">
        <v>41</v>
      </c>
      <c r="G3247" s="89">
        <v>42661</v>
      </c>
      <c r="H3247" t="s">
        <v>132</v>
      </c>
      <c r="I3247" t="s">
        <v>126</v>
      </c>
      <c r="J3247" s="89">
        <v>597254</v>
      </c>
      <c r="K3247" t="s">
        <v>127</v>
      </c>
      <c r="L3247" t="s">
        <v>128</v>
      </c>
      <c r="N3247">
        <v>1</v>
      </c>
      <c r="O3247" s="89">
        <v>1279.83</v>
      </c>
      <c r="P3247" s="89">
        <v>13224.91</v>
      </c>
      <c r="Q3247" t="s">
        <v>130</v>
      </c>
      <c r="R3247" t="s">
        <v>131</v>
      </c>
    </row>
    <row r="3248" spans="3:18" hidden="1" x14ac:dyDescent="0.25">
      <c r="C3248" t="s">
        <v>45</v>
      </c>
      <c r="D3248" t="s">
        <v>22</v>
      </c>
      <c r="E3248" t="s">
        <v>40</v>
      </c>
      <c r="F3248" t="s">
        <v>41</v>
      </c>
      <c r="G3248" s="89">
        <v>24134</v>
      </c>
      <c r="H3248" t="s">
        <v>146</v>
      </c>
      <c r="I3248" t="s">
        <v>141</v>
      </c>
      <c r="J3248" s="89">
        <v>241340</v>
      </c>
      <c r="K3248" t="s">
        <v>144</v>
      </c>
      <c r="N3248">
        <v>1</v>
      </c>
      <c r="O3248" s="89">
        <v>724.02</v>
      </c>
      <c r="P3248" s="89">
        <v>2413.4</v>
      </c>
      <c r="Q3248" t="s">
        <v>130</v>
      </c>
      <c r="R3248" t="s">
        <v>131</v>
      </c>
    </row>
    <row r="3249" spans="3:18" hidden="1" x14ac:dyDescent="0.25">
      <c r="C3249" t="s">
        <v>45</v>
      </c>
      <c r="D3249" t="s">
        <v>149</v>
      </c>
      <c r="E3249" t="s">
        <v>43</v>
      </c>
      <c r="F3249" t="s">
        <v>41</v>
      </c>
      <c r="G3249" s="89">
        <v>2147689</v>
      </c>
      <c r="H3249" t="s">
        <v>145</v>
      </c>
      <c r="I3249" t="s">
        <v>133</v>
      </c>
      <c r="J3249" s="89">
        <v>70873737</v>
      </c>
      <c r="K3249" t="s">
        <v>127</v>
      </c>
      <c r="L3249" t="s">
        <v>128</v>
      </c>
      <c r="N3249">
        <v>1</v>
      </c>
      <c r="O3249" s="89">
        <v>64430.67</v>
      </c>
      <c r="P3249" s="89">
        <v>1847012.54</v>
      </c>
      <c r="Q3249" t="s">
        <v>135</v>
      </c>
      <c r="R3249" t="s">
        <v>131</v>
      </c>
    </row>
    <row r="3250" spans="3:18" hidden="1" x14ac:dyDescent="0.25">
      <c r="C3250" t="s">
        <v>45</v>
      </c>
      <c r="D3250" t="s">
        <v>22</v>
      </c>
      <c r="E3250" t="s">
        <v>40</v>
      </c>
      <c r="F3250" t="s">
        <v>41</v>
      </c>
      <c r="G3250" s="89">
        <v>87431360</v>
      </c>
      <c r="H3250" t="s">
        <v>42</v>
      </c>
      <c r="I3250" t="s">
        <v>133</v>
      </c>
      <c r="J3250" s="89">
        <v>2972666240</v>
      </c>
      <c r="K3250" t="s">
        <v>144</v>
      </c>
      <c r="N3250">
        <v>1</v>
      </c>
      <c r="O3250" s="89">
        <v>2622940.7999999998</v>
      </c>
      <c r="P3250" s="89">
        <v>62950579.200000003</v>
      </c>
      <c r="Q3250" t="s">
        <v>137</v>
      </c>
      <c r="R3250" t="s">
        <v>42</v>
      </c>
    </row>
    <row r="3251" spans="3:18" hidden="1" x14ac:dyDescent="0.25">
      <c r="C3251" t="s">
        <v>45</v>
      </c>
      <c r="D3251" t="s">
        <v>21</v>
      </c>
      <c r="E3251" t="s">
        <v>43</v>
      </c>
      <c r="F3251" t="s">
        <v>41</v>
      </c>
      <c r="G3251" s="89">
        <v>42727</v>
      </c>
      <c r="H3251" t="s">
        <v>132</v>
      </c>
      <c r="I3251" t="s">
        <v>141</v>
      </c>
      <c r="J3251" s="89">
        <v>341816</v>
      </c>
      <c r="K3251" t="s">
        <v>144</v>
      </c>
      <c r="N3251">
        <v>1</v>
      </c>
      <c r="O3251" s="89">
        <v>1281.81</v>
      </c>
      <c r="P3251" s="89">
        <v>23072.58</v>
      </c>
      <c r="Q3251" t="s">
        <v>142</v>
      </c>
      <c r="R3251" t="s">
        <v>131</v>
      </c>
    </row>
    <row r="3252" spans="3:18" hidden="1" x14ac:dyDescent="0.25">
      <c r="C3252" t="s">
        <v>45</v>
      </c>
      <c r="D3252" t="s">
        <v>22</v>
      </c>
      <c r="E3252" t="s">
        <v>48</v>
      </c>
      <c r="F3252" t="s">
        <v>41</v>
      </c>
      <c r="G3252" s="89">
        <v>132613</v>
      </c>
      <c r="H3252" t="s">
        <v>42</v>
      </c>
      <c r="I3252" t="s">
        <v>141</v>
      </c>
      <c r="J3252" s="89">
        <v>1060904</v>
      </c>
      <c r="K3252" t="s">
        <v>127</v>
      </c>
      <c r="L3252" t="s">
        <v>128</v>
      </c>
      <c r="M3252" t="s">
        <v>143</v>
      </c>
      <c r="N3252">
        <v>1</v>
      </c>
      <c r="O3252" s="89">
        <v>3978.39</v>
      </c>
      <c r="P3252" s="89">
        <v>22544.21</v>
      </c>
      <c r="Q3252" t="s">
        <v>130</v>
      </c>
      <c r="R3252" t="s">
        <v>131</v>
      </c>
    </row>
    <row r="3253" spans="3:18" x14ac:dyDescent="0.25">
      <c r="C3253" t="s">
        <v>47</v>
      </c>
      <c r="D3253" t="s">
        <v>22</v>
      </c>
      <c r="E3253" t="s">
        <v>40</v>
      </c>
      <c r="F3253" t="s">
        <v>41</v>
      </c>
      <c r="G3253" s="89">
        <v>3397835</v>
      </c>
      <c r="H3253" t="s">
        <v>146</v>
      </c>
      <c r="I3253" t="s">
        <v>126</v>
      </c>
      <c r="J3253" s="89">
        <v>40774020</v>
      </c>
      <c r="K3253" t="s">
        <v>127</v>
      </c>
      <c r="L3253" t="s">
        <v>128</v>
      </c>
      <c r="N3253">
        <v>1</v>
      </c>
      <c r="O3253" s="89">
        <v>135913.4</v>
      </c>
      <c r="P3253" s="89">
        <v>2242571.1</v>
      </c>
      <c r="Q3253" t="s">
        <v>137</v>
      </c>
      <c r="R3253" t="s">
        <v>131</v>
      </c>
    </row>
    <row r="3254" spans="3:18" hidden="1" x14ac:dyDescent="0.25">
      <c r="C3254" t="s">
        <v>45</v>
      </c>
      <c r="D3254" t="s">
        <v>20</v>
      </c>
      <c r="E3254" t="s">
        <v>43</v>
      </c>
      <c r="F3254" t="s">
        <v>41</v>
      </c>
      <c r="G3254" s="89">
        <v>14674</v>
      </c>
      <c r="H3254" t="s">
        <v>146</v>
      </c>
      <c r="I3254" t="s">
        <v>147</v>
      </c>
      <c r="J3254" s="89"/>
      <c r="K3254" t="s">
        <v>127</v>
      </c>
      <c r="L3254" t="s">
        <v>128</v>
      </c>
      <c r="N3254">
        <v>0</v>
      </c>
      <c r="O3254" s="89">
        <v>880.44</v>
      </c>
      <c r="P3254" s="89">
        <v>440.22</v>
      </c>
      <c r="Q3254" t="s">
        <v>130</v>
      </c>
      <c r="R3254" t="s">
        <v>131</v>
      </c>
    </row>
    <row r="3255" spans="3:18" hidden="1" x14ac:dyDescent="0.25">
      <c r="C3255" t="s">
        <v>45</v>
      </c>
      <c r="D3255" t="s">
        <v>24</v>
      </c>
      <c r="E3255" t="s">
        <v>44</v>
      </c>
      <c r="F3255" t="s">
        <v>41</v>
      </c>
      <c r="G3255" s="89">
        <v>155515</v>
      </c>
      <c r="H3255" t="s">
        <v>146</v>
      </c>
      <c r="I3255" t="s">
        <v>147</v>
      </c>
      <c r="J3255" s="89">
        <v>311030</v>
      </c>
      <c r="K3255" t="s">
        <v>127</v>
      </c>
      <c r="L3255" t="s">
        <v>128</v>
      </c>
      <c r="N3255">
        <v>1</v>
      </c>
      <c r="O3255" s="89">
        <v>4665.45</v>
      </c>
      <c r="P3255" s="89">
        <v>15551.5</v>
      </c>
      <c r="Q3255" t="s">
        <v>130</v>
      </c>
      <c r="R3255" t="s">
        <v>131</v>
      </c>
    </row>
    <row r="3256" spans="3:18" hidden="1" x14ac:dyDescent="0.25">
      <c r="C3256" t="s">
        <v>45</v>
      </c>
      <c r="D3256" t="s">
        <v>21</v>
      </c>
      <c r="E3256" t="s">
        <v>43</v>
      </c>
      <c r="F3256" t="s">
        <v>41</v>
      </c>
      <c r="G3256" s="89">
        <v>1172613</v>
      </c>
      <c r="H3256" t="s">
        <v>146</v>
      </c>
      <c r="I3256" t="s">
        <v>141</v>
      </c>
      <c r="J3256" s="89">
        <v>9380904</v>
      </c>
      <c r="K3256" t="s">
        <v>127</v>
      </c>
      <c r="L3256" t="s">
        <v>128</v>
      </c>
      <c r="N3256">
        <v>1</v>
      </c>
      <c r="O3256" s="89">
        <v>35178.39</v>
      </c>
      <c r="P3256" s="89">
        <v>809102.97</v>
      </c>
      <c r="Q3256" t="s">
        <v>137</v>
      </c>
      <c r="R3256" t="s">
        <v>131</v>
      </c>
    </row>
    <row r="3257" spans="3:18" hidden="1" x14ac:dyDescent="0.25">
      <c r="C3257" t="s">
        <v>45</v>
      </c>
      <c r="D3257" t="s">
        <v>24</v>
      </c>
      <c r="E3257" t="s">
        <v>44</v>
      </c>
      <c r="F3257" t="s">
        <v>53</v>
      </c>
      <c r="G3257" s="89">
        <v>327817</v>
      </c>
      <c r="H3257" t="s">
        <v>42</v>
      </c>
      <c r="I3257" t="s">
        <v>133</v>
      </c>
      <c r="J3257" s="89">
        <v>10817961</v>
      </c>
      <c r="K3257" t="s">
        <v>144</v>
      </c>
      <c r="N3257">
        <v>1</v>
      </c>
      <c r="O3257" s="89">
        <v>9834.51</v>
      </c>
      <c r="P3257" s="89">
        <v>245862.75</v>
      </c>
      <c r="Q3257" t="s">
        <v>137</v>
      </c>
      <c r="R3257" t="s">
        <v>42</v>
      </c>
    </row>
    <row r="3258" spans="3:18" hidden="1" x14ac:dyDescent="0.25">
      <c r="C3258" t="s">
        <v>45</v>
      </c>
      <c r="D3258" t="s">
        <v>21</v>
      </c>
      <c r="E3258" t="s">
        <v>40</v>
      </c>
      <c r="F3258" t="s">
        <v>41</v>
      </c>
      <c r="G3258" s="89">
        <v>300473</v>
      </c>
      <c r="H3258" t="s">
        <v>146</v>
      </c>
      <c r="I3258" t="s">
        <v>133</v>
      </c>
      <c r="J3258" s="89">
        <v>6610406</v>
      </c>
      <c r="K3258" t="s">
        <v>144</v>
      </c>
      <c r="N3258">
        <v>1</v>
      </c>
      <c r="O3258" s="89">
        <v>9014.19</v>
      </c>
      <c r="P3258" s="89">
        <v>249392.59</v>
      </c>
      <c r="Q3258" t="s">
        <v>135</v>
      </c>
      <c r="R3258" t="s">
        <v>131</v>
      </c>
    </row>
    <row r="3259" spans="3:18" hidden="1" x14ac:dyDescent="0.25">
      <c r="C3259" t="s">
        <v>45</v>
      </c>
      <c r="D3259" t="s">
        <v>23</v>
      </c>
      <c r="E3259" t="s">
        <v>40</v>
      </c>
      <c r="F3259" t="s">
        <v>41</v>
      </c>
      <c r="G3259" s="89">
        <v>142861427</v>
      </c>
      <c r="H3259" t="s">
        <v>42</v>
      </c>
      <c r="I3259" t="s">
        <v>133</v>
      </c>
      <c r="J3259" s="89">
        <v>4857288518</v>
      </c>
      <c r="K3259" t="s">
        <v>127</v>
      </c>
      <c r="L3259" t="s">
        <v>128</v>
      </c>
      <c r="M3259" t="s">
        <v>152</v>
      </c>
      <c r="N3259">
        <v>1</v>
      </c>
      <c r="O3259" s="89">
        <v>4285842.8099999996</v>
      </c>
      <c r="P3259" s="89">
        <v>117146370.14</v>
      </c>
      <c r="Q3259" t="s">
        <v>135</v>
      </c>
      <c r="R3259" t="s">
        <v>131</v>
      </c>
    </row>
    <row r="3260" spans="3:18" hidden="1" x14ac:dyDescent="0.25">
      <c r="C3260" t="s">
        <v>45</v>
      </c>
      <c r="D3260" t="s">
        <v>21</v>
      </c>
      <c r="E3260" t="s">
        <v>43</v>
      </c>
      <c r="F3260" t="s">
        <v>41</v>
      </c>
      <c r="G3260" s="89">
        <v>51883598</v>
      </c>
      <c r="H3260" t="s">
        <v>42</v>
      </c>
      <c r="I3260" t="s">
        <v>126</v>
      </c>
      <c r="J3260" s="89">
        <v>882021166</v>
      </c>
      <c r="K3260" t="s">
        <v>127</v>
      </c>
      <c r="L3260" t="s">
        <v>128</v>
      </c>
      <c r="M3260" t="s">
        <v>129</v>
      </c>
      <c r="N3260">
        <v>1</v>
      </c>
      <c r="O3260" s="89">
        <v>1556507.94</v>
      </c>
      <c r="P3260" s="89">
        <v>34762010.659999996</v>
      </c>
      <c r="Q3260" t="s">
        <v>137</v>
      </c>
      <c r="R3260" t="s">
        <v>131</v>
      </c>
    </row>
    <row r="3261" spans="3:18" hidden="1" x14ac:dyDescent="0.25">
      <c r="C3261" t="s">
        <v>45</v>
      </c>
      <c r="D3261" t="s">
        <v>23</v>
      </c>
      <c r="E3261" t="s">
        <v>44</v>
      </c>
      <c r="F3261" t="s">
        <v>41</v>
      </c>
      <c r="G3261" s="89">
        <v>81703</v>
      </c>
      <c r="H3261" t="s">
        <v>42</v>
      </c>
      <c r="I3261" t="s">
        <v>147</v>
      </c>
      <c r="J3261" s="89">
        <v>326812</v>
      </c>
      <c r="K3261" t="s">
        <v>127</v>
      </c>
      <c r="L3261" t="s">
        <v>128</v>
      </c>
      <c r="M3261" t="s">
        <v>152</v>
      </c>
      <c r="N3261">
        <v>1</v>
      </c>
      <c r="O3261" s="89">
        <v>2451.09</v>
      </c>
      <c r="P3261" s="89">
        <v>33498.230000000003</v>
      </c>
      <c r="Q3261" t="s">
        <v>142</v>
      </c>
      <c r="R3261" t="s">
        <v>42</v>
      </c>
    </row>
    <row r="3262" spans="3:18" hidden="1" x14ac:dyDescent="0.25">
      <c r="C3262" t="s">
        <v>45</v>
      </c>
      <c r="D3262" t="s">
        <v>19</v>
      </c>
      <c r="E3262" t="s">
        <v>43</v>
      </c>
      <c r="F3262" t="s">
        <v>41</v>
      </c>
      <c r="G3262" s="89">
        <v>263385</v>
      </c>
      <c r="H3262" t="s">
        <v>145</v>
      </c>
      <c r="I3262" t="s">
        <v>133</v>
      </c>
      <c r="J3262" s="89">
        <v>7374780</v>
      </c>
      <c r="K3262" t="s">
        <v>134</v>
      </c>
      <c r="L3262" t="s">
        <v>128</v>
      </c>
      <c r="N3262">
        <v>1</v>
      </c>
      <c r="O3262" s="89">
        <v>7901.55</v>
      </c>
      <c r="P3262" s="89">
        <v>192271.05</v>
      </c>
      <c r="Q3262" t="s">
        <v>137</v>
      </c>
      <c r="R3262" t="s">
        <v>131</v>
      </c>
    </row>
    <row r="3263" spans="3:18" hidden="1" x14ac:dyDescent="0.25">
      <c r="C3263" t="s">
        <v>45</v>
      </c>
      <c r="D3263" t="s">
        <v>22</v>
      </c>
      <c r="E3263" t="s">
        <v>48</v>
      </c>
      <c r="F3263" t="s">
        <v>41</v>
      </c>
      <c r="G3263" s="89">
        <v>247143</v>
      </c>
      <c r="H3263" t="s">
        <v>140</v>
      </c>
      <c r="I3263" t="s">
        <v>126</v>
      </c>
      <c r="J3263" s="89">
        <v>4942860</v>
      </c>
      <c r="K3263" t="s">
        <v>144</v>
      </c>
      <c r="N3263">
        <v>1</v>
      </c>
      <c r="O3263" s="89">
        <v>7414.29</v>
      </c>
      <c r="P3263" s="89">
        <v>113685.78</v>
      </c>
      <c r="Q3263" t="s">
        <v>142</v>
      </c>
      <c r="R3263" t="s">
        <v>131</v>
      </c>
    </row>
    <row r="3264" spans="3:18" x14ac:dyDescent="0.25">
      <c r="C3264" t="s">
        <v>47</v>
      </c>
      <c r="D3264" t="s">
        <v>25</v>
      </c>
      <c r="E3264" t="s">
        <v>48</v>
      </c>
      <c r="F3264" t="s">
        <v>41</v>
      </c>
      <c r="G3264" s="89">
        <v>23920</v>
      </c>
      <c r="H3264" t="s">
        <v>146</v>
      </c>
      <c r="I3264" t="s">
        <v>126</v>
      </c>
      <c r="J3264" s="89">
        <v>334880</v>
      </c>
      <c r="K3264" t="s">
        <v>127</v>
      </c>
      <c r="L3264" t="s">
        <v>128</v>
      </c>
      <c r="N3264">
        <v>1</v>
      </c>
      <c r="O3264" s="89">
        <v>717.6</v>
      </c>
      <c r="P3264" s="89">
        <v>20571.2</v>
      </c>
      <c r="Q3264" t="s">
        <v>135</v>
      </c>
      <c r="R3264" t="s">
        <v>131</v>
      </c>
    </row>
    <row r="3265" spans="3:18" hidden="1" x14ac:dyDescent="0.25">
      <c r="C3265" t="s">
        <v>45</v>
      </c>
      <c r="D3265" t="s">
        <v>23</v>
      </c>
      <c r="E3265" t="s">
        <v>48</v>
      </c>
      <c r="F3265" t="s">
        <v>41</v>
      </c>
      <c r="G3265" s="89">
        <v>2096841</v>
      </c>
      <c r="H3265" t="s">
        <v>42</v>
      </c>
      <c r="I3265" t="s">
        <v>126</v>
      </c>
      <c r="J3265" s="89">
        <v>37743138</v>
      </c>
      <c r="K3265" t="s">
        <v>144</v>
      </c>
      <c r="N3265">
        <v>1</v>
      </c>
      <c r="O3265" s="89">
        <v>62905.23</v>
      </c>
      <c r="P3265" s="89">
        <v>1069388.9099999999</v>
      </c>
      <c r="Q3265" t="s">
        <v>142</v>
      </c>
      <c r="R3265" t="s">
        <v>42</v>
      </c>
    </row>
    <row r="3266" spans="3:18" hidden="1" x14ac:dyDescent="0.25">
      <c r="C3266" t="s">
        <v>45</v>
      </c>
      <c r="D3266" t="s">
        <v>22</v>
      </c>
      <c r="E3266" t="s">
        <v>40</v>
      </c>
      <c r="F3266" t="s">
        <v>41</v>
      </c>
      <c r="G3266" s="89">
        <v>3440816</v>
      </c>
      <c r="H3266" t="s">
        <v>140</v>
      </c>
      <c r="I3266" t="s">
        <v>126</v>
      </c>
      <c r="J3266" s="89">
        <v>58493872</v>
      </c>
      <c r="K3266" t="s">
        <v>144</v>
      </c>
      <c r="N3266">
        <v>1</v>
      </c>
      <c r="O3266" s="89">
        <v>103224.48</v>
      </c>
      <c r="P3266" s="89">
        <v>2408571.2000000002</v>
      </c>
      <c r="Q3266" t="s">
        <v>137</v>
      </c>
      <c r="R3266" t="s">
        <v>131</v>
      </c>
    </row>
    <row r="3267" spans="3:18" hidden="1" x14ac:dyDescent="0.25">
      <c r="C3267" t="s">
        <v>45</v>
      </c>
      <c r="D3267" t="s">
        <v>22</v>
      </c>
      <c r="E3267" t="s">
        <v>43</v>
      </c>
      <c r="F3267" t="s">
        <v>41</v>
      </c>
      <c r="G3267" s="89">
        <v>147314</v>
      </c>
      <c r="H3267" t="s">
        <v>132</v>
      </c>
      <c r="I3267" t="s">
        <v>133</v>
      </c>
      <c r="J3267" s="89">
        <v>4124792</v>
      </c>
      <c r="K3267" t="s">
        <v>144</v>
      </c>
      <c r="N3267">
        <v>1</v>
      </c>
      <c r="O3267" s="89">
        <v>4419.42</v>
      </c>
      <c r="P3267" s="89">
        <v>117851.2</v>
      </c>
      <c r="Q3267" t="s">
        <v>135</v>
      </c>
      <c r="R3267" t="s">
        <v>131</v>
      </c>
    </row>
    <row r="3268" spans="3:18" hidden="1" x14ac:dyDescent="0.25">
      <c r="C3268" t="s">
        <v>45</v>
      </c>
      <c r="D3268" t="s">
        <v>23</v>
      </c>
      <c r="E3268" t="s">
        <v>40</v>
      </c>
      <c r="F3268" t="s">
        <v>41</v>
      </c>
      <c r="G3268" s="89">
        <v>213709</v>
      </c>
      <c r="H3268" t="s">
        <v>145</v>
      </c>
      <c r="I3268" t="s">
        <v>133</v>
      </c>
      <c r="J3268" s="89">
        <v>7479815</v>
      </c>
      <c r="K3268" t="s">
        <v>134</v>
      </c>
      <c r="L3268" t="s">
        <v>128</v>
      </c>
      <c r="N3268">
        <v>1</v>
      </c>
      <c r="O3268" s="89">
        <v>6411.27</v>
      </c>
      <c r="P3268" s="89">
        <v>177378.47</v>
      </c>
      <c r="Q3268" t="s">
        <v>135</v>
      </c>
      <c r="R3268" t="s">
        <v>131</v>
      </c>
    </row>
    <row r="3269" spans="3:18" hidden="1" x14ac:dyDescent="0.25">
      <c r="C3269" t="s">
        <v>45</v>
      </c>
      <c r="D3269" t="s">
        <v>21</v>
      </c>
      <c r="E3269" t="s">
        <v>43</v>
      </c>
      <c r="F3269" t="s">
        <v>41</v>
      </c>
      <c r="G3269" s="89">
        <v>609633</v>
      </c>
      <c r="H3269" t="s">
        <v>140</v>
      </c>
      <c r="I3269" t="s">
        <v>141</v>
      </c>
      <c r="J3269" s="89">
        <v>4877064</v>
      </c>
      <c r="K3269" t="s">
        <v>134</v>
      </c>
      <c r="L3269" t="s">
        <v>128</v>
      </c>
      <c r="N3269">
        <v>1</v>
      </c>
      <c r="O3269" s="89">
        <v>18288.990000000002</v>
      </c>
      <c r="P3269" s="89">
        <v>121926.6</v>
      </c>
      <c r="Q3269" t="s">
        <v>130</v>
      </c>
      <c r="R3269" t="s">
        <v>131</v>
      </c>
    </row>
    <row r="3270" spans="3:18" hidden="1" x14ac:dyDescent="0.25">
      <c r="C3270" t="s">
        <v>45</v>
      </c>
      <c r="D3270" t="s">
        <v>19</v>
      </c>
      <c r="E3270" t="s">
        <v>43</v>
      </c>
      <c r="F3270" t="s">
        <v>41</v>
      </c>
      <c r="G3270" s="89">
        <v>3029139</v>
      </c>
      <c r="H3270" t="s">
        <v>132</v>
      </c>
      <c r="I3270" t="s">
        <v>133</v>
      </c>
      <c r="J3270" s="89">
        <v>99961587</v>
      </c>
      <c r="K3270" t="s">
        <v>127</v>
      </c>
      <c r="L3270" t="s">
        <v>128</v>
      </c>
      <c r="N3270">
        <v>1</v>
      </c>
      <c r="O3270" s="89">
        <v>90874.17</v>
      </c>
      <c r="P3270" s="89">
        <v>2514185.37</v>
      </c>
      <c r="Q3270" t="s">
        <v>135</v>
      </c>
      <c r="R3270" t="s">
        <v>131</v>
      </c>
    </row>
    <row r="3271" spans="3:18" hidden="1" x14ac:dyDescent="0.25">
      <c r="C3271" t="s">
        <v>45</v>
      </c>
      <c r="D3271" t="s">
        <v>149</v>
      </c>
      <c r="E3271" t="s">
        <v>43</v>
      </c>
      <c r="F3271" t="s">
        <v>41</v>
      </c>
      <c r="G3271" s="89">
        <v>261362</v>
      </c>
      <c r="H3271" t="s">
        <v>140</v>
      </c>
      <c r="I3271" t="s">
        <v>133</v>
      </c>
      <c r="J3271" s="89">
        <v>7056774</v>
      </c>
      <c r="K3271" t="s">
        <v>134</v>
      </c>
      <c r="L3271" t="s">
        <v>128</v>
      </c>
      <c r="N3271">
        <v>1</v>
      </c>
      <c r="O3271" s="89">
        <v>7840.86</v>
      </c>
      <c r="P3271" s="89">
        <v>143749.1</v>
      </c>
      <c r="Q3271" t="s">
        <v>142</v>
      </c>
      <c r="R3271" t="s">
        <v>131</v>
      </c>
    </row>
    <row r="3272" spans="3:18" hidden="1" x14ac:dyDescent="0.25">
      <c r="C3272" t="s">
        <v>45</v>
      </c>
      <c r="D3272" t="s">
        <v>20</v>
      </c>
      <c r="E3272" t="s">
        <v>43</v>
      </c>
      <c r="F3272" t="s">
        <v>41</v>
      </c>
      <c r="G3272" s="89">
        <v>262293</v>
      </c>
      <c r="H3272" t="s">
        <v>42</v>
      </c>
      <c r="I3272" t="s">
        <v>133</v>
      </c>
      <c r="J3272" s="89">
        <v>7081911</v>
      </c>
      <c r="K3272" t="s">
        <v>127</v>
      </c>
      <c r="L3272" t="s">
        <v>128</v>
      </c>
      <c r="M3272" t="s">
        <v>136</v>
      </c>
      <c r="N3272">
        <v>1</v>
      </c>
      <c r="O3272" s="89">
        <v>7868.79</v>
      </c>
      <c r="P3272" s="89">
        <v>131146.5</v>
      </c>
      <c r="Q3272" t="s">
        <v>142</v>
      </c>
      <c r="R3272" t="s">
        <v>131</v>
      </c>
    </row>
    <row r="3273" spans="3:18" hidden="1" x14ac:dyDescent="0.25">
      <c r="C3273" t="s">
        <v>45</v>
      </c>
      <c r="D3273" t="s">
        <v>24</v>
      </c>
      <c r="E3273" t="s">
        <v>48</v>
      </c>
      <c r="F3273" t="s">
        <v>41</v>
      </c>
      <c r="G3273" s="89">
        <v>118783</v>
      </c>
      <c r="H3273" t="s">
        <v>132</v>
      </c>
      <c r="I3273" t="s">
        <v>133</v>
      </c>
      <c r="J3273" s="89">
        <v>2969575</v>
      </c>
      <c r="K3273" t="s">
        <v>144</v>
      </c>
      <c r="N3273">
        <v>1</v>
      </c>
      <c r="O3273" s="89">
        <v>3563.49</v>
      </c>
      <c r="P3273" s="89">
        <v>98589.89</v>
      </c>
      <c r="Q3273" t="s">
        <v>135</v>
      </c>
      <c r="R3273" t="s">
        <v>131</v>
      </c>
    </row>
    <row r="3274" spans="3:18" hidden="1" x14ac:dyDescent="0.25">
      <c r="C3274" t="s">
        <v>45</v>
      </c>
      <c r="D3274" t="s">
        <v>149</v>
      </c>
      <c r="E3274" t="s">
        <v>43</v>
      </c>
      <c r="F3274" t="s">
        <v>41</v>
      </c>
      <c r="G3274" s="89">
        <v>69908</v>
      </c>
      <c r="H3274" t="s">
        <v>140</v>
      </c>
      <c r="I3274" t="s">
        <v>126</v>
      </c>
      <c r="J3274" s="89">
        <v>1188436</v>
      </c>
      <c r="K3274" t="s">
        <v>127</v>
      </c>
      <c r="L3274" t="s">
        <v>151</v>
      </c>
      <c r="N3274">
        <v>1</v>
      </c>
      <c r="O3274" s="89">
        <v>2097.2399999999998</v>
      </c>
      <c r="P3274" s="89">
        <v>35653.08</v>
      </c>
      <c r="Q3274" t="s">
        <v>142</v>
      </c>
      <c r="R3274" t="s">
        <v>131</v>
      </c>
    </row>
    <row r="3275" spans="3:18" hidden="1" x14ac:dyDescent="0.25">
      <c r="C3275" t="s">
        <v>45</v>
      </c>
      <c r="D3275" t="s">
        <v>21</v>
      </c>
      <c r="E3275" t="s">
        <v>40</v>
      </c>
      <c r="F3275" t="s">
        <v>41</v>
      </c>
      <c r="G3275" s="89">
        <v>451186</v>
      </c>
      <c r="H3275" t="s">
        <v>42</v>
      </c>
      <c r="I3275" t="s">
        <v>141</v>
      </c>
      <c r="J3275" s="89">
        <v>4060674</v>
      </c>
      <c r="K3275" t="s">
        <v>127</v>
      </c>
      <c r="L3275" t="s">
        <v>128</v>
      </c>
      <c r="M3275" t="s">
        <v>129</v>
      </c>
      <c r="N3275">
        <v>1</v>
      </c>
      <c r="O3275" s="89">
        <v>18047.439999999999</v>
      </c>
      <c r="P3275" s="89">
        <v>216569.28</v>
      </c>
      <c r="Q3275" t="s">
        <v>142</v>
      </c>
      <c r="R3275" t="s">
        <v>42</v>
      </c>
    </row>
    <row r="3276" spans="3:18" x14ac:dyDescent="0.25">
      <c r="C3276" t="s">
        <v>47</v>
      </c>
      <c r="D3276" t="s">
        <v>25</v>
      </c>
      <c r="E3276" t="s">
        <v>48</v>
      </c>
      <c r="F3276" t="s">
        <v>41</v>
      </c>
      <c r="G3276" s="89">
        <v>30204</v>
      </c>
      <c r="H3276" t="s">
        <v>42</v>
      </c>
      <c r="I3276" t="s">
        <v>141</v>
      </c>
      <c r="J3276" s="89">
        <v>181224</v>
      </c>
      <c r="K3276" t="s">
        <v>127</v>
      </c>
      <c r="L3276" t="s">
        <v>128</v>
      </c>
      <c r="M3276" t="s">
        <v>139</v>
      </c>
      <c r="N3276">
        <v>1</v>
      </c>
      <c r="O3276" s="89">
        <v>1510.2</v>
      </c>
      <c r="P3276" s="89">
        <v>8155.08</v>
      </c>
      <c r="Q3276" t="s">
        <v>130</v>
      </c>
      <c r="R3276" t="s">
        <v>131</v>
      </c>
    </row>
    <row r="3277" spans="3:18" hidden="1" x14ac:dyDescent="0.25">
      <c r="C3277" t="s">
        <v>45</v>
      </c>
      <c r="D3277" t="s">
        <v>23</v>
      </c>
      <c r="E3277" t="s">
        <v>43</v>
      </c>
      <c r="F3277" t="s">
        <v>53</v>
      </c>
      <c r="G3277" s="89">
        <v>92586</v>
      </c>
      <c r="H3277" t="s">
        <v>146</v>
      </c>
      <c r="I3277" t="s">
        <v>133</v>
      </c>
      <c r="J3277" s="89">
        <v>2129478</v>
      </c>
      <c r="K3277" t="s">
        <v>144</v>
      </c>
      <c r="N3277">
        <v>1</v>
      </c>
      <c r="O3277" s="89">
        <v>2777.58</v>
      </c>
      <c r="P3277" s="89">
        <v>16665.48</v>
      </c>
      <c r="Q3277" t="s">
        <v>130</v>
      </c>
      <c r="R3277" t="s">
        <v>131</v>
      </c>
    </row>
    <row r="3278" spans="3:18" hidden="1" x14ac:dyDescent="0.25">
      <c r="C3278" t="s">
        <v>45</v>
      </c>
      <c r="D3278" t="s">
        <v>22</v>
      </c>
      <c r="E3278" t="s">
        <v>44</v>
      </c>
      <c r="F3278" t="s">
        <v>53</v>
      </c>
      <c r="G3278" s="89">
        <v>217879</v>
      </c>
      <c r="H3278" t="s">
        <v>42</v>
      </c>
      <c r="I3278" t="s">
        <v>126</v>
      </c>
      <c r="J3278" s="89">
        <v>3486064</v>
      </c>
      <c r="K3278" t="s">
        <v>144</v>
      </c>
      <c r="N3278">
        <v>1</v>
      </c>
      <c r="O3278" s="89">
        <v>6536.37</v>
      </c>
      <c r="P3278" s="89">
        <v>178660.78</v>
      </c>
      <c r="Q3278" t="s">
        <v>135</v>
      </c>
      <c r="R3278" t="s">
        <v>42</v>
      </c>
    </row>
    <row r="3279" spans="3:18" x14ac:dyDescent="0.25">
      <c r="C3279" t="s">
        <v>47</v>
      </c>
      <c r="D3279" t="s">
        <v>25</v>
      </c>
      <c r="E3279" t="s">
        <v>48</v>
      </c>
      <c r="F3279" t="s">
        <v>41</v>
      </c>
      <c r="G3279" s="89">
        <v>82314</v>
      </c>
      <c r="H3279" t="s">
        <v>145</v>
      </c>
      <c r="I3279" t="s">
        <v>141</v>
      </c>
      <c r="J3279" s="89">
        <v>823140</v>
      </c>
      <c r="K3279" t="s">
        <v>127</v>
      </c>
      <c r="L3279" t="s">
        <v>128</v>
      </c>
      <c r="N3279">
        <v>1</v>
      </c>
      <c r="O3279" s="89">
        <v>4115.7</v>
      </c>
      <c r="P3279" s="89">
        <v>52680.959999999999</v>
      </c>
      <c r="Q3279" t="s">
        <v>137</v>
      </c>
      <c r="R3279" t="s">
        <v>131</v>
      </c>
    </row>
    <row r="3280" spans="3:18" hidden="1" x14ac:dyDescent="0.25">
      <c r="C3280" t="s">
        <v>45</v>
      </c>
      <c r="D3280" t="s">
        <v>21</v>
      </c>
      <c r="E3280" t="s">
        <v>43</v>
      </c>
      <c r="F3280" t="s">
        <v>41</v>
      </c>
      <c r="G3280" s="89">
        <v>2400875</v>
      </c>
      <c r="H3280" t="s">
        <v>42</v>
      </c>
      <c r="I3280" t="s">
        <v>126</v>
      </c>
      <c r="J3280" s="89">
        <v>38414000</v>
      </c>
      <c r="K3280" t="s">
        <v>144</v>
      </c>
      <c r="N3280">
        <v>1</v>
      </c>
      <c r="O3280" s="89">
        <v>72026.25</v>
      </c>
      <c r="P3280" s="89">
        <v>1152420</v>
      </c>
      <c r="Q3280" t="s">
        <v>142</v>
      </c>
      <c r="R3280" t="s">
        <v>131</v>
      </c>
    </row>
    <row r="3281" spans="3:18" hidden="1" x14ac:dyDescent="0.25">
      <c r="C3281" t="s">
        <v>45</v>
      </c>
      <c r="D3281" t="s">
        <v>50</v>
      </c>
      <c r="E3281" t="s">
        <v>50</v>
      </c>
      <c r="F3281" t="s">
        <v>41</v>
      </c>
      <c r="G3281" s="89">
        <v>100028</v>
      </c>
      <c r="H3281" t="s">
        <v>51</v>
      </c>
      <c r="I3281" t="s">
        <v>153</v>
      </c>
      <c r="J3281" s="89"/>
      <c r="K3281" t="s">
        <v>127</v>
      </c>
      <c r="N3281">
        <v>0</v>
      </c>
      <c r="O3281" s="89">
        <v>4001.12</v>
      </c>
      <c r="P3281" s="89">
        <v>12003.36</v>
      </c>
      <c r="Q3281" t="s">
        <v>130</v>
      </c>
    </row>
    <row r="3282" spans="3:18" hidden="1" x14ac:dyDescent="0.25">
      <c r="C3282" t="s">
        <v>45</v>
      </c>
      <c r="D3282" t="s">
        <v>24</v>
      </c>
      <c r="E3282" t="s">
        <v>48</v>
      </c>
      <c r="F3282" t="s">
        <v>41</v>
      </c>
      <c r="G3282" s="89">
        <v>785440</v>
      </c>
      <c r="H3282" t="s">
        <v>42</v>
      </c>
      <c r="I3282" t="s">
        <v>133</v>
      </c>
      <c r="J3282" s="89">
        <v>24348640</v>
      </c>
      <c r="K3282" t="s">
        <v>144</v>
      </c>
      <c r="N3282">
        <v>1</v>
      </c>
      <c r="O3282" s="89">
        <v>23563.200000000001</v>
      </c>
      <c r="P3282" s="89">
        <v>243486.4</v>
      </c>
      <c r="Q3282" t="s">
        <v>130</v>
      </c>
      <c r="R3282" t="s">
        <v>42</v>
      </c>
    </row>
    <row r="3283" spans="3:18" x14ac:dyDescent="0.25">
      <c r="C3283" t="s">
        <v>47</v>
      </c>
      <c r="D3283" t="s">
        <v>21</v>
      </c>
      <c r="E3283" t="s">
        <v>40</v>
      </c>
      <c r="F3283" t="s">
        <v>41</v>
      </c>
      <c r="G3283" s="89">
        <v>143437</v>
      </c>
      <c r="H3283" t="s">
        <v>140</v>
      </c>
      <c r="I3283" t="s">
        <v>133</v>
      </c>
      <c r="J3283" s="89">
        <v>3872799</v>
      </c>
      <c r="K3283" t="s">
        <v>127</v>
      </c>
      <c r="L3283" t="s">
        <v>128</v>
      </c>
      <c r="N3283">
        <v>1</v>
      </c>
      <c r="O3283" s="89">
        <v>10040.59</v>
      </c>
      <c r="P3283" s="89">
        <v>169255.66</v>
      </c>
      <c r="Q3283" t="s">
        <v>150</v>
      </c>
      <c r="R3283" t="s">
        <v>131</v>
      </c>
    </row>
    <row r="3284" spans="3:18" hidden="1" x14ac:dyDescent="0.25">
      <c r="C3284" t="s">
        <v>45</v>
      </c>
      <c r="D3284" t="s">
        <v>24</v>
      </c>
      <c r="E3284" t="s">
        <v>48</v>
      </c>
      <c r="F3284" t="s">
        <v>41</v>
      </c>
      <c r="G3284" s="89">
        <v>9884644</v>
      </c>
      <c r="H3284" t="s">
        <v>140</v>
      </c>
      <c r="I3284" t="s">
        <v>133</v>
      </c>
      <c r="J3284" s="89">
        <v>306423964</v>
      </c>
      <c r="K3284" t="s">
        <v>144</v>
      </c>
      <c r="N3284">
        <v>1</v>
      </c>
      <c r="O3284" s="89">
        <v>296539.32</v>
      </c>
      <c r="P3284" s="89">
        <v>6919250.7999999998</v>
      </c>
      <c r="Q3284" t="s">
        <v>137</v>
      </c>
      <c r="R3284" t="s">
        <v>131</v>
      </c>
    </row>
    <row r="3285" spans="3:18" hidden="1" x14ac:dyDescent="0.25">
      <c r="C3285" t="s">
        <v>45</v>
      </c>
      <c r="D3285" t="s">
        <v>149</v>
      </c>
      <c r="E3285" t="s">
        <v>43</v>
      </c>
      <c r="F3285" t="s">
        <v>41</v>
      </c>
      <c r="G3285" s="89">
        <v>683459</v>
      </c>
      <c r="H3285" t="s">
        <v>146</v>
      </c>
      <c r="I3285" t="s">
        <v>126</v>
      </c>
      <c r="J3285" s="89">
        <v>10935344</v>
      </c>
      <c r="K3285" t="s">
        <v>127</v>
      </c>
      <c r="L3285" t="s">
        <v>128</v>
      </c>
      <c r="N3285">
        <v>1</v>
      </c>
      <c r="O3285" s="89">
        <v>27338.36</v>
      </c>
      <c r="P3285" s="89">
        <v>355398.68</v>
      </c>
      <c r="Q3285" t="s">
        <v>142</v>
      </c>
      <c r="R3285" t="s">
        <v>131</v>
      </c>
    </row>
    <row r="3286" spans="3:18" hidden="1" x14ac:dyDescent="0.25">
      <c r="C3286" t="s">
        <v>45</v>
      </c>
      <c r="D3286" t="s">
        <v>24</v>
      </c>
      <c r="E3286" t="s">
        <v>43</v>
      </c>
      <c r="F3286" t="s">
        <v>41</v>
      </c>
      <c r="G3286" s="89">
        <v>44435</v>
      </c>
      <c r="H3286" t="s">
        <v>42</v>
      </c>
      <c r="I3286" t="s">
        <v>126</v>
      </c>
      <c r="J3286" s="89">
        <v>710960</v>
      </c>
      <c r="K3286" t="s">
        <v>127</v>
      </c>
      <c r="L3286" t="s">
        <v>128</v>
      </c>
      <c r="M3286" t="s">
        <v>148</v>
      </c>
      <c r="N3286">
        <v>1</v>
      </c>
      <c r="O3286" s="89">
        <v>1333.05</v>
      </c>
      <c r="P3286" s="89">
        <v>25327.95</v>
      </c>
      <c r="Q3286" t="s">
        <v>142</v>
      </c>
      <c r="R3286" t="s">
        <v>42</v>
      </c>
    </row>
    <row r="3287" spans="3:18" x14ac:dyDescent="0.25">
      <c r="C3287" t="s">
        <v>47</v>
      </c>
      <c r="D3287" t="s">
        <v>22</v>
      </c>
      <c r="E3287" t="s">
        <v>43</v>
      </c>
      <c r="F3287" t="s">
        <v>41</v>
      </c>
      <c r="G3287" s="89">
        <v>490596</v>
      </c>
      <c r="H3287" t="s">
        <v>140</v>
      </c>
      <c r="I3287" t="s">
        <v>147</v>
      </c>
      <c r="J3287" s="89">
        <v>1471788</v>
      </c>
      <c r="K3287" t="s">
        <v>127</v>
      </c>
      <c r="L3287" t="s">
        <v>128</v>
      </c>
      <c r="N3287">
        <v>1</v>
      </c>
      <c r="O3287" s="89">
        <v>24529.8</v>
      </c>
      <c r="P3287" s="89">
        <v>83401.320000000007</v>
      </c>
      <c r="Q3287" t="s">
        <v>130</v>
      </c>
      <c r="R3287" t="s">
        <v>131</v>
      </c>
    </row>
    <row r="3288" spans="3:18" hidden="1" x14ac:dyDescent="0.25">
      <c r="C3288" t="s">
        <v>45</v>
      </c>
      <c r="D3288" t="s">
        <v>138</v>
      </c>
      <c r="E3288" t="s">
        <v>43</v>
      </c>
      <c r="F3288" t="s">
        <v>41</v>
      </c>
      <c r="G3288" s="89">
        <v>2441922</v>
      </c>
      <c r="H3288" t="s">
        <v>145</v>
      </c>
      <c r="I3288" t="s">
        <v>133</v>
      </c>
      <c r="J3288" s="89">
        <v>70815738</v>
      </c>
      <c r="K3288" t="s">
        <v>144</v>
      </c>
      <c r="N3288">
        <v>1</v>
      </c>
      <c r="O3288" s="89">
        <v>73257.66</v>
      </c>
      <c r="P3288" s="89">
        <v>1196541.78</v>
      </c>
      <c r="Q3288" t="s">
        <v>142</v>
      </c>
      <c r="R3288" t="s">
        <v>131</v>
      </c>
    </row>
    <row r="3289" spans="3:18" hidden="1" x14ac:dyDescent="0.25">
      <c r="C3289" t="s">
        <v>45</v>
      </c>
      <c r="D3289" t="s">
        <v>22</v>
      </c>
      <c r="E3289" t="s">
        <v>40</v>
      </c>
      <c r="F3289" t="s">
        <v>41</v>
      </c>
      <c r="G3289" s="89">
        <v>182138</v>
      </c>
      <c r="H3289" t="s">
        <v>42</v>
      </c>
      <c r="I3289" t="s">
        <v>133</v>
      </c>
      <c r="J3289" s="89">
        <v>4371312</v>
      </c>
      <c r="K3289" t="s">
        <v>127</v>
      </c>
      <c r="L3289" t="s">
        <v>151</v>
      </c>
      <c r="M3289" t="s">
        <v>156</v>
      </c>
      <c r="N3289">
        <v>1</v>
      </c>
      <c r="O3289" s="89">
        <v>5464.14</v>
      </c>
      <c r="P3289" s="89">
        <v>96533.14</v>
      </c>
      <c r="Q3289" t="s">
        <v>142</v>
      </c>
      <c r="R3289" t="s">
        <v>131</v>
      </c>
    </row>
    <row r="3290" spans="3:18" x14ac:dyDescent="0.25">
      <c r="C3290" t="s">
        <v>47</v>
      </c>
      <c r="D3290" t="s">
        <v>149</v>
      </c>
      <c r="E3290" t="s">
        <v>43</v>
      </c>
      <c r="F3290" t="s">
        <v>41</v>
      </c>
      <c r="G3290" s="89">
        <v>1585</v>
      </c>
      <c r="H3290" t="s">
        <v>140</v>
      </c>
      <c r="I3290" t="s">
        <v>126</v>
      </c>
      <c r="J3290" s="89">
        <v>28530</v>
      </c>
      <c r="K3290" t="s">
        <v>127</v>
      </c>
      <c r="L3290" t="s">
        <v>128</v>
      </c>
      <c r="N3290">
        <v>1</v>
      </c>
      <c r="O3290" s="89">
        <v>79.25</v>
      </c>
      <c r="P3290" s="89">
        <v>998.55</v>
      </c>
      <c r="Q3290" t="s">
        <v>137</v>
      </c>
      <c r="R3290" t="s">
        <v>131</v>
      </c>
    </row>
    <row r="3291" spans="3:18" hidden="1" x14ac:dyDescent="0.25">
      <c r="C3291" t="s">
        <v>45</v>
      </c>
      <c r="D3291" t="s">
        <v>22</v>
      </c>
      <c r="E3291" t="s">
        <v>40</v>
      </c>
      <c r="F3291" t="s">
        <v>41</v>
      </c>
      <c r="G3291" s="89">
        <v>9472080</v>
      </c>
      <c r="H3291" t="s">
        <v>42</v>
      </c>
      <c r="I3291" t="s">
        <v>133</v>
      </c>
      <c r="J3291" s="89">
        <v>284162400</v>
      </c>
      <c r="K3291" t="s">
        <v>144</v>
      </c>
      <c r="N3291">
        <v>1</v>
      </c>
      <c r="O3291" s="89">
        <v>284162.40000000002</v>
      </c>
      <c r="P3291" s="89">
        <v>2746903.2</v>
      </c>
      <c r="Q3291" t="s">
        <v>130</v>
      </c>
      <c r="R3291" t="s">
        <v>131</v>
      </c>
    </row>
    <row r="3292" spans="3:18" hidden="1" x14ac:dyDescent="0.25">
      <c r="C3292" t="s">
        <v>45</v>
      </c>
      <c r="D3292" t="s">
        <v>24</v>
      </c>
      <c r="E3292" t="s">
        <v>48</v>
      </c>
      <c r="F3292" t="s">
        <v>41</v>
      </c>
      <c r="G3292" s="89">
        <v>125149388</v>
      </c>
      <c r="H3292" t="s">
        <v>140</v>
      </c>
      <c r="I3292" t="s">
        <v>133</v>
      </c>
      <c r="J3292" s="89">
        <v>3253884088</v>
      </c>
      <c r="K3292" t="s">
        <v>127</v>
      </c>
      <c r="L3292" t="s">
        <v>128</v>
      </c>
      <c r="N3292">
        <v>1</v>
      </c>
      <c r="O3292" s="89">
        <v>3754481.64</v>
      </c>
      <c r="P3292" s="89">
        <v>63826187.880000003</v>
      </c>
      <c r="Q3292" t="s">
        <v>142</v>
      </c>
      <c r="R3292" t="s">
        <v>131</v>
      </c>
    </row>
    <row r="3293" spans="3:18" hidden="1" x14ac:dyDescent="0.25">
      <c r="C3293" t="s">
        <v>45</v>
      </c>
      <c r="D3293" t="s">
        <v>23</v>
      </c>
      <c r="E3293" t="s">
        <v>48</v>
      </c>
      <c r="F3293" t="s">
        <v>41</v>
      </c>
      <c r="G3293" s="89">
        <v>4222283</v>
      </c>
      <c r="H3293" t="s">
        <v>145</v>
      </c>
      <c r="I3293" t="s">
        <v>126</v>
      </c>
      <c r="J3293" s="89">
        <v>67556528</v>
      </c>
      <c r="K3293" t="s">
        <v>127</v>
      </c>
      <c r="L3293" t="s">
        <v>128</v>
      </c>
      <c r="N3293">
        <v>1</v>
      </c>
      <c r="O3293" s="89">
        <v>126668.49</v>
      </c>
      <c r="P3293" s="89">
        <v>2111141.5</v>
      </c>
      <c r="Q3293" t="s">
        <v>142</v>
      </c>
      <c r="R3293" t="s">
        <v>131</v>
      </c>
    </row>
    <row r="3294" spans="3:18" hidden="1" x14ac:dyDescent="0.25">
      <c r="C3294" t="s">
        <v>45</v>
      </c>
      <c r="D3294" t="s">
        <v>23</v>
      </c>
      <c r="E3294" t="s">
        <v>40</v>
      </c>
      <c r="F3294" t="s">
        <v>41</v>
      </c>
      <c r="G3294" s="89">
        <v>197875</v>
      </c>
      <c r="H3294" t="s">
        <v>145</v>
      </c>
      <c r="I3294" t="s">
        <v>133</v>
      </c>
      <c r="J3294" s="89">
        <v>5342625</v>
      </c>
      <c r="K3294" t="s">
        <v>134</v>
      </c>
      <c r="L3294" t="s">
        <v>128</v>
      </c>
      <c r="N3294">
        <v>1</v>
      </c>
      <c r="O3294" s="89">
        <v>5936.25</v>
      </c>
      <c r="P3294" s="89">
        <v>59362.5</v>
      </c>
      <c r="Q3294" t="s">
        <v>130</v>
      </c>
      <c r="R3294" t="s">
        <v>131</v>
      </c>
    </row>
    <row r="3295" spans="3:18" hidden="1" x14ac:dyDescent="0.25">
      <c r="C3295" t="s">
        <v>45</v>
      </c>
      <c r="D3295" t="s">
        <v>23</v>
      </c>
      <c r="E3295" t="s">
        <v>43</v>
      </c>
      <c r="F3295" t="s">
        <v>41</v>
      </c>
      <c r="G3295" s="89">
        <v>25330125</v>
      </c>
      <c r="H3295" t="s">
        <v>42</v>
      </c>
      <c r="I3295" t="s">
        <v>133</v>
      </c>
      <c r="J3295" s="89">
        <v>759903750</v>
      </c>
      <c r="K3295" t="s">
        <v>127</v>
      </c>
      <c r="L3295" t="s">
        <v>128</v>
      </c>
      <c r="M3295" t="s">
        <v>152</v>
      </c>
      <c r="N3295">
        <v>1</v>
      </c>
      <c r="O3295" s="89">
        <v>759903.75</v>
      </c>
      <c r="P3295" s="89">
        <v>13171665</v>
      </c>
      <c r="Q3295" t="s">
        <v>142</v>
      </c>
      <c r="R3295" t="s">
        <v>131</v>
      </c>
    </row>
    <row r="3296" spans="3:18" hidden="1" x14ac:dyDescent="0.25">
      <c r="C3296" t="s">
        <v>45</v>
      </c>
      <c r="D3296" t="s">
        <v>21</v>
      </c>
      <c r="E3296" t="s">
        <v>43</v>
      </c>
      <c r="F3296" t="s">
        <v>41</v>
      </c>
      <c r="G3296" s="89">
        <v>31858912</v>
      </c>
      <c r="H3296" t="s">
        <v>42</v>
      </c>
      <c r="I3296" t="s">
        <v>133</v>
      </c>
      <c r="J3296" s="89">
        <v>1019485184</v>
      </c>
      <c r="K3296" t="s">
        <v>144</v>
      </c>
      <c r="N3296">
        <v>1</v>
      </c>
      <c r="O3296" s="89">
        <v>955767.36</v>
      </c>
      <c r="P3296" s="89">
        <v>22301238.399999999</v>
      </c>
      <c r="Q3296" t="s">
        <v>137</v>
      </c>
      <c r="R3296" t="s">
        <v>131</v>
      </c>
    </row>
    <row r="3297" spans="3:18" hidden="1" x14ac:dyDescent="0.25">
      <c r="C3297" t="s">
        <v>45</v>
      </c>
      <c r="D3297" t="s">
        <v>21</v>
      </c>
      <c r="E3297" t="s">
        <v>40</v>
      </c>
      <c r="F3297" t="s">
        <v>41</v>
      </c>
      <c r="G3297" s="89">
        <v>1002660</v>
      </c>
      <c r="H3297" t="s">
        <v>140</v>
      </c>
      <c r="I3297" t="s">
        <v>147</v>
      </c>
      <c r="J3297" s="89">
        <v>2005320</v>
      </c>
      <c r="K3297" t="s">
        <v>144</v>
      </c>
      <c r="N3297">
        <v>1</v>
      </c>
      <c r="O3297" s="89">
        <v>40106.400000000001</v>
      </c>
      <c r="P3297" s="89">
        <v>60159.6</v>
      </c>
      <c r="Q3297" t="s">
        <v>130</v>
      </c>
      <c r="R3297" t="s">
        <v>131</v>
      </c>
    </row>
    <row r="3298" spans="3:18" hidden="1" x14ac:dyDescent="0.25">
      <c r="C3298" t="s">
        <v>45</v>
      </c>
      <c r="D3298" t="s">
        <v>24</v>
      </c>
      <c r="E3298" t="s">
        <v>40</v>
      </c>
      <c r="F3298" t="s">
        <v>41</v>
      </c>
      <c r="G3298" s="89">
        <v>1318476</v>
      </c>
      <c r="H3298" t="s">
        <v>42</v>
      </c>
      <c r="I3298" t="s">
        <v>141</v>
      </c>
      <c r="J3298" s="89">
        <v>10547808</v>
      </c>
      <c r="K3298" t="s">
        <v>127</v>
      </c>
      <c r="L3298" t="s">
        <v>128</v>
      </c>
      <c r="M3298" t="s">
        <v>148</v>
      </c>
      <c r="N3298">
        <v>1</v>
      </c>
      <c r="O3298" s="89">
        <v>39554.28</v>
      </c>
      <c r="P3298" s="89">
        <v>303249.48</v>
      </c>
      <c r="Q3298" t="s">
        <v>130</v>
      </c>
      <c r="R3298" t="s">
        <v>131</v>
      </c>
    </row>
    <row r="3299" spans="3:18" hidden="1" x14ac:dyDescent="0.25">
      <c r="C3299" t="s">
        <v>45</v>
      </c>
      <c r="D3299" t="s">
        <v>23</v>
      </c>
      <c r="E3299" t="s">
        <v>48</v>
      </c>
      <c r="F3299" t="s">
        <v>41</v>
      </c>
      <c r="G3299" s="89">
        <v>280476</v>
      </c>
      <c r="H3299" t="s">
        <v>42</v>
      </c>
      <c r="I3299" t="s">
        <v>133</v>
      </c>
      <c r="J3299" s="89">
        <v>6731424</v>
      </c>
      <c r="K3299" t="s">
        <v>127</v>
      </c>
      <c r="L3299" t="s">
        <v>128</v>
      </c>
      <c r="M3299" t="s">
        <v>129</v>
      </c>
      <c r="N3299">
        <v>1</v>
      </c>
      <c r="O3299" s="89">
        <v>8414.2800000000007</v>
      </c>
      <c r="P3299" s="89">
        <v>232795.08</v>
      </c>
      <c r="Q3299" t="s">
        <v>135</v>
      </c>
      <c r="R3299" t="s">
        <v>131</v>
      </c>
    </row>
    <row r="3300" spans="3:18" hidden="1" x14ac:dyDescent="0.25">
      <c r="C3300" t="s">
        <v>39</v>
      </c>
      <c r="D3300" t="s">
        <v>23</v>
      </c>
      <c r="E3300" t="s">
        <v>40</v>
      </c>
      <c r="F3300" t="s">
        <v>41</v>
      </c>
      <c r="G3300" s="89">
        <v>107265</v>
      </c>
      <c r="H3300" t="s">
        <v>132</v>
      </c>
      <c r="I3300" t="s">
        <v>133</v>
      </c>
      <c r="J3300" s="89"/>
      <c r="N3300">
        <v>0</v>
      </c>
      <c r="O3300" s="89"/>
      <c r="P3300" s="89"/>
      <c r="R3300" t="s">
        <v>131</v>
      </c>
    </row>
    <row r="3301" spans="3:18" hidden="1" x14ac:dyDescent="0.25">
      <c r="C3301" t="s">
        <v>45</v>
      </c>
      <c r="D3301" t="s">
        <v>138</v>
      </c>
      <c r="E3301" t="s">
        <v>43</v>
      </c>
      <c r="F3301" t="s">
        <v>41</v>
      </c>
      <c r="G3301" s="89">
        <v>6719</v>
      </c>
      <c r="H3301" t="s">
        <v>42</v>
      </c>
      <c r="I3301" t="s">
        <v>147</v>
      </c>
      <c r="J3301" s="89">
        <v>6719</v>
      </c>
      <c r="K3301" t="s">
        <v>127</v>
      </c>
      <c r="L3301" t="s">
        <v>128</v>
      </c>
      <c r="M3301" t="s">
        <v>148</v>
      </c>
      <c r="N3301">
        <v>1</v>
      </c>
      <c r="O3301" s="89">
        <v>335.95</v>
      </c>
      <c r="P3301" s="89">
        <v>470.33</v>
      </c>
      <c r="Q3301" t="s">
        <v>130</v>
      </c>
      <c r="R3301" t="s">
        <v>42</v>
      </c>
    </row>
    <row r="3302" spans="3:18" hidden="1" x14ac:dyDescent="0.25">
      <c r="C3302" t="s">
        <v>45</v>
      </c>
      <c r="D3302" t="s">
        <v>23</v>
      </c>
      <c r="E3302" t="s">
        <v>43</v>
      </c>
      <c r="F3302" t="s">
        <v>41</v>
      </c>
      <c r="G3302" s="89">
        <v>55271</v>
      </c>
      <c r="H3302" t="s">
        <v>42</v>
      </c>
      <c r="I3302" t="s">
        <v>126</v>
      </c>
      <c r="J3302" s="89">
        <v>994878</v>
      </c>
      <c r="K3302" t="s">
        <v>127</v>
      </c>
      <c r="L3302" t="s">
        <v>128</v>
      </c>
      <c r="M3302" t="s">
        <v>152</v>
      </c>
      <c r="N3302">
        <v>1</v>
      </c>
      <c r="O3302" s="89">
        <v>2210.84</v>
      </c>
      <c r="P3302" s="89">
        <v>35926.15</v>
      </c>
      <c r="Q3302" t="s">
        <v>137</v>
      </c>
      <c r="R3302" t="s">
        <v>42</v>
      </c>
    </row>
    <row r="3303" spans="3:18" x14ac:dyDescent="0.25">
      <c r="C3303" t="s">
        <v>47</v>
      </c>
      <c r="D3303" t="s">
        <v>22</v>
      </c>
      <c r="E3303" t="s">
        <v>43</v>
      </c>
      <c r="F3303" t="s">
        <v>41</v>
      </c>
      <c r="G3303" s="89">
        <v>4442</v>
      </c>
      <c r="H3303" t="s">
        <v>140</v>
      </c>
      <c r="I3303" t="s">
        <v>141</v>
      </c>
      <c r="J3303" s="89">
        <v>39978</v>
      </c>
      <c r="K3303" t="s">
        <v>127</v>
      </c>
      <c r="L3303" t="s">
        <v>128</v>
      </c>
      <c r="N3303">
        <v>1</v>
      </c>
      <c r="O3303" s="89">
        <v>133.26</v>
      </c>
      <c r="P3303" s="89">
        <v>1954.48</v>
      </c>
      <c r="Q3303" t="s">
        <v>142</v>
      </c>
      <c r="R3303" t="s">
        <v>131</v>
      </c>
    </row>
    <row r="3304" spans="3:18" x14ac:dyDescent="0.25">
      <c r="C3304" t="s">
        <v>47</v>
      </c>
      <c r="D3304" t="s">
        <v>23</v>
      </c>
      <c r="E3304" t="s">
        <v>40</v>
      </c>
      <c r="F3304" t="s">
        <v>41</v>
      </c>
      <c r="G3304" s="89">
        <v>29062</v>
      </c>
      <c r="H3304" t="s">
        <v>145</v>
      </c>
      <c r="I3304" t="s">
        <v>147</v>
      </c>
      <c r="J3304" s="89">
        <v>58124</v>
      </c>
      <c r="K3304" t="s">
        <v>127</v>
      </c>
      <c r="L3304" t="s">
        <v>128</v>
      </c>
      <c r="N3304">
        <v>1</v>
      </c>
      <c r="O3304" s="89">
        <v>1162.48</v>
      </c>
      <c r="P3304" s="89">
        <v>11915.42</v>
      </c>
      <c r="Q3304" t="s">
        <v>142</v>
      </c>
      <c r="R3304" t="s">
        <v>131</v>
      </c>
    </row>
    <row r="3305" spans="3:18" hidden="1" x14ac:dyDescent="0.25">
      <c r="C3305" t="s">
        <v>45</v>
      </c>
      <c r="D3305" t="s">
        <v>24</v>
      </c>
      <c r="E3305" t="s">
        <v>48</v>
      </c>
      <c r="F3305" t="s">
        <v>53</v>
      </c>
      <c r="G3305" s="89">
        <v>248719</v>
      </c>
      <c r="H3305" t="s">
        <v>140</v>
      </c>
      <c r="I3305" t="s">
        <v>133</v>
      </c>
      <c r="J3305" s="89">
        <v>7212851</v>
      </c>
      <c r="K3305" t="s">
        <v>144</v>
      </c>
      <c r="N3305">
        <v>1</v>
      </c>
      <c r="O3305" s="89">
        <v>7461.57</v>
      </c>
      <c r="P3305" s="89">
        <v>39795.040000000001</v>
      </c>
      <c r="Q3305" t="s">
        <v>130</v>
      </c>
      <c r="R3305" t="s">
        <v>131</v>
      </c>
    </row>
    <row r="3306" spans="3:18" hidden="1" x14ac:dyDescent="0.25">
      <c r="C3306" t="s">
        <v>45</v>
      </c>
      <c r="D3306" t="s">
        <v>24</v>
      </c>
      <c r="E3306" t="s">
        <v>44</v>
      </c>
      <c r="F3306" t="s">
        <v>41</v>
      </c>
      <c r="G3306" s="89">
        <v>2051611</v>
      </c>
      <c r="H3306" t="s">
        <v>42</v>
      </c>
      <c r="I3306" t="s">
        <v>126</v>
      </c>
      <c r="J3306" s="89">
        <v>30774165</v>
      </c>
      <c r="K3306" t="s">
        <v>127</v>
      </c>
      <c r="L3306" t="s">
        <v>128</v>
      </c>
      <c r="M3306" t="s">
        <v>148</v>
      </c>
      <c r="N3306">
        <v>1</v>
      </c>
      <c r="O3306" s="89">
        <v>61548.33</v>
      </c>
      <c r="P3306" s="89">
        <v>1395095.48</v>
      </c>
      <c r="Q3306" t="s">
        <v>137</v>
      </c>
      <c r="R3306" t="s">
        <v>131</v>
      </c>
    </row>
    <row r="3307" spans="3:18" hidden="1" x14ac:dyDescent="0.25">
      <c r="C3307" t="s">
        <v>45</v>
      </c>
      <c r="D3307" t="s">
        <v>22</v>
      </c>
      <c r="E3307" t="s">
        <v>48</v>
      </c>
      <c r="F3307" t="s">
        <v>41</v>
      </c>
      <c r="G3307" s="89">
        <v>1241290</v>
      </c>
      <c r="H3307" t="s">
        <v>42</v>
      </c>
      <c r="I3307" t="s">
        <v>141</v>
      </c>
      <c r="J3307" s="89">
        <v>11171610</v>
      </c>
      <c r="K3307" t="s">
        <v>127</v>
      </c>
      <c r="L3307" t="s">
        <v>128</v>
      </c>
      <c r="M3307" t="s">
        <v>143</v>
      </c>
      <c r="N3307">
        <v>1</v>
      </c>
      <c r="O3307" s="89">
        <v>49651.6</v>
      </c>
      <c r="P3307" s="89">
        <v>633057.9</v>
      </c>
      <c r="Q3307" t="s">
        <v>142</v>
      </c>
      <c r="R3307" t="s">
        <v>42</v>
      </c>
    </row>
    <row r="3308" spans="3:18" hidden="1" x14ac:dyDescent="0.25">
      <c r="C3308" t="s">
        <v>45</v>
      </c>
      <c r="D3308" t="s">
        <v>23</v>
      </c>
      <c r="E3308" t="s">
        <v>43</v>
      </c>
      <c r="F3308" t="s">
        <v>41</v>
      </c>
      <c r="G3308" s="89">
        <v>105661</v>
      </c>
      <c r="H3308" t="s">
        <v>145</v>
      </c>
      <c r="I3308" t="s">
        <v>126</v>
      </c>
      <c r="J3308" s="89">
        <v>2007559</v>
      </c>
      <c r="K3308" t="s">
        <v>127</v>
      </c>
      <c r="L3308" t="s">
        <v>128</v>
      </c>
      <c r="N3308">
        <v>1</v>
      </c>
      <c r="O3308" s="89">
        <v>3169.83</v>
      </c>
      <c r="P3308" s="89">
        <v>72906.09</v>
      </c>
      <c r="Q3308" t="s">
        <v>137</v>
      </c>
      <c r="R3308" t="s">
        <v>131</v>
      </c>
    </row>
    <row r="3309" spans="3:18" hidden="1" x14ac:dyDescent="0.25">
      <c r="C3309" t="s">
        <v>45</v>
      </c>
      <c r="D3309" t="s">
        <v>24</v>
      </c>
      <c r="E3309" t="s">
        <v>48</v>
      </c>
      <c r="F3309" t="s">
        <v>41</v>
      </c>
      <c r="G3309" s="89">
        <v>11754</v>
      </c>
      <c r="H3309" t="s">
        <v>140</v>
      </c>
      <c r="I3309" t="s">
        <v>141</v>
      </c>
      <c r="J3309" s="89">
        <v>82278</v>
      </c>
      <c r="K3309" t="s">
        <v>127</v>
      </c>
      <c r="L3309" t="s">
        <v>151</v>
      </c>
      <c r="N3309">
        <v>1</v>
      </c>
      <c r="O3309" s="89">
        <v>117.54</v>
      </c>
      <c r="P3309" s="89">
        <v>352.62</v>
      </c>
      <c r="Q3309" t="s">
        <v>130</v>
      </c>
      <c r="R3309" t="s">
        <v>131</v>
      </c>
    </row>
    <row r="3310" spans="3:18" hidden="1" x14ac:dyDescent="0.25">
      <c r="C3310" t="s">
        <v>45</v>
      </c>
      <c r="D3310" t="s">
        <v>138</v>
      </c>
      <c r="E3310" t="s">
        <v>43</v>
      </c>
      <c r="F3310" t="s">
        <v>53</v>
      </c>
      <c r="G3310" s="89">
        <v>37338</v>
      </c>
      <c r="H3310" t="s">
        <v>145</v>
      </c>
      <c r="I3310" t="s">
        <v>141</v>
      </c>
      <c r="J3310" s="89">
        <v>261366</v>
      </c>
      <c r="K3310" t="s">
        <v>127</v>
      </c>
      <c r="L3310" t="s">
        <v>128</v>
      </c>
      <c r="N3310">
        <v>1</v>
      </c>
      <c r="O3310" s="89">
        <v>1120.1400000000001</v>
      </c>
      <c r="P3310" s="89">
        <v>4107.18</v>
      </c>
      <c r="Q3310" t="s">
        <v>130</v>
      </c>
      <c r="R3310" t="s">
        <v>131</v>
      </c>
    </row>
    <row r="3311" spans="3:18" hidden="1" x14ac:dyDescent="0.25">
      <c r="C3311" t="s">
        <v>45</v>
      </c>
      <c r="D3311" t="s">
        <v>19</v>
      </c>
      <c r="E3311" t="s">
        <v>40</v>
      </c>
      <c r="F3311" t="s">
        <v>41</v>
      </c>
      <c r="G3311" s="89">
        <v>2020514</v>
      </c>
      <c r="H3311" t="s">
        <v>42</v>
      </c>
      <c r="I3311" t="s">
        <v>133</v>
      </c>
      <c r="J3311" s="89">
        <v>70717990</v>
      </c>
      <c r="K3311" t="s">
        <v>127</v>
      </c>
      <c r="L3311" t="s">
        <v>128</v>
      </c>
      <c r="M3311" t="s">
        <v>136</v>
      </c>
      <c r="N3311">
        <v>1</v>
      </c>
      <c r="O3311" s="89">
        <v>60615.42</v>
      </c>
      <c r="P3311" s="89">
        <v>1677026.62</v>
      </c>
      <c r="Q3311" t="s">
        <v>135</v>
      </c>
      <c r="R3311" t="s">
        <v>131</v>
      </c>
    </row>
    <row r="3312" spans="3:18" x14ac:dyDescent="0.25">
      <c r="C3312" t="s">
        <v>47</v>
      </c>
      <c r="D3312" t="s">
        <v>22</v>
      </c>
      <c r="E3312" t="s">
        <v>40</v>
      </c>
      <c r="F3312" t="s">
        <v>41</v>
      </c>
      <c r="G3312" s="89">
        <v>368180</v>
      </c>
      <c r="H3312" t="s">
        <v>42</v>
      </c>
      <c r="I3312" t="s">
        <v>141</v>
      </c>
      <c r="J3312" s="89">
        <v>2945440</v>
      </c>
      <c r="K3312" t="s">
        <v>127</v>
      </c>
      <c r="L3312" t="s">
        <v>128</v>
      </c>
      <c r="M3312" t="s">
        <v>143</v>
      </c>
      <c r="N3312">
        <v>1</v>
      </c>
      <c r="O3312" s="89">
        <v>14727.2</v>
      </c>
      <c r="P3312" s="89">
        <v>117817.60000000001</v>
      </c>
      <c r="Q3312" t="s">
        <v>130</v>
      </c>
      <c r="R3312" t="s">
        <v>131</v>
      </c>
    </row>
    <row r="3313" spans="3:18" hidden="1" x14ac:dyDescent="0.25">
      <c r="C3313" t="s">
        <v>45</v>
      </c>
      <c r="D3313" t="s">
        <v>22</v>
      </c>
      <c r="E3313" t="s">
        <v>40</v>
      </c>
      <c r="F3313" t="s">
        <v>41</v>
      </c>
      <c r="G3313" s="89">
        <v>84221</v>
      </c>
      <c r="H3313" t="s">
        <v>145</v>
      </c>
      <c r="I3313" t="s">
        <v>153</v>
      </c>
      <c r="J3313" s="89"/>
      <c r="K3313" t="s">
        <v>127</v>
      </c>
      <c r="L3313" t="s">
        <v>128</v>
      </c>
      <c r="N3313">
        <v>0</v>
      </c>
      <c r="O3313" s="89">
        <v>4211.05</v>
      </c>
      <c r="P3313" s="89">
        <v>22739.67</v>
      </c>
      <c r="Q3313" t="s">
        <v>130</v>
      </c>
      <c r="R3313" t="s">
        <v>131</v>
      </c>
    </row>
    <row r="3314" spans="3:18" hidden="1" x14ac:dyDescent="0.25">
      <c r="C3314" t="s">
        <v>45</v>
      </c>
      <c r="D3314" t="s">
        <v>20</v>
      </c>
      <c r="E3314" t="s">
        <v>43</v>
      </c>
      <c r="F3314" t="s">
        <v>41</v>
      </c>
      <c r="G3314" s="89">
        <v>98797</v>
      </c>
      <c r="H3314" t="s">
        <v>146</v>
      </c>
      <c r="I3314" t="s">
        <v>141</v>
      </c>
      <c r="J3314" s="89">
        <v>987970</v>
      </c>
      <c r="K3314" t="s">
        <v>144</v>
      </c>
      <c r="N3314">
        <v>1</v>
      </c>
      <c r="O3314" s="89">
        <v>3951.88</v>
      </c>
      <c r="P3314" s="89">
        <v>36554.89</v>
      </c>
      <c r="Q3314" t="s">
        <v>130</v>
      </c>
      <c r="R3314" t="s">
        <v>131</v>
      </c>
    </row>
    <row r="3315" spans="3:18" hidden="1" x14ac:dyDescent="0.25">
      <c r="C3315" t="s">
        <v>45</v>
      </c>
      <c r="D3315" t="s">
        <v>21</v>
      </c>
      <c r="E3315" t="s">
        <v>43</v>
      </c>
      <c r="F3315" t="s">
        <v>41</v>
      </c>
      <c r="G3315" s="89">
        <v>1500247</v>
      </c>
      <c r="H3315" t="s">
        <v>145</v>
      </c>
      <c r="I3315" t="s">
        <v>126</v>
      </c>
      <c r="J3315" s="89">
        <v>22503705</v>
      </c>
      <c r="K3315" t="s">
        <v>144</v>
      </c>
      <c r="N3315">
        <v>1</v>
      </c>
      <c r="O3315" s="89">
        <v>45007.41</v>
      </c>
      <c r="P3315" s="89">
        <v>1035170.43</v>
      </c>
      <c r="Q3315" t="s">
        <v>137</v>
      </c>
      <c r="R3315" t="s">
        <v>131</v>
      </c>
    </row>
    <row r="3316" spans="3:18" hidden="1" x14ac:dyDescent="0.25">
      <c r="C3316" t="s">
        <v>45</v>
      </c>
      <c r="D3316" t="s">
        <v>22</v>
      </c>
      <c r="E3316" t="s">
        <v>40</v>
      </c>
      <c r="F3316" t="s">
        <v>41</v>
      </c>
      <c r="G3316" s="89">
        <v>2860675</v>
      </c>
      <c r="H3316" t="s">
        <v>145</v>
      </c>
      <c r="I3316" t="s">
        <v>126</v>
      </c>
      <c r="J3316" s="89">
        <v>45770800</v>
      </c>
      <c r="K3316" t="s">
        <v>144</v>
      </c>
      <c r="N3316">
        <v>1</v>
      </c>
      <c r="O3316" s="89">
        <v>85820.25</v>
      </c>
      <c r="P3316" s="89">
        <v>800989</v>
      </c>
      <c r="Q3316" t="s">
        <v>130</v>
      </c>
      <c r="R3316" t="s">
        <v>131</v>
      </c>
    </row>
    <row r="3317" spans="3:18" hidden="1" x14ac:dyDescent="0.25">
      <c r="C3317" t="s">
        <v>45</v>
      </c>
      <c r="D3317" t="s">
        <v>138</v>
      </c>
      <c r="E3317" t="s">
        <v>43</v>
      </c>
      <c r="F3317" t="s">
        <v>41</v>
      </c>
      <c r="G3317" s="89">
        <v>42171</v>
      </c>
      <c r="H3317" t="s">
        <v>140</v>
      </c>
      <c r="I3317" t="s">
        <v>126</v>
      </c>
      <c r="J3317" s="89">
        <v>590394</v>
      </c>
      <c r="K3317" t="s">
        <v>134</v>
      </c>
      <c r="L3317" t="s">
        <v>128</v>
      </c>
      <c r="N3317">
        <v>1</v>
      </c>
      <c r="O3317" s="89">
        <v>1265.1300000000001</v>
      </c>
      <c r="P3317" s="89">
        <v>6747.36</v>
      </c>
      <c r="Q3317" t="s">
        <v>130</v>
      </c>
      <c r="R3317" t="s">
        <v>131</v>
      </c>
    </row>
    <row r="3318" spans="3:18" x14ac:dyDescent="0.25">
      <c r="C3318" t="s">
        <v>47</v>
      </c>
      <c r="D3318" t="s">
        <v>24</v>
      </c>
      <c r="E3318" t="s">
        <v>40</v>
      </c>
      <c r="F3318" t="s">
        <v>41</v>
      </c>
      <c r="G3318" s="89">
        <v>190465</v>
      </c>
      <c r="H3318" t="s">
        <v>140</v>
      </c>
      <c r="I3318" t="s">
        <v>126</v>
      </c>
      <c r="J3318" s="89">
        <v>2666510</v>
      </c>
      <c r="K3318" t="s">
        <v>144</v>
      </c>
      <c r="N3318">
        <v>1</v>
      </c>
      <c r="O3318" s="89">
        <v>7618.6</v>
      </c>
      <c r="P3318" s="89">
        <v>154276.65</v>
      </c>
      <c r="Q3318" t="s">
        <v>135</v>
      </c>
      <c r="R3318" t="s">
        <v>131</v>
      </c>
    </row>
    <row r="3319" spans="3:18" x14ac:dyDescent="0.25">
      <c r="C3319" t="s">
        <v>47</v>
      </c>
      <c r="D3319" t="s">
        <v>23</v>
      </c>
      <c r="E3319" t="s">
        <v>48</v>
      </c>
      <c r="F3319" t="s">
        <v>41</v>
      </c>
      <c r="G3319" s="89">
        <v>52390</v>
      </c>
      <c r="H3319" t="s">
        <v>42</v>
      </c>
      <c r="I3319" t="s">
        <v>133</v>
      </c>
      <c r="J3319" s="89">
        <v>1047800</v>
      </c>
      <c r="K3319" t="s">
        <v>127</v>
      </c>
      <c r="L3319" t="s">
        <v>128</v>
      </c>
      <c r="M3319" t="s">
        <v>152</v>
      </c>
      <c r="N3319">
        <v>1</v>
      </c>
      <c r="O3319" s="89">
        <v>2095.6</v>
      </c>
      <c r="P3319" s="89">
        <v>45579.3</v>
      </c>
      <c r="Q3319" t="s">
        <v>135</v>
      </c>
      <c r="R3319" t="s">
        <v>131</v>
      </c>
    </row>
    <row r="3320" spans="3:18" hidden="1" x14ac:dyDescent="0.25">
      <c r="C3320" t="s">
        <v>45</v>
      </c>
      <c r="D3320" t="s">
        <v>138</v>
      </c>
      <c r="E3320" t="s">
        <v>48</v>
      </c>
      <c r="F3320" t="s">
        <v>41</v>
      </c>
      <c r="G3320" s="89">
        <v>23213</v>
      </c>
      <c r="H3320" t="s">
        <v>42</v>
      </c>
      <c r="I3320" t="s">
        <v>141</v>
      </c>
      <c r="J3320" s="89">
        <v>162491</v>
      </c>
      <c r="K3320" t="s">
        <v>127</v>
      </c>
      <c r="L3320" t="s">
        <v>128</v>
      </c>
      <c r="M3320" t="s">
        <v>139</v>
      </c>
      <c r="N3320">
        <v>1</v>
      </c>
      <c r="O3320" s="89">
        <v>928.52</v>
      </c>
      <c r="P3320" s="89">
        <v>3017.69</v>
      </c>
      <c r="Q3320" t="s">
        <v>130</v>
      </c>
      <c r="R3320" t="s">
        <v>131</v>
      </c>
    </row>
    <row r="3321" spans="3:18" hidden="1" x14ac:dyDescent="0.25">
      <c r="C3321" t="s">
        <v>45</v>
      </c>
      <c r="D3321" t="s">
        <v>23</v>
      </c>
      <c r="E3321" t="s">
        <v>43</v>
      </c>
      <c r="F3321" t="s">
        <v>41</v>
      </c>
      <c r="G3321" s="89">
        <v>3476502</v>
      </c>
      <c r="H3321" t="s">
        <v>140</v>
      </c>
      <c r="I3321" t="s">
        <v>141</v>
      </c>
      <c r="J3321" s="89">
        <v>24335514</v>
      </c>
      <c r="K3321" t="s">
        <v>127</v>
      </c>
      <c r="L3321" t="s">
        <v>128</v>
      </c>
      <c r="N3321">
        <v>1</v>
      </c>
      <c r="O3321" s="89">
        <v>139060.07999999999</v>
      </c>
      <c r="P3321" s="89">
        <v>730065.42</v>
      </c>
      <c r="Q3321" t="s">
        <v>130</v>
      </c>
      <c r="R3321" t="s">
        <v>131</v>
      </c>
    </row>
    <row r="3322" spans="3:18" x14ac:dyDescent="0.25">
      <c r="C3322" t="s">
        <v>47</v>
      </c>
      <c r="D3322" t="s">
        <v>21</v>
      </c>
      <c r="E3322" t="s">
        <v>43</v>
      </c>
      <c r="F3322" t="s">
        <v>41</v>
      </c>
      <c r="G3322" s="89">
        <v>18357033</v>
      </c>
      <c r="H3322" t="s">
        <v>140</v>
      </c>
      <c r="I3322" t="s">
        <v>141</v>
      </c>
      <c r="J3322" s="89">
        <v>165213297</v>
      </c>
      <c r="K3322" t="s">
        <v>127</v>
      </c>
      <c r="L3322" t="s">
        <v>128</v>
      </c>
      <c r="N3322">
        <v>1</v>
      </c>
      <c r="O3322" s="89">
        <v>734281.32</v>
      </c>
      <c r="P3322" s="89">
        <v>12666352.77</v>
      </c>
      <c r="Q3322" t="s">
        <v>137</v>
      </c>
      <c r="R3322" t="s">
        <v>131</v>
      </c>
    </row>
    <row r="3323" spans="3:18" hidden="1" x14ac:dyDescent="0.25">
      <c r="C3323" t="s">
        <v>45</v>
      </c>
      <c r="D3323" t="s">
        <v>22</v>
      </c>
      <c r="E3323" t="s">
        <v>40</v>
      </c>
      <c r="F3323" t="s">
        <v>41</v>
      </c>
      <c r="G3323" s="89">
        <v>95275</v>
      </c>
      <c r="H3323" t="s">
        <v>140</v>
      </c>
      <c r="I3323" t="s">
        <v>126</v>
      </c>
      <c r="J3323" s="89">
        <v>1810225</v>
      </c>
      <c r="K3323" t="s">
        <v>134</v>
      </c>
      <c r="L3323" t="s">
        <v>128</v>
      </c>
      <c r="N3323">
        <v>1</v>
      </c>
      <c r="O3323" s="89">
        <v>2858.25</v>
      </c>
      <c r="P3323" s="89">
        <v>58117.75</v>
      </c>
      <c r="Q3323" t="s">
        <v>137</v>
      </c>
      <c r="R3323" t="s">
        <v>131</v>
      </c>
    </row>
    <row r="3324" spans="3:18" x14ac:dyDescent="0.25">
      <c r="C3324" t="s">
        <v>47</v>
      </c>
      <c r="D3324" t="s">
        <v>25</v>
      </c>
      <c r="E3324" t="s">
        <v>40</v>
      </c>
      <c r="F3324" t="s">
        <v>41</v>
      </c>
      <c r="G3324" s="89">
        <v>86020</v>
      </c>
      <c r="H3324" t="s">
        <v>140</v>
      </c>
      <c r="I3324" t="s">
        <v>141</v>
      </c>
      <c r="J3324" s="89">
        <v>860200</v>
      </c>
      <c r="K3324" t="s">
        <v>127</v>
      </c>
      <c r="L3324" t="s">
        <v>128</v>
      </c>
      <c r="N3324">
        <v>1</v>
      </c>
      <c r="O3324" s="89">
        <v>3440.8</v>
      </c>
      <c r="P3324" s="89">
        <v>43870.2</v>
      </c>
      <c r="Q3324" t="s">
        <v>142</v>
      </c>
      <c r="R3324" t="s">
        <v>131</v>
      </c>
    </row>
    <row r="3325" spans="3:18" hidden="1" x14ac:dyDescent="0.25">
      <c r="C3325" t="s">
        <v>45</v>
      </c>
      <c r="D3325" t="s">
        <v>21</v>
      </c>
      <c r="E3325" t="s">
        <v>40</v>
      </c>
      <c r="F3325" t="s">
        <v>41</v>
      </c>
      <c r="G3325" s="89">
        <v>26864</v>
      </c>
      <c r="H3325" t="s">
        <v>42</v>
      </c>
      <c r="I3325" t="s">
        <v>141</v>
      </c>
      <c r="J3325" s="89">
        <v>268640</v>
      </c>
      <c r="K3325" t="s">
        <v>144</v>
      </c>
      <c r="N3325">
        <v>1</v>
      </c>
      <c r="O3325" s="89">
        <v>805.92</v>
      </c>
      <c r="P3325" s="89">
        <v>15849.76</v>
      </c>
      <c r="Q3325" t="s">
        <v>142</v>
      </c>
      <c r="R3325" t="s">
        <v>42</v>
      </c>
    </row>
    <row r="3326" spans="3:18" x14ac:dyDescent="0.25">
      <c r="C3326" t="s">
        <v>47</v>
      </c>
      <c r="D3326" t="s">
        <v>22</v>
      </c>
      <c r="E3326" t="s">
        <v>40</v>
      </c>
      <c r="F3326" t="s">
        <v>41</v>
      </c>
      <c r="G3326" s="89">
        <v>23578</v>
      </c>
      <c r="H3326" t="s">
        <v>132</v>
      </c>
      <c r="I3326" t="s">
        <v>126</v>
      </c>
      <c r="J3326" s="89">
        <v>353670</v>
      </c>
      <c r="K3326" t="s">
        <v>127</v>
      </c>
      <c r="L3326" t="s">
        <v>128</v>
      </c>
      <c r="N3326">
        <v>1</v>
      </c>
      <c r="O3326" s="89">
        <v>943.12</v>
      </c>
      <c r="P3326" s="89">
        <v>3772.48</v>
      </c>
      <c r="Q3326" t="s">
        <v>130</v>
      </c>
      <c r="R3326" t="s">
        <v>131</v>
      </c>
    </row>
    <row r="3327" spans="3:18" hidden="1" x14ac:dyDescent="0.25">
      <c r="C3327" t="s">
        <v>45</v>
      </c>
      <c r="D3327" t="s">
        <v>23</v>
      </c>
      <c r="E3327" t="s">
        <v>43</v>
      </c>
      <c r="F3327" t="s">
        <v>41</v>
      </c>
      <c r="G3327" s="89">
        <v>355083</v>
      </c>
      <c r="H3327" t="s">
        <v>140</v>
      </c>
      <c r="I3327" t="s">
        <v>133</v>
      </c>
      <c r="J3327" s="89">
        <v>9942324</v>
      </c>
      <c r="K3327" t="s">
        <v>144</v>
      </c>
      <c r="N3327">
        <v>1</v>
      </c>
      <c r="O3327" s="89">
        <v>10652.49</v>
      </c>
      <c r="P3327" s="89">
        <v>166889.01</v>
      </c>
      <c r="Q3327" t="s">
        <v>142</v>
      </c>
      <c r="R3327" t="s">
        <v>131</v>
      </c>
    </row>
    <row r="3328" spans="3:18" hidden="1" x14ac:dyDescent="0.25">
      <c r="C3328" t="s">
        <v>45</v>
      </c>
      <c r="D3328" t="s">
        <v>23</v>
      </c>
      <c r="E3328" t="s">
        <v>46</v>
      </c>
      <c r="F3328" t="s">
        <v>41</v>
      </c>
      <c r="G3328" s="89">
        <v>146873</v>
      </c>
      <c r="H3328" t="s">
        <v>42</v>
      </c>
      <c r="I3328" t="s">
        <v>133</v>
      </c>
      <c r="J3328" s="89">
        <v>4699936</v>
      </c>
      <c r="K3328" t="s">
        <v>134</v>
      </c>
      <c r="N3328">
        <v>1</v>
      </c>
      <c r="O3328" s="89">
        <v>4406.1899999999996</v>
      </c>
      <c r="P3328" s="89">
        <v>123373.32</v>
      </c>
      <c r="Q3328" t="s">
        <v>135</v>
      </c>
      <c r="R3328" t="s">
        <v>42</v>
      </c>
    </row>
    <row r="3329" spans="3:18" hidden="1" x14ac:dyDescent="0.25">
      <c r="C3329" t="s">
        <v>45</v>
      </c>
      <c r="D3329" t="s">
        <v>23</v>
      </c>
      <c r="E3329" t="s">
        <v>48</v>
      </c>
      <c r="F3329" t="s">
        <v>41</v>
      </c>
      <c r="G3329" s="89">
        <v>49039</v>
      </c>
      <c r="H3329" t="s">
        <v>145</v>
      </c>
      <c r="I3329" t="s">
        <v>147</v>
      </c>
      <c r="J3329" s="89">
        <v>196156</v>
      </c>
      <c r="K3329" t="s">
        <v>127</v>
      </c>
      <c r="L3329" t="s">
        <v>128</v>
      </c>
      <c r="N3329">
        <v>1</v>
      </c>
      <c r="O3329" s="89">
        <v>1961.56</v>
      </c>
      <c r="P3329" s="89">
        <v>22557.94</v>
      </c>
      <c r="Q3329" t="s">
        <v>142</v>
      </c>
      <c r="R3329" t="s">
        <v>131</v>
      </c>
    </row>
    <row r="3330" spans="3:18" hidden="1" x14ac:dyDescent="0.25">
      <c r="C3330" t="s">
        <v>45</v>
      </c>
      <c r="D3330" t="s">
        <v>20</v>
      </c>
      <c r="E3330" t="s">
        <v>43</v>
      </c>
      <c r="F3330" t="s">
        <v>41</v>
      </c>
      <c r="G3330" s="89">
        <v>52727</v>
      </c>
      <c r="H3330" t="s">
        <v>42</v>
      </c>
      <c r="I3330" t="s">
        <v>126</v>
      </c>
      <c r="J3330" s="89">
        <v>579997</v>
      </c>
      <c r="K3330" t="s">
        <v>134</v>
      </c>
      <c r="L3330" t="s">
        <v>128</v>
      </c>
      <c r="M3330" t="s">
        <v>139</v>
      </c>
      <c r="N3330">
        <v>1</v>
      </c>
      <c r="O3330" s="89">
        <v>1581.81</v>
      </c>
      <c r="P3330" s="89">
        <v>13181.75</v>
      </c>
      <c r="Q3330" t="s">
        <v>130</v>
      </c>
      <c r="R3330" t="s">
        <v>42</v>
      </c>
    </row>
    <row r="3331" spans="3:18" hidden="1" x14ac:dyDescent="0.25">
      <c r="C3331" t="s">
        <v>45</v>
      </c>
      <c r="D3331" t="s">
        <v>22</v>
      </c>
      <c r="E3331" t="s">
        <v>40</v>
      </c>
      <c r="F3331" t="s">
        <v>41</v>
      </c>
      <c r="G3331" s="89">
        <v>1941880</v>
      </c>
      <c r="H3331" t="s">
        <v>146</v>
      </c>
      <c r="I3331" t="s">
        <v>133</v>
      </c>
      <c r="J3331" s="89">
        <v>56314520</v>
      </c>
      <c r="K3331" t="s">
        <v>144</v>
      </c>
      <c r="N3331">
        <v>1</v>
      </c>
      <c r="O3331" s="89">
        <v>58256.4</v>
      </c>
      <c r="P3331" s="89">
        <v>970940</v>
      </c>
      <c r="Q3331" t="s">
        <v>142</v>
      </c>
      <c r="R3331" t="s">
        <v>131</v>
      </c>
    </row>
    <row r="3332" spans="3:18" hidden="1" x14ac:dyDescent="0.25">
      <c r="C3332" t="s">
        <v>45</v>
      </c>
      <c r="D3332" t="s">
        <v>22</v>
      </c>
      <c r="E3332" t="s">
        <v>40</v>
      </c>
      <c r="F3332" t="s">
        <v>41</v>
      </c>
      <c r="G3332" s="89">
        <v>246104</v>
      </c>
      <c r="H3332" t="s">
        <v>42</v>
      </c>
      <c r="I3332" t="s">
        <v>141</v>
      </c>
      <c r="J3332" s="89">
        <v>1968832</v>
      </c>
      <c r="K3332" t="s">
        <v>127</v>
      </c>
      <c r="L3332" t="s">
        <v>128</v>
      </c>
      <c r="M3332" t="s">
        <v>143</v>
      </c>
      <c r="N3332">
        <v>1</v>
      </c>
      <c r="O3332" s="89">
        <v>9844.16</v>
      </c>
      <c r="P3332" s="89">
        <v>108285.75999999999</v>
      </c>
      <c r="Q3332" t="s">
        <v>142</v>
      </c>
      <c r="R3332" t="s">
        <v>42</v>
      </c>
    </row>
    <row r="3333" spans="3:18" hidden="1" x14ac:dyDescent="0.25">
      <c r="C3333" t="s">
        <v>45</v>
      </c>
      <c r="D3333" t="s">
        <v>23</v>
      </c>
      <c r="E3333" t="s">
        <v>48</v>
      </c>
      <c r="F3333" t="s">
        <v>41</v>
      </c>
      <c r="G3333" s="89">
        <v>99492</v>
      </c>
      <c r="H3333" t="s">
        <v>132</v>
      </c>
      <c r="I3333" t="s">
        <v>126</v>
      </c>
      <c r="J3333" s="89">
        <v>1790856</v>
      </c>
      <c r="K3333" t="s">
        <v>144</v>
      </c>
      <c r="N3333">
        <v>1</v>
      </c>
      <c r="O3333" s="89">
        <v>2984.76</v>
      </c>
      <c r="P3333" s="89">
        <v>76608.84</v>
      </c>
      <c r="Q3333" t="s">
        <v>137</v>
      </c>
      <c r="R3333" t="s">
        <v>131</v>
      </c>
    </row>
    <row r="3334" spans="3:18" hidden="1" x14ac:dyDescent="0.25">
      <c r="C3334" t="s">
        <v>45</v>
      </c>
      <c r="D3334" t="s">
        <v>22</v>
      </c>
      <c r="E3334" t="s">
        <v>40</v>
      </c>
      <c r="F3334" t="s">
        <v>41</v>
      </c>
      <c r="G3334" s="89">
        <v>108782</v>
      </c>
      <c r="H3334" t="s">
        <v>145</v>
      </c>
      <c r="I3334" t="s">
        <v>141</v>
      </c>
      <c r="J3334" s="89">
        <v>870256</v>
      </c>
      <c r="K3334" t="s">
        <v>134</v>
      </c>
      <c r="L3334" t="s">
        <v>128</v>
      </c>
      <c r="N3334">
        <v>1</v>
      </c>
      <c r="O3334" s="89">
        <v>3263.46</v>
      </c>
      <c r="P3334" s="89">
        <v>53303.18</v>
      </c>
      <c r="Q3334" t="s">
        <v>142</v>
      </c>
      <c r="R3334" t="s">
        <v>131</v>
      </c>
    </row>
    <row r="3335" spans="3:18" hidden="1" x14ac:dyDescent="0.25">
      <c r="C3335" t="s">
        <v>45</v>
      </c>
      <c r="D3335" t="s">
        <v>22</v>
      </c>
      <c r="E3335" t="s">
        <v>52</v>
      </c>
      <c r="F3335" t="s">
        <v>53</v>
      </c>
      <c r="G3335" s="89">
        <v>94119</v>
      </c>
      <c r="H3335" t="s">
        <v>42</v>
      </c>
      <c r="I3335" t="s">
        <v>133</v>
      </c>
      <c r="J3335" s="89">
        <v>3105927</v>
      </c>
      <c r="K3335" t="s">
        <v>144</v>
      </c>
      <c r="N3335">
        <v>1</v>
      </c>
      <c r="O3335" s="89">
        <v>2823.57</v>
      </c>
      <c r="P3335" s="89">
        <v>46118.31</v>
      </c>
      <c r="Q3335" t="s">
        <v>142</v>
      </c>
      <c r="R3335" t="s">
        <v>42</v>
      </c>
    </row>
    <row r="3336" spans="3:18" hidden="1" x14ac:dyDescent="0.25">
      <c r="C3336" t="s">
        <v>45</v>
      </c>
      <c r="D3336" t="s">
        <v>24</v>
      </c>
      <c r="E3336" t="s">
        <v>48</v>
      </c>
      <c r="F3336" t="s">
        <v>41</v>
      </c>
      <c r="G3336" s="89">
        <v>98952</v>
      </c>
      <c r="H3336" t="s">
        <v>140</v>
      </c>
      <c r="I3336" t="s">
        <v>141</v>
      </c>
      <c r="J3336" s="89">
        <v>692664</v>
      </c>
      <c r="K3336" t="s">
        <v>134</v>
      </c>
      <c r="L3336" t="s">
        <v>128</v>
      </c>
      <c r="N3336">
        <v>1</v>
      </c>
      <c r="O3336" s="89">
        <v>2968.56</v>
      </c>
      <c r="P3336" s="89">
        <v>19790.400000000001</v>
      </c>
      <c r="Q3336" t="s">
        <v>130</v>
      </c>
      <c r="R3336" t="s">
        <v>131</v>
      </c>
    </row>
    <row r="3337" spans="3:18" hidden="1" x14ac:dyDescent="0.25">
      <c r="C3337" t="s">
        <v>45</v>
      </c>
      <c r="D3337" t="s">
        <v>23</v>
      </c>
      <c r="E3337" t="s">
        <v>40</v>
      </c>
      <c r="F3337" t="s">
        <v>41</v>
      </c>
      <c r="G3337" s="89">
        <v>145167</v>
      </c>
      <c r="H3337" t="s">
        <v>140</v>
      </c>
      <c r="I3337" t="s">
        <v>153</v>
      </c>
      <c r="J3337" s="89"/>
      <c r="K3337" t="s">
        <v>127</v>
      </c>
      <c r="L3337" t="s">
        <v>151</v>
      </c>
      <c r="N3337">
        <v>0</v>
      </c>
      <c r="O3337" s="89">
        <v>4355.01</v>
      </c>
      <c r="P3337" s="89">
        <v>139360.32000000001</v>
      </c>
      <c r="Q3337" t="s">
        <v>135</v>
      </c>
      <c r="R3337" t="s">
        <v>131</v>
      </c>
    </row>
    <row r="3338" spans="3:18" x14ac:dyDescent="0.25">
      <c r="C3338" t="s">
        <v>47</v>
      </c>
      <c r="D3338" t="s">
        <v>21</v>
      </c>
      <c r="E3338" t="s">
        <v>43</v>
      </c>
      <c r="F3338" t="s">
        <v>41</v>
      </c>
      <c r="G3338" s="89">
        <v>570727</v>
      </c>
      <c r="H3338" t="s">
        <v>42</v>
      </c>
      <c r="I3338" t="s">
        <v>126</v>
      </c>
      <c r="J3338" s="89">
        <v>7419451</v>
      </c>
      <c r="K3338" t="s">
        <v>144</v>
      </c>
      <c r="N3338">
        <v>1</v>
      </c>
      <c r="O3338" s="89">
        <v>22829.08</v>
      </c>
      <c r="P3338" s="89">
        <v>445167.06</v>
      </c>
      <c r="Q3338" t="s">
        <v>137</v>
      </c>
      <c r="R3338" t="s">
        <v>42</v>
      </c>
    </row>
    <row r="3339" spans="3:18" hidden="1" x14ac:dyDescent="0.25">
      <c r="C3339" t="s">
        <v>45</v>
      </c>
      <c r="D3339" t="s">
        <v>138</v>
      </c>
      <c r="E3339" t="s">
        <v>43</v>
      </c>
      <c r="F3339" t="s">
        <v>41</v>
      </c>
      <c r="G3339" s="89">
        <v>6161992</v>
      </c>
      <c r="H3339" t="s">
        <v>42</v>
      </c>
      <c r="I3339" t="s">
        <v>133</v>
      </c>
      <c r="J3339" s="89">
        <v>172535776</v>
      </c>
      <c r="K3339" t="s">
        <v>127</v>
      </c>
      <c r="L3339" t="s">
        <v>128</v>
      </c>
      <c r="M3339" t="s">
        <v>139</v>
      </c>
      <c r="N3339">
        <v>1</v>
      </c>
      <c r="O3339" s="89">
        <v>184859.76</v>
      </c>
      <c r="P3339" s="89">
        <v>1848597.6</v>
      </c>
      <c r="Q3339" t="s">
        <v>130</v>
      </c>
      <c r="R3339" t="s">
        <v>42</v>
      </c>
    </row>
    <row r="3340" spans="3:18" hidden="1" x14ac:dyDescent="0.25">
      <c r="C3340" t="s">
        <v>45</v>
      </c>
      <c r="D3340" t="s">
        <v>22</v>
      </c>
      <c r="E3340" t="s">
        <v>44</v>
      </c>
      <c r="F3340" t="s">
        <v>41</v>
      </c>
      <c r="G3340" s="89">
        <v>10782</v>
      </c>
      <c r="H3340" t="s">
        <v>42</v>
      </c>
      <c r="I3340" t="s">
        <v>147</v>
      </c>
      <c r="J3340" s="89">
        <v>21564</v>
      </c>
      <c r="K3340" t="s">
        <v>127</v>
      </c>
      <c r="L3340" t="s">
        <v>128</v>
      </c>
      <c r="M3340" t="s">
        <v>143</v>
      </c>
      <c r="N3340">
        <v>1</v>
      </c>
      <c r="O3340" s="89">
        <v>431.28</v>
      </c>
      <c r="P3340" s="89">
        <v>1725.12</v>
      </c>
      <c r="Q3340" t="s">
        <v>130</v>
      </c>
      <c r="R3340" t="s">
        <v>131</v>
      </c>
    </row>
    <row r="3341" spans="3:18" hidden="1" x14ac:dyDescent="0.25">
      <c r="C3341" t="s">
        <v>45</v>
      </c>
      <c r="D3341" t="s">
        <v>24</v>
      </c>
      <c r="E3341" t="s">
        <v>44</v>
      </c>
      <c r="F3341" t="s">
        <v>41</v>
      </c>
      <c r="G3341" s="89">
        <v>26411785</v>
      </c>
      <c r="H3341" t="s">
        <v>42</v>
      </c>
      <c r="I3341" t="s">
        <v>133</v>
      </c>
      <c r="J3341" s="89">
        <v>845177120</v>
      </c>
      <c r="K3341" t="s">
        <v>127</v>
      </c>
      <c r="L3341" t="s">
        <v>128</v>
      </c>
      <c r="M3341" t="s">
        <v>148</v>
      </c>
      <c r="N3341">
        <v>1</v>
      </c>
      <c r="O3341" s="89">
        <v>792353.55</v>
      </c>
      <c r="P3341" s="89">
        <v>18752367.350000001</v>
      </c>
      <c r="Q3341" t="s">
        <v>137</v>
      </c>
      <c r="R3341" t="s">
        <v>131</v>
      </c>
    </row>
    <row r="3342" spans="3:18" hidden="1" x14ac:dyDescent="0.25">
      <c r="C3342" t="s">
        <v>45</v>
      </c>
      <c r="D3342" t="s">
        <v>21</v>
      </c>
      <c r="E3342" t="s">
        <v>43</v>
      </c>
      <c r="F3342" t="s">
        <v>41</v>
      </c>
      <c r="G3342" s="89">
        <v>145979049</v>
      </c>
      <c r="H3342" t="s">
        <v>145</v>
      </c>
      <c r="I3342" t="s">
        <v>133</v>
      </c>
      <c r="J3342" s="89">
        <v>3795455274</v>
      </c>
      <c r="K3342" t="s">
        <v>127</v>
      </c>
      <c r="L3342" t="s">
        <v>128</v>
      </c>
      <c r="N3342">
        <v>1</v>
      </c>
      <c r="O3342" s="89">
        <v>4379371.47</v>
      </c>
      <c r="P3342" s="89">
        <v>75909105.480000004</v>
      </c>
      <c r="Q3342" t="s">
        <v>142</v>
      </c>
      <c r="R3342" t="s">
        <v>131</v>
      </c>
    </row>
    <row r="3343" spans="3:18" hidden="1" x14ac:dyDescent="0.25">
      <c r="C3343" t="s">
        <v>45</v>
      </c>
      <c r="D3343" t="s">
        <v>23</v>
      </c>
      <c r="E3343" t="s">
        <v>48</v>
      </c>
      <c r="F3343" t="s">
        <v>41</v>
      </c>
      <c r="G3343" s="89">
        <v>200582</v>
      </c>
      <c r="H3343" t="s">
        <v>140</v>
      </c>
      <c r="I3343" t="s">
        <v>153</v>
      </c>
      <c r="J3343" s="89"/>
      <c r="K3343" t="s">
        <v>127</v>
      </c>
      <c r="L3343" t="s">
        <v>128</v>
      </c>
      <c r="N3343">
        <v>0</v>
      </c>
      <c r="O3343" s="89">
        <v>8023.28</v>
      </c>
      <c r="P3343" s="89">
        <v>176512.16</v>
      </c>
      <c r="Q3343" t="s">
        <v>135</v>
      </c>
      <c r="R3343" t="s">
        <v>131</v>
      </c>
    </row>
    <row r="3344" spans="3:18" hidden="1" x14ac:dyDescent="0.25">
      <c r="C3344" t="s">
        <v>45</v>
      </c>
      <c r="D3344" t="s">
        <v>22</v>
      </c>
      <c r="E3344" t="s">
        <v>40</v>
      </c>
      <c r="F3344" t="s">
        <v>41</v>
      </c>
      <c r="G3344" s="89">
        <v>25316</v>
      </c>
      <c r="H3344" t="s">
        <v>42</v>
      </c>
      <c r="I3344" t="s">
        <v>147</v>
      </c>
      <c r="J3344" s="89">
        <v>126580</v>
      </c>
      <c r="K3344" t="s">
        <v>127</v>
      </c>
      <c r="L3344" t="s">
        <v>151</v>
      </c>
      <c r="M3344" t="s">
        <v>156</v>
      </c>
      <c r="N3344">
        <v>1</v>
      </c>
      <c r="O3344" s="89">
        <v>506.32</v>
      </c>
      <c r="P3344" s="89">
        <v>6329</v>
      </c>
      <c r="Q3344" t="s">
        <v>130</v>
      </c>
      <c r="R3344" t="s">
        <v>131</v>
      </c>
    </row>
    <row r="3345" spans="3:18" hidden="1" x14ac:dyDescent="0.25">
      <c r="C3345" t="s">
        <v>45</v>
      </c>
      <c r="D3345" t="s">
        <v>138</v>
      </c>
      <c r="E3345" t="s">
        <v>43</v>
      </c>
      <c r="F3345" t="s">
        <v>53</v>
      </c>
      <c r="G3345" s="89">
        <v>202197</v>
      </c>
      <c r="H3345" t="s">
        <v>42</v>
      </c>
      <c r="I3345" t="s">
        <v>133</v>
      </c>
      <c r="J3345" s="89">
        <v>7481289</v>
      </c>
      <c r="K3345" t="s">
        <v>144</v>
      </c>
      <c r="N3345">
        <v>1</v>
      </c>
      <c r="O3345" s="89">
        <v>6065.91</v>
      </c>
      <c r="P3345" s="89">
        <v>171867.45</v>
      </c>
      <c r="Q3345" t="s">
        <v>135</v>
      </c>
      <c r="R3345" t="s">
        <v>131</v>
      </c>
    </row>
    <row r="3346" spans="3:18" hidden="1" x14ac:dyDescent="0.25">
      <c r="C3346" t="s">
        <v>45</v>
      </c>
      <c r="D3346" t="s">
        <v>20</v>
      </c>
      <c r="E3346" t="s">
        <v>43</v>
      </c>
      <c r="F3346" t="s">
        <v>41</v>
      </c>
      <c r="G3346" s="89">
        <v>936884</v>
      </c>
      <c r="H3346" t="s">
        <v>140</v>
      </c>
      <c r="I3346" t="s">
        <v>147</v>
      </c>
      <c r="J3346" s="89">
        <v>2810652</v>
      </c>
      <c r="K3346" t="s">
        <v>144</v>
      </c>
      <c r="N3346">
        <v>1</v>
      </c>
      <c r="O3346" s="89">
        <v>37475.360000000001</v>
      </c>
      <c r="P3346" s="89">
        <v>46844.2</v>
      </c>
      <c r="Q3346" t="s">
        <v>130</v>
      </c>
      <c r="R3346" t="s">
        <v>131</v>
      </c>
    </row>
    <row r="3347" spans="3:18" hidden="1" x14ac:dyDescent="0.25">
      <c r="C3347" t="s">
        <v>45</v>
      </c>
      <c r="D3347" t="s">
        <v>22</v>
      </c>
      <c r="E3347" t="s">
        <v>43</v>
      </c>
      <c r="F3347" t="s">
        <v>41</v>
      </c>
      <c r="G3347" s="89">
        <v>260718</v>
      </c>
      <c r="H3347" t="s">
        <v>42</v>
      </c>
      <c r="I3347" t="s">
        <v>133</v>
      </c>
      <c r="J3347" s="89">
        <v>7560822</v>
      </c>
      <c r="K3347" t="s">
        <v>134</v>
      </c>
      <c r="L3347" t="s">
        <v>128</v>
      </c>
      <c r="M3347" t="s">
        <v>143</v>
      </c>
      <c r="N3347">
        <v>1</v>
      </c>
      <c r="O3347" s="89">
        <v>7821.54</v>
      </c>
      <c r="P3347" s="89">
        <v>174681.06</v>
      </c>
      <c r="Q3347" t="s">
        <v>137</v>
      </c>
      <c r="R3347" t="s">
        <v>42</v>
      </c>
    </row>
    <row r="3348" spans="3:18" hidden="1" x14ac:dyDescent="0.25">
      <c r="C3348" t="s">
        <v>45</v>
      </c>
      <c r="D3348" t="s">
        <v>21</v>
      </c>
      <c r="E3348" t="s">
        <v>43</v>
      </c>
      <c r="F3348" t="s">
        <v>41</v>
      </c>
      <c r="G3348" s="89">
        <v>12074</v>
      </c>
      <c r="H3348" t="s">
        <v>145</v>
      </c>
      <c r="I3348" t="s">
        <v>141</v>
      </c>
      <c r="J3348" s="89">
        <v>72444</v>
      </c>
      <c r="K3348" t="s">
        <v>127</v>
      </c>
      <c r="L3348" t="s">
        <v>151</v>
      </c>
      <c r="N3348">
        <v>1</v>
      </c>
      <c r="O3348" s="89">
        <v>362.22</v>
      </c>
      <c r="P3348" s="89">
        <v>1811.1</v>
      </c>
      <c r="Q3348" t="s">
        <v>130</v>
      </c>
      <c r="R3348" t="s">
        <v>131</v>
      </c>
    </row>
    <row r="3349" spans="3:18" hidden="1" x14ac:dyDescent="0.25">
      <c r="C3349" t="s">
        <v>45</v>
      </c>
      <c r="D3349" t="s">
        <v>21</v>
      </c>
      <c r="E3349" t="s">
        <v>40</v>
      </c>
      <c r="F3349" t="s">
        <v>41</v>
      </c>
      <c r="G3349" s="89">
        <v>89802</v>
      </c>
      <c r="H3349" t="s">
        <v>42</v>
      </c>
      <c r="I3349" t="s">
        <v>133</v>
      </c>
      <c r="J3349" s="89">
        <v>3232872</v>
      </c>
      <c r="K3349" t="s">
        <v>127</v>
      </c>
      <c r="L3349" t="s">
        <v>128</v>
      </c>
      <c r="M3349" t="s">
        <v>129</v>
      </c>
      <c r="N3349">
        <v>1</v>
      </c>
      <c r="O3349" s="89">
        <v>2694.06</v>
      </c>
      <c r="P3349" s="89">
        <v>101476.26</v>
      </c>
      <c r="Q3349" t="s">
        <v>150</v>
      </c>
      <c r="R3349" t="s">
        <v>131</v>
      </c>
    </row>
    <row r="3350" spans="3:18" hidden="1" x14ac:dyDescent="0.25">
      <c r="C3350" t="s">
        <v>45</v>
      </c>
      <c r="D3350" t="s">
        <v>149</v>
      </c>
      <c r="E3350" t="s">
        <v>43</v>
      </c>
      <c r="F3350" t="s">
        <v>41</v>
      </c>
      <c r="G3350" s="89">
        <v>15337</v>
      </c>
      <c r="H3350" t="s">
        <v>42</v>
      </c>
      <c r="I3350" t="s">
        <v>141</v>
      </c>
      <c r="J3350" s="89">
        <v>138033</v>
      </c>
      <c r="K3350" t="s">
        <v>134</v>
      </c>
      <c r="L3350" t="s">
        <v>128</v>
      </c>
      <c r="M3350" t="s">
        <v>136</v>
      </c>
      <c r="N3350">
        <v>1</v>
      </c>
      <c r="O3350" s="89">
        <v>460.11</v>
      </c>
      <c r="P3350" s="89">
        <v>1533.7</v>
      </c>
      <c r="Q3350" t="s">
        <v>130</v>
      </c>
      <c r="R3350" t="s">
        <v>131</v>
      </c>
    </row>
    <row r="3351" spans="3:18" hidden="1" x14ac:dyDescent="0.25">
      <c r="C3351" t="s">
        <v>45</v>
      </c>
      <c r="D3351" t="s">
        <v>19</v>
      </c>
      <c r="E3351" t="s">
        <v>43</v>
      </c>
      <c r="F3351" t="s">
        <v>41</v>
      </c>
      <c r="G3351" s="89">
        <v>150188</v>
      </c>
      <c r="H3351" t="s">
        <v>146</v>
      </c>
      <c r="I3351" t="s">
        <v>147</v>
      </c>
      <c r="J3351" s="89">
        <v>600752</v>
      </c>
      <c r="K3351" t="s">
        <v>127</v>
      </c>
      <c r="L3351" t="s">
        <v>128</v>
      </c>
      <c r="N3351">
        <v>1</v>
      </c>
      <c r="O3351" s="89">
        <v>6007.52</v>
      </c>
      <c r="P3351" s="89">
        <v>72090.240000000005</v>
      </c>
      <c r="Q3351" t="s">
        <v>142</v>
      </c>
      <c r="R3351" t="s">
        <v>131</v>
      </c>
    </row>
    <row r="3352" spans="3:18" x14ac:dyDescent="0.25">
      <c r="C3352" t="s">
        <v>47</v>
      </c>
      <c r="D3352" t="s">
        <v>22</v>
      </c>
      <c r="E3352" t="s">
        <v>48</v>
      </c>
      <c r="F3352" t="s">
        <v>41</v>
      </c>
      <c r="G3352" s="89">
        <v>81893</v>
      </c>
      <c r="H3352" t="s">
        <v>146</v>
      </c>
      <c r="I3352" t="s">
        <v>141</v>
      </c>
      <c r="J3352" s="89">
        <v>491358</v>
      </c>
      <c r="K3352" t="s">
        <v>127</v>
      </c>
      <c r="L3352" t="s">
        <v>128</v>
      </c>
      <c r="N3352">
        <v>1</v>
      </c>
      <c r="O3352" s="89">
        <v>4913.58</v>
      </c>
      <c r="P3352" s="89">
        <v>59781.89</v>
      </c>
      <c r="Q3352" t="s">
        <v>137</v>
      </c>
      <c r="R3352" t="s">
        <v>131</v>
      </c>
    </row>
    <row r="3353" spans="3:18" hidden="1" x14ac:dyDescent="0.25">
      <c r="C3353" t="s">
        <v>45</v>
      </c>
      <c r="D3353" t="s">
        <v>24</v>
      </c>
      <c r="E3353" t="s">
        <v>46</v>
      </c>
      <c r="F3353" t="s">
        <v>53</v>
      </c>
      <c r="G3353" s="89">
        <v>63489</v>
      </c>
      <c r="H3353" t="s">
        <v>42</v>
      </c>
      <c r="I3353" t="s">
        <v>133</v>
      </c>
      <c r="J3353" s="89">
        <v>2285604</v>
      </c>
      <c r="K3353" t="s">
        <v>127</v>
      </c>
      <c r="L3353" t="s">
        <v>128</v>
      </c>
      <c r="M3353" t="s">
        <v>148</v>
      </c>
      <c r="N3353">
        <v>1</v>
      </c>
      <c r="O3353" s="89">
        <v>3174.45</v>
      </c>
      <c r="P3353" s="89">
        <v>40632.959999999999</v>
      </c>
      <c r="Q3353" t="s">
        <v>137</v>
      </c>
      <c r="R3353" t="s">
        <v>42</v>
      </c>
    </row>
    <row r="3354" spans="3:18" x14ac:dyDescent="0.25">
      <c r="C3354" t="s">
        <v>47</v>
      </c>
      <c r="D3354" t="s">
        <v>21</v>
      </c>
      <c r="E3354" t="s">
        <v>40</v>
      </c>
      <c r="F3354" t="s">
        <v>41</v>
      </c>
      <c r="G3354" s="89">
        <v>2736459</v>
      </c>
      <c r="H3354" t="s">
        <v>154</v>
      </c>
      <c r="I3354" t="s">
        <v>153</v>
      </c>
      <c r="J3354" s="89"/>
      <c r="K3354" t="s">
        <v>127</v>
      </c>
      <c r="L3354" t="s">
        <v>128</v>
      </c>
      <c r="N3354">
        <v>0</v>
      </c>
      <c r="O3354" s="89">
        <v>54729.18</v>
      </c>
      <c r="P3354" s="89">
        <v>0</v>
      </c>
      <c r="Q3354" t="s">
        <v>130</v>
      </c>
      <c r="R3354" t="s">
        <v>131</v>
      </c>
    </row>
    <row r="3355" spans="3:18" hidden="1" x14ac:dyDescent="0.25">
      <c r="C3355" t="s">
        <v>45</v>
      </c>
      <c r="D3355" t="s">
        <v>22</v>
      </c>
      <c r="E3355" t="s">
        <v>40</v>
      </c>
      <c r="F3355" t="s">
        <v>41</v>
      </c>
      <c r="G3355" s="89">
        <v>97354</v>
      </c>
      <c r="H3355" t="s">
        <v>42</v>
      </c>
      <c r="I3355" t="s">
        <v>133</v>
      </c>
      <c r="J3355" s="89">
        <v>3796806</v>
      </c>
      <c r="K3355" t="s">
        <v>134</v>
      </c>
      <c r="N3355">
        <v>1</v>
      </c>
      <c r="O3355" s="89">
        <v>2920.62</v>
      </c>
      <c r="P3355" s="89">
        <v>79830.28</v>
      </c>
      <c r="Q3355" t="s">
        <v>135</v>
      </c>
      <c r="R3355" t="s">
        <v>131</v>
      </c>
    </row>
    <row r="3356" spans="3:18" hidden="1" x14ac:dyDescent="0.25">
      <c r="C3356" t="s">
        <v>39</v>
      </c>
      <c r="D3356" t="s">
        <v>22</v>
      </c>
      <c r="E3356" t="s">
        <v>40</v>
      </c>
      <c r="F3356" t="s">
        <v>41</v>
      </c>
      <c r="G3356" s="89">
        <v>487993</v>
      </c>
      <c r="H3356" t="s">
        <v>146</v>
      </c>
      <c r="I3356" t="s">
        <v>133</v>
      </c>
      <c r="J3356" s="89"/>
      <c r="N3356">
        <v>0</v>
      </c>
      <c r="O3356" s="89"/>
      <c r="P3356" s="89"/>
      <c r="R3356" t="s">
        <v>131</v>
      </c>
    </row>
    <row r="3357" spans="3:18" hidden="1" x14ac:dyDescent="0.25">
      <c r="C3357" t="s">
        <v>45</v>
      </c>
      <c r="D3357" t="s">
        <v>21</v>
      </c>
      <c r="E3357" t="s">
        <v>43</v>
      </c>
      <c r="F3357" t="s">
        <v>41</v>
      </c>
      <c r="G3357" s="89">
        <v>201875</v>
      </c>
      <c r="H3357" t="s">
        <v>145</v>
      </c>
      <c r="I3357" t="s">
        <v>147</v>
      </c>
      <c r="J3357" s="89">
        <v>807500</v>
      </c>
      <c r="K3357" t="s">
        <v>127</v>
      </c>
      <c r="L3357" t="s">
        <v>128</v>
      </c>
      <c r="N3357">
        <v>1</v>
      </c>
      <c r="O3357" s="89">
        <v>8075</v>
      </c>
      <c r="P3357" s="89">
        <v>92862.5</v>
      </c>
      <c r="Q3357" t="s">
        <v>142</v>
      </c>
      <c r="R3357" t="s">
        <v>131</v>
      </c>
    </row>
    <row r="3358" spans="3:18" hidden="1" x14ac:dyDescent="0.25">
      <c r="C3358" t="s">
        <v>45</v>
      </c>
      <c r="D3358" t="s">
        <v>20</v>
      </c>
      <c r="E3358" t="s">
        <v>43</v>
      </c>
      <c r="F3358" t="s">
        <v>53</v>
      </c>
      <c r="G3358" s="89">
        <v>882422</v>
      </c>
      <c r="H3358" t="s">
        <v>146</v>
      </c>
      <c r="I3358" t="s">
        <v>133</v>
      </c>
      <c r="J3358" s="89">
        <v>29119926</v>
      </c>
      <c r="K3358" t="s">
        <v>144</v>
      </c>
      <c r="N3358">
        <v>1</v>
      </c>
      <c r="O3358" s="89">
        <v>17648.439999999999</v>
      </c>
      <c r="P3358" s="89">
        <v>573574.30000000005</v>
      </c>
      <c r="Q3358" t="s">
        <v>137</v>
      </c>
      <c r="R3358" t="s">
        <v>131</v>
      </c>
    </row>
    <row r="3359" spans="3:18" hidden="1" x14ac:dyDescent="0.25">
      <c r="C3359" t="s">
        <v>45</v>
      </c>
      <c r="D3359" t="s">
        <v>21</v>
      </c>
      <c r="E3359" t="s">
        <v>48</v>
      </c>
      <c r="F3359" t="s">
        <v>41</v>
      </c>
      <c r="G3359" s="89">
        <v>89512</v>
      </c>
      <c r="H3359" t="s">
        <v>42</v>
      </c>
      <c r="I3359" t="s">
        <v>133</v>
      </c>
      <c r="J3359" s="89">
        <v>3043408</v>
      </c>
      <c r="K3359" t="s">
        <v>144</v>
      </c>
      <c r="N3359">
        <v>1</v>
      </c>
      <c r="O3359" s="89">
        <v>3580.48</v>
      </c>
      <c r="P3359" s="89">
        <v>71609.600000000006</v>
      </c>
      <c r="Q3359" t="s">
        <v>135</v>
      </c>
      <c r="R3359" t="s">
        <v>131</v>
      </c>
    </row>
    <row r="3360" spans="3:18" hidden="1" x14ac:dyDescent="0.25">
      <c r="C3360" t="s">
        <v>45</v>
      </c>
      <c r="D3360" t="s">
        <v>149</v>
      </c>
      <c r="E3360" t="s">
        <v>43</v>
      </c>
      <c r="F3360" t="s">
        <v>41</v>
      </c>
      <c r="G3360" s="89">
        <v>373863</v>
      </c>
      <c r="H3360" t="s">
        <v>146</v>
      </c>
      <c r="I3360" t="s">
        <v>141</v>
      </c>
      <c r="J3360" s="89">
        <v>2617041</v>
      </c>
      <c r="K3360" t="s">
        <v>127</v>
      </c>
      <c r="L3360" t="s">
        <v>128</v>
      </c>
      <c r="N3360">
        <v>1</v>
      </c>
      <c r="O3360" s="89">
        <v>11215.89</v>
      </c>
      <c r="P3360" s="89">
        <v>78511.23</v>
      </c>
      <c r="Q3360" t="s">
        <v>130</v>
      </c>
      <c r="R3360" t="s">
        <v>131</v>
      </c>
    </row>
    <row r="3361" spans="3:18" hidden="1" x14ac:dyDescent="0.25">
      <c r="C3361" t="s">
        <v>45</v>
      </c>
      <c r="D3361" t="s">
        <v>23</v>
      </c>
      <c r="E3361" t="s">
        <v>48</v>
      </c>
      <c r="F3361" t="s">
        <v>41</v>
      </c>
      <c r="G3361" s="89">
        <v>150658</v>
      </c>
      <c r="H3361" t="s">
        <v>42</v>
      </c>
      <c r="I3361" t="s">
        <v>126</v>
      </c>
      <c r="J3361" s="89">
        <v>2711844</v>
      </c>
      <c r="K3361" t="s">
        <v>134</v>
      </c>
      <c r="L3361" t="s">
        <v>128</v>
      </c>
      <c r="M3361" t="s">
        <v>152</v>
      </c>
      <c r="N3361">
        <v>1</v>
      </c>
      <c r="O3361" s="89">
        <v>4519.74</v>
      </c>
      <c r="P3361" s="89">
        <v>103954.02</v>
      </c>
      <c r="Q3361" t="s">
        <v>137</v>
      </c>
      <c r="R3361" t="s">
        <v>131</v>
      </c>
    </row>
    <row r="3362" spans="3:18" hidden="1" x14ac:dyDescent="0.25">
      <c r="C3362" t="s">
        <v>45</v>
      </c>
      <c r="D3362" t="s">
        <v>23</v>
      </c>
      <c r="E3362" t="s">
        <v>43</v>
      </c>
      <c r="F3362" t="s">
        <v>41</v>
      </c>
      <c r="G3362" s="89">
        <v>1440919</v>
      </c>
      <c r="H3362" t="s">
        <v>42</v>
      </c>
      <c r="I3362" t="s">
        <v>133</v>
      </c>
      <c r="J3362" s="89">
        <v>40345732</v>
      </c>
      <c r="K3362" t="s">
        <v>144</v>
      </c>
      <c r="N3362">
        <v>1</v>
      </c>
      <c r="O3362" s="89">
        <v>43227.57</v>
      </c>
      <c r="P3362" s="89">
        <v>763687.07</v>
      </c>
      <c r="Q3362" t="s">
        <v>142</v>
      </c>
      <c r="R3362" t="s">
        <v>131</v>
      </c>
    </row>
    <row r="3363" spans="3:18" hidden="1" x14ac:dyDescent="0.25">
      <c r="C3363" t="s">
        <v>45</v>
      </c>
      <c r="D3363" t="s">
        <v>22</v>
      </c>
      <c r="E3363" t="s">
        <v>52</v>
      </c>
      <c r="F3363" t="s">
        <v>41</v>
      </c>
      <c r="G3363" s="89">
        <v>211817</v>
      </c>
      <c r="H3363" t="s">
        <v>42</v>
      </c>
      <c r="I3363" t="s">
        <v>126</v>
      </c>
      <c r="J3363" s="89">
        <v>2329987</v>
      </c>
      <c r="K3363" t="s">
        <v>144</v>
      </c>
      <c r="N3363">
        <v>1</v>
      </c>
      <c r="O3363" s="89">
        <v>6354.51</v>
      </c>
      <c r="P3363" s="89">
        <v>171571.77</v>
      </c>
      <c r="Q3363" t="s">
        <v>135</v>
      </c>
      <c r="R3363" t="s">
        <v>42</v>
      </c>
    </row>
    <row r="3364" spans="3:18" hidden="1" x14ac:dyDescent="0.25">
      <c r="C3364" t="s">
        <v>45</v>
      </c>
      <c r="D3364" t="s">
        <v>23</v>
      </c>
      <c r="E3364" t="s">
        <v>48</v>
      </c>
      <c r="F3364" t="s">
        <v>53</v>
      </c>
      <c r="G3364" s="89">
        <v>403625</v>
      </c>
      <c r="H3364" t="s">
        <v>140</v>
      </c>
      <c r="I3364" t="s">
        <v>133</v>
      </c>
      <c r="J3364" s="89">
        <v>12512375</v>
      </c>
      <c r="K3364" t="s">
        <v>144</v>
      </c>
      <c r="N3364">
        <v>1</v>
      </c>
      <c r="O3364" s="89">
        <v>16145</v>
      </c>
      <c r="P3364" s="89">
        <v>60543.75</v>
      </c>
      <c r="Q3364" t="s">
        <v>130</v>
      </c>
      <c r="R3364" t="s">
        <v>131</v>
      </c>
    </row>
    <row r="3365" spans="3:18" hidden="1" x14ac:dyDescent="0.25">
      <c r="C3365" t="s">
        <v>45</v>
      </c>
      <c r="D3365" t="s">
        <v>24</v>
      </c>
      <c r="E3365" t="s">
        <v>52</v>
      </c>
      <c r="F3365" t="s">
        <v>53</v>
      </c>
      <c r="G3365" s="89">
        <v>635273</v>
      </c>
      <c r="H3365" t="s">
        <v>42</v>
      </c>
      <c r="I3365" t="s">
        <v>133</v>
      </c>
      <c r="J3365" s="89">
        <v>20964009</v>
      </c>
      <c r="K3365" t="s">
        <v>144</v>
      </c>
      <c r="N3365">
        <v>1</v>
      </c>
      <c r="O3365" s="89">
        <v>19058.189999999999</v>
      </c>
      <c r="P3365" s="89">
        <v>330341.96000000002</v>
      </c>
      <c r="Q3365" t="s">
        <v>142</v>
      </c>
      <c r="R3365" t="s">
        <v>42</v>
      </c>
    </row>
    <row r="3366" spans="3:18" x14ac:dyDescent="0.25">
      <c r="C3366" t="s">
        <v>47</v>
      </c>
      <c r="D3366" t="s">
        <v>22</v>
      </c>
      <c r="E3366" t="s">
        <v>40</v>
      </c>
      <c r="F3366" t="s">
        <v>41</v>
      </c>
      <c r="G3366" s="89">
        <v>5744833</v>
      </c>
      <c r="H3366" t="s">
        <v>145</v>
      </c>
      <c r="I3366" t="s">
        <v>147</v>
      </c>
      <c r="J3366" s="89">
        <v>22979332</v>
      </c>
      <c r="K3366" t="s">
        <v>127</v>
      </c>
      <c r="L3366" t="s">
        <v>128</v>
      </c>
      <c r="N3366">
        <v>1</v>
      </c>
      <c r="O3366" s="89">
        <v>229793.32</v>
      </c>
      <c r="P3366" s="89">
        <v>2700071.51</v>
      </c>
      <c r="Q3366" t="s">
        <v>142</v>
      </c>
      <c r="R3366" t="s">
        <v>131</v>
      </c>
    </row>
    <row r="3367" spans="3:18" hidden="1" x14ac:dyDescent="0.25">
      <c r="C3367" t="s">
        <v>45</v>
      </c>
      <c r="D3367" t="s">
        <v>21</v>
      </c>
      <c r="E3367" t="s">
        <v>40</v>
      </c>
      <c r="F3367" t="s">
        <v>41</v>
      </c>
      <c r="G3367" s="89">
        <v>15066</v>
      </c>
      <c r="H3367" t="s">
        <v>140</v>
      </c>
      <c r="I3367" t="s">
        <v>153</v>
      </c>
      <c r="J3367" s="89"/>
      <c r="K3367" t="s">
        <v>127</v>
      </c>
      <c r="L3367" t="s">
        <v>128</v>
      </c>
      <c r="N3367">
        <v>0</v>
      </c>
      <c r="O3367" s="89">
        <v>602.64</v>
      </c>
      <c r="P3367" s="89">
        <v>0</v>
      </c>
      <c r="Q3367" t="s">
        <v>130</v>
      </c>
      <c r="R3367" t="s">
        <v>131</v>
      </c>
    </row>
    <row r="3368" spans="3:18" hidden="1" x14ac:dyDescent="0.25">
      <c r="C3368" t="s">
        <v>45</v>
      </c>
      <c r="D3368" t="s">
        <v>19</v>
      </c>
      <c r="E3368" t="s">
        <v>43</v>
      </c>
      <c r="F3368" t="s">
        <v>41</v>
      </c>
      <c r="G3368" s="89">
        <v>3482252</v>
      </c>
      <c r="H3368" t="s">
        <v>132</v>
      </c>
      <c r="I3368" t="s">
        <v>126</v>
      </c>
      <c r="J3368" s="89">
        <v>48751528</v>
      </c>
      <c r="K3368" t="s">
        <v>127</v>
      </c>
      <c r="L3368" t="s">
        <v>128</v>
      </c>
      <c r="N3368">
        <v>1</v>
      </c>
      <c r="O3368" s="89">
        <v>139290.07999999999</v>
      </c>
      <c r="P3368" s="89">
        <v>870563</v>
      </c>
      <c r="Q3368" t="s">
        <v>130</v>
      </c>
      <c r="R3368" t="s">
        <v>131</v>
      </c>
    </row>
    <row r="3369" spans="3:18" hidden="1" x14ac:dyDescent="0.25">
      <c r="C3369" t="s">
        <v>45</v>
      </c>
      <c r="D3369" t="s">
        <v>23</v>
      </c>
      <c r="E3369" t="s">
        <v>40</v>
      </c>
      <c r="F3369" t="s">
        <v>41</v>
      </c>
      <c r="G3369" s="89">
        <v>11211</v>
      </c>
      <c r="H3369" t="s">
        <v>132</v>
      </c>
      <c r="I3369" t="s">
        <v>141</v>
      </c>
      <c r="J3369" s="89">
        <v>89688</v>
      </c>
      <c r="K3369" t="s">
        <v>127</v>
      </c>
      <c r="L3369" t="s">
        <v>128</v>
      </c>
      <c r="N3369">
        <v>1</v>
      </c>
      <c r="O3369" s="89">
        <v>560.54999999999995</v>
      </c>
      <c r="P3369" s="89">
        <v>11547.33</v>
      </c>
      <c r="Q3369" t="s">
        <v>150</v>
      </c>
      <c r="R3369" t="s">
        <v>131</v>
      </c>
    </row>
    <row r="3370" spans="3:18" hidden="1" x14ac:dyDescent="0.25">
      <c r="C3370" t="s">
        <v>45</v>
      </c>
      <c r="D3370" t="s">
        <v>24</v>
      </c>
      <c r="E3370" t="s">
        <v>48</v>
      </c>
      <c r="F3370" t="s">
        <v>41</v>
      </c>
      <c r="G3370" s="89">
        <v>24303</v>
      </c>
      <c r="H3370" t="s">
        <v>42</v>
      </c>
      <c r="I3370" t="s">
        <v>141</v>
      </c>
      <c r="J3370" s="89">
        <v>170121</v>
      </c>
      <c r="K3370" t="s">
        <v>127</v>
      </c>
      <c r="L3370" t="s">
        <v>128</v>
      </c>
      <c r="M3370" t="s">
        <v>152</v>
      </c>
      <c r="N3370">
        <v>1</v>
      </c>
      <c r="O3370" s="89">
        <v>972.12</v>
      </c>
      <c r="P3370" s="89">
        <v>4374.54</v>
      </c>
      <c r="Q3370" t="s">
        <v>130</v>
      </c>
      <c r="R3370" t="s">
        <v>42</v>
      </c>
    </row>
    <row r="3371" spans="3:18" hidden="1" x14ac:dyDescent="0.25">
      <c r="C3371" t="s">
        <v>45</v>
      </c>
      <c r="D3371" t="s">
        <v>24</v>
      </c>
      <c r="E3371" t="s">
        <v>44</v>
      </c>
      <c r="F3371" t="s">
        <v>41</v>
      </c>
      <c r="G3371" s="89">
        <v>2318002</v>
      </c>
      <c r="H3371" t="s">
        <v>42</v>
      </c>
      <c r="I3371" t="s">
        <v>133</v>
      </c>
      <c r="J3371" s="89">
        <v>64904056</v>
      </c>
      <c r="K3371" t="s">
        <v>127</v>
      </c>
      <c r="L3371" t="s">
        <v>128</v>
      </c>
      <c r="M3371" t="s">
        <v>148</v>
      </c>
      <c r="N3371">
        <v>1</v>
      </c>
      <c r="O3371" s="89">
        <v>69540.06</v>
      </c>
      <c r="P3371" s="89">
        <v>1159001</v>
      </c>
      <c r="Q3371" t="s">
        <v>142</v>
      </c>
      <c r="R3371" t="s">
        <v>42</v>
      </c>
    </row>
    <row r="3372" spans="3:18" hidden="1" x14ac:dyDescent="0.25">
      <c r="C3372" t="s">
        <v>45</v>
      </c>
      <c r="D3372" t="s">
        <v>149</v>
      </c>
      <c r="E3372" t="s">
        <v>43</v>
      </c>
      <c r="F3372" t="s">
        <v>41</v>
      </c>
      <c r="G3372" s="89">
        <v>20870</v>
      </c>
      <c r="H3372" t="s">
        <v>132</v>
      </c>
      <c r="I3372" t="s">
        <v>141</v>
      </c>
      <c r="J3372" s="89">
        <v>166960</v>
      </c>
      <c r="K3372" t="s">
        <v>127</v>
      </c>
      <c r="L3372" t="s">
        <v>128</v>
      </c>
      <c r="N3372">
        <v>1</v>
      </c>
      <c r="O3372" s="89">
        <v>626.1</v>
      </c>
      <c r="P3372" s="89">
        <v>10017.6</v>
      </c>
      <c r="Q3372" t="s">
        <v>142</v>
      </c>
      <c r="R3372" t="s">
        <v>131</v>
      </c>
    </row>
    <row r="3373" spans="3:18" hidden="1" x14ac:dyDescent="0.25">
      <c r="C3373" t="s">
        <v>45</v>
      </c>
      <c r="D3373" t="s">
        <v>23</v>
      </c>
      <c r="E3373" t="s">
        <v>52</v>
      </c>
      <c r="F3373" t="s">
        <v>41</v>
      </c>
      <c r="G3373" s="89">
        <v>1302510</v>
      </c>
      <c r="H3373" t="s">
        <v>42</v>
      </c>
      <c r="I3373" t="s">
        <v>126</v>
      </c>
      <c r="J3373" s="89">
        <v>22142670</v>
      </c>
      <c r="K3373" t="s">
        <v>127</v>
      </c>
      <c r="L3373" t="s">
        <v>128</v>
      </c>
      <c r="M3373" t="s">
        <v>152</v>
      </c>
      <c r="N3373">
        <v>1</v>
      </c>
      <c r="O3373" s="89">
        <v>52100.4</v>
      </c>
      <c r="P3373" s="89">
        <v>677305.2</v>
      </c>
      <c r="Q3373" t="s">
        <v>142</v>
      </c>
      <c r="R3373" t="s">
        <v>42</v>
      </c>
    </row>
    <row r="3374" spans="3:18" hidden="1" x14ac:dyDescent="0.25">
      <c r="C3374" t="s">
        <v>45</v>
      </c>
      <c r="D3374" t="s">
        <v>21</v>
      </c>
      <c r="E3374" t="s">
        <v>40</v>
      </c>
      <c r="F3374" t="s">
        <v>41</v>
      </c>
      <c r="G3374" s="89">
        <v>11127533</v>
      </c>
      <c r="H3374" t="s">
        <v>42</v>
      </c>
      <c r="I3374" t="s">
        <v>133</v>
      </c>
      <c r="J3374" s="89">
        <v>322698457</v>
      </c>
      <c r="K3374" t="s">
        <v>144</v>
      </c>
      <c r="N3374">
        <v>1</v>
      </c>
      <c r="O3374" s="89">
        <v>333825.99</v>
      </c>
      <c r="P3374" s="89">
        <v>3338259.9</v>
      </c>
      <c r="Q3374" t="s">
        <v>130</v>
      </c>
      <c r="R3374" t="s">
        <v>42</v>
      </c>
    </row>
    <row r="3375" spans="3:18" x14ac:dyDescent="0.25">
      <c r="C3375" t="s">
        <v>47</v>
      </c>
      <c r="D3375" t="s">
        <v>19</v>
      </c>
      <c r="E3375" t="s">
        <v>43</v>
      </c>
      <c r="F3375" t="s">
        <v>41</v>
      </c>
      <c r="G3375" s="89">
        <v>2500</v>
      </c>
      <c r="H3375" t="s">
        <v>140</v>
      </c>
      <c r="I3375" t="s">
        <v>126</v>
      </c>
      <c r="J3375" s="89">
        <v>45000</v>
      </c>
      <c r="K3375" t="s">
        <v>127</v>
      </c>
      <c r="L3375" t="s">
        <v>128</v>
      </c>
      <c r="N3375">
        <v>1</v>
      </c>
      <c r="O3375" s="89">
        <v>125</v>
      </c>
      <c r="P3375" s="89">
        <v>2575</v>
      </c>
      <c r="Q3375" t="s">
        <v>150</v>
      </c>
      <c r="R3375" t="s">
        <v>131</v>
      </c>
    </row>
    <row r="3376" spans="3:18" hidden="1" x14ac:dyDescent="0.25">
      <c r="C3376" t="s">
        <v>45</v>
      </c>
      <c r="D3376" t="s">
        <v>19</v>
      </c>
      <c r="E3376" t="s">
        <v>43</v>
      </c>
      <c r="F3376" t="s">
        <v>41</v>
      </c>
      <c r="G3376" s="89">
        <v>18097871</v>
      </c>
      <c r="H3376" t="s">
        <v>145</v>
      </c>
      <c r="I3376" t="s">
        <v>133</v>
      </c>
      <c r="J3376" s="89">
        <v>506740388</v>
      </c>
      <c r="K3376" t="s">
        <v>127</v>
      </c>
      <c r="L3376" t="s">
        <v>128</v>
      </c>
      <c r="N3376">
        <v>1</v>
      </c>
      <c r="O3376" s="89">
        <v>542936.13</v>
      </c>
      <c r="P3376" s="89">
        <v>9048935.5</v>
      </c>
      <c r="Q3376" t="s">
        <v>142</v>
      </c>
      <c r="R3376" t="s">
        <v>131</v>
      </c>
    </row>
    <row r="3377" spans="3:18" hidden="1" x14ac:dyDescent="0.25">
      <c r="C3377" t="s">
        <v>45</v>
      </c>
      <c r="D3377" t="s">
        <v>20</v>
      </c>
      <c r="E3377" t="s">
        <v>40</v>
      </c>
      <c r="F3377" t="s">
        <v>41</v>
      </c>
      <c r="G3377" s="89">
        <v>5644749</v>
      </c>
      <c r="H3377" t="s">
        <v>42</v>
      </c>
      <c r="I3377" t="s">
        <v>133</v>
      </c>
      <c r="J3377" s="89">
        <v>174987219</v>
      </c>
      <c r="K3377" t="s">
        <v>127</v>
      </c>
      <c r="L3377" t="s">
        <v>128</v>
      </c>
      <c r="M3377" t="s">
        <v>139</v>
      </c>
      <c r="N3377">
        <v>1</v>
      </c>
      <c r="O3377" s="89">
        <v>169342.47</v>
      </c>
      <c r="P3377" s="89">
        <v>3894876.81</v>
      </c>
      <c r="Q3377" t="s">
        <v>137</v>
      </c>
      <c r="R3377" t="s">
        <v>42</v>
      </c>
    </row>
    <row r="3378" spans="3:18" hidden="1" x14ac:dyDescent="0.25">
      <c r="C3378" t="s">
        <v>45</v>
      </c>
      <c r="D3378" t="s">
        <v>19</v>
      </c>
      <c r="E3378" t="s">
        <v>40</v>
      </c>
      <c r="F3378" t="s">
        <v>41</v>
      </c>
      <c r="G3378" s="89">
        <v>195209</v>
      </c>
      <c r="H3378" t="s">
        <v>42</v>
      </c>
      <c r="I3378" t="s">
        <v>133</v>
      </c>
      <c r="J3378" s="89">
        <v>5075434</v>
      </c>
      <c r="K3378" t="s">
        <v>127</v>
      </c>
      <c r="L3378" t="s">
        <v>128</v>
      </c>
      <c r="M3378" t="s">
        <v>136</v>
      </c>
      <c r="N3378">
        <v>1</v>
      </c>
      <c r="O3378" s="89">
        <v>5856.27</v>
      </c>
      <c r="P3378" s="89">
        <v>60514.79</v>
      </c>
      <c r="Q3378" t="s">
        <v>130</v>
      </c>
      <c r="R3378" t="s">
        <v>42</v>
      </c>
    </row>
    <row r="3379" spans="3:18" hidden="1" x14ac:dyDescent="0.25">
      <c r="C3379" t="s">
        <v>45</v>
      </c>
      <c r="D3379" t="s">
        <v>21</v>
      </c>
      <c r="E3379" t="s">
        <v>40</v>
      </c>
      <c r="F3379" t="s">
        <v>41</v>
      </c>
      <c r="G3379" s="89">
        <v>412583</v>
      </c>
      <c r="H3379" t="s">
        <v>132</v>
      </c>
      <c r="I3379" t="s">
        <v>133</v>
      </c>
      <c r="J3379" s="89">
        <v>11964907</v>
      </c>
      <c r="K3379" t="s">
        <v>144</v>
      </c>
      <c r="N3379">
        <v>1</v>
      </c>
      <c r="O3379" s="89">
        <v>12377.49</v>
      </c>
      <c r="P3379" s="89">
        <v>90768.26</v>
      </c>
      <c r="Q3379" t="s">
        <v>130</v>
      </c>
      <c r="R3379" t="s">
        <v>131</v>
      </c>
    </row>
    <row r="3380" spans="3:18" hidden="1" x14ac:dyDescent="0.25">
      <c r="C3380" t="s">
        <v>45</v>
      </c>
      <c r="D3380" t="s">
        <v>21</v>
      </c>
      <c r="E3380" t="s">
        <v>40</v>
      </c>
      <c r="F3380" t="s">
        <v>41</v>
      </c>
      <c r="G3380" s="89">
        <v>13822</v>
      </c>
      <c r="H3380" t="s">
        <v>132</v>
      </c>
      <c r="I3380" t="s">
        <v>133</v>
      </c>
      <c r="J3380" s="89">
        <v>304084</v>
      </c>
      <c r="K3380" t="s">
        <v>134</v>
      </c>
      <c r="L3380" t="s">
        <v>128</v>
      </c>
      <c r="N3380">
        <v>1</v>
      </c>
      <c r="O3380" s="89">
        <v>414.66</v>
      </c>
      <c r="P3380" s="89">
        <v>14374.88</v>
      </c>
      <c r="Q3380" t="s">
        <v>150</v>
      </c>
      <c r="R3380" t="s">
        <v>131</v>
      </c>
    </row>
    <row r="3381" spans="3:18" hidden="1" x14ac:dyDescent="0.25">
      <c r="C3381" t="s">
        <v>45</v>
      </c>
      <c r="D3381" t="s">
        <v>20</v>
      </c>
      <c r="E3381" t="s">
        <v>43</v>
      </c>
      <c r="F3381" t="s">
        <v>41</v>
      </c>
      <c r="G3381" s="89">
        <v>2219888</v>
      </c>
      <c r="H3381" t="s">
        <v>42</v>
      </c>
      <c r="I3381" t="s">
        <v>133</v>
      </c>
      <c r="J3381" s="89">
        <v>57717088</v>
      </c>
      <c r="K3381" t="s">
        <v>127</v>
      </c>
      <c r="L3381" t="s">
        <v>128</v>
      </c>
      <c r="M3381" t="s">
        <v>129</v>
      </c>
      <c r="N3381">
        <v>1</v>
      </c>
      <c r="O3381" s="89">
        <v>66596.639999999999</v>
      </c>
      <c r="P3381" s="89">
        <v>1132142.8799999999</v>
      </c>
      <c r="Q3381" t="s">
        <v>142</v>
      </c>
      <c r="R3381" t="s">
        <v>42</v>
      </c>
    </row>
    <row r="3382" spans="3:18" hidden="1" x14ac:dyDescent="0.25">
      <c r="C3382" t="s">
        <v>45</v>
      </c>
      <c r="D3382" t="s">
        <v>23</v>
      </c>
      <c r="E3382" t="s">
        <v>48</v>
      </c>
      <c r="F3382" t="s">
        <v>41</v>
      </c>
      <c r="G3382" s="89">
        <v>11627373</v>
      </c>
      <c r="H3382" t="s">
        <v>42</v>
      </c>
      <c r="I3382" t="s">
        <v>133</v>
      </c>
      <c r="J3382" s="89">
        <v>325566444</v>
      </c>
      <c r="K3382" t="s">
        <v>127</v>
      </c>
      <c r="L3382" t="s">
        <v>128</v>
      </c>
      <c r="M3382" t="s">
        <v>152</v>
      </c>
      <c r="N3382">
        <v>1</v>
      </c>
      <c r="O3382" s="89">
        <v>348821.19</v>
      </c>
      <c r="P3382" s="89">
        <v>5929960.2300000004</v>
      </c>
      <c r="Q3382" t="s">
        <v>142</v>
      </c>
      <c r="R3382" t="s">
        <v>42</v>
      </c>
    </row>
    <row r="3383" spans="3:18" hidden="1" x14ac:dyDescent="0.25">
      <c r="C3383" t="s">
        <v>45</v>
      </c>
      <c r="D3383" t="s">
        <v>23</v>
      </c>
      <c r="E3383" t="s">
        <v>44</v>
      </c>
      <c r="F3383" t="s">
        <v>53</v>
      </c>
      <c r="G3383" s="89">
        <v>89261</v>
      </c>
      <c r="H3383" t="s">
        <v>42</v>
      </c>
      <c r="I3383" t="s">
        <v>133</v>
      </c>
      <c r="J3383" s="89">
        <v>3481179</v>
      </c>
      <c r="K3383" t="s">
        <v>144</v>
      </c>
      <c r="N3383">
        <v>1</v>
      </c>
      <c r="O3383" s="89">
        <v>2677.83</v>
      </c>
      <c r="P3383" s="89">
        <v>31241.35</v>
      </c>
      <c r="Q3383" t="s">
        <v>130</v>
      </c>
      <c r="R3383" t="s">
        <v>42</v>
      </c>
    </row>
    <row r="3384" spans="3:18" hidden="1" x14ac:dyDescent="0.25">
      <c r="C3384" t="s">
        <v>45</v>
      </c>
      <c r="D3384" t="s">
        <v>23</v>
      </c>
      <c r="E3384" t="s">
        <v>48</v>
      </c>
      <c r="F3384" t="s">
        <v>53</v>
      </c>
      <c r="G3384" s="89">
        <v>642977</v>
      </c>
      <c r="H3384" t="s">
        <v>42</v>
      </c>
      <c r="I3384" t="s">
        <v>133</v>
      </c>
      <c r="J3384" s="89">
        <v>19932287</v>
      </c>
      <c r="K3384" t="s">
        <v>144</v>
      </c>
      <c r="N3384">
        <v>1</v>
      </c>
      <c r="O3384" s="89">
        <v>19289.310000000001</v>
      </c>
      <c r="P3384" s="89">
        <v>347207.58</v>
      </c>
      <c r="Q3384" t="s">
        <v>142</v>
      </c>
      <c r="R3384" t="s">
        <v>42</v>
      </c>
    </row>
    <row r="3385" spans="3:18" hidden="1" x14ac:dyDescent="0.25">
      <c r="C3385" t="s">
        <v>45</v>
      </c>
      <c r="D3385" t="s">
        <v>21</v>
      </c>
      <c r="E3385" t="s">
        <v>43</v>
      </c>
      <c r="F3385" t="s">
        <v>53</v>
      </c>
      <c r="G3385" s="89">
        <v>589013</v>
      </c>
      <c r="H3385" t="s">
        <v>140</v>
      </c>
      <c r="I3385" t="s">
        <v>133</v>
      </c>
      <c r="J3385" s="89">
        <v>18848416</v>
      </c>
      <c r="K3385" t="s">
        <v>144</v>
      </c>
      <c r="N3385">
        <v>1</v>
      </c>
      <c r="O3385" s="89">
        <v>17670.39</v>
      </c>
      <c r="P3385" s="89">
        <v>117802.6</v>
      </c>
      <c r="Q3385" t="s">
        <v>130</v>
      </c>
      <c r="R3385" t="s">
        <v>131</v>
      </c>
    </row>
    <row r="3386" spans="3:18" hidden="1" x14ac:dyDescent="0.25">
      <c r="C3386" t="s">
        <v>45</v>
      </c>
      <c r="D3386" t="s">
        <v>22</v>
      </c>
      <c r="E3386" t="s">
        <v>43</v>
      </c>
      <c r="F3386" t="s">
        <v>41</v>
      </c>
      <c r="G3386" s="89">
        <v>28353</v>
      </c>
      <c r="H3386" t="s">
        <v>140</v>
      </c>
      <c r="I3386" t="s">
        <v>141</v>
      </c>
      <c r="J3386" s="89">
        <v>226824</v>
      </c>
      <c r="K3386" t="s">
        <v>134</v>
      </c>
      <c r="L3386" t="s">
        <v>128</v>
      </c>
      <c r="N3386">
        <v>1</v>
      </c>
      <c r="O3386" s="89">
        <v>850.59</v>
      </c>
      <c r="P3386" s="89">
        <v>4536.4799999999996</v>
      </c>
      <c r="Q3386" t="s">
        <v>130</v>
      </c>
      <c r="R3386" t="s">
        <v>131</v>
      </c>
    </row>
    <row r="3387" spans="3:18" x14ac:dyDescent="0.25">
      <c r="C3387" t="s">
        <v>47</v>
      </c>
      <c r="D3387" t="s">
        <v>138</v>
      </c>
      <c r="E3387" t="s">
        <v>43</v>
      </c>
      <c r="F3387" t="s">
        <v>41</v>
      </c>
      <c r="G3387" s="89">
        <v>162912</v>
      </c>
      <c r="H3387" t="s">
        <v>42</v>
      </c>
      <c r="I3387" t="s">
        <v>126</v>
      </c>
      <c r="J3387" s="89">
        <v>1792032</v>
      </c>
      <c r="K3387" t="s">
        <v>144</v>
      </c>
      <c r="N3387">
        <v>1</v>
      </c>
      <c r="O3387" s="89">
        <v>6516.48</v>
      </c>
      <c r="P3387" s="89">
        <v>92859.839999999997</v>
      </c>
      <c r="Q3387" t="s">
        <v>142</v>
      </c>
      <c r="R3387" t="s">
        <v>131</v>
      </c>
    </row>
    <row r="3388" spans="3:18" hidden="1" x14ac:dyDescent="0.25">
      <c r="C3388" t="s">
        <v>45</v>
      </c>
      <c r="D3388" t="s">
        <v>23</v>
      </c>
      <c r="E3388" t="s">
        <v>40</v>
      </c>
      <c r="F3388" t="s">
        <v>41</v>
      </c>
      <c r="G3388" s="89">
        <v>5417913</v>
      </c>
      <c r="H3388" t="s">
        <v>146</v>
      </c>
      <c r="I3388" t="s">
        <v>126</v>
      </c>
      <c r="J3388" s="89">
        <v>81268695</v>
      </c>
      <c r="K3388" t="s">
        <v>127</v>
      </c>
      <c r="L3388" t="s">
        <v>128</v>
      </c>
      <c r="N3388">
        <v>1</v>
      </c>
      <c r="O3388" s="89">
        <v>162537.39000000001</v>
      </c>
      <c r="P3388" s="89">
        <v>1462836.51</v>
      </c>
      <c r="Q3388" t="s">
        <v>130</v>
      </c>
      <c r="R3388" t="s">
        <v>131</v>
      </c>
    </row>
    <row r="3389" spans="3:18" hidden="1" x14ac:dyDescent="0.25">
      <c r="C3389" t="s">
        <v>45</v>
      </c>
      <c r="D3389" t="s">
        <v>21</v>
      </c>
      <c r="E3389" t="s">
        <v>40</v>
      </c>
      <c r="F3389" t="s">
        <v>41</v>
      </c>
      <c r="G3389" s="89">
        <v>40818826</v>
      </c>
      <c r="H3389" t="s">
        <v>42</v>
      </c>
      <c r="I3389" t="s">
        <v>133</v>
      </c>
      <c r="J3389" s="89">
        <v>1306202432</v>
      </c>
      <c r="K3389" t="s">
        <v>144</v>
      </c>
      <c r="N3389">
        <v>1</v>
      </c>
      <c r="O3389" s="89">
        <v>1224564.78</v>
      </c>
      <c r="P3389" s="89">
        <v>21225789.52</v>
      </c>
      <c r="Q3389" t="s">
        <v>142</v>
      </c>
      <c r="R3389" t="s">
        <v>42</v>
      </c>
    </row>
    <row r="3390" spans="3:18" hidden="1" x14ac:dyDescent="0.25">
      <c r="C3390" t="s">
        <v>45</v>
      </c>
      <c r="D3390" t="s">
        <v>138</v>
      </c>
      <c r="E3390" t="s">
        <v>43</v>
      </c>
      <c r="F3390" t="s">
        <v>41</v>
      </c>
      <c r="G3390" s="89">
        <v>69942</v>
      </c>
      <c r="H3390" t="s">
        <v>42</v>
      </c>
      <c r="I3390" t="s">
        <v>133</v>
      </c>
      <c r="J3390" s="89">
        <v>2098260</v>
      </c>
      <c r="K3390" t="s">
        <v>127</v>
      </c>
      <c r="L3390" t="s">
        <v>151</v>
      </c>
      <c r="M3390" t="s">
        <v>156</v>
      </c>
      <c r="N3390">
        <v>1</v>
      </c>
      <c r="O3390" s="89">
        <v>2098.2600000000002</v>
      </c>
      <c r="P3390" s="89">
        <v>23080.86</v>
      </c>
      <c r="Q3390" t="s">
        <v>130</v>
      </c>
      <c r="R3390" t="s">
        <v>131</v>
      </c>
    </row>
    <row r="3391" spans="3:18" hidden="1" x14ac:dyDescent="0.25">
      <c r="C3391" t="s">
        <v>45</v>
      </c>
      <c r="D3391" t="s">
        <v>21</v>
      </c>
      <c r="E3391" t="s">
        <v>40</v>
      </c>
      <c r="F3391" t="s">
        <v>53</v>
      </c>
      <c r="G3391" s="89">
        <v>25058</v>
      </c>
      <c r="H3391" t="s">
        <v>140</v>
      </c>
      <c r="I3391" t="s">
        <v>141</v>
      </c>
      <c r="J3391" s="89">
        <v>150348</v>
      </c>
      <c r="K3391" t="s">
        <v>127</v>
      </c>
      <c r="L3391" t="s">
        <v>128</v>
      </c>
      <c r="N3391">
        <v>1</v>
      </c>
      <c r="O3391" s="89">
        <v>751.74</v>
      </c>
      <c r="P3391" s="89">
        <v>4009.28</v>
      </c>
      <c r="Q3391" t="s">
        <v>130</v>
      </c>
      <c r="R3391" t="s">
        <v>131</v>
      </c>
    </row>
    <row r="3392" spans="3:18" hidden="1" x14ac:dyDescent="0.25">
      <c r="C3392" t="s">
        <v>45</v>
      </c>
      <c r="D3392" t="s">
        <v>138</v>
      </c>
      <c r="E3392" t="s">
        <v>43</v>
      </c>
      <c r="F3392" t="s">
        <v>41</v>
      </c>
      <c r="G3392" s="89">
        <v>156077</v>
      </c>
      <c r="H3392" t="s">
        <v>146</v>
      </c>
      <c r="I3392" t="s">
        <v>126</v>
      </c>
      <c r="J3392" s="89">
        <v>2341155</v>
      </c>
      <c r="K3392" t="s">
        <v>144</v>
      </c>
      <c r="N3392">
        <v>1</v>
      </c>
      <c r="O3392" s="89">
        <v>4682.3100000000004</v>
      </c>
      <c r="P3392" s="89">
        <v>40580.019999999997</v>
      </c>
      <c r="Q3392" t="s">
        <v>130</v>
      </c>
      <c r="R3392" t="s">
        <v>131</v>
      </c>
    </row>
    <row r="3393" spans="3:18" hidden="1" x14ac:dyDescent="0.25">
      <c r="C3393" t="s">
        <v>45</v>
      </c>
      <c r="D3393" t="s">
        <v>21</v>
      </c>
      <c r="E3393" t="s">
        <v>40</v>
      </c>
      <c r="F3393" t="s">
        <v>53</v>
      </c>
      <c r="G3393" s="89">
        <v>199823</v>
      </c>
      <c r="H3393" t="s">
        <v>140</v>
      </c>
      <c r="I3393" t="s">
        <v>133</v>
      </c>
      <c r="J3393" s="89">
        <v>5994690</v>
      </c>
      <c r="K3393" t="s">
        <v>127</v>
      </c>
      <c r="L3393" t="s">
        <v>128</v>
      </c>
      <c r="N3393">
        <v>1</v>
      </c>
      <c r="O3393" s="89">
        <v>5994.69</v>
      </c>
      <c r="P3393" s="89">
        <v>115897.34</v>
      </c>
      <c r="Q3393" t="s">
        <v>142</v>
      </c>
      <c r="R3393" t="s">
        <v>131</v>
      </c>
    </row>
    <row r="3394" spans="3:18" hidden="1" x14ac:dyDescent="0.25">
      <c r="C3394" t="s">
        <v>45</v>
      </c>
      <c r="D3394" t="s">
        <v>23</v>
      </c>
      <c r="E3394" t="s">
        <v>40</v>
      </c>
      <c r="F3394" t="s">
        <v>41</v>
      </c>
      <c r="G3394" s="89">
        <v>74262</v>
      </c>
      <c r="H3394" t="s">
        <v>132</v>
      </c>
      <c r="I3394" t="s">
        <v>126</v>
      </c>
      <c r="J3394" s="89">
        <v>1188192</v>
      </c>
      <c r="K3394" t="s">
        <v>134</v>
      </c>
      <c r="L3394" t="s">
        <v>128</v>
      </c>
      <c r="N3394">
        <v>1</v>
      </c>
      <c r="O3394" s="89">
        <v>2227.86</v>
      </c>
      <c r="P3394" s="89">
        <v>36388.379999999997</v>
      </c>
      <c r="Q3394" t="s">
        <v>142</v>
      </c>
      <c r="R3394" t="s">
        <v>131</v>
      </c>
    </row>
    <row r="3395" spans="3:18" x14ac:dyDescent="0.25">
      <c r="C3395" t="s">
        <v>47</v>
      </c>
      <c r="D3395" t="s">
        <v>19</v>
      </c>
      <c r="E3395" t="s">
        <v>40</v>
      </c>
      <c r="F3395" t="s">
        <v>41</v>
      </c>
      <c r="G3395" s="89">
        <v>69768</v>
      </c>
      <c r="H3395" t="s">
        <v>42</v>
      </c>
      <c r="I3395" t="s">
        <v>133</v>
      </c>
      <c r="J3395" s="89">
        <v>2093040</v>
      </c>
      <c r="K3395" t="s">
        <v>127</v>
      </c>
      <c r="L3395" t="s">
        <v>128</v>
      </c>
      <c r="M3395" t="s">
        <v>136</v>
      </c>
      <c r="N3395">
        <v>1</v>
      </c>
      <c r="O3395" s="89">
        <v>2093.04</v>
      </c>
      <c r="P3395" s="89">
        <v>12558.24</v>
      </c>
      <c r="Q3395" t="s">
        <v>130</v>
      </c>
      <c r="R3395" t="s">
        <v>131</v>
      </c>
    </row>
    <row r="3396" spans="3:18" x14ac:dyDescent="0.25">
      <c r="C3396" t="s">
        <v>47</v>
      </c>
      <c r="D3396" t="s">
        <v>21</v>
      </c>
      <c r="E3396" t="s">
        <v>40</v>
      </c>
      <c r="F3396" t="s">
        <v>41</v>
      </c>
      <c r="G3396" s="89">
        <v>6080760</v>
      </c>
      <c r="H3396" t="s">
        <v>42</v>
      </c>
      <c r="I3396" t="s">
        <v>147</v>
      </c>
      <c r="J3396" s="89">
        <v>30403800</v>
      </c>
      <c r="K3396" t="s">
        <v>127</v>
      </c>
      <c r="L3396" t="s">
        <v>128</v>
      </c>
      <c r="M3396" t="s">
        <v>129</v>
      </c>
      <c r="N3396">
        <v>1</v>
      </c>
      <c r="O3396" s="89">
        <v>121615.2</v>
      </c>
      <c r="P3396" s="89">
        <v>4013301.6</v>
      </c>
      <c r="Q3396" t="s">
        <v>137</v>
      </c>
      <c r="R3396" t="s">
        <v>131</v>
      </c>
    </row>
    <row r="3397" spans="3:18" hidden="1" x14ac:dyDescent="0.25">
      <c r="C3397" t="s">
        <v>45</v>
      </c>
      <c r="D3397" t="s">
        <v>21</v>
      </c>
      <c r="E3397" t="s">
        <v>40</v>
      </c>
      <c r="F3397" t="s">
        <v>41</v>
      </c>
      <c r="G3397" s="89">
        <v>9726</v>
      </c>
      <c r="H3397" t="s">
        <v>146</v>
      </c>
      <c r="I3397" t="s">
        <v>141</v>
      </c>
      <c r="J3397" s="89">
        <v>97260</v>
      </c>
      <c r="K3397" t="s">
        <v>144</v>
      </c>
      <c r="N3397">
        <v>1</v>
      </c>
      <c r="O3397" s="89">
        <v>291.77999999999997</v>
      </c>
      <c r="P3397" s="89">
        <v>7002.72</v>
      </c>
      <c r="Q3397" t="s">
        <v>137</v>
      </c>
      <c r="R3397" t="s">
        <v>131</v>
      </c>
    </row>
    <row r="3398" spans="3:18" hidden="1" x14ac:dyDescent="0.25">
      <c r="C3398" t="s">
        <v>45</v>
      </c>
      <c r="D3398" t="s">
        <v>149</v>
      </c>
      <c r="E3398" t="s">
        <v>48</v>
      </c>
      <c r="F3398" t="s">
        <v>41</v>
      </c>
      <c r="G3398" s="89">
        <v>355032</v>
      </c>
      <c r="H3398" t="s">
        <v>42</v>
      </c>
      <c r="I3398" t="s">
        <v>126</v>
      </c>
      <c r="J3398" s="89">
        <v>6035544</v>
      </c>
      <c r="K3398" t="s">
        <v>127</v>
      </c>
      <c r="L3398" t="s">
        <v>128</v>
      </c>
      <c r="M3398" t="s">
        <v>136</v>
      </c>
      <c r="N3398">
        <v>1</v>
      </c>
      <c r="O3398" s="89">
        <v>7100.64</v>
      </c>
      <c r="P3398" s="89">
        <v>117160.56</v>
      </c>
      <c r="Q3398" t="s">
        <v>130</v>
      </c>
      <c r="R3398" t="s">
        <v>131</v>
      </c>
    </row>
    <row r="3399" spans="3:18" x14ac:dyDescent="0.25">
      <c r="C3399" t="s">
        <v>47</v>
      </c>
      <c r="D3399" t="s">
        <v>21</v>
      </c>
      <c r="E3399" t="s">
        <v>40</v>
      </c>
      <c r="F3399" t="s">
        <v>41</v>
      </c>
      <c r="G3399" s="89">
        <v>1112393</v>
      </c>
      <c r="H3399" t="s">
        <v>146</v>
      </c>
      <c r="I3399" t="s">
        <v>126</v>
      </c>
      <c r="J3399" s="89">
        <v>13348716</v>
      </c>
      <c r="K3399" t="s">
        <v>127</v>
      </c>
      <c r="L3399" t="s">
        <v>128</v>
      </c>
      <c r="N3399">
        <v>1</v>
      </c>
      <c r="O3399" s="89">
        <v>55619.65</v>
      </c>
      <c r="P3399" s="89">
        <v>333717.90000000002</v>
      </c>
      <c r="Q3399" t="s">
        <v>130</v>
      </c>
      <c r="R3399" t="s">
        <v>131</v>
      </c>
    </row>
    <row r="3400" spans="3:18" hidden="1" x14ac:dyDescent="0.25">
      <c r="C3400" t="s">
        <v>45</v>
      </c>
      <c r="D3400" t="s">
        <v>21</v>
      </c>
      <c r="E3400" t="s">
        <v>43</v>
      </c>
      <c r="F3400" t="s">
        <v>41</v>
      </c>
      <c r="G3400" s="89">
        <v>13967</v>
      </c>
      <c r="H3400" t="s">
        <v>42</v>
      </c>
      <c r="I3400" t="s">
        <v>147</v>
      </c>
      <c r="J3400" s="89"/>
      <c r="K3400" t="s">
        <v>127</v>
      </c>
      <c r="L3400" t="s">
        <v>128</v>
      </c>
      <c r="M3400" t="s">
        <v>129</v>
      </c>
      <c r="N3400">
        <v>0</v>
      </c>
      <c r="O3400" s="89">
        <v>1117.3599999999999</v>
      </c>
      <c r="P3400" s="89">
        <v>558.67999999999995</v>
      </c>
      <c r="Q3400" t="s">
        <v>130</v>
      </c>
      <c r="R3400" t="s">
        <v>131</v>
      </c>
    </row>
    <row r="3401" spans="3:18" x14ac:dyDescent="0.25">
      <c r="C3401" t="s">
        <v>47</v>
      </c>
      <c r="D3401" t="s">
        <v>149</v>
      </c>
      <c r="E3401" t="s">
        <v>52</v>
      </c>
      <c r="F3401" t="s">
        <v>41</v>
      </c>
      <c r="G3401" s="89">
        <v>191637</v>
      </c>
      <c r="H3401" t="s">
        <v>42</v>
      </c>
      <c r="I3401" t="s">
        <v>147</v>
      </c>
      <c r="J3401" s="89">
        <v>766548</v>
      </c>
      <c r="K3401" t="s">
        <v>134</v>
      </c>
      <c r="L3401" t="s">
        <v>128</v>
      </c>
      <c r="M3401" t="s">
        <v>136</v>
      </c>
      <c r="N3401">
        <v>1</v>
      </c>
      <c r="O3401" s="89">
        <v>5749.11</v>
      </c>
      <c r="P3401" s="89">
        <v>17247.330000000002</v>
      </c>
      <c r="Q3401" t="s">
        <v>130</v>
      </c>
      <c r="R3401" t="s">
        <v>131</v>
      </c>
    </row>
    <row r="3402" spans="3:18" hidden="1" x14ac:dyDescent="0.25">
      <c r="C3402" t="s">
        <v>45</v>
      </c>
      <c r="D3402" t="s">
        <v>20</v>
      </c>
      <c r="E3402" t="s">
        <v>43</v>
      </c>
      <c r="F3402" t="s">
        <v>41</v>
      </c>
      <c r="G3402" s="89">
        <v>700495</v>
      </c>
      <c r="H3402" t="s">
        <v>146</v>
      </c>
      <c r="I3402" t="s">
        <v>133</v>
      </c>
      <c r="J3402" s="89">
        <v>18913365</v>
      </c>
      <c r="K3402" t="s">
        <v>144</v>
      </c>
      <c r="N3402">
        <v>1</v>
      </c>
      <c r="O3402" s="89">
        <v>21014.85</v>
      </c>
      <c r="P3402" s="89">
        <v>490346.5</v>
      </c>
      <c r="Q3402" t="s">
        <v>137</v>
      </c>
      <c r="R3402" t="s">
        <v>131</v>
      </c>
    </row>
    <row r="3403" spans="3:18" hidden="1" x14ac:dyDescent="0.25">
      <c r="C3403" t="s">
        <v>45</v>
      </c>
      <c r="D3403" t="s">
        <v>23</v>
      </c>
      <c r="E3403" t="s">
        <v>48</v>
      </c>
      <c r="F3403" t="s">
        <v>41</v>
      </c>
      <c r="G3403" s="89">
        <v>45677</v>
      </c>
      <c r="H3403" t="s">
        <v>146</v>
      </c>
      <c r="I3403" t="s">
        <v>126</v>
      </c>
      <c r="J3403" s="89">
        <v>502447</v>
      </c>
      <c r="K3403" t="s">
        <v>144</v>
      </c>
      <c r="N3403">
        <v>1</v>
      </c>
      <c r="O3403" s="89">
        <v>1370.31</v>
      </c>
      <c r="P3403" s="89">
        <v>35628.06</v>
      </c>
      <c r="Q3403" t="s">
        <v>137</v>
      </c>
      <c r="R3403" t="s">
        <v>131</v>
      </c>
    </row>
    <row r="3404" spans="3:18" x14ac:dyDescent="0.25">
      <c r="C3404" t="s">
        <v>47</v>
      </c>
      <c r="D3404" t="s">
        <v>22</v>
      </c>
      <c r="E3404" t="s">
        <v>48</v>
      </c>
      <c r="F3404" t="s">
        <v>41</v>
      </c>
      <c r="G3404" s="89">
        <v>45832</v>
      </c>
      <c r="H3404" t="s">
        <v>140</v>
      </c>
      <c r="I3404" t="s">
        <v>141</v>
      </c>
      <c r="J3404" s="89">
        <v>412488</v>
      </c>
      <c r="K3404" t="s">
        <v>127</v>
      </c>
      <c r="L3404" t="s">
        <v>128</v>
      </c>
      <c r="N3404">
        <v>1</v>
      </c>
      <c r="O3404" s="89">
        <v>1374.96</v>
      </c>
      <c r="P3404" s="89">
        <v>32082.400000000001</v>
      </c>
      <c r="Q3404" t="s">
        <v>137</v>
      </c>
      <c r="R3404" t="s">
        <v>131</v>
      </c>
    </row>
    <row r="3405" spans="3:18" hidden="1" x14ac:dyDescent="0.25">
      <c r="C3405" t="s">
        <v>45</v>
      </c>
      <c r="D3405" t="s">
        <v>138</v>
      </c>
      <c r="E3405" t="s">
        <v>43</v>
      </c>
      <c r="F3405" t="s">
        <v>41</v>
      </c>
      <c r="G3405" s="89">
        <v>105131</v>
      </c>
      <c r="H3405" t="s">
        <v>146</v>
      </c>
      <c r="I3405" t="s">
        <v>133</v>
      </c>
      <c r="J3405" s="89">
        <v>2523144</v>
      </c>
      <c r="K3405" t="s">
        <v>134</v>
      </c>
      <c r="L3405" t="s">
        <v>128</v>
      </c>
      <c r="N3405">
        <v>1</v>
      </c>
      <c r="O3405" s="89">
        <v>3153.93</v>
      </c>
      <c r="P3405" s="89">
        <v>72540.39</v>
      </c>
      <c r="Q3405" t="s">
        <v>137</v>
      </c>
      <c r="R3405" t="s">
        <v>131</v>
      </c>
    </row>
    <row r="3406" spans="3:18" x14ac:dyDescent="0.25">
      <c r="C3406" t="s">
        <v>47</v>
      </c>
      <c r="D3406" t="s">
        <v>24</v>
      </c>
      <c r="E3406" t="s">
        <v>48</v>
      </c>
      <c r="F3406" t="s">
        <v>41</v>
      </c>
      <c r="G3406" s="89">
        <v>1680540</v>
      </c>
      <c r="H3406" t="s">
        <v>132</v>
      </c>
      <c r="I3406" t="s">
        <v>141</v>
      </c>
      <c r="J3406" s="89">
        <v>10083240</v>
      </c>
      <c r="K3406" t="s">
        <v>127</v>
      </c>
      <c r="L3406" t="s">
        <v>128</v>
      </c>
      <c r="N3406">
        <v>1</v>
      </c>
      <c r="O3406" s="89">
        <v>67221.600000000006</v>
      </c>
      <c r="P3406" s="89">
        <v>504162</v>
      </c>
      <c r="Q3406" t="s">
        <v>130</v>
      </c>
      <c r="R3406" t="s">
        <v>131</v>
      </c>
    </row>
    <row r="3407" spans="3:18" hidden="1" x14ac:dyDescent="0.25">
      <c r="C3407" t="s">
        <v>45</v>
      </c>
      <c r="D3407" t="s">
        <v>23</v>
      </c>
      <c r="E3407" t="s">
        <v>46</v>
      </c>
      <c r="F3407" t="s">
        <v>41</v>
      </c>
      <c r="G3407" s="89">
        <v>7711788</v>
      </c>
      <c r="H3407" t="s">
        <v>42</v>
      </c>
      <c r="I3407" t="s">
        <v>133</v>
      </c>
      <c r="J3407" s="89">
        <v>246777216</v>
      </c>
      <c r="K3407" t="s">
        <v>144</v>
      </c>
      <c r="N3407">
        <v>1</v>
      </c>
      <c r="O3407" s="89">
        <v>231353.64</v>
      </c>
      <c r="P3407" s="89">
        <v>3778776.12</v>
      </c>
      <c r="Q3407" t="s">
        <v>142</v>
      </c>
      <c r="R3407" t="s">
        <v>42</v>
      </c>
    </row>
    <row r="3408" spans="3:18" hidden="1" x14ac:dyDescent="0.25">
      <c r="C3408" t="s">
        <v>45</v>
      </c>
      <c r="D3408" t="s">
        <v>138</v>
      </c>
      <c r="E3408" t="s">
        <v>40</v>
      </c>
      <c r="F3408" t="s">
        <v>41</v>
      </c>
      <c r="G3408" s="89">
        <v>2882055</v>
      </c>
      <c r="H3408" t="s">
        <v>42</v>
      </c>
      <c r="I3408" t="s">
        <v>133</v>
      </c>
      <c r="J3408" s="89">
        <v>100871925</v>
      </c>
      <c r="K3408" t="s">
        <v>127</v>
      </c>
      <c r="L3408" t="s">
        <v>128</v>
      </c>
      <c r="M3408" t="s">
        <v>139</v>
      </c>
      <c r="N3408">
        <v>1</v>
      </c>
      <c r="O3408" s="89">
        <v>86461.65</v>
      </c>
      <c r="P3408" s="89">
        <v>2392105.65</v>
      </c>
      <c r="Q3408" t="s">
        <v>135</v>
      </c>
      <c r="R3408" t="s">
        <v>42</v>
      </c>
    </row>
    <row r="3409" spans="3:18" hidden="1" x14ac:dyDescent="0.25">
      <c r="C3409" t="s">
        <v>45</v>
      </c>
      <c r="D3409" t="s">
        <v>21</v>
      </c>
      <c r="E3409" t="s">
        <v>40</v>
      </c>
      <c r="F3409" t="s">
        <v>41</v>
      </c>
      <c r="G3409" s="89">
        <v>43648</v>
      </c>
      <c r="H3409" t="s">
        <v>146</v>
      </c>
      <c r="I3409" t="s">
        <v>133</v>
      </c>
      <c r="J3409" s="89">
        <v>1047552</v>
      </c>
      <c r="K3409" t="s">
        <v>134</v>
      </c>
      <c r="L3409" t="s">
        <v>128</v>
      </c>
      <c r="N3409">
        <v>1</v>
      </c>
      <c r="O3409" s="89">
        <v>1309.44</v>
      </c>
      <c r="P3409" s="89">
        <v>12221.44</v>
      </c>
      <c r="Q3409" t="s">
        <v>130</v>
      </c>
      <c r="R3409" t="s">
        <v>131</v>
      </c>
    </row>
    <row r="3410" spans="3:18" hidden="1" x14ac:dyDescent="0.25">
      <c r="C3410" t="s">
        <v>45</v>
      </c>
      <c r="D3410" t="s">
        <v>21</v>
      </c>
      <c r="E3410" t="s">
        <v>43</v>
      </c>
      <c r="F3410" t="s">
        <v>41</v>
      </c>
      <c r="G3410" s="89">
        <v>242455</v>
      </c>
      <c r="H3410" t="s">
        <v>42</v>
      </c>
      <c r="I3410" t="s">
        <v>133</v>
      </c>
      <c r="J3410" s="89">
        <v>9213290</v>
      </c>
      <c r="K3410" t="s">
        <v>127</v>
      </c>
      <c r="L3410" t="s">
        <v>151</v>
      </c>
      <c r="M3410" t="s">
        <v>156</v>
      </c>
      <c r="N3410">
        <v>1</v>
      </c>
      <c r="O3410" s="89">
        <v>7273.65</v>
      </c>
      <c r="P3410" s="89">
        <v>181841.25</v>
      </c>
      <c r="Q3410" t="s">
        <v>137</v>
      </c>
      <c r="R3410" t="s">
        <v>131</v>
      </c>
    </row>
    <row r="3411" spans="3:18" x14ac:dyDescent="0.25">
      <c r="C3411" t="s">
        <v>47</v>
      </c>
      <c r="D3411" t="s">
        <v>23</v>
      </c>
      <c r="E3411" t="s">
        <v>40</v>
      </c>
      <c r="F3411" t="s">
        <v>41</v>
      </c>
      <c r="G3411" s="89">
        <v>37100</v>
      </c>
      <c r="H3411" t="s">
        <v>42</v>
      </c>
      <c r="I3411" t="s">
        <v>133</v>
      </c>
      <c r="J3411" s="89">
        <v>779100</v>
      </c>
      <c r="K3411" t="s">
        <v>127</v>
      </c>
      <c r="L3411" t="s">
        <v>128</v>
      </c>
      <c r="M3411" t="s">
        <v>152</v>
      </c>
      <c r="N3411">
        <v>1</v>
      </c>
      <c r="O3411" s="89">
        <v>742</v>
      </c>
      <c r="P3411" s="89">
        <v>12614</v>
      </c>
      <c r="Q3411" t="s">
        <v>130</v>
      </c>
      <c r="R3411" t="s">
        <v>131</v>
      </c>
    </row>
    <row r="3412" spans="3:18" hidden="1" x14ac:dyDescent="0.25">
      <c r="C3412" t="s">
        <v>45</v>
      </c>
      <c r="D3412" t="s">
        <v>22</v>
      </c>
      <c r="E3412" t="s">
        <v>40</v>
      </c>
      <c r="F3412" t="s">
        <v>41</v>
      </c>
      <c r="G3412" s="89">
        <v>12982122</v>
      </c>
      <c r="H3412" t="s">
        <v>140</v>
      </c>
      <c r="I3412" t="s">
        <v>147</v>
      </c>
      <c r="J3412" s="89">
        <v>38946366</v>
      </c>
      <c r="K3412" t="s">
        <v>127</v>
      </c>
      <c r="L3412" t="s">
        <v>128</v>
      </c>
      <c r="N3412">
        <v>1</v>
      </c>
      <c r="O3412" s="89">
        <v>519284.88</v>
      </c>
      <c r="P3412" s="89">
        <v>6101597.3399999999</v>
      </c>
      <c r="Q3412" t="s">
        <v>142</v>
      </c>
      <c r="R3412" t="s">
        <v>131</v>
      </c>
    </row>
    <row r="3413" spans="3:18" hidden="1" x14ac:dyDescent="0.25">
      <c r="C3413" t="s">
        <v>45</v>
      </c>
      <c r="D3413" t="s">
        <v>22</v>
      </c>
      <c r="E3413" t="s">
        <v>40</v>
      </c>
      <c r="F3413" t="s">
        <v>41</v>
      </c>
      <c r="G3413" s="89">
        <v>36561</v>
      </c>
      <c r="H3413" t="s">
        <v>146</v>
      </c>
      <c r="I3413" t="s">
        <v>141</v>
      </c>
      <c r="J3413" s="89">
        <v>329049</v>
      </c>
      <c r="K3413" t="s">
        <v>127</v>
      </c>
      <c r="L3413" t="s">
        <v>151</v>
      </c>
      <c r="N3413">
        <v>1</v>
      </c>
      <c r="O3413" s="89">
        <v>1096.83</v>
      </c>
      <c r="P3413" s="89">
        <v>11333.91</v>
      </c>
      <c r="Q3413" t="s">
        <v>130</v>
      </c>
      <c r="R3413" t="s">
        <v>131</v>
      </c>
    </row>
    <row r="3414" spans="3:18" hidden="1" x14ac:dyDescent="0.25">
      <c r="C3414" t="s">
        <v>45</v>
      </c>
      <c r="D3414" t="s">
        <v>138</v>
      </c>
      <c r="E3414" t="s">
        <v>40</v>
      </c>
      <c r="F3414" t="s">
        <v>41</v>
      </c>
      <c r="G3414" s="89">
        <v>69167</v>
      </c>
      <c r="H3414" t="s">
        <v>145</v>
      </c>
      <c r="I3414" t="s">
        <v>133</v>
      </c>
      <c r="J3414" s="89">
        <v>2697513</v>
      </c>
      <c r="K3414" t="s">
        <v>127</v>
      </c>
      <c r="L3414" t="s">
        <v>128</v>
      </c>
      <c r="N3414">
        <v>1</v>
      </c>
      <c r="O3414" s="89">
        <v>2075.0100000000002</v>
      </c>
      <c r="P3414" s="89">
        <v>26283.46</v>
      </c>
      <c r="Q3414" t="s">
        <v>130</v>
      </c>
      <c r="R3414" t="s">
        <v>131</v>
      </c>
    </row>
    <row r="3415" spans="3:18" hidden="1" x14ac:dyDescent="0.25">
      <c r="C3415" t="s">
        <v>45</v>
      </c>
      <c r="D3415" t="s">
        <v>21</v>
      </c>
      <c r="E3415" t="s">
        <v>43</v>
      </c>
      <c r="F3415" t="s">
        <v>41</v>
      </c>
      <c r="G3415" s="89">
        <v>559374</v>
      </c>
      <c r="H3415" t="s">
        <v>140</v>
      </c>
      <c r="I3415" t="s">
        <v>141</v>
      </c>
      <c r="J3415" s="89">
        <v>5034366</v>
      </c>
      <c r="K3415" t="s">
        <v>144</v>
      </c>
      <c r="N3415">
        <v>1</v>
      </c>
      <c r="O3415" s="89">
        <v>22374.959999999999</v>
      </c>
      <c r="P3415" s="89">
        <v>352405.62</v>
      </c>
      <c r="Q3415" t="s">
        <v>137</v>
      </c>
      <c r="R3415" t="s">
        <v>131</v>
      </c>
    </row>
    <row r="3416" spans="3:18" hidden="1" x14ac:dyDescent="0.25">
      <c r="C3416" t="s">
        <v>45</v>
      </c>
      <c r="D3416" t="s">
        <v>22</v>
      </c>
      <c r="E3416" t="s">
        <v>40</v>
      </c>
      <c r="F3416" t="s">
        <v>41</v>
      </c>
      <c r="G3416" s="89">
        <v>148174</v>
      </c>
      <c r="H3416" t="s">
        <v>42</v>
      </c>
      <c r="I3416" t="s">
        <v>133</v>
      </c>
      <c r="J3416" s="89">
        <v>4000698</v>
      </c>
      <c r="K3416" t="s">
        <v>127</v>
      </c>
      <c r="L3416" t="s">
        <v>128</v>
      </c>
      <c r="M3416" t="s">
        <v>129</v>
      </c>
      <c r="N3416">
        <v>1</v>
      </c>
      <c r="O3416" s="89">
        <v>5926.96</v>
      </c>
      <c r="P3416" s="89">
        <v>45933.94</v>
      </c>
      <c r="Q3416" t="s">
        <v>130</v>
      </c>
      <c r="R3416" t="s">
        <v>42</v>
      </c>
    </row>
    <row r="3417" spans="3:18" hidden="1" x14ac:dyDescent="0.25">
      <c r="C3417" t="s">
        <v>45</v>
      </c>
      <c r="D3417" t="s">
        <v>23</v>
      </c>
      <c r="E3417" t="s">
        <v>40</v>
      </c>
      <c r="F3417" t="s">
        <v>41</v>
      </c>
      <c r="G3417" s="89">
        <v>2203647</v>
      </c>
      <c r="H3417" t="s">
        <v>132</v>
      </c>
      <c r="I3417" t="s">
        <v>126</v>
      </c>
      <c r="J3417" s="89">
        <v>35258352</v>
      </c>
      <c r="K3417" t="s">
        <v>144</v>
      </c>
      <c r="N3417">
        <v>1</v>
      </c>
      <c r="O3417" s="89">
        <v>66109.41</v>
      </c>
      <c r="P3417" s="89">
        <v>1476443.49</v>
      </c>
      <c r="Q3417" t="s">
        <v>137</v>
      </c>
      <c r="R3417" t="s">
        <v>131</v>
      </c>
    </row>
    <row r="3418" spans="3:18" hidden="1" x14ac:dyDescent="0.25">
      <c r="C3418" t="s">
        <v>45</v>
      </c>
      <c r="D3418" t="s">
        <v>24</v>
      </c>
      <c r="E3418" t="s">
        <v>48</v>
      </c>
      <c r="F3418" t="s">
        <v>41</v>
      </c>
      <c r="G3418" s="89">
        <v>249710</v>
      </c>
      <c r="H3418" t="s">
        <v>132</v>
      </c>
      <c r="I3418" t="s">
        <v>141</v>
      </c>
      <c r="J3418" s="89">
        <v>2247390</v>
      </c>
      <c r="K3418" t="s">
        <v>127</v>
      </c>
      <c r="L3418" t="s">
        <v>128</v>
      </c>
      <c r="N3418">
        <v>1</v>
      </c>
      <c r="O3418" s="89">
        <v>9988.4</v>
      </c>
      <c r="P3418" s="89">
        <v>122357.9</v>
      </c>
      <c r="Q3418" t="s">
        <v>142</v>
      </c>
      <c r="R3418" t="s">
        <v>131</v>
      </c>
    </row>
    <row r="3419" spans="3:18" hidden="1" x14ac:dyDescent="0.25">
      <c r="C3419" t="s">
        <v>45</v>
      </c>
      <c r="D3419" t="s">
        <v>24</v>
      </c>
      <c r="E3419" t="s">
        <v>48</v>
      </c>
      <c r="F3419" t="s">
        <v>53</v>
      </c>
      <c r="G3419" s="89">
        <v>86074</v>
      </c>
      <c r="H3419" t="s">
        <v>145</v>
      </c>
      <c r="I3419" t="s">
        <v>133</v>
      </c>
      <c r="J3419" s="89">
        <v>3098664</v>
      </c>
      <c r="K3419" t="s">
        <v>144</v>
      </c>
      <c r="N3419">
        <v>1</v>
      </c>
      <c r="O3419" s="89">
        <v>2582.2199999999998</v>
      </c>
      <c r="P3419" s="89">
        <v>55948.1</v>
      </c>
      <c r="Q3419" t="s">
        <v>137</v>
      </c>
      <c r="R3419" t="s">
        <v>131</v>
      </c>
    </row>
    <row r="3420" spans="3:18" hidden="1" x14ac:dyDescent="0.25">
      <c r="C3420" t="s">
        <v>45</v>
      </c>
      <c r="D3420" t="s">
        <v>22</v>
      </c>
      <c r="E3420" t="s">
        <v>48</v>
      </c>
      <c r="F3420" t="s">
        <v>41</v>
      </c>
      <c r="G3420" s="89">
        <v>1259820</v>
      </c>
      <c r="H3420" t="s">
        <v>140</v>
      </c>
      <c r="I3420" t="s">
        <v>133</v>
      </c>
      <c r="J3420" s="89">
        <v>34015140</v>
      </c>
      <c r="K3420" t="s">
        <v>127</v>
      </c>
      <c r="L3420" t="s">
        <v>128</v>
      </c>
      <c r="N3420">
        <v>1</v>
      </c>
      <c r="O3420" s="89">
        <v>37794.6</v>
      </c>
      <c r="P3420" s="89">
        <v>604713.6</v>
      </c>
      <c r="Q3420" t="s">
        <v>142</v>
      </c>
      <c r="R3420" t="s">
        <v>131</v>
      </c>
    </row>
    <row r="3421" spans="3:18" hidden="1" x14ac:dyDescent="0.25">
      <c r="C3421" t="s">
        <v>45</v>
      </c>
      <c r="D3421" t="s">
        <v>21</v>
      </c>
      <c r="E3421" t="s">
        <v>40</v>
      </c>
      <c r="F3421" t="s">
        <v>41</v>
      </c>
      <c r="G3421" s="89">
        <v>119187479</v>
      </c>
      <c r="H3421" t="s">
        <v>42</v>
      </c>
      <c r="I3421" t="s">
        <v>133</v>
      </c>
      <c r="J3421" s="89">
        <v>4052374286</v>
      </c>
      <c r="K3421" t="s">
        <v>144</v>
      </c>
      <c r="N3421">
        <v>1</v>
      </c>
      <c r="O3421" s="89">
        <v>3575624.37</v>
      </c>
      <c r="P3421" s="89">
        <v>85814984.879999995</v>
      </c>
      <c r="Q3421" t="s">
        <v>137</v>
      </c>
      <c r="R3421" t="s">
        <v>42</v>
      </c>
    </row>
    <row r="3422" spans="3:18" hidden="1" x14ac:dyDescent="0.25">
      <c r="C3422" t="s">
        <v>45</v>
      </c>
      <c r="D3422" t="s">
        <v>24</v>
      </c>
      <c r="E3422" t="s">
        <v>40</v>
      </c>
      <c r="F3422" t="s">
        <v>41</v>
      </c>
      <c r="G3422" s="89">
        <v>10823</v>
      </c>
      <c r="H3422" t="s">
        <v>42</v>
      </c>
      <c r="I3422" t="s">
        <v>133</v>
      </c>
      <c r="J3422" s="89">
        <v>400451</v>
      </c>
      <c r="K3422" t="s">
        <v>144</v>
      </c>
      <c r="N3422">
        <v>1</v>
      </c>
      <c r="O3422" s="89">
        <v>324.69</v>
      </c>
      <c r="P3422" s="89">
        <v>1731.68</v>
      </c>
      <c r="Q3422" t="s">
        <v>130</v>
      </c>
      <c r="R3422" t="s">
        <v>42</v>
      </c>
    </row>
    <row r="3423" spans="3:18" hidden="1" x14ac:dyDescent="0.25">
      <c r="C3423" t="s">
        <v>45</v>
      </c>
      <c r="D3423" t="s">
        <v>22</v>
      </c>
      <c r="E3423" t="s">
        <v>48</v>
      </c>
      <c r="F3423" t="s">
        <v>41</v>
      </c>
      <c r="G3423" s="89">
        <v>12561</v>
      </c>
      <c r="H3423" t="s">
        <v>140</v>
      </c>
      <c r="I3423" t="s">
        <v>141</v>
      </c>
      <c r="J3423" s="89">
        <v>75366</v>
      </c>
      <c r="K3423" t="s">
        <v>127</v>
      </c>
      <c r="L3423" t="s">
        <v>128</v>
      </c>
      <c r="N3423">
        <v>1</v>
      </c>
      <c r="O3423" s="89">
        <v>628.04999999999995</v>
      </c>
      <c r="P3423" s="89">
        <v>2009.76</v>
      </c>
      <c r="Q3423" t="s">
        <v>130</v>
      </c>
      <c r="R3423" t="s">
        <v>131</v>
      </c>
    </row>
    <row r="3424" spans="3:18" hidden="1" x14ac:dyDescent="0.25">
      <c r="C3424" t="s">
        <v>45</v>
      </c>
      <c r="D3424" t="s">
        <v>19</v>
      </c>
      <c r="E3424" t="s">
        <v>46</v>
      </c>
      <c r="F3424" t="s">
        <v>41</v>
      </c>
      <c r="G3424" s="89">
        <v>79154</v>
      </c>
      <c r="H3424" t="s">
        <v>42</v>
      </c>
      <c r="I3424" t="s">
        <v>133</v>
      </c>
      <c r="J3424" s="89">
        <v>2612082</v>
      </c>
      <c r="K3424" t="s">
        <v>127</v>
      </c>
      <c r="L3424" t="s">
        <v>128</v>
      </c>
      <c r="M3424" t="s">
        <v>136</v>
      </c>
      <c r="N3424">
        <v>1</v>
      </c>
      <c r="O3424" s="89">
        <v>3166.16</v>
      </c>
      <c r="P3424" s="89">
        <v>37993.919999999998</v>
      </c>
      <c r="Q3424" t="s">
        <v>142</v>
      </c>
      <c r="R3424" t="s">
        <v>42</v>
      </c>
    </row>
    <row r="3425" spans="3:18" hidden="1" x14ac:dyDescent="0.25">
      <c r="C3425" t="s">
        <v>45</v>
      </c>
      <c r="D3425" t="s">
        <v>22</v>
      </c>
      <c r="E3425" t="s">
        <v>40</v>
      </c>
      <c r="F3425" t="s">
        <v>41</v>
      </c>
      <c r="G3425" s="89">
        <v>14122769</v>
      </c>
      <c r="H3425" t="s">
        <v>42</v>
      </c>
      <c r="I3425" t="s">
        <v>141</v>
      </c>
      <c r="J3425" s="89">
        <v>98859383</v>
      </c>
      <c r="K3425" t="s">
        <v>127</v>
      </c>
      <c r="L3425" t="s">
        <v>128</v>
      </c>
      <c r="M3425" t="s">
        <v>143</v>
      </c>
      <c r="N3425">
        <v>1</v>
      </c>
      <c r="O3425" s="89">
        <v>423683.07</v>
      </c>
      <c r="P3425" s="89">
        <v>3248236.87</v>
      </c>
      <c r="Q3425" t="s">
        <v>130</v>
      </c>
      <c r="R3425" t="s">
        <v>131</v>
      </c>
    </row>
    <row r="3426" spans="3:18" hidden="1" x14ac:dyDescent="0.25">
      <c r="C3426" t="s">
        <v>45</v>
      </c>
      <c r="D3426" t="s">
        <v>23</v>
      </c>
      <c r="E3426" t="s">
        <v>44</v>
      </c>
      <c r="F3426" t="s">
        <v>41</v>
      </c>
      <c r="G3426" s="89">
        <v>11508921</v>
      </c>
      <c r="H3426" t="s">
        <v>42</v>
      </c>
      <c r="I3426" t="s">
        <v>133</v>
      </c>
      <c r="J3426" s="89">
        <v>333758709</v>
      </c>
      <c r="K3426" t="s">
        <v>127</v>
      </c>
      <c r="L3426" t="s">
        <v>128</v>
      </c>
      <c r="M3426" t="s">
        <v>152</v>
      </c>
      <c r="N3426">
        <v>1</v>
      </c>
      <c r="O3426" s="89">
        <v>345267.63</v>
      </c>
      <c r="P3426" s="89">
        <v>5984638.9199999999</v>
      </c>
      <c r="Q3426" t="s">
        <v>142</v>
      </c>
      <c r="R3426" t="s">
        <v>42</v>
      </c>
    </row>
    <row r="3427" spans="3:18" x14ac:dyDescent="0.25">
      <c r="C3427" t="s">
        <v>47</v>
      </c>
      <c r="D3427" t="s">
        <v>138</v>
      </c>
      <c r="E3427" t="s">
        <v>48</v>
      </c>
      <c r="F3427" t="s">
        <v>41</v>
      </c>
      <c r="G3427" s="89">
        <v>85471</v>
      </c>
      <c r="H3427" t="s">
        <v>140</v>
      </c>
      <c r="I3427" t="s">
        <v>141</v>
      </c>
      <c r="J3427" s="89">
        <v>512826</v>
      </c>
      <c r="K3427" t="s">
        <v>127</v>
      </c>
      <c r="L3427" t="s">
        <v>128</v>
      </c>
      <c r="N3427">
        <v>1</v>
      </c>
      <c r="O3427" s="89">
        <v>3418.84</v>
      </c>
      <c r="P3427" s="89">
        <v>41880.79</v>
      </c>
      <c r="Q3427" t="s">
        <v>142</v>
      </c>
      <c r="R3427" t="s">
        <v>131</v>
      </c>
    </row>
    <row r="3428" spans="3:18" hidden="1" x14ac:dyDescent="0.25">
      <c r="C3428" t="s">
        <v>45</v>
      </c>
      <c r="D3428" t="s">
        <v>22</v>
      </c>
      <c r="E3428" t="s">
        <v>40</v>
      </c>
      <c r="F3428" t="s">
        <v>41</v>
      </c>
      <c r="G3428" s="89">
        <v>25683</v>
      </c>
      <c r="H3428" t="s">
        <v>146</v>
      </c>
      <c r="I3428" t="s">
        <v>147</v>
      </c>
      <c r="J3428" s="89">
        <v>77049</v>
      </c>
      <c r="K3428" t="s">
        <v>127</v>
      </c>
      <c r="L3428" t="s">
        <v>128</v>
      </c>
      <c r="N3428">
        <v>1</v>
      </c>
      <c r="O3428" s="89">
        <v>1027.32</v>
      </c>
      <c r="P3428" s="89">
        <v>11814.18</v>
      </c>
      <c r="Q3428" t="s">
        <v>142</v>
      </c>
      <c r="R3428" t="s">
        <v>131</v>
      </c>
    </row>
    <row r="3429" spans="3:18" hidden="1" x14ac:dyDescent="0.25">
      <c r="C3429" t="s">
        <v>45</v>
      </c>
      <c r="D3429" t="s">
        <v>24</v>
      </c>
      <c r="E3429" t="s">
        <v>48</v>
      </c>
      <c r="F3429" t="s">
        <v>41</v>
      </c>
      <c r="G3429" s="89">
        <v>762827</v>
      </c>
      <c r="H3429" t="s">
        <v>42</v>
      </c>
      <c r="I3429" t="s">
        <v>133</v>
      </c>
      <c r="J3429" s="89">
        <v>20596329</v>
      </c>
      <c r="K3429" t="s">
        <v>127</v>
      </c>
      <c r="L3429" t="s">
        <v>128</v>
      </c>
      <c r="M3429" t="s">
        <v>148</v>
      </c>
      <c r="N3429">
        <v>1</v>
      </c>
      <c r="O3429" s="89">
        <v>22884.81</v>
      </c>
      <c r="P3429" s="89">
        <v>221219.83</v>
      </c>
      <c r="Q3429" t="s">
        <v>130</v>
      </c>
      <c r="R3429" t="s">
        <v>42</v>
      </c>
    </row>
    <row r="3430" spans="3:18" hidden="1" x14ac:dyDescent="0.25">
      <c r="C3430" t="s">
        <v>45</v>
      </c>
      <c r="D3430" t="s">
        <v>23</v>
      </c>
      <c r="E3430" t="s">
        <v>44</v>
      </c>
      <c r="F3430" t="s">
        <v>53</v>
      </c>
      <c r="G3430" s="89">
        <v>140162</v>
      </c>
      <c r="H3430" t="s">
        <v>42</v>
      </c>
      <c r="I3430" t="s">
        <v>126</v>
      </c>
      <c r="J3430" s="89">
        <v>2663078</v>
      </c>
      <c r="K3430" t="s">
        <v>144</v>
      </c>
      <c r="N3430">
        <v>1</v>
      </c>
      <c r="O3430" s="89">
        <v>4204.8599999999997</v>
      </c>
      <c r="P3430" s="89">
        <v>114932.84</v>
      </c>
      <c r="Q3430" t="s">
        <v>135</v>
      </c>
      <c r="R3430" t="s">
        <v>42</v>
      </c>
    </row>
    <row r="3431" spans="3:18" hidden="1" x14ac:dyDescent="0.25">
      <c r="C3431" t="s">
        <v>45</v>
      </c>
      <c r="D3431" t="s">
        <v>50</v>
      </c>
      <c r="E3431" t="s">
        <v>50</v>
      </c>
      <c r="F3431" t="s">
        <v>41</v>
      </c>
      <c r="G3431" s="89">
        <v>407</v>
      </c>
      <c r="H3431" t="s">
        <v>51</v>
      </c>
      <c r="I3431" t="s">
        <v>147</v>
      </c>
      <c r="J3431" s="89"/>
      <c r="K3431" t="s">
        <v>127</v>
      </c>
      <c r="N3431">
        <v>0</v>
      </c>
      <c r="O3431" s="89">
        <v>0</v>
      </c>
      <c r="P3431" s="89">
        <v>0</v>
      </c>
      <c r="Q3431" t="s">
        <v>130</v>
      </c>
    </row>
    <row r="3432" spans="3:18" hidden="1" x14ac:dyDescent="0.25">
      <c r="C3432" t="s">
        <v>45</v>
      </c>
      <c r="D3432" t="s">
        <v>22</v>
      </c>
      <c r="E3432" t="s">
        <v>40</v>
      </c>
      <c r="F3432" t="s">
        <v>41</v>
      </c>
      <c r="G3432" s="89">
        <v>1986419</v>
      </c>
      <c r="H3432" t="s">
        <v>146</v>
      </c>
      <c r="I3432" t="s">
        <v>133</v>
      </c>
      <c r="J3432" s="89">
        <v>59592570</v>
      </c>
      <c r="K3432" t="s">
        <v>144</v>
      </c>
      <c r="N3432">
        <v>1</v>
      </c>
      <c r="O3432" s="89">
        <v>59592.57</v>
      </c>
      <c r="P3432" s="89">
        <v>1430221.68</v>
      </c>
      <c r="Q3432" t="s">
        <v>137</v>
      </c>
      <c r="R3432" t="s">
        <v>131</v>
      </c>
    </row>
    <row r="3433" spans="3:18" hidden="1" x14ac:dyDescent="0.25">
      <c r="C3433" t="s">
        <v>45</v>
      </c>
      <c r="D3433" t="s">
        <v>149</v>
      </c>
      <c r="E3433" t="s">
        <v>43</v>
      </c>
      <c r="F3433" t="s">
        <v>41</v>
      </c>
      <c r="G3433" s="89">
        <v>4378278</v>
      </c>
      <c r="H3433" t="s">
        <v>140</v>
      </c>
      <c r="I3433" t="s">
        <v>133</v>
      </c>
      <c r="J3433" s="89">
        <v>131348340</v>
      </c>
      <c r="K3433" t="s">
        <v>144</v>
      </c>
      <c r="N3433">
        <v>1</v>
      </c>
      <c r="O3433" s="89">
        <v>131348.34</v>
      </c>
      <c r="P3433" s="89">
        <v>2232921.7799999998</v>
      </c>
      <c r="Q3433" t="s">
        <v>142</v>
      </c>
      <c r="R3433" t="s">
        <v>131</v>
      </c>
    </row>
    <row r="3434" spans="3:18" hidden="1" x14ac:dyDescent="0.25">
      <c r="C3434" t="s">
        <v>45</v>
      </c>
      <c r="D3434" t="s">
        <v>138</v>
      </c>
      <c r="E3434" t="s">
        <v>43</v>
      </c>
      <c r="F3434" t="s">
        <v>41</v>
      </c>
      <c r="G3434" s="89">
        <v>973380</v>
      </c>
      <c r="H3434" t="s">
        <v>42</v>
      </c>
      <c r="I3434" t="s">
        <v>147</v>
      </c>
      <c r="J3434" s="89">
        <v>2920140</v>
      </c>
      <c r="K3434" t="s">
        <v>127</v>
      </c>
      <c r="L3434" t="s">
        <v>128</v>
      </c>
      <c r="M3434" t="s">
        <v>139</v>
      </c>
      <c r="N3434">
        <v>1</v>
      </c>
      <c r="O3434" s="89">
        <v>29201.4</v>
      </c>
      <c r="P3434" s="89">
        <v>136273.20000000001</v>
      </c>
      <c r="Q3434" t="s">
        <v>130</v>
      </c>
      <c r="R3434" t="s">
        <v>131</v>
      </c>
    </row>
    <row r="3435" spans="3:18" hidden="1" x14ac:dyDescent="0.25">
      <c r="C3435" t="s">
        <v>45</v>
      </c>
      <c r="D3435" t="s">
        <v>19</v>
      </c>
      <c r="E3435" t="s">
        <v>43</v>
      </c>
      <c r="F3435" t="s">
        <v>41</v>
      </c>
      <c r="G3435" s="89">
        <v>350061</v>
      </c>
      <c r="H3435" t="s">
        <v>42</v>
      </c>
      <c r="I3435" t="s">
        <v>141</v>
      </c>
      <c r="J3435" s="89">
        <v>3500610</v>
      </c>
      <c r="K3435" t="s">
        <v>144</v>
      </c>
      <c r="N3435">
        <v>1</v>
      </c>
      <c r="O3435" s="89">
        <v>10501.83</v>
      </c>
      <c r="P3435" s="89">
        <v>220538.43</v>
      </c>
      <c r="Q3435" t="s">
        <v>137</v>
      </c>
      <c r="R3435" t="s">
        <v>42</v>
      </c>
    </row>
    <row r="3436" spans="3:18" x14ac:dyDescent="0.25">
      <c r="C3436" t="s">
        <v>47</v>
      </c>
      <c r="D3436" t="s">
        <v>21</v>
      </c>
      <c r="E3436" t="s">
        <v>43</v>
      </c>
      <c r="F3436" t="s">
        <v>41</v>
      </c>
      <c r="G3436" s="89">
        <v>52760</v>
      </c>
      <c r="H3436" t="s">
        <v>145</v>
      </c>
      <c r="I3436" t="s">
        <v>126</v>
      </c>
      <c r="J3436" s="89">
        <v>633120</v>
      </c>
      <c r="K3436" t="s">
        <v>144</v>
      </c>
      <c r="N3436">
        <v>1</v>
      </c>
      <c r="O3436" s="89">
        <v>1582.8</v>
      </c>
      <c r="P3436" s="89">
        <v>15300.4</v>
      </c>
      <c r="Q3436" t="s">
        <v>130</v>
      </c>
      <c r="R3436" t="s">
        <v>131</v>
      </c>
    </row>
    <row r="3437" spans="3:18" hidden="1" x14ac:dyDescent="0.25">
      <c r="C3437" t="s">
        <v>45</v>
      </c>
      <c r="D3437" t="s">
        <v>21</v>
      </c>
      <c r="E3437" t="s">
        <v>52</v>
      </c>
      <c r="F3437" t="s">
        <v>41</v>
      </c>
      <c r="G3437" s="89">
        <v>315965</v>
      </c>
      <c r="H3437" t="s">
        <v>42</v>
      </c>
      <c r="I3437" t="s">
        <v>133</v>
      </c>
      <c r="J3437" s="89">
        <v>10110880</v>
      </c>
      <c r="K3437" t="s">
        <v>127</v>
      </c>
      <c r="L3437" t="s">
        <v>128</v>
      </c>
      <c r="M3437" t="s">
        <v>129</v>
      </c>
      <c r="N3437">
        <v>1</v>
      </c>
      <c r="O3437" s="89">
        <v>9478.9500000000007</v>
      </c>
      <c r="P3437" s="89">
        <v>101108.8</v>
      </c>
      <c r="Q3437" t="s">
        <v>130</v>
      </c>
      <c r="R3437" t="s">
        <v>42</v>
      </c>
    </row>
    <row r="3438" spans="3:18" x14ac:dyDescent="0.25">
      <c r="C3438" t="s">
        <v>47</v>
      </c>
      <c r="D3438" t="s">
        <v>20</v>
      </c>
      <c r="E3438" t="s">
        <v>40</v>
      </c>
      <c r="F3438" t="s">
        <v>41</v>
      </c>
      <c r="G3438" s="89">
        <v>1855244</v>
      </c>
      <c r="H3438" t="s">
        <v>145</v>
      </c>
      <c r="I3438" t="s">
        <v>147</v>
      </c>
      <c r="J3438" s="89">
        <v>9276220</v>
      </c>
      <c r="K3438" t="s">
        <v>127</v>
      </c>
      <c r="L3438" t="s">
        <v>128</v>
      </c>
      <c r="N3438">
        <v>1</v>
      </c>
      <c r="O3438" s="89">
        <v>74209.759999999995</v>
      </c>
      <c r="P3438" s="89">
        <v>779202.48</v>
      </c>
      <c r="Q3438" t="s">
        <v>142</v>
      </c>
      <c r="R3438" t="s">
        <v>131</v>
      </c>
    </row>
    <row r="3439" spans="3:18" hidden="1" x14ac:dyDescent="0.25">
      <c r="C3439" t="s">
        <v>45</v>
      </c>
      <c r="D3439" t="s">
        <v>21</v>
      </c>
      <c r="E3439" t="s">
        <v>40</v>
      </c>
      <c r="F3439" t="s">
        <v>41</v>
      </c>
      <c r="G3439" s="89">
        <v>6283</v>
      </c>
      <c r="H3439" t="s">
        <v>146</v>
      </c>
      <c r="I3439" t="s">
        <v>147</v>
      </c>
      <c r="J3439" s="89">
        <v>12566</v>
      </c>
      <c r="K3439" t="s">
        <v>134</v>
      </c>
      <c r="L3439" t="s">
        <v>128</v>
      </c>
      <c r="N3439">
        <v>1</v>
      </c>
      <c r="O3439" s="89">
        <v>188.49</v>
      </c>
      <c r="P3439" s="89">
        <v>502.64</v>
      </c>
      <c r="Q3439" t="s">
        <v>130</v>
      </c>
      <c r="R3439" t="s">
        <v>131</v>
      </c>
    </row>
    <row r="3440" spans="3:18" hidden="1" x14ac:dyDescent="0.25">
      <c r="C3440" t="s">
        <v>45</v>
      </c>
      <c r="D3440" t="s">
        <v>19</v>
      </c>
      <c r="E3440" t="s">
        <v>43</v>
      </c>
      <c r="F3440" t="s">
        <v>41</v>
      </c>
      <c r="G3440" s="89">
        <v>234554</v>
      </c>
      <c r="H3440" t="s">
        <v>146</v>
      </c>
      <c r="I3440" t="s">
        <v>126</v>
      </c>
      <c r="J3440" s="89">
        <v>4456526</v>
      </c>
      <c r="K3440" t="s">
        <v>134</v>
      </c>
      <c r="L3440" t="s">
        <v>128</v>
      </c>
      <c r="N3440">
        <v>1</v>
      </c>
      <c r="O3440" s="89">
        <v>7036.62</v>
      </c>
      <c r="P3440" s="89">
        <v>164187.79999999999</v>
      </c>
      <c r="Q3440" t="s">
        <v>137</v>
      </c>
      <c r="R3440" t="s">
        <v>131</v>
      </c>
    </row>
    <row r="3441" spans="3:18" hidden="1" x14ac:dyDescent="0.25">
      <c r="C3441" t="s">
        <v>45</v>
      </c>
      <c r="D3441" t="s">
        <v>23</v>
      </c>
      <c r="E3441" t="s">
        <v>48</v>
      </c>
      <c r="F3441" t="s">
        <v>41</v>
      </c>
      <c r="G3441" s="89">
        <v>238466</v>
      </c>
      <c r="H3441" t="s">
        <v>146</v>
      </c>
      <c r="I3441" t="s">
        <v>133</v>
      </c>
      <c r="J3441" s="89">
        <v>7630912</v>
      </c>
      <c r="K3441" t="s">
        <v>134</v>
      </c>
      <c r="L3441" t="s">
        <v>128</v>
      </c>
      <c r="N3441">
        <v>1</v>
      </c>
      <c r="O3441" s="89">
        <v>4769.32</v>
      </c>
      <c r="P3441" s="89">
        <v>119233</v>
      </c>
      <c r="Q3441" t="s">
        <v>142</v>
      </c>
      <c r="R3441" t="s">
        <v>131</v>
      </c>
    </row>
    <row r="3442" spans="3:18" hidden="1" x14ac:dyDescent="0.25">
      <c r="C3442" t="s">
        <v>45</v>
      </c>
      <c r="D3442" t="s">
        <v>19</v>
      </c>
      <c r="E3442" t="s">
        <v>43</v>
      </c>
      <c r="F3442" t="s">
        <v>41</v>
      </c>
      <c r="G3442" s="89">
        <v>49515</v>
      </c>
      <c r="H3442" t="s">
        <v>146</v>
      </c>
      <c r="I3442" t="s">
        <v>126</v>
      </c>
      <c r="J3442" s="89">
        <v>742725</v>
      </c>
      <c r="K3442" t="s">
        <v>134</v>
      </c>
      <c r="N3442">
        <v>1</v>
      </c>
      <c r="O3442" s="89">
        <v>990.3</v>
      </c>
      <c r="P3442" s="89">
        <v>17825.400000000001</v>
      </c>
      <c r="Q3442" t="s">
        <v>130</v>
      </c>
      <c r="R3442" t="s">
        <v>131</v>
      </c>
    </row>
    <row r="3443" spans="3:18" hidden="1" x14ac:dyDescent="0.25">
      <c r="C3443" t="s">
        <v>45</v>
      </c>
      <c r="D3443" t="s">
        <v>23</v>
      </c>
      <c r="E3443" t="s">
        <v>43</v>
      </c>
      <c r="F3443" t="s">
        <v>41</v>
      </c>
      <c r="G3443" s="89">
        <v>3048674</v>
      </c>
      <c r="H3443" t="s">
        <v>42</v>
      </c>
      <c r="I3443" t="s">
        <v>126</v>
      </c>
      <c r="J3443" s="89">
        <v>51827458</v>
      </c>
      <c r="K3443" t="s">
        <v>127</v>
      </c>
      <c r="L3443" t="s">
        <v>128</v>
      </c>
      <c r="M3443" t="s">
        <v>152</v>
      </c>
      <c r="N3443">
        <v>1</v>
      </c>
      <c r="O3443" s="89">
        <v>91460.22</v>
      </c>
      <c r="P3443" s="89">
        <v>2042611.58</v>
      </c>
      <c r="Q3443" t="s">
        <v>137</v>
      </c>
      <c r="R3443" t="s">
        <v>131</v>
      </c>
    </row>
    <row r="3444" spans="3:18" x14ac:dyDescent="0.25">
      <c r="C3444" t="s">
        <v>47</v>
      </c>
      <c r="D3444" t="s">
        <v>23</v>
      </c>
      <c r="E3444" t="s">
        <v>40</v>
      </c>
      <c r="F3444" t="s">
        <v>41</v>
      </c>
      <c r="G3444" s="89">
        <v>16687992</v>
      </c>
      <c r="H3444" t="s">
        <v>140</v>
      </c>
      <c r="I3444" t="s">
        <v>126</v>
      </c>
      <c r="J3444" s="89">
        <v>233631888</v>
      </c>
      <c r="K3444" t="s">
        <v>127</v>
      </c>
      <c r="L3444" t="s">
        <v>128</v>
      </c>
      <c r="N3444">
        <v>1</v>
      </c>
      <c r="O3444" s="89">
        <v>667519.68000000005</v>
      </c>
      <c r="P3444" s="89">
        <v>3170718.48</v>
      </c>
      <c r="Q3444" t="s">
        <v>130</v>
      </c>
      <c r="R3444" t="s">
        <v>131</v>
      </c>
    </row>
    <row r="3445" spans="3:18" hidden="1" x14ac:dyDescent="0.25">
      <c r="C3445" t="s">
        <v>45</v>
      </c>
      <c r="D3445" t="s">
        <v>24</v>
      </c>
      <c r="E3445" t="s">
        <v>44</v>
      </c>
      <c r="F3445" t="s">
        <v>41</v>
      </c>
      <c r="G3445" s="89">
        <v>986189</v>
      </c>
      <c r="H3445" t="s">
        <v>140</v>
      </c>
      <c r="I3445" t="s">
        <v>141</v>
      </c>
      <c r="J3445" s="89">
        <v>7889512</v>
      </c>
      <c r="K3445" t="s">
        <v>127</v>
      </c>
      <c r="L3445" t="s">
        <v>128</v>
      </c>
      <c r="N3445">
        <v>1</v>
      </c>
      <c r="O3445" s="89">
        <v>39447.56</v>
      </c>
      <c r="P3445" s="89">
        <v>463508.83</v>
      </c>
      <c r="Q3445" t="s">
        <v>142</v>
      </c>
      <c r="R3445" t="s">
        <v>131</v>
      </c>
    </row>
    <row r="3446" spans="3:18" hidden="1" x14ac:dyDescent="0.25">
      <c r="C3446" t="s">
        <v>45</v>
      </c>
      <c r="D3446" t="s">
        <v>149</v>
      </c>
      <c r="E3446" t="s">
        <v>43</v>
      </c>
      <c r="F3446" t="s">
        <v>41</v>
      </c>
      <c r="G3446" s="89">
        <v>153203828</v>
      </c>
      <c r="H3446" t="s">
        <v>42</v>
      </c>
      <c r="I3446" t="s">
        <v>133</v>
      </c>
      <c r="J3446" s="89">
        <v>4902522496</v>
      </c>
      <c r="K3446" t="s">
        <v>127</v>
      </c>
      <c r="L3446" t="s">
        <v>128</v>
      </c>
      <c r="M3446" t="s">
        <v>136</v>
      </c>
      <c r="N3446">
        <v>1</v>
      </c>
      <c r="O3446" s="89">
        <v>4596114.84</v>
      </c>
      <c r="P3446" s="89">
        <v>107242679.59999999</v>
      </c>
      <c r="Q3446" t="s">
        <v>137</v>
      </c>
      <c r="R3446" t="s">
        <v>131</v>
      </c>
    </row>
    <row r="3447" spans="3:18" hidden="1" x14ac:dyDescent="0.25">
      <c r="C3447" t="s">
        <v>45</v>
      </c>
      <c r="D3447" t="s">
        <v>21</v>
      </c>
      <c r="E3447" t="s">
        <v>43</v>
      </c>
      <c r="F3447" t="s">
        <v>41</v>
      </c>
      <c r="G3447" s="89">
        <v>422430</v>
      </c>
      <c r="H3447" t="s">
        <v>145</v>
      </c>
      <c r="I3447" t="s">
        <v>133</v>
      </c>
      <c r="J3447" s="89">
        <v>11405610</v>
      </c>
      <c r="K3447" t="s">
        <v>127</v>
      </c>
      <c r="L3447" t="s">
        <v>151</v>
      </c>
      <c r="N3447">
        <v>1</v>
      </c>
      <c r="O3447" s="89">
        <v>12672.9</v>
      </c>
      <c r="P3447" s="89">
        <v>295701</v>
      </c>
      <c r="Q3447" t="s">
        <v>137</v>
      </c>
      <c r="R3447" t="s">
        <v>131</v>
      </c>
    </row>
    <row r="3448" spans="3:18" x14ac:dyDescent="0.25">
      <c r="C3448" t="s">
        <v>47</v>
      </c>
      <c r="D3448" t="s">
        <v>20</v>
      </c>
      <c r="E3448" t="s">
        <v>40</v>
      </c>
      <c r="F3448" t="s">
        <v>41</v>
      </c>
      <c r="G3448" s="89">
        <v>131012</v>
      </c>
      <c r="H3448" t="s">
        <v>146</v>
      </c>
      <c r="I3448" t="s">
        <v>147</v>
      </c>
      <c r="J3448" s="89">
        <v>524048</v>
      </c>
      <c r="K3448" t="s">
        <v>127</v>
      </c>
      <c r="L3448" t="s">
        <v>128</v>
      </c>
      <c r="N3448">
        <v>1</v>
      </c>
      <c r="O3448" s="89">
        <v>7860.72</v>
      </c>
      <c r="P3448" s="89">
        <v>55025.04</v>
      </c>
      <c r="Q3448" t="s">
        <v>142</v>
      </c>
      <c r="R3448" t="s">
        <v>131</v>
      </c>
    </row>
    <row r="3449" spans="3:18" x14ac:dyDescent="0.25">
      <c r="C3449" t="s">
        <v>47</v>
      </c>
      <c r="D3449" t="s">
        <v>138</v>
      </c>
      <c r="E3449" t="s">
        <v>40</v>
      </c>
      <c r="F3449" t="s">
        <v>41</v>
      </c>
      <c r="G3449" s="89">
        <v>7431701</v>
      </c>
      <c r="H3449" t="s">
        <v>132</v>
      </c>
      <c r="I3449" t="s">
        <v>141</v>
      </c>
      <c r="J3449" s="89">
        <v>52021907</v>
      </c>
      <c r="K3449" t="s">
        <v>127</v>
      </c>
      <c r="L3449" t="s">
        <v>128</v>
      </c>
      <c r="N3449">
        <v>1</v>
      </c>
      <c r="O3449" s="89">
        <v>297268.03999999998</v>
      </c>
      <c r="P3449" s="89">
        <v>3641533.49</v>
      </c>
      <c r="Q3449" t="s">
        <v>142</v>
      </c>
      <c r="R3449" t="s">
        <v>131</v>
      </c>
    </row>
    <row r="3450" spans="3:18" hidden="1" x14ac:dyDescent="0.25">
      <c r="C3450" t="s">
        <v>45</v>
      </c>
      <c r="D3450" t="s">
        <v>24</v>
      </c>
      <c r="E3450" t="s">
        <v>48</v>
      </c>
      <c r="F3450" t="s">
        <v>41</v>
      </c>
      <c r="G3450" s="89">
        <v>49191</v>
      </c>
      <c r="H3450" t="s">
        <v>145</v>
      </c>
      <c r="I3450" t="s">
        <v>141</v>
      </c>
      <c r="J3450" s="89">
        <v>393528</v>
      </c>
      <c r="K3450" t="s">
        <v>144</v>
      </c>
      <c r="N3450">
        <v>1</v>
      </c>
      <c r="O3450" s="89">
        <v>1475.73</v>
      </c>
      <c r="P3450" s="89">
        <v>28530.78</v>
      </c>
      <c r="Q3450" t="s">
        <v>142</v>
      </c>
      <c r="R3450" t="s">
        <v>131</v>
      </c>
    </row>
    <row r="3451" spans="3:18" hidden="1" x14ac:dyDescent="0.25">
      <c r="C3451" t="s">
        <v>45</v>
      </c>
      <c r="D3451" t="s">
        <v>21</v>
      </c>
      <c r="E3451" t="s">
        <v>43</v>
      </c>
      <c r="F3451" t="s">
        <v>41</v>
      </c>
      <c r="G3451" s="89">
        <v>220211</v>
      </c>
      <c r="H3451" t="s">
        <v>145</v>
      </c>
      <c r="I3451" t="s">
        <v>147</v>
      </c>
      <c r="J3451" s="89">
        <v>660633</v>
      </c>
      <c r="K3451" t="s">
        <v>144</v>
      </c>
      <c r="N3451">
        <v>1</v>
      </c>
      <c r="O3451" s="89">
        <v>8808.44</v>
      </c>
      <c r="P3451" s="89">
        <v>33031.65</v>
      </c>
      <c r="Q3451" t="s">
        <v>130</v>
      </c>
      <c r="R3451" t="s">
        <v>131</v>
      </c>
    </row>
    <row r="3452" spans="3:18" x14ac:dyDescent="0.25">
      <c r="C3452" t="s">
        <v>47</v>
      </c>
      <c r="D3452" t="s">
        <v>21</v>
      </c>
      <c r="E3452" t="s">
        <v>40</v>
      </c>
      <c r="F3452" t="s">
        <v>41</v>
      </c>
      <c r="G3452" s="89">
        <v>1803379</v>
      </c>
      <c r="H3452" t="s">
        <v>140</v>
      </c>
      <c r="I3452" t="s">
        <v>126</v>
      </c>
      <c r="J3452" s="89">
        <v>23443927</v>
      </c>
      <c r="K3452" t="s">
        <v>144</v>
      </c>
      <c r="N3452">
        <v>1</v>
      </c>
      <c r="O3452" s="89">
        <v>72135.16</v>
      </c>
      <c r="P3452" s="89">
        <v>270506.84999999998</v>
      </c>
      <c r="Q3452" t="s">
        <v>130</v>
      </c>
      <c r="R3452" t="s">
        <v>131</v>
      </c>
    </row>
    <row r="3453" spans="3:18" hidden="1" x14ac:dyDescent="0.25">
      <c r="C3453" t="s">
        <v>45</v>
      </c>
      <c r="D3453" t="s">
        <v>24</v>
      </c>
      <c r="E3453" t="s">
        <v>40</v>
      </c>
      <c r="F3453" t="s">
        <v>41</v>
      </c>
      <c r="G3453" s="89">
        <v>107520</v>
      </c>
      <c r="H3453" t="s">
        <v>146</v>
      </c>
      <c r="I3453" t="s">
        <v>133</v>
      </c>
      <c r="J3453" s="89">
        <v>2688000</v>
      </c>
      <c r="K3453" t="s">
        <v>144</v>
      </c>
      <c r="N3453">
        <v>1</v>
      </c>
      <c r="O3453" s="89">
        <v>3225.6</v>
      </c>
      <c r="P3453" s="89">
        <v>88166.399999999994</v>
      </c>
      <c r="Q3453" t="s">
        <v>135</v>
      </c>
      <c r="R3453" t="s">
        <v>131</v>
      </c>
    </row>
    <row r="3454" spans="3:18" x14ac:dyDescent="0.25">
      <c r="C3454" t="s">
        <v>47</v>
      </c>
      <c r="D3454" t="s">
        <v>22</v>
      </c>
      <c r="E3454" t="s">
        <v>43</v>
      </c>
      <c r="F3454" t="s">
        <v>41</v>
      </c>
      <c r="G3454" s="89">
        <v>37046</v>
      </c>
      <c r="H3454" t="s">
        <v>146</v>
      </c>
      <c r="I3454" t="s">
        <v>133</v>
      </c>
      <c r="J3454" s="89">
        <v>1037288</v>
      </c>
      <c r="K3454" t="s">
        <v>127</v>
      </c>
      <c r="L3454" t="s">
        <v>128</v>
      </c>
      <c r="N3454">
        <v>1</v>
      </c>
      <c r="O3454" s="89">
        <v>2222.7600000000002</v>
      </c>
      <c r="P3454" s="89">
        <v>18893.46</v>
      </c>
      <c r="Q3454" t="s">
        <v>142</v>
      </c>
      <c r="R3454" t="s">
        <v>131</v>
      </c>
    </row>
    <row r="3455" spans="3:18" x14ac:dyDescent="0.25">
      <c r="C3455" t="s">
        <v>47</v>
      </c>
      <c r="D3455" t="s">
        <v>23</v>
      </c>
      <c r="E3455" t="s">
        <v>48</v>
      </c>
      <c r="F3455" t="s">
        <v>41</v>
      </c>
      <c r="G3455" s="89">
        <v>880683</v>
      </c>
      <c r="H3455" t="s">
        <v>140</v>
      </c>
      <c r="I3455" t="s">
        <v>126</v>
      </c>
      <c r="J3455" s="89">
        <v>9687513</v>
      </c>
      <c r="K3455" t="s">
        <v>127</v>
      </c>
      <c r="L3455" t="s">
        <v>151</v>
      </c>
      <c r="N3455">
        <v>1</v>
      </c>
      <c r="O3455" s="89">
        <v>35227.32</v>
      </c>
      <c r="P3455" s="89">
        <v>246591.24</v>
      </c>
      <c r="Q3455" t="s">
        <v>130</v>
      </c>
      <c r="R3455" t="s">
        <v>131</v>
      </c>
    </row>
    <row r="3456" spans="3:18" hidden="1" x14ac:dyDescent="0.25">
      <c r="C3456" t="s">
        <v>45</v>
      </c>
      <c r="D3456" t="s">
        <v>22</v>
      </c>
      <c r="E3456" t="s">
        <v>44</v>
      </c>
      <c r="F3456" t="s">
        <v>41</v>
      </c>
      <c r="G3456" s="89">
        <v>232469</v>
      </c>
      <c r="H3456" t="s">
        <v>42</v>
      </c>
      <c r="I3456" t="s">
        <v>133</v>
      </c>
      <c r="J3456" s="89">
        <v>7206539</v>
      </c>
      <c r="K3456" t="s">
        <v>127</v>
      </c>
      <c r="L3456" t="s">
        <v>128</v>
      </c>
      <c r="M3456" t="s">
        <v>143</v>
      </c>
      <c r="N3456">
        <v>1</v>
      </c>
      <c r="O3456" s="89">
        <v>6974.07</v>
      </c>
      <c r="P3456" s="89">
        <v>123208.57</v>
      </c>
      <c r="Q3456" t="s">
        <v>142</v>
      </c>
      <c r="R3456" t="s">
        <v>131</v>
      </c>
    </row>
    <row r="3457" spans="3:18" hidden="1" x14ac:dyDescent="0.25">
      <c r="C3457" t="s">
        <v>45</v>
      </c>
      <c r="D3457" t="s">
        <v>20</v>
      </c>
      <c r="E3457" t="s">
        <v>43</v>
      </c>
      <c r="F3457" t="s">
        <v>41</v>
      </c>
      <c r="G3457" s="89">
        <v>3958112</v>
      </c>
      <c r="H3457" t="s">
        <v>145</v>
      </c>
      <c r="I3457" t="s">
        <v>141</v>
      </c>
      <c r="J3457" s="89">
        <v>27706784</v>
      </c>
      <c r="K3457" t="s">
        <v>127</v>
      </c>
      <c r="L3457" t="s">
        <v>128</v>
      </c>
      <c r="N3457">
        <v>1</v>
      </c>
      <c r="O3457" s="89">
        <v>118743.36</v>
      </c>
      <c r="P3457" s="89">
        <v>910365.76</v>
      </c>
      <c r="Q3457" t="s">
        <v>130</v>
      </c>
      <c r="R3457" t="s">
        <v>131</v>
      </c>
    </row>
    <row r="3458" spans="3:18" hidden="1" x14ac:dyDescent="0.25">
      <c r="C3458" t="s">
        <v>45</v>
      </c>
      <c r="D3458" t="s">
        <v>23</v>
      </c>
      <c r="E3458" t="s">
        <v>44</v>
      </c>
      <c r="F3458" t="s">
        <v>41</v>
      </c>
      <c r="G3458" s="89">
        <v>4184371</v>
      </c>
      <c r="H3458" t="s">
        <v>42</v>
      </c>
      <c r="I3458" t="s">
        <v>133</v>
      </c>
      <c r="J3458" s="89">
        <v>129715501</v>
      </c>
      <c r="K3458" t="s">
        <v>144</v>
      </c>
      <c r="N3458">
        <v>1</v>
      </c>
      <c r="O3458" s="89">
        <v>125531.13</v>
      </c>
      <c r="P3458" s="89">
        <v>1297155.01</v>
      </c>
      <c r="Q3458" t="s">
        <v>130</v>
      </c>
      <c r="R3458" t="s">
        <v>42</v>
      </c>
    </row>
    <row r="3459" spans="3:18" hidden="1" x14ac:dyDescent="0.25">
      <c r="C3459" t="s">
        <v>45</v>
      </c>
      <c r="D3459" t="s">
        <v>23</v>
      </c>
      <c r="E3459" t="s">
        <v>43</v>
      </c>
      <c r="F3459" t="s">
        <v>41</v>
      </c>
      <c r="G3459" s="89">
        <v>350592</v>
      </c>
      <c r="H3459" t="s">
        <v>140</v>
      </c>
      <c r="I3459" t="s">
        <v>133</v>
      </c>
      <c r="J3459" s="89">
        <v>11218944</v>
      </c>
      <c r="K3459" t="s">
        <v>134</v>
      </c>
      <c r="L3459" t="s">
        <v>128</v>
      </c>
      <c r="N3459">
        <v>1</v>
      </c>
      <c r="O3459" s="89">
        <v>14023.68</v>
      </c>
      <c r="P3459" s="89">
        <v>157766.39999999999</v>
      </c>
      <c r="Q3459" t="s">
        <v>142</v>
      </c>
      <c r="R3459" t="s">
        <v>131</v>
      </c>
    </row>
    <row r="3460" spans="3:18" hidden="1" x14ac:dyDescent="0.25">
      <c r="C3460" t="s">
        <v>45</v>
      </c>
      <c r="D3460" t="s">
        <v>20</v>
      </c>
      <c r="E3460" t="s">
        <v>43</v>
      </c>
      <c r="F3460" t="s">
        <v>41</v>
      </c>
      <c r="G3460" s="89">
        <v>27375483</v>
      </c>
      <c r="H3460" t="s">
        <v>145</v>
      </c>
      <c r="I3460" t="s">
        <v>133</v>
      </c>
      <c r="J3460" s="89">
        <v>711762558</v>
      </c>
      <c r="K3460" t="s">
        <v>127</v>
      </c>
      <c r="L3460" t="s">
        <v>128</v>
      </c>
      <c r="N3460">
        <v>1</v>
      </c>
      <c r="O3460" s="89">
        <v>821264.49</v>
      </c>
      <c r="P3460" s="89">
        <v>13961496.33</v>
      </c>
      <c r="Q3460" t="s">
        <v>142</v>
      </c>
      <c r="R3460" t="s">
        <v>131</v>
      </c>
    </row>
    <row r="3461" spans="3:18" hidden="1" x14ac:dyDescent="0.25">
      <c r="C3461" t="s">
        <v>45</v>
      </c>
      <c r="D3461" t="s">
        <v>19</v>
      </c>
      <c r="E3461" t="s">
        <v>43</v>
      </c>
      <c r="F3461" t="s">
        <v>41</v>
      </c>
      <c r="G3461" s="89">
        <v>2566785</v>
      </c>
      <c r="H3461" t="s">
        <v>146</v>
      </c>
      <c r="I3461" t="s">
        <v>133</v>
      </c>
      <c r="J3461" s="89">
        <v>79570335</v>
      </c>
      <c r="K3461" t="s">
        <v>144</v>
      </c>
      <c r="N3461">
        <v>1</v>
      </c>
      <c r="O3461" s="89">
        <v>77003.55</v>
      </c>
      <c r="P3461" s="89">
        <v>641696.25</v>
      </c>
      <c r="Q3461" t="s">
        <v>130</v>
      </c>
      <c r="R3461" t="s">
        <v>131</v>
      </c>
    </row>
    <row r="3462" spans="3:18" hidden="1" x14ac:dyDescent="0.25">
      <c r="C3462" t="s">
        <v>45</v>
      </c>
      <c r="D3462" t="s">
        <v>138</v>
      </c>
      <c r="E3462" t="s">
        <v>43</v>
      </c>
      <c r="F3462" t="s">
        <v>41</v>
      </c>
      <c r="G3462" s="89">
        <v>1136581</v>
      </c>
      <c r="H3462" t="s">
        <v>140</v>
      </c>
      <c r="I3462" t="s">
        <v>141</v>
      </c>
      <c r="J3462" s="89">
        <v>9092648</v>
      </c>
      <c r="K3462" t="s">
        <v>127</v>
      </c>
      <c r="L3462" t="s">
        <v>128</v>
      </c>
      <c r="N3462">
        <v>1</v>
      </c>
      <c r="O3462" s="89">
        <v>45463.24</v>
      </c>
      <c r="P3462" s="89">
        <v>534193.06999999995</v>
      </c>
      <c r="Q3462" t="s">
        <v>142</v>
      </c>
      <c r="R3462" t="s">
        <v>131</v>
      </c>
    </row>
    <row r="3463" spans="3:18" hidden="1" x14ac:dyDescent="0.25">
      <c r="C3463" t="s">
        <v>45</v>
      </c>
      <c r="D3463" t="s">
        <v>24</v>
      </c>
      <c r="E3463" t="s">
        <v>44</v>
      </c>
      <c r="F3463" t="s">
        <v>41</v>
      </c>
      <c r="G3463" s="89">
        <v>152885</v>
      </c>
      <c r="H3463" t="s">
        <v>146</v>
      </c>
      <c r="I3463" t="s">
        <v>133</v>
      </c>
      <c r="J3463" s="89">
        <v>5198090</v>
      </c>
      <c r="K3463" t="s">
        <v>127</v>
      </c>
      <c r="L3463" t="s">
        <v>128</v>
      </c>
      <c r="N3463">
        <v>1</v>
      </c>
      <c r="O3463" s="89">
        <v>4586.55</v>
      </c>
      <c r="P3463" s="89">
        <v>128423.4</v>
      </c>
      <c r="Q3463" t="s">
        <v>135</v>
      </c>
      <c r="R3463" t="s">
        <v>131</v>
      </c>
    </row>
    <row r="3464" spans="3:18" x14ac:dyDescent="0.25">
      <c r="C3464" t="s">
        <v>47</v>
      </c>
      <c r="D3464" t="s">
        <v>24</v>
      </c>
      <c r="E3464" t="s">
        <v>48</v>
      </c>
      <c r="F3464" t="s">
        <v>41</v>
      </c>
      <c r="G3464" s="89">
        <v>1161084</v>
      </c>
      <c r="H3464" t="s">
        <v>145</v>
      </c>
      <c r="I3464" t="s">
        <v>153</v>
      </c>
      <c r="J3464" s="89"/>
      <c r="K3464" t="s">
        <v>127</v>
      </c>
      <c r="L3464" t="s">
        <v>128</v>
      </c>
      <c r="N3464">
        <v>0</v>
      </c>
      <c r="O3464" s="89">
        <v>58054.2</v>
      </c>
      <c r="P3464" s="89">
        <v>487655.28</v>
      </c>
      <c r="Q3464" t="s">
        <v>142</v>
      </c>
      <c r="R3464" t="s">
        <v>131</v>
      </c>
    </row>
    <row r="3465" spans="3:18" hidden="1" x14ac:dyDescent="0.25">
      <c r="C3465" t="s">
        <v>45</v>
      </c>
      <c r="D3465" t="s">
        <v>24</v>
      </c>
      <c r="E3465" t="s">
        <v>43</v>
      </c>
      <c r="F3465" t="s">
        <v>41</v>
      </c>
      <c r="G3465" s="89">
        <v>209086</v>
      </c>
      <c r="H3465" t="s">
        <v>132</v>
      </c>
      <c r="I3465" t="s">
        <v>133</v>
      </c>
      <c r="J3465" s="89">
        <v>5227150</v>
      </c>
      <c r="K3465" t="s">
        <v>127</v>
      </c>
      <c r="L3465" t="s">
        <v>128</v>
      </c>
      <c r="N3465">
        <v>1</v>
      </c>
      <c r="O3465" s="89">
        <v>8363.44</v>
      </c>
      <c r="P3465" s="89">
        <v>114997.3</v>
      </c>
      <c r="Q3465" t="s">
        <v>142</v>
      </c>
      <c r="R3465" t="s">
        <v>131</v>
      </c>
    </row>
    <row r="3466" spans="3:18" hidden="1" x14ac:dyDescent="0.25">
      <c r="C3466" t="s">
        <v>45</v>
      </c>
      <c r="D3466" t="s">
        <v>23</v>
      </c>
      <c r="E3466" t="s">
        <v>48</v>
      </c>
      <c r="F3466" t="s">
        <v>41</v>
      </c>
      <c r="G3466" s="89">
        <v>19937</v>
      </c>
      <c r="H3466" t="s">
        <v>146</v>
      </c>
      <c r="I3466" t="s">
        <v>147</v>
      </c>
      <c r="J3466" s="89">
        <v>99685</v>
      </c>
      <c r="K3466" t="s">
        <v>127</v>
      </c>
      <c r="L3466" t="s">
        <v>128</v>
      </c>
      <c r="N3466">
        <v>1</v>
      </c>
      <c r="O3466" s="89">
        <v>398.74</v>
      </c>
      <c r="P3466" s="89">
        <v>13756.53</v>
      </c>
      <c r="Q3466" t="s">
        <v>137</v>
      </c>
      <c r="R3466" t="s">
        <v>131</v>
      </c>
    </row>
    <row r="3467" spans="3:18" hidden="1" x14ac:dyDescent="0.25">
      <c r="C3467" t="s">
        <v>45</v>
      </c>
      <c r="D3467" t="s">
        <v>22</v>
      </c>
      <c r="E3467" t="s">
        <v>43</v>
      </c>
      <c r="F3467" t="s">
        <v>41</v>
      </c>
      <c r="G3467" s="89">
        <v>25653</v>
      </c>
      <c r="H3467" t="s">
        <v>132</v>
      </c>
      <c r="I3467" t="s">
        <v>141</v>
      </c>
      <c r="J3467" s="89">
        <v>205224</v>
      </c>
      <c r="K3467" t="s">
        <v>127</v>
      </c>
      <c r="L3467" t="s">
        <v>128</v>
      </c>
      <c r="N3467">
        <v>1</v>
      </c>
      <c r="O3467" s="89">
        <v>1539.18</v>
      </c>
      <c r="P3467" s="89">
        <v>16161.39</v>
      </c>
      <c r="Q3467" t="s">
        <v>137</v>
      </c>
      <c r="R3467" t="s">
        <v>131</v>
      </c>
    </row>
    <row r="3468" spans="3:18" hidden="1" x14ac:dyDescent="0.25">
      <c r="C3468" t="s">
        <v>45</v>
      </c>
      <c r="D3468" t="s">
        <v>22</v>
      </c>
      <c r="E3468" t="s">
        <v>40</v>
      </c>
      <c r="F3468" t="s">
        <v>41</v>
      </c>
      <c r="G3468" s="89">
        <v>7021021</v>
      </c>
      <c r="H3468" t="s">
        <v>146</v>
      </c>
      <c r="I3468" t="s">
        <v>126</v>
      </c>
      <c r="J3468" s="89">
        <v>119357357</v>
      </c>
      <c r="K3468" t="s">
        <v>127</v>
      </c>
      <c r="L3468" t="s">
        <v>128</v>
      </c>
      <c r="N3468">
        <v>1</v>
      </c>
      <c r="O3468" s="89">
        <v>210630.63</v>
      </c>
      <c r="P3468" s="89">
        <v>4704084.07</v>
      </c>
      <c r="Q3468" t="s">
        <v>137</v>
      </c>
      <c r="R3468" t="s">
        <v>131</v>
      </c>
    </row>
    <row r="3469" spans="3:18" x14ac:dyDescent="0.25">
      <c r="C3469" t="s">
        <v>47</v>
      </c>
      <c r="D3469" t="s">
        <v>21</v>
      </c>
      <c r="E3469" t="s">
        <v>40</v>
      </c>
      <c r="F3469" t="s">
        <v>41</v>
      </c>
      <c r="G3469" s="89">
        <v>1002079</v>
      </c>
      <c r="H3469" t="s">
        <v>140</v>
      </c>
      <c r="I3469" t="s">
        <v>153</v>
      </c>
      <c r="J3469" s="89"/>
      <c r="K3469" t="s">
        <v>144</v>
      </c>
      <c r="N3469">
        <v>0</v>
      </c>
      <c r="O3469" s="89">
        <v>30062.37</v>
      </c>
      <c r="P3469" s="89">
        <v>190395.01</v>
      </c>
      <c r="Q3469" t="s">
        <v>130</v>
      </c>
      <c r="R3469" t="s">
        <v>131</v>
      </c>
    </row>
    <row r="3470" spans="3:18" hidden="1" x14ac:dyDescent="0.25">
      <c r="C3470" t="s">
        <v>45</v>
      </c>
      <c r="D3470" t="s">
        <v>21</v>
      </c>
      <c r="E3470" t="s">
        <v>43</v>
      </c>
      <c r="F3470" t="s">
        <v>53</v>
      </c>
      <c r="G3470" s="89">
        <v>53607</v>
      </c>
      <c r="H3470" t="s">
        <v>42</v>
      </c>
      <c r="I3470" t="s">
        <v>126</v>
      </c>
      <c r="J3470" s="89">
        <v>1018533</v>
      </c>
      <c r="K3470" t="s">
        <v>144</v>
      </c>
      <c r="N3470">
        <v>1</v>
      </c>
      <c r="O3470" s="89">
        <v>1608.21</v>
      </c>
      <c r="P3470" s="89">
        <v>36452.76</v>
      </c>
      <c r="Q3470" t="s">
        <v>137</v>
      </c>
      <c r="R3470" t="s">
        <v>131</v>
      </c>
    </row>
    <row r="3471" spans="3:18" x14ac:dyDescent="0.25">
      <c r="C3471" t="s">
        <v>47</v>
      </c>
      <c r="D3471" t="s">
        <v>138</v>
      </c>
      <c r="E3471" t="s">
        <v>40</v>
      </c>
      <c r="F3471" t="s">
        <v>41</v>
      </c>
      <c r="G3471" s="89">
        <v>2657595</v>
      </c>
      <c r="H3471" t="s">
        <v>42</v>
      </c>
      <c r="I3471" t="s">
        <v>126</v>
      </c>
      <c r="J3471" s="89">
        <v>29233545</v>
      </c>
      <c r="K3471" t="s">
        <v>144</v>
      </c>
      <c r="N3471">
        <v>1</v>
      </c>
      <c r="O3471" s="89">
        <v>106303.8</v>
      </c>
      <c r="P3471" s="89">
        <v>2444987.4</v>
      </c>
      <c r="Q3471" t="s">
        <v>135</v>
      </c>
      <c r="R3471" t="s">
        <v>131</v>
      </c>
    </row>
    <row r="3472" spans="3:18" hidden="1" x14ac:dyDescent="0.25">
      <c r="C3472" t="s">
        <v>45</v>
      </c>
      <c r="D3472" t="s">
        <v>24</v>
      </c>
      <c r="E3472" t="s">
        <v>44</v>
      </c>
      <c r="F3472" t="s">
        <v>41</v>
      </c>
      <c r="G3472" s="89">
        <v>172027</v>
      </c>
      <c r="H3472" t="s">
        <v>42</v>
      </c>
      <c r="I3472" t="s">
        <v>147</v>
      </c>
      <c r="J3472" s="89">
        <v>688108</v>
      </c>
      <c r="K3472" t="s">
        <v>127</v>
      </c>
      <c r="L3472" t="s">
        <v>128</v>
      </c>
      <c r="M3472" t="s">
        <v>148</v>
      </c>
      <c r="N3472">
        <v>1</v>
      </c>
      <c r="O3472" s="89">
        <v>6881.08</v>
      </c>
      <c r="P3472" s="89">
        <v>48167.56</v>
      </c>
      <c r="Q3472" t="s">
        <v>130</v>
      </c>
      <c r="R3472" t="s">
        <v>42</v>
      </c>
    </row>
    <row r="3473" spans="3:18" hidden="1" x14ac:dyDescent="0.25">
      <c r="C3473" t="s">
        <v>45</v>
      </c>
      <c r="D3473" t="s">
        <v>149</v>
      </c>
      <c r="E3473" t="s">
        <v>43</v>
      </c>
      <c r="F3473" t="s">
        <v>41</v>
      </c>
      <c r="G3473" s="89">
        <v>928549</v>
      </c>
      <c r="H3473" t="s">
        <v>42</v>
      </c>
      <c r="I3473" t="s">
        <v>126</v>
      </c>
      <c r="J3473" s="89">
        <v>14856784</v>
      </c>
      <c r="K3473" t="s">
        <v>127</v>
      </c>
      <c r="L3473" t="s">
        <v>128</v>
      </c>
      <c r="M3473" t="s">
        <v>136</v>
      </c>
      <c r="N3473">
        <v>1</v>
      </c>
      <c r="O3473" s="89">
        <v>37141.96</v>
      </c>
      <c r="P3473" s="89">
        <v>622127.82999999996</v>
      </c>
      <c r="Q3473" t="s">
        <v>137</v>
      </c>
      <c r="R3473" t="s">
        <v>42</v>
      </c>
    </row>
    <row r="3474" spans="3:18" hidden="1" x14ac:dyDescent="0.25">
      <c r="C3474" t="s">
        <v>45</v>
      </c>
      <c r="D3474" t="s">
        <v>20</v>
      </c>
      <c r="E3474" t="s">
        <v>43</v>
      </c>
      <c r="F3474" t="s">
        <v>41</v>
      </c>
      <c r="G3474" s="89">
        <v>5694039</v>
      </c>
      <c r="H3474" t="s">
        <v>42</v>
      </c>
      <c r="I3474" t="s">
        <v>133</v>
      </c>
      <c r="J3474" s="89">
        <v>182209248</v>
      </c>
      <c r="K3474" t="s">
        <v>144</v>
      </c>
      <c r="N3474">
        <v>1</v>
      </c>
      <c r="O3474" s="89">
        <v>170821.17</v>
      </c>
      <c r="P3474" s="89">
        <v>2847019.5</v>
      </c>
      <c r="Q3474" t="s">
        <v>142</v>
      </c>
      <c r="R3474" t="s">
        <v>131</v>
      </c>
    </row>
    <row r="3475" spans="3:18" x14ac:dyDescent="0.25">
      <c r="C3475" t="s">
        <v>47</v>
      </c>
      <c r="D3475" t="s">
        <v>21</v>
      </c>
      <c r="E3475" t="s">
        <v>40</v>
      </c>
      <c r="F3475" t="s">
        <v>41</v>
      </c>
      <c r="G3475" s="89">
        <v>1961127</v>
      </c>
      <c r="H3475" t="s">
        <v>145</v>
      </c>
      <c r="I3475" t="s">
        <v>126</v>
      </c>
      <c r="J3475" s="89">
        <v>23533524</v>
      </c>
      <c r="K3475" t="s">
        <v>144</v>
      </c>
      <c r="N3475">
        <v>1</v>
      </c>
      <c r="O3475" s="89">
        <v>98056.35</v>
      </c>
      <c r="P3475" s="89">
        <v>1078619.8500000001</v>
      </c>
      <c r="Q3475" t="s">
        <v>142</v>
      </c>
      <c r="R3475" t="s">
        <v>131</v>
      </c>
    </row>
    <row r="3476" spans="3:18" hidden="1" x14ac:dyDescent="0.25">
      <c r="C3476" t="s">
        <v>45</v>
      </c>
      <c r="D3476" t="s">
        <v>24</v>
      </c>
      <c r="E3476" t="s">
        <v>48</v>
      </c>
      <c r="F3476" t="s">
        <v>41</v>
      </c>
      <c r="G3476" s="89">
        <v>701224</v>
      </c>
      <c r="H3476" t="s">
        <v>145</v>
      </c>
      <c r="I3476" t="s">
        <v>126</v>
      </c>
      <c r="J3476" s="89">
        <v>10518360</v>
      </c>
      <c r="K3476" t="s">
        <v>144</v>
      </c>
      <c r="N3476">
        <v>1</v>
      </c>
      <c r="O3476" s="89">
        <v>21036.720000000001</v>
      </c>
      <c r="P3476" s="89">
        <v>175306</v>
      </c>
      <c r="Q3476" t="s">
        <v>130</v>
      </c>
      <c r="R3476" t="s">
        <v>131</v>
      </c>
    </row>
    <row r="3477" spans="3:18" hidden="1" x14ac:dyDescent="0.25">
      <c r="C3477" t="s">
        <v>45</v>
      </c>
      <c r="D3477" t="s">
        <v>21</v>
      </c>
      <c r="E3477" t="s">
        <v>43</v>
      </c>
      <c r="F3477" t="s">
        <v>41</v>
      </c>
      <c r="G3477" s="89">
        <v>132526</v>
      </c>
      <c r="H3477" t="s">
        <v>42</v>
      </c>
      <c r="I3477" t="s">
        <v>126</v>
      </c>
      <c r="J3477" s="89">
        <v>2252942</v>
      </c>
      <c r="K3477" t="s">
        <v>127</v>
      </c>
      <c r="L3477" t="s">
        <v>151</v>
      </c>
      <c r="M3477" t="s">
        <v>156</v>
      </c>
      <c r="N3477">
        <v>1</v>
      </c>
      <c r="O3477" s="89">
        <v>2650.52</v>
      </c>
      <c r="P3477" s="89">
        <v>62287.22</v>
      </c>
      <c r="Q3477" t="s">
        <v>142</v>
      </c>
      <c r="R3477" t="s">
        <v>131</v>
      </c>
    </row>
    <row r="3478" spans="3:18" hidden="1" x14ac:dyDescent="0.25">
      <c r="C3478" t="s">
        <v>45</v>
      </c>
      <c r="D3478" t="s">
        <v>21</v>
      </c>
      <c r="E3478" t="s">
        <v>43</v>
      </c>
      <c r="F3478" t="s">
        <v>41</v>
      </c>
      <c r="G3478" s="89">
        <v>26653949</v>
      </c>
      <c r="H3478" t="s">
        <v>42</v>
      </c>
      <c r="I3478" t="s">
        <v>133</v>
      </c>
      <c r="J3478" s="89">
        <v>772964521</v>
      </c>
      <c r="K3478" t="s">
        <v>127</v>
      </c>
      <c r="L3478" t="s">
        <v>128</v>
      </c>
      <c r="M3478" t="s">
        <v>129</v>
      </c>
      <c r="N3478">
        <v>1</v>
      </c>
      <c r="O3478" s="89">
        <v>799618.47</v>
      </c>
      <c r="P3478" s="89">
        <v>13593513.99</v>
      </c>
      <c r="Q3478" t="s">
        <v>142</v>
      </c>
      <c r="R3478" t="s">
        <v>42</v>
      </c>
    </row>
    <row r="3479" spans="3:18" hidden="1" x14ac:dyDescent="0.25">
      <c r="C3479" t="s">
        <v>45</v>
      </c>
      <c r="D3479" t="s">
        <v>22</v>
      </c>
      <c r="E3479" t="s">
        <v>40</v>
      </c>
      <c r="F3479" t="s">
        <v>41</v>
      </c>
      <c r="G3479" s="89">
        <v>10503863</v>
      </c>
      <c r="H3479" t="s">
        <v>145</v>
      </c>
      <c r="I3479" t="s">
        <v>147</v>
      </c>
      <c r="J3479" s="89">
        <v>31511589</v>
      </c>
      <c r="K3479" t="s">
        <v>127</v>
      </c>
      <c r="L3479" t="s">
        <v>128</v>
      </c>
      <c r="N3479">
        <v>1</v>
      </c>
      <c r="O3479" s="89">
        <v>315115.89</v>
      </c>
      <c r="P3479" s="89">
        <v>1365502.19</v>
      </c>
      <c r="Q3479" t="s">
        <v>130</v>
      </c>
      <c r="R3479" t="s">
        <v>131</v>
      </c>
    </row>
    <row r="3480" spans="3:18" hidden="1" x14ac:dyDescent="0.25">
      <c r="C3480" t="s">
        <v>45</v>
      </c>
      <c r="D3480" t="s">
        <v>24</v>
      </c>
      <c r="E3480" t="s">
        <v>44</v>
      </c>
      <c r="F3480" t="s">
        <v>41</v>
      </c>
      <c r="G3480" s="89">
        <v>43835</v>
      </c>
      <c r="H3480" t="s">
        <v>145</v>
      </c>
      <c r="I3480" t="s">
        <v>141</v>
      </c>
      <c r="J3480" s="89">
        <v>350680</v>
      </c>
      <c r="K3480" t="s">
        <v>127</v>
      </c>
      <c r="L3480" t="s">
        <v>128</v>
      </c>
      <c r="N3480">
        <v>1</v>
      </c>
      <c r="O3480" s="89">
        <v>1315.05</v>
      </c>
      <c r="P3480" s="89">
        <v>22355.85</v>
      </c>
      <c r="Q3480" t="s">
        <v>142</v>
      </c>
      <c r="R3480" t="s">
        <v>131</v>
      </c>
    </row>
    <row r="3481" spans="3:18" hidden="1" x14ac:dyDescent="0.25">
      <c r="C3481" t="s">
        <v>45</v>
      </c>
      <c r="D3481" t="s">
        <v>138</v>
      </c>
      <c r="E3481" t="s">
        <v>40</v>
      </c>
      <c r="F3481" t="s">
        <v>41</v>
      </c>
      <c r="G3481" s="89">
        <v>197426</v>
      </c>
      <c r="H3481" t="s">
        <v>146</v>
      </c>
      <c r="I3481" t="s">
        <v>141</v>
      </c>
      <c r="J3481" s="89">
        <v>1381982</v>
      </c>
      <c r="K3481" t="s">
        <v>127</v>
      </c>
      <c r="L3481" t="s">
        <v>128</v>
      </c>
      <c r="N3481">
        <v>1</v>
      </c>
      <c r="O3481" s="89">
        <v>7897.04</v>
      </c>
      <c r="P3481" s="89">
        <v>39485.199999999997</v>
      </c>
      <c r="Q3481" t="s">
        <v>130</v>
      </c>
      <c r="R3481" t="s">
        <v>131</v>
      </c>
    </row>
    <row r="3482" spans="3:18" hidden="1" x14ac:dyDescent="0.25">
      <c r="C3482" t="s">
        <v>45</v>
      </c>
      <c r="D3482" t="s">
        <v>20</v>
      </c>
      <c r="E3482" t="s">
        <v>43</v>
      </c>
      <c r="F3482" t="s">
        <v>41</v>
      </c>
      <c r="G3482" s="89">
        <v>55647314</v>
      </c>
      <c r="H3482" t="s">
        <v>140</v>
      </c>
      <c r="I3482" t="s">
        <v>133</v>
      </c>
      <c r="J3482" s="89">
        <v>1558124792</v>
      </c>
      <c r="K3482" t="s">
        <v>127</v>
      </c>
      <c r="L3482" t="s">
        <v>128</v>
      </c>
      <c r="N3482">
        <v>1</v>
      </c>
      <c r="O3482" s="89">
        <v>1669419.42</v>
      </c>
      <c r="P3482" s="89">
        <v>38396646.659999996</v>
      </c>
      <c r="Q3482" t="s">
        <v>137</v>
      </c>
      <c r="R3482" t="s">
        <v>131</v>
      </c>
    </row>
    <row r="3483" spans="3:18" hidden="1" x14ac:dyDescent="0.25">
      <c r="C3483" t="s">
        <v>45</v>
      </c>
      <c r="D3483" t="s">
        <v>22</v>
      </c>
      <c r="E3483" t="s">
        <v>40</v>
      </c>
      <c r="F3483" t="s">
        <v>41</v>
      </c>
      <c r="G3483" s="89">
        <v>1453086</v>
      </c>
      <c r="H3483" t="s">
        <v>146</v>
      </c>
      <c r="I3483" t="s">
        <v>133</v>
      </c>
      <c r="J3483" s="89">
        <v>43592580</v>
      </c>
      <c r="K3483" t="s">
        <v>134</v>
      </c>
      <c r="L3483" t="s">
        <v>128</v>
      </c>
      <c r="N3483">
        <v>1</v>
      </c>
      <c r="O3483" s="89">
        <v>43592.58</v>
      </c>
      <c r="P3483" s="89">
        <v>1017160.2</v>
      </c>
      <c r="Q3483" t="s">
        <v>137</v>
      </c>
      <c r="R3483" t="s">
        <v>131</v>
      </c>
    </row>
    <row r="3484" spans="3:18" hidden="1" x14ac:dyDescent="0.25">
      <c r="C3484" t="s">
        <v>45</v>
      </c>
      <c r="D3484" t="s">
        <v>24</v>
      </c>
      <c r="E3484" t="s">
        <v>43</v>
      </c>
      <c r="F3484" t="s">
        <v>41</v>
      </c>
      <c r="G3484" s="89">
        <v>22003</v>
      </c>
      <c r="H3484" t="s">
        <v>42</v>
      </c>
      <c r="I3484" t="s">
        <v>141</v>
      </c>
      <c r="J3484" s="89">
        <v>110015</v>
      </c>
      <c r="K3484" t="s">
        <v>144</v>
      </c>
      <c r="N3484">
        <v>1</v>
      </c>
      <c r="O3484" s="89">
        <v>660.09</v>
      </c>
      <c r="P3484" s="89">
        <v>10781.47</v>
      </c>
      <c r="Q3484" t="s">
        <v>142</v>
      </c>
      <c r="R3484" t="s">
        <v>42</v>
      </c>
    </row>
    <row r="3485" spans="3:18" hidden="1" x14ac:dyDescent="0.25">
      <c r="C3485" t="s">
        <v>45</v>
      </c>
      <c r="D3485" t="s">
        <v>22</v>
      </c>
      <c r="E3485" t="s">
        <v>40</v>
      </c>
      <c r="F3485" t="s">
        <v>41</v>
      </c>
      <c r="G3485" s="89">
        <v>98345</v>
      </c>
      <c r="H3485" t="s">
        <v>146</v>
      </c>
      <c r="I3485" t="s">
        <v>126</v>
      </c>
      <c r="J3485" s="89">
        <v>1966900</v>
      </c>
      <c r="K3485" t="s">
        <v>127</v>
      </c>
      <c r="L3485" t="s">
        <v>151</v>
      </c>
      <c r="N3485">
        <v>1</v>
      </c>
      <c r="O3485" s="89">
        <v>983.45</v>
      </c>
      <c r="P3485" s="89">
        <v>65891.149999999994</v>
      </c>
      <c r="Q3485" t="s">
        <v>137</v>
      </c>
      <c r="R3485" t="s">
        <v>131</v>
      </c>
    </row>
    <row r="3486" spans="3:18" hidden="1" x14ac:dyDescent="0.25">
      <c r="C3486" t="s">
        <v>45</v>
      </c>
      <c r="D3486" t="s">
        <v>24</v>
      </c>
      <c r="E3486" t="s">
        <v>40</v>
      </c>
      <c r="F3486" t="s">
        <v>41</v>
      </c>
      <c r="G3486" s="89">
        <v>879410</v>
      </c>
      <c r="H3486" t="s">
        <v>42</v>
      </c>
      <c r="I3486" t="s">
        <v>133</v>
      </c>
      <c r="J3486" s="89">
        <v>29899940</v>
      </c>
      <c r="K3486" t="s">
        <v>144</v>
      </c>
      <c r="N3486">
        <v>1</v>
      </c>
      <c r="O3486" s="89">
        <v>26382.3</v>
      </c>
      <c r="P3486" s="89">
        <v>773880.8</v>
      </c>
      <c r="Q3486" t="s">
        <v>135</v>
      </c>
      <c r="R3486" t="s">
        <v>131</v>
      </c>
    </row>
    <row r="3487" spans="3:18" hidden="1" x14ac:dyDescent="0.25">
      <c r="C3487" t="s">
        <v>45</v>
      </c>
      <c r="D3487" t="s">
        <v>22</v>
      </c>
      <c r="E3487" t="s">
        <v>46</v>
      </c>
      <c r="F3487" t="s">
        <v>41</v>
      </c>
      <c r="G3487" s="89">
        <v>16329107</v>
      </c>
      <c r="H3487" t="s">
        <v>42</v>
      </c>
      <c r="I3487" t="s">
        <v>133</v>
      </c>
      <c r="J3487" s="89">
        <v>587847852</v>
      </c>
      <c r="K3487" t="s">
        <v>144</v>
      </c>
      <c r="N3487">
        <v>1</v>
      </c>
      <c r="O3487" s="89">
        <v>489873.21</v>
      </c>
      <c r="P3487" s="89">
        <v>14532905.23</v>
      </c>
      <c r="Q3487" t="s">
        <v>135</v>
      </c>
      <c r="R3487" t="s">
        <v>42</v>
      </c>
    </row>
    <row r="3488" spans="3:18" hidden="1" x14ac:dyDescent="0.25">
      <c r="C3488" t="s">
        <v>45</v>
      </c>
      <c r="D3488" t="s">
        <v>23</v>
      </c>
      <c r="E3488" t="s">
        <v>43</v>
      </c>
      <c r="F3488" t="s">
        <v>41</v>
      </c>
      <c r="G3488" s="89">
        <v>140334</v>
      </c>
      <c r="H3488" t="s">
        <v>146</v>
      </c>
      <c r="I3488" t="s">
        <v>133</v>
      </c>
      <c r="J3488" s="89">
        <v>4771356</v>
      </c>
      <c r="K3488" t="s">
        <v>144</v>
      </c>
      <c r="N3488">
        <v>1</v>
      </c>
      <c r="O3488" s="89">
        <v>4210.0200000000004</v>
      </c>
      <c r="P3488" s="89">
        <v>117880.56</v>
      </c>
      <c r="Q3488" t="s">
        <v>135</v>
      </c>
      <c r="R3488" t="s">
        <v>131</v>
      </c>
    </row>
    <row r="3489" spans="3:18" hidden="1" x14ac:dyDescent="0.25">
      <c r="C3489" t="s">
        <v>45</v>
      </c>
      <c r="D3489" t="s">
        <v>24</v>
      </c>
      <c r="E3489" t="s">
        <v>48</v>
      </c>
      <c r="F3489" t="s">
        <v>41</v>
      </c>
      <c r="G3489" s="89">
        <v>2430029</v>
      </c>
      <c r="H3489" t="s">
        <v>42</v>
      </c>
      <c r="I3489" t="s">
        <v>133</v>
      </c>
      <c r="J3489" s="89">
        <v>72900870</v>
      </c>
      <c r="K3489" t="s">
        <v>144</v>
      </c>
      <c r="N3489">
        <v>1</v>
      </c>
      <c r="O3489" s="89">
        <v>72900.87</v>
      </c>
      <c r="P3489" s="89">
        <v>680408.12</v>
      </c>
      <c r="Q3489" t="s">
        <v>130</v>
      </c>
      <c r="R3489" t="s">
        <v>131</v>
      </c>
    </row>
    <row r="3490" spans="3:18" hidden="1" x14ac:dyDescent="0.25">
      <c r="C3490" t="s">
        <v>45</v>
      </c>
      <c r="D3490" t="s">
        <v>24</v>
      </c>
      <c r="E3490" t="s">
        <v>46</v>
      </c>
      <c r="F3490" t="s">
        <v>41</v>
      </c>
      <c r="G3490" s="89">
        <v>10138</v>
      </c>
      <c r="H3490" t="s">
        <v>146</v>
      </c>
      <c r="I3490" t="s">
        <v>141</v>
      </c>
      <c r="J3490" s="89">
        <v>101380</v>
      </c>
      <c r="K3490" t="s">
        <v>127</v>
      </c>
      <c r="L3490" t="s">
        <v>128</v>
      </c>
      <c r="N3490">
        <v>1</v>
      </c>
      <c r="O3490" s="89">
        <v>506.9</v>
      </c>
      <c r="P3490" s="89">
        <v>3751.06</v>
      </c>
      <c r="Q3490" t="s">
        <v>130</v>
      </c>
      <c r="R3490" t="s">
        <v>131</v>
      </c>
    </row>
    <row r="3491" spans="3:18" hidden="1" x14ac:dyDescent="0.25">
      <c r="C3491" t="s">
        <v>45</v>
      </c>
      <c r="D3491" t="s">
        <v>20</v>
      </c>
      <c r="E3491" t="s">
        <v>40</v>
      </c>
      <c r="F3491" t="s">
        <v>41</v>
      </c>
      <c r="G3491" s="89">
        <v>1319917</v>
      </c>
      <c r="H3491" t="s">
        <v>42</v>
      </c>
      <c r="I3491" t="s">
        <v>126</v>
      </c>
      <c r="J3491" s="89">
        <v>19798755</v>
      </c>
      <c r="K3491" t="s">
        <v>127</v>
      </c>
      <c r="L3491" t="s">
        <v>128</v>
      </c>
      <c r="M3491" t="s">
        <v>139</v>
      </c>
      <c r="N3491">
        <v>1</v>
      </c>
      <c r="O3491" s="89">
        <v>39597.51</v>
      </c>
      <c r="P3491" s="89">
        <v>356377.59</v>
      </c>
      <c r="Q3491" t="s">
        <v>130</v>
      </c>
      <c r="R3491" t="s">
        <v>131</v>
      </c>
    </row>
    <row r="3492" spans="3:18" hidden="1" x14ac:dyDescent="0.25">
      <c r="C3492" t="s">
        <v>45</v>
      </c>
      <c r="D3492" t="s">
        <v>22</v>
      </c>
      <c r="E3492" t="s">
        <v>40</v>
      </c>
      <c r="F3492" t="s">
        <v>53</v>
      </c>
      <c r="G3492" s="89">
        <v>136595</v>
      </c>
      <c r="H3492" t="s">
        <v>132</v>
      </c>
      <c r="I3492" t="s">
        <v>133</v>
      </c>
      <c r="J3492" s="89">
        <v>3278280</v>
      </c>
      <c r="K3492" t="s">
        <v>144</v>
      </c>
      <c r="N3492">
        <v>1</v>
      </c>
      <c r="O3492" s="89">
        <v>4097.8500000000004</v>
      </c>
      <c r="P3492" s="89">
        <v>35514.699999999997</v>
      </c>
      <c r="Q3492" t="s">
        <v>130</v>
      </c>
      <c r="R3492" t="s">
        <v>131</v>
      </c>
    </row>
    <row r="3493" spans="3:18" hidden="1" x14ac:dyDescent="0.25">
      <c r="C3493" t="s">
        <v>45</v>
      </c>
      <c r="D3493" t="s">
        <v>24</v>
      </c>
      <c r="E3493" t="s">
        <v>44</v>
      </c>
      <c r="F3493" t="s">
        <v>41</v>
      </c>
      <c r="G3493" s="89">
        <v>19942878</v>
      </c>
      <c r="H3493" t="s">
        <v>42</v>
      </c>
      <c r="I3493" t="s">
        <v>133</v>
      </c>
      <c r="J3493" s="89">
        <v>717943608</v>
      </c>
      <c r="K3493" t="s">
        <v>144</v>
      </c>
      <c r="N3493">
        <v>1</v>
      </c>
      <c r="O3493" s="89">
        <v>598286.34</v>
      </c>
      <c r="P3493" s="89">
        <v>17749161.420000002</v>
      </c>
      <c r="Q3493" t="s">
        <v>135</v>
      </c>
      <c r="R3493" t="s">
        <v>42</v>
      </c>
    </row>
    <row r="3494" spans="3:18" hidden="1" x14ac:dyDescent="0.25">
      <c r="C3494" t="s">
        <v>45</v>
      </c>
      <c r="D3494" t="s">
        <v>23</v>
      </c>
      <c r="E3494" t="s">
        <v>48</v>
      </c>
      <c r="F3494" t="s">
        <v>41</v>
      </c>
      <c r="G3494" s="89">
        <v>8720939</v>
      </c>
      <c r="H3494" t="s">
        <v>146</v>
      </c>
      <c r="I3494" t="s">
        <v>133</v>
      </c>
      <c r="J3494" s="89">
        <v>244186292</v>
      </c>
      <c r="K3494" t="s">
        <v>127</v>
      </c>
      <c r="L3494" t="s">
        <v>128</v>
      </c>
      <c r="N3494">
        <v>1</v>
      </c>
      <c r="O3494" s="89">
        <v>261628.17</v>
      </c>
      <c r="P3494" s="89">
        <v>6017447.9100000001</v>
      </c>
      <c r="Q3494" t="s">
        <v>137</v>
      </c>
      <c r="R3494" t="s">
        <v>131</v>
      </c>
    </row>
    <row r="3495" spans="3:18" hidden="1" x14ac:dyDescent="0.25">
      <c r="C3495" t="s">
        <v>45</v>
      </c>
      <c r="D3495" t="s">
        <v>149</v>
      </c>
      <c r="E3495" t="s">
        <v>43</v>
      </c>
      <c r="F3495" t="s">
        <v>53</v>
      </c>
      <c r="G3495" s="89">
        <v>541634</v>
      </c>
      <c r="H3495" t="s">
        <v>42</v>
      </c>
      <c r="I3495" t="s">
        <v>126</v>
      </c>
      <c r="J3495" s="89">
        <v>8124510</v>
      </c>
      <c r="K3495" t="s">
        <v>144</v>
      </c>
      <c r="N3495">
        <v>1</v>
      </c>
      <c r="O3495" s="89">
        <v>16249.02</v>
      </c>
      <c r="P3495" s="89">
        <v>368311.12</v>
      </c>
      <c r="Q3495" t="s">
        <v>137</v>
      </c>
      <c r="R3495" t="s">
        <v>42</v>
      </c>
    </row>
    <row r="3496" spans="3:18" x14ac:dyDescent="0.25">
      <c r="C3496" t="s">
        <v>47</v>
      </c>
      <c r="D3496" t="s">
        <v>21</v>
      </c>
      <c r="E3496" t="s">
        <v>40</v>
      </c>
      <c r="F3496" t="s">
        <v>41</v>
      </c>
      <c r="G3496" s="89">
        <v>116584</v>
      </c>
      <c r="H3496" t="s">
        <v>140</v>
      </c>
      <c r="I3496" t="s">
        <v>147</v>
      </c>
      <c r="J3496" s="89">
        <v>233168</v>
      </c>
      <c r="K3496" t="s">
        <v>134</v>
      </c>
      <c r="L3496" t="s">
        <v>128</v>
      </c>
      <c r="N3496">
        <v>1</v>
      </c>
      <c r="O3496" s="89">
        <v>4663.3599999999997</v>
      </c>
      <c r="P3496" s="89">
        <v>11658.4</v>
      </c>
      <c r="Q3496" t="s">
        <v>130</v>
      </c>
      <c r="R3496" t="s">
        <v>131</v>
      </c>
    </row>
    <row r="3497" spans="3:18" hidden="1" x14ac:dyDescent="0.25">
      <c r="C3497" t="s">
        <v>45</v>
      </c>
      <c r="D3497" t="s">
        <v>20</v>
      </c>
      <c r="E3497" t="s">
        <v>43</v>
      </c>
      <c r="F3497" t="s">
        <v>41</v>
      </c>
      <c r="G3497" s="89">
        <v>512726</v>
      </c>
      <c r="I3497" t="s">
        <v>133</v>
      </c>
      <c r="J3497" s="89">
        <v>17432684</v>
      </c>
      <c r="K3497" t="s">
        <v>127</v>
      </c>
      <c r="L3497" t="s">
        <v>128</v>
      </c>
      <c r="N3497">
        <v>1</v>
      </c>
      <c r="O3497" s="89">
        <v>15381.78</v>
      </c>
      <c r="P3497" s="89">
        <v>415308.06</v>
      </c>
      <c r="Q3497" t="s">
        <v>135</v>
      </c>
      <c r="R3497" t="s">
        <v>131</v>
      </c>
    </row>
    <row r="3498" spans="3:18" hidden="1" x14ac:dyDescent="0.25">
      <c r="C3498" t="s">
        <v>45</v>
      </c>
      <c r="D3498" t="s">
        <v>22</v>
      </c>
      <c r="E3498" t="s">
        <v>48</v>
      </c>
      <c r="F3498" t="s">
        <v>41</v>
      </c>
      <c r="G3498" s="89">
        <v>53242</v>
      </c>
      <c r="H3498" t="s">
        <v>42</v>
      </c>
      <c r="I3498" t="s">
        <v>133</v>
      </c>
      <c r="J3498" s="89">
        <v>1863470</v>
      </c>
      <c r="K3498" t="s">
        <v>127</v>
      </c>
      <c r="L3498" t="s">
        <v>128</v>
      </c>
      <c r="M3498" t="s">
        <v>143</v>
      </c>
      <c r="N3498">
        <v>1</v>
      </c>
      <c r="O3498" s="89">
        <v>2129.6799999999998</v>
      </c>
      <c r="P3498" s="89">
        <v>63357.98</v>
      </c>
      <c r="Q3498" t="s">
        <v>150</v>
      </c>
      <c r="R3498" t="s">
        <v>131</v>
      </c>
    </row>
    <row r="3499" spans="3:18" hidden="1" x14ac:dyDescent="0.25">
      <c r="C3499" t="s">
        <v>45</v>
      </c>
      <c r="D3499" t="s">
        <v>23</v>
      </c>
      <c r="E3499" t="s">
        <v>48</v>
      </c>
      <c r="F3499" t="s">
        <v>41</v>
      </c>
      <c r="G3499" s="89">
        <v>105968</v>
      </c>
      <c r="H3499" t="s">
        <v>42</v>
      </c>
      <c r="I3499" t="s">
        <v>126</v>
      </c>
      <c r="J3499" s="89">
        <v>2013392</v>
      </c>
      <c r="K3499" t="s">
        <v>127</v>
      </c>
      <c r="L3499" t="s">
        <v>128</v>
      </c>
      <c r="M3499" t="s">
        <v>143</v>
      </c>
      <c r="N3499">
        <v>1</v>
      </c>
      <c r="O3499" s="89">
        <v>3179.04</v>
      </c>
      <c r="P3499" s="89">
        <v>80535.679999999993</v>
      </c>
      <c r="Q3499" t="s">
        <v>137</v>
      </c>
      <c r="R3499" t="s">
        <v>131</v>
      </c>
    </row>
    <row r="3500" spans="3:18" hidden="1" x14ac:dyDescent="0.25">
      <c r="C3500" t="s">
        <v>45</v>
      </c>
      <c r="D3500" t="s">
        <v>21</v>
      </c>
      <c r="E3500" t="s">
        <v>40</v>
      </c>
      <c r="F3500" t="s">
        <v>41</v>
      </c>
      <c r="G3500" s="89">
        <v>92806</v>
      </c>
      <c r="H3500" t="s">
        <v>146</v>
      </c>
      <c r="I3500" t="s">
        <v>126</v>
      </c>
      <c r="J3500" s="89">
        <v>1577702</v>
      </c>
      <c r="K3500" t="s">
        <v>127</v>
      </c>
      <c r="L3500" t="s">
        <v>128</v>
      </c>
      <c r="N3500">
        <v>1</v>
      </c>
      <c r="O3500" s="89">
        <v>2784.18</v>
      </c>
      <c r="P3500" s="89">
        <v>78885.100000000006</v>
      </c>
      <c r="Q3500" t="s">
        <v>135</v>
      </c>
      <c r="R3500" t="s">
        <v>131</v>
      </c>
    </row>
    <row r="3501" spans="3:18" hidden="1" x14ac:dyDescent="0.25">
      <c r="C3501" t="s">
        <v>45</v>
      </c>
      <c r="D3501" t="s">
        <v>24</v>
      </c>
      <c r="E3501" t="s">
        <v>40</v>
      </c>
      <c r="F3501" t="s">
        <v>41</v>
      </c>
      <c r="G3501" s="89">
        <v>1836101</v>
      </c>
      <c r="H3501" t="s">
        <v>42</v>
      </c>
      <c r="I3501" t="s">
        <v>133</v>
      </c>
      <c r="J3501" s="89">
        <v>66099636</v>
      </c>
      <c r="K3501" t="s">
        <v>144</v>
      </c>
      <c r="N3501">
        <v>1</v>
      </c>
      <c r="O3501" s="89">
        <v>55083.03</v>
      </c>
      <c r="P3501" s="89">
        <v>1303631.71</v>
      </c>
      <c r="Q3501" t="s">
        <v>137</v>
      </c>
      <c r="R3501" t="s">
        <v>42</v>
      </c>
    </row>
    <row r="3502" spans="3:18" hidden="1" x14ac:dyDescent="0.25">
      <c r="C3502" t="s">
        <v>45</v>
      </c>
      <c r="D3502" t="s">
        <v>138</v>
      </c>
      <c r="E3502" t="s">
        <v>43</v>
      </c>
      <c r="F3502" t="s">
        <v>41</v>
      </c>
      <c r="G3502" s="89">
        <v>1772806</v>
      </c>
      <c r="H3502" t="s">
        <v>42</v>
      </c>
      <c r="I3502" t="s">
        <v>133</v>
      </c>
      <c r="J3502" s="89">
        <v>51411374</v>
      </c>
      <c r="K3502" t="s">
        <v>127</v>
      </c>
      <c r="L3502" t="s">
        <v>128</v>
      </c>
      <c r="M3502" t="s">
        <v>143</v>
      </c>
      <c r="N3502">
        <v>1</v>
      </c>
      <c r="O3502" s="89">
        <v>70912.240000000005</v>
      </c>
      <c r="P3502" s="89">
        <v>1223236.1399999999</v>
      </c>
      <c r="Q3502" t="s">
        <v>137</v>
      </c>
      <c r="R3502" t="s">
        <v>42</v>
      </c>
    </row>
    <row r="3503" spans="3:18" x14ac:dyDescent="0.25">
      <c r="C3503" t="s">
        <v>47</v>
      </c>
      <c r="D3503" t="s">
        <v>20</v>
      </c>
      <c r="E3503" t="s">
        <v>43</v>
      </c>
      <c r="F3503" t="s">
        <v>41</v>
      </c>
      <c r="G3503" s="89">
        <v>1034903</v>
      </c>
      <c r="H3503" t="s">
        <v>146</v>
      </c>
      <c r="I3503" t="s">
        <v>141</v>
      </c>
      <c r="J3503" s="89">
        <v>8279224</v>
      </c>
      <c r="K3503" t="s">
        <v>127</v>
      </c>
      <c r="L3503" t="s">
        <v>128</v>
      </c>
      <c r="N3503">
        <v>1</v>
      </c>
      <c r="O3503" s="89">
        <v>51745.15</v>
      </c>
      <c r="P3503" s="89">
        <v>206980.6</v>
      </c>
      <c r="Q3503" t="s">
        <v>130</v>
      </c>
      <c r="R3503" t="s">
        <v>131</v>
      </c>
    </row>
    <row r="3504" spans="3:18" hidden="1" x14ac:dyDescent="0.25">
      <c r="C3504" t="s">
        <v>45</v>
      </c>
      <c r="D3504" t="s">
        <v>138</v>
      </c>
      <c r="E3504" t="s">
        <v>43</v>
      </c>
      <c r="F3504" t="s">
        <v>41</v>
      </c>
      <c r="G3504" s="89">
        <v>87955</v>
      </c>
      <c r="H3504" t="s">
        <v>42</v>
      </c>
      <c r="I3504" t="s">
        <v>133</v>
      </c>
      <c r="J3504" s="89">
        <v>3078425</v>
      </c>
      <c r="K3504" t="s">
        <v>127</v>
      </c>
      <c r="L3504" t="s">
        <v>128</v>
      </c>
      <c r="M3504" t="s">
        <v>129</v>
      </c>
      <c r="N3504">
        <v>1</v>
      </c>
      <c r="O3504" s="89">
        <v>3518.2</v>
      </c>
      <c r="P3504" s="89">
        <v>71243.55</v>
      </c>
      <c r="Q3504" t="s">
        <v>135</v>
      </c>
      <c r="R3504" t="s">
        <v>42</v>
      </c>
    </row>
    <row r="3505" spans="3:18" hidden="1" x14ac:dyDescent="0.25">
      <c r="C3505" t="s">
        <v>45</v>
      </c>
      <c r="D3505" t="s">
        <v>149</v>
      </c>
      <c r="E3505" t="s">
        <v>48</v>
      </c>
      <c r="F3505" t="s">
        <v>41</v>
      </c>
      <c r="G3505" s="89">
        <v>150101</v>
      </c>
      <c r="H3505" t="s">
        <v>42</v>
      </c>
      <c r="I3505" t="s">
        <v>133</v>
      </c>
      <c r="J3505" s="89">
        <v>3902626</v>
      </c>
      <c r="K3505" t="s">
        <v>127</v>
      </c>
      <c r="L3505" t="s">
        <v>128</v>
      </c>
      <c r="M3505" t="s">
        <v>136</v>
      </c>
      <c r="N3505">
        <v>1</v>
      </c>
      <c r="O3505" s="89">
        <v>6004.04</v>
      </c>
      <c r="P3505" s="89">
        <v>82555.55</v>
      </c>
      <c r="Q3505" t="s">
        <v>142</v>
      </c>
      <c r="R3505" t="s">
        <v>42</v>
      </c>
    </row>
    <row r="3506" spans="3:18" hidden="1" x14ac:dyDescent="0.25">
      <c r="C3506" t="s">
        <v>45</v>
      </c>
      <c r="D3506" t="s">
        <v>22</v>
      </c>
      <c r="E3506" t="s">
        <v>43</v>
      </c>
      <c r="F3506" t="s">
        <v>41</v>
      </c>
      <c r="G3506" s="89">
        <v>622789</v>
      </c>
      <c r="H3506" t="s">
        <v>42</v>
      </c>
      <c r="I3506" t="s">
        <v>133</v>
      </c>
      <c r="J3506" s="89">
        <v>19929248</v>
      </c>
      <c r="K3506" t="s">
        <v>134</v>
      </c>
      <c r="L3506" t="s">
        <v>128</v>
      </c>
      <c r="M3506" t="s">
        <v>143</v>
      </c>
      <c r="N3506">
        <v>1</v>
      </c>
      <c r="O3506" s="89">
        <v>18683.669999999998</v>
      </c>
      <c r="P3506" s="89">
        <v>510686.98</v>
      </c>
      <c r="Q3506" t="s">
        <v>135</v>
      </c>
      <c r="R3506" t="s">
        <v>131</v>
      </c>
    </row>
    <row r="3507" spans="3:18" hidden="1" x14ac:dyDescent="0.25">
      <c r="C3507" t="s">
        <v>45</v>
      </c>
      <c r="D3507" t="s">
        <v>138</v>
      </c>
      <c r="E3507" t="s">
        <v>43</v>
      </c>
      <c r="F3507" t="s">
        <v>41</v>
      </c>
      <c r="G3507" s="89">
        <v>29836791</v>
      </c>
      <c r="H3507" t="s">
        <v>132</v>
      </c>
      <c r="I3507" t="s">
        <v>133</v>
      </c>
      <c r="J3507" s="89">
        <v>805593357</v>
      </c>
      <c r="K3507" t="s">
        <v>127</v>
      </c>
      <c r="L3507" t="s">
        <v>128</v>
      </c>
      <c r="N3507">
        <v>1</v>
      </c>
      <c r="O3507" s="89">
        <v>895103.73</v>
      </c>
      <c r="P3507" s="89">
        <v>15515131.32</v>
      </c>
      <c r="Q3507" t="s">
        <v>142</v>
      </c>
      <c r="R3507" t="s">
        <v>131</v>
      </c>
    </row>
    <row r="3508" spans="3:18" x14ac:dyDescent="0.25">
      <c r="C3508" t="s">
        <v>47</v>
      </c>
      <c r="D3508" t="s">
        <v>21</v>
      </c>
      <c r="E3508" t="s">
        <v>40</v>
      </c>
      <c r="F3508" t="s">
        <v>41</v>
      </c>
      <c r="G3508" s="89">
        <v>17911299</v>
      </c>
      <c r="H3508" t="s">
        <v>140</v>
      </c>
      <c r="I3508" t="s">
        <v>126</v>
      </c>
      <c r="J3508" s="89">
        <v>232846887</v>
      </c>
      <c r="K3508" t="s">
        <v>127</v>
      </c>
      <c r="L3508" t="s">
        <v>128</v>
      </c>
      <c r="N3508">
        <v>1</v>
      </c>
      <c r="O3508" s="89">
        <v>716451.96</v>
      </c>
      <c r="P3508" s="89">
        <v>5015163.72</v>
      </c>
      <c r="Q3508" t="s">
        <v>130</v>
      </c>
      <c r="R3508" t="s">
        <v>131</v>
      </c>
    </row>
    <row r="3509" spans="3:18" hidden="1" x14ac:dyDescent="0.25">
      <c r="C3509" t="s">
        <v>45</v>
      </c>
      <c r="D3509" t="s">
        <v>19</v>
      </c>
      <c r="E3509" t="s">
        <v>43</v>
      </c>
      <c r="F3509" t="s">
        <v>41</v>
      </c>
      <c r="G3509" s="89">
        <v>31192752</v>
      </c>
      <c r="H3509" t="s">
        <v>140</v>
      </c>
      <c r="I3509" t="s">
        <v>126</v>
      </c>
      <c r="J3509" s="89">
        <v>499084032</v>
      </c>
      <c r="K3509" t="s">
        <v>127</v>
      </c>
      <c r="L3509" t="s">
        <v>128</v>
      </c>
      <c r="N3509">
        <v>1</v>
      </c>
      <c r="O3509" s="89">
        <v>935782.56</v>
      </c>
      <c r="P3509" s="89">
        <v>15284448.48</v>
      </c>
      <c r="Q3509" t="s">
        <v>142</v>
      </c>
      <c r="R3509" t="s">
        <v>131</v>
      </c>
    </row>
    <row r="3510" spans="3:18" hidden="1" x14ac:dyDescent="0.25">
      <c r="C3510" t="s">
        <v>45</v>
      </c>
      <c r="D3510" t="s">
        <v>22</v>
      </c>
      <c r="E3510" t="s">
        <v>40</v>
      </c>
      <c r="F3510" t="s">
        <v>41</v>
      </c>
      <c r="G3510" s="89">
        <v>83983</v>
      </c>
      <c r="H3510" t="s">
        <v>42</v>
      </c>
      <c r="I3510" t="s">
        <v>126</v>
      </c>
      <c r="J3510" s="89">
        <v>1091779</v>
      </c>
      <c r="K3510" t="s">
        <v>134</v>
      </c>
      <c r="L3510" t="s">
        <v>128</v>
      </c>
      <c r="M3510" t="s">
        <v>143</v>
      </c>
      <c r="N3510">
        <v>1</v>
      </c>
      <c r="O3510" s="89">
        <v>2519.4899999999998</v>
      </c>
      <c r="P3510" s="89">
        <v>29394.05</v>
      </c>
      <c r="Q3510" t="s">
        <v>130</v>
      </c>
      <c r="R3510" t="s">
        <v>42</v>
      </c>
    </row>
    <row r="3511" spans="3:18" hidden="1" x14ac:dyDescent="0.25">
      <c r="C3511" t="s">
        <v>45</v>
      </c>
      <c r="D3511" t="s">
        <v>23</v>
      </c>
      <c r="E3511" t="s">
        <v>48</v>
      </c>
      <c r="F3511" t="s">
        <v>41</v>
      </c>
      <c r="G3511" s="89">
        <v>1664685</v>
      </c>
      <c r="H3511" t="s">
        <v>140</v>
      </c>
      <c r="I3511" t="s">
        <v>133</v>
      </c>
      <c r="J3511" s="89">
        <v>48275865</v>
      </c>
      <c r="K3511" t="s">
        <v>134</v>
      </c>
      <c r="L3511" t="s">
        <v>128</v>
      </c>
      <c r="N3511">
        <v>1</v>
      </c>
      <c r="O3511" s="89">
        <v>49940.55</v>
      </c>
      <c r="P3511" s="89">
        <v>1165279.5</v>
      </c>
      <c r="Q3511" t="s">
        <v>137</v>
      </c>
      <c r="R3511" t="s">
        <v>131</v>
      </c>
    </row>
    <row r="3512" spans="3:18" hidden="1" x14ac:dyDescent="0.25">
      <c r="C3512" t="s">
        <v>45</v>
      </c>
      <c r="D3512" t="s">
        <v>20</v>
      </c>
      <c r="E3512" t="s">
        <v>43</v>
      </c>
      <c r="F3512" t="s">
        <v>41</v>
      </c>
      <c r="G3512" s="89">
        <v>394076</v>
      </c>
      <c r="H3512" t="s">
        <v>42</v>
      </c>
      <c r="I3512" t="s">
        <v>141</v>
      </c>
      <c r="J3512" s="89">
        <v>3546684</v>
      </c>
      <c r="K3512" t="s">
        <v>127</v>
      </c>
      <c r="L3512" t="s">
        <v>128</v>
      </c>
      <c r="M3512" t="s">
        <v>139</v>
      </c>
      <c r="N3512">
        <v>1</v>
      </c>
      <c r="O3512" s="89">
        <v>11822.28</v>
      </c>
      <c r="P3512" s="89">
        <v>197038</v>
      </c>
      <c r="Q3512" t="s">
        <v>142</v>
      </c>
      <c r="R3512" t="s">
        <v>42</v>
      </c>
    </row>
    <row r="3513" spans="3:18" x14ac:dyDescent="0.25">
      <c r="C3513" t="s">
        <v>47</v>
      </c>
      <c r="D3513" t="s">
        <v>24</v>
      </c>
      <c r="E3513" t="s">
        <v>48</v>
      </c>
      <c r="F3513" t="s">
        <v>41</v>
      </c>
      <c r="G3513" s="89">
        <v>75627</v>
      </c>
      <c r="H3513" t="s">
        <v>145</v>
      </c>
      <c r="I3513" t="s">
        <v>147</v>
      </c>
      <c r="J3513" s="89">
        <v>226881</v>
      </c>
      <c r="K3513" t="s">
        <v>127</v>
      </c>
      <c r="L3513" t="s">
        <v>128</v>
      </c>
      <c r="N3513">
        <v>1</v>
      </c>
      <c r="O3513" s="89">
        <v>3025.08</v>
      </c>
      <c r="P3513" s="89">
        <v>18906.75</v>
      </c>
      <c r="Q3513" t="s">
        <v>130</v>
      </c>
      <c r="R3513" t="s">
        <v>131</v>
      </c>
    </row>
    <row r="3514" spans="3:18" hidden="1" x14ac:dyDescent="0.25">
      <c r="C3514" t="s">
        <v>45</v>
      </c>
      <c r="D3514" t="s">
        <v>19</v>
      </c>
      <c r="E3514" t="s">
        <v>46</v>
      </c>
      <c r="F3514" t="s">
        <v>41</v>
      </c>
      <c r="G3514" s="89">
        <v>141371</v>
      </c>
      <c r="H3514" t="s">
        <v>42</v>
      </c>
      <c r="I3514" t="s">
        <v>133</v>
      </c>
      <c r="J3514" s="89">
        <v>4665243</v>
      </c>
      <c r="K3514" t="s">
        <v>127</v>
      </c>
      <c r="L3514" t="s">
        <v>128</v>
      </c>
      <c r="M3514" t="s">
        <v>136</v>
      </c>
      <c r="N3514">
        <v>1</v>
      </c>
      <c r="O3514" s="89">
        <v>4241.13</v>
      </c>
      <c r="P3514" s="89">
        <v>94718.57</v>
      </c>
      <c r="Q3514" t="s">
        <v>137</v>
      </c>
      <c r="R3514" t="s">
        <v>42</v>
      </c>
    </row>
    <row r="3515" spans="3:18" x14ac:dyDescent="0.25">
      <c r="C3515" t="s">
        <v>47</v>
      </c>
      <c r="D3515" t="s">
        <v>24</v>
      </c>
      <c r="E3515" t="s">
        <v>43</v>
      </c>
      <c r="F3515" t="s">
        <v>41</v>
      </c>
      <c r="G3515" s="89">
        <v>10757</v>
      </c>
      <c r="H3515" t="s">
        <v>42</v>
      </c>
      <c r="I3515" t="s">
        <v>147</v>
      </c>
      <c r="J3515" s="89">
        <v>32271</v>
      </c>
      <c r="K3515" t="s">
        <v>127</v>
      </c>
      <c r="L3515" t="s">
        <v>128</v>
      </c>
      <c r="M3515" t="s">
        <v>148</v>
      </c>
      <c r="N3515">
        <v>1</v>
      </c>
      <c r="O3515" s="89">
        <v>537.85</v>
      </c>
      <c r="P3515" s="89">
        <v>2151.4</v>
      </c>
      <c r="Q3515" t="s">
        <v>130</v>
      </c>
      <c r="R3515" t="s">
        <v>131</v>
      </c>
    </row>
    <row r="3516" spans="3:18" hidden="1" x14ac:dyDescent="0.25">
      <c r="C3516" t="s">
        <v>45</v>
      </c>
      <c r="D3516" t="s">
        <v>22</v>
      </c>
      <c r="E3516" t="s">
        <v>40</v>
      </c>
      <c r="F3516" t="s">
        <v>53</v>
      </c>
      <c r="G3516" s="89">
        <v>136515</v>
      </c>
      <c r="H3516" t="s">
        <v>140</v>
      </c>
      <c r="I3516" t="s">
        <v>133</v>
      </c>
      <c r="J3516" s="89">
        <v>4778025</v>
      </c>
      <c r="K3516" t="s">
        <v>144</v>
      </c>
      <c r="N3516">
        <v>1</v>
      </c>
      <c r="O3516" s="89">
        <v>4095.45</v>
      </c>
      <c r="P3516" s="89">
        <v>92830.2</v>
      </c>
      <c r="Q3516" t="s">
        <v>137</v>
      </c>
      <c r="R3516" t="s">
        <v>131</v>
      </c>
    </row>
    <row r="3517" spans="3:18" hidden="1" x14ac:dyDescent="0.25">
      <c r="C3517" t="s">
        <v>45</v>
      </c>
      <c r="D3517" t="s">
        <v>138</v>
      </c>
      <c r="E3517" t="s">
        <v>43</v>
      </c>
      <c r="F3517" t="s">
        <v>41</v>
      </c>
      <c r="G3517" s="89">
        <v>1778300</v>
      </c>
      <c r="H3517" t="s">
        <v>42</v>
      </c>
      <c r="I3517" t="s">
        <v>133</v>
      </c>
      <c r="J3517" s="89">
        <v>67575400</v>
      </c>
      <c r="K3517" t="s">
        <v>144</v>
      </c>
      <c r="N3517">
        <v>1</v>
      </c>
      <c r="O3517" s="89">
        <v>53349</v>
      </c>
      <c r="P3517" s="89">
        <v>1778300</v>
      </c>
      <c r="Q3517" t="s">
        <v>150</v>
      </c>
      <c r="R3517" t="s">
        <v>42</v>
      </c>
    </row>
    <row r="3518" spans="3:18" hidden="1" x14ac:dyDescent="0.25">
      <c r="C3518" t="s">
        <v>45</v>
      </c>
      <c r="D3518" t="s">
        <v>22</v>
      </c>
      <c r="E3518" t="s">
        <v>40</v>
      </c>
      <c r="F3518" t="s">
        <v>53</v>
      </c>
      <c r="G3518" s="89">
        <v>203413</v>
      </c>
      <c r="H3518" t="s">
        <v>140</v>
      </c>
      <c r="I3518" t="s">
        <v>133</v>
      </c>
      <c r="J3518" s="89">
        <v>6916042</v>
      </c>
      <c r="K3518" t="s">
        <v>127</v>
      </c>
      <c r="L3518" t="s">
        <v>128</v>
      </c>
      <c r="N3518">
        <v>1</v>
      </c>
      <c r="O3518" s="89">
        <v>6102.39</v>
      </c>
      <c r="P3518" s="89">
        <v>120013.67</v>
      </c>
      <c r="Q3518" t="s">
        <v>142</v>
      </c>
      <c r="R3518" t="s">
        <v>131</v>
      </c>
    </row>
    <row r="3519" spans="3:18" x14ac:dyDescent="0.25">
      <c r="C3519" t="s">
        <v>47</v>
      </c>
      <c r="D3519" t="s">
        <v>20</v>
      </c>
      <c r="E3519" t="s">
        <v>40</v>
      </c>
      <c r="F3519" t="s">
        <v>41</v>
      </c>
      <c r="G3519" s="89">
        <v>151847</v>
      </c>
      <c r="H3519" t="s">
        <v>132</v>
      </c>
      <c r="I3519" t="s">
        <v>147</v>
      </c>
      <c r="J3519" s="89">
        <v>759235</v>
      </c>
      <c r="K3519" t="s">
        <v>127</v>
      </c>
      <c r="L3519" t="s">
        <v>128</v>
      </c>
      <c r="N3519">
        <v>1</v>
      </c>
      <c r="O3519" s="89">
        <v>6073.88</v>
      </c>
      <c r="P3519" s="89">
        <v>68331.149999999994</v>
      </c>
      <c r="Q3519" t="s">
        <v>142</v>
      </c>
      <c r="R3519" t="s">
        <v>131</v>
      </c>
    </row>
    <row r="3520" spans="3:18" hidden="1" x14ac:dyDescent="0.25">
      <c r="C3520" t="s">
        <v>45</v>
      </c>
      <c r="D3520" t="s">
        <v>23</v>
      </c>
      <c r="E3520" t="s">
        <v>43</v>
      </c>
      <c r="F3520" t="s">
        <v>41</v>
      </c>
      <c r="G3520" s="89">
        <v>200929</v>
      </c>
      <c r="H3520" t="s">
        <v>42</v>
      </c>
      <c r="I3520" t="s">
        <v>141</v>
      </c>
      <c r="J3520" s="89">
        <v>1808361</v>
      </c>
      <c r="K3520" t="s">
        <v>127</v>
      </c>
      <c r="L3520" t="s">
        <v>128</v>
      </c>
      <c r="M3520" t="s">
        <v>152</v>
      </c>
      <c r="N3520">
        <v>1</v>
      </c>
      <c r="O3520" s="89">
        <v>8037.16</v>
      </c>
      <c r="P3520" s="89">
        <v>128594.56</v>
      </c>
      <c r="Q3520" t="s">
        <v>137</v>
      </c>
      <c r="R3520" t="s">
        <v>131</v>
      </c>
    </row>
    <row r="3521" spans="3:18" hidden="1" x14ac:dyDescent="0.25">
      <c r="C3521" t="s">
        <v>45</v>
      </c>
      <c r="D3521" t="s">
        <v>138</v>
      </c>
      <c r="E3521" t="s">
        <v>43</v>
      </c>
      <c r="F3521" t="s">
        <v>41</v>
      </c>
      <c r="G3521" s="89">
        <v>130351</v>
      </c>
      <c r="H3521" t="s">
        <v>42</v>
      </c>
      <c r="I3521" t="s">
        <v>126</v>
      </c>
      <c r="J3521" s="89">
        <v>2346318</v>
      </c>
      <c r="K3521" t="s">
        <v>127</v>
      </c>
      <c r="L3521" t="s">
        <v>128</v>
      </c>
      <c r="M3521" t="s">
        <v>129</v>
      </c>
      <c r="N3521">
        <v>1</v>
      </c>
      <c r="O3521" s="89">
        <v>5214.04</v>
      </c>
      <c r="P3521" s="89">
        <v>62568.480000000003</v>
      </c>
      <c r="Q3521" t="s">
        <v>142</v>
      </c>
      <c r="R3521" t="s">
        <v>42</v>
      </c>
    </row>
    <row r="3522" spans="3:18" hidden="1" x14ac:dyDescent="0.25">
      <c r="C3522" t="s">
        <v>45</v>
      </c>
      <c r="D3522" t="s">
        <v>22</v>
      </c>
      <c r="E3522" t="s">
        <v>40</v>
      </c>
      <c r="F3522" t="s">
        <v>53</v>
      </c>
      <c r="G3522" s="89">
        <v>173744</v>
      </c>
      <c r="H3522" t="s">
        <v>42</v>
      </c>
      <c r="I3522" t="s">
        <v>133</v>
      </c>
      <c r="J3522" s="89">
        <v>6776016</v>
      </c>
      <c r="K3522" t="s">
        <v>127</v>
      </c>
      <c r="L3522" t="s">
        <v>128</v>
      </c>
      <c r="M3522" t="s">
        <v>143</v>
      </c>
      <c r="N3522">
        <v>1</v>
      </c>
      <c r="O3522" s="89">
        <v>5212.32</v>
      </c>
      <c r="P3522" s="89">
        <v>144207.51999999999</v>
      </c>
      <c r="Q3522" t="s">
        <v>135</v>
      </c>
      <c r="R3522" t="s">
        <v>42</v>
      </c>
    </row>
    <row r="3523" spans="3:18" x14ac:dyDescent="0.25">
      <c r="C3523" t="s">
        <v>47</v>
      </c>
      <c r="D3523" t="s">
        <v>24</v>
      </c>
      <c r="E3523" t="s">
        <v>40</v>
      </c>
      <c r="F3523" t="s">
        <v>41</v>
      </c>
      <c r="G3523" s="89">
        <v>27282</v>
      </c>
      <c r="H3523" t="s">
        <v>42</v>
      </c>
      <c r="I3523" t="s">
        <v>126</v>
      </c>
      <c r="J3523" s="89">
        <v>327384</v>
      </c>
      <c r="K3523" t="s">
        <v>127</v>
      </c>
      <c r="L3523" t="s">
        <v>128</v>
      </c>
      <c r="M3523" t="s">
        <v>148</v>
      </c>
      <c r="N3523">
        <v>1</v>
      </c>
      <c r="O3523" s="89">
        <v>1091.28</v>
      </c>
      <c r="P3523" s="89">
        <v>3001.02</v>
      </c>
      <c r="Q3523" t="s">
        <v>130</v>
      </c>
      <c r="R3523" t="s">
        <v>131</v>
      </c>
    </row>
    <row r="3524" spans="3:18" hidden="1" x14ac:dyDescent="0.25">
      <c r="C3524" t="s">
        <v>45</v>
      </c>
      <c r="D3524" t="s">
        <v>22</v>
      </c>
      <c r="E3524" t="s">
        <v>40</v>
      </c>
      <c r="F3524" t="s">
        <v>53</v>
      </c>
      <c r="G3524" s="89">
        <v>62340</v>
      </c>
      <c r="H3524" t="s">
        <v>140</v>
      </c>
      <c r="I3524" t="s">
        <v>141</v>
      </c>
      <c r="J3524" s="89">
        <v>374040</v>
      </c>
      <c r="K3524" t="s">
        <v>127</v>
      </c>
      <c r="L3524" t="s">
        <v>128</v>
      </c>
      <c r="N3524">
        <v>1</v>
      </c>
      <c r="O3524" s="89">
        <v>2493.6</v>
      </c>
      <c r="P3524" s="89">
        <v>9974.4</v>
      </c>
      <c r="Q3524" t="s">
        <v>130</v>
      </c>
      <c r="R3524" t="s">
        <v>131</v>
      </c>
    </row>
    <row r="3525" spans="3:18" hidden="1" x14ac:dyDescent="0.25">
      <c r="C3525" t="s">
        <v>45</v>
      </c>
      <c r="D3525" t="s">
        <v>21</v>
      </c>
      <c r="E3525" t="s">
        <v>44</v>
      </c>
      <c r="F3525" t="s">
        <v>41</v>
      </c>
      <c r="G3525" s="89">
        <v>96544</v>
      </c>
      <c r="H3525" t="s">
        <v>42</v>
      </c>
      <c r="I3525" t="s">
        <v>126</v>
      </c>
      <c r="J3525" s="89">
        <v>1448160</v>
      </c>
      <c r="K3525" t="s">
        <v>127</v>
      </c>
      <c r="L3525" t="s">
        <v>128</v>
      </c>
      <c r="M3525" t="s">
        <v>129</v>
      </c>
      <c r="N3525">
        <v>1</v>
      </c>
      <c r="O3525" s="89">
        <v>2896.32</v>
      </c>
      <c r="P3525" s="89">
        <v>35721.279999999999</v>
      </c>
      <c r="Q3525" t="s">
        <v>130</v>
      </c>
      <c r="R3525" t="s">
        <v>42</v>
      </c>
    </row>
    <row r="3526" spans="3:18" x14ac:dyDescent="0.25">
      <c r="C3526" t="s">
        <v>47</v>
      </c>
      <c r="D3526" t="s">
        <v>21</v>
      </c>
      <c r="E3526" t="s">
        <v>43</v>
      </c>
      <c r="F3526" t="s">
        <v>41</v>
      </c>
      <c r="G3526" s="89">
        <v>222434</v>
      </c>
      <c r="H3526" t="s">
        <v>146</v>
      </c>
      <c r="I3526" t="s">
        <v>147</v>
      </c>
      <c r="J3526" s="89"/>
      <c r="K3526" t="s">
        <v>127</v>
      </c>
      <c r="L3526" t="s">
        <v>128</v>
      </c>
      <c r="N3526">
        <v>0</v>
      </c>
      <c r="O3526" s="89">
        <v>8897.36</v>
      </c>
      <c r="P3526" s="89">
        <v>8897.36</v>
      </c>
      <c r="Q3526" t="s">
        <v>130</v>
      </c>
      <c r="R3526" t="s">
        <v>131</v>
      </c>
    </row>
    <row r="3527" spans="3:18" hidden="1" x14ac:dyDescent="0.25">
      <c r="C3527" t="s">
        <v>45</v>
      </c>
      <c r="D3527" t="s">
        <v>149</v>
      </c>
      <c r="E3527" t="s">
        <v>48</v>
      </c>
      <c r="F3527" t="s">
        <v>41</v>
      </c>
      <c r="G3527" s="89">
        <v>18039</v>
      </c>
      <c r="H3527" t="s">
        <v>42</v>
      </c>
      <c r="I3527" t="s">
        <v>133</v>
      </c>
      <c r="J3527" s="89">
        <v>541170</v>
      </c>
      <c r="K3527" t="s">
        <v>144</v>
      </c>
      <c r="N3527">
        <v>1</v>
      </c>
      <c r="O3527" s="89">
        <v>360.78</v>
      </c>
      <c r="P3527" s="89">
        <v>8297.94</v>
      </c>
      <c r="Q3527" t="s">
        <v>142</v>
      </c>
      <c r="R3527" t="s">
        <v>131</v>
      </c>
    </row>
    <row r="3528" spans="3:18" hidden="1" x14ac:dyDescent="0.25">
      <c r="C3528" t="s">
        <v>45</v>
      </c>
      <c r="D3528" t="s">
        <v>19</v>
      </c>
      <c r="E3528" t="s">
        <v>48</v>
      </c>
      <c r="F3528" t="s">
        <v>41</v>
      </c>
      <c r="G3528" s="89">
        <v>634130</v>
      </c>
      <c r="H3528" t="s">
        <v>42</v>
      </c>
      <c r="I3528" t="s">
        <v>133</v>
      </c>
      <c r="J3528" s="89">
        <v>21560420</v>
      </c>
      <c r="K3528" t="s">
        <v>127</v>
      </c>
      <c r="L3528" t="s">
        <v>128</v>
      </c>
      <c r="M3528" t="s">
        <v>136</v>
      </c>
      <c r="N3528">
        <v>1</v>
      </c>
      <c r="O3528" s="89">
        <v>19023.900000000001</v>
      </c>
      <c r="P3528" s="89">
        <v>539010.5</v>
      </c>
      <c r="Q3528" t="s">
        <v>135</v>
      </c>
      <c r="R3528" t="s">
        <v>131</v>
      </c>
    </row>
    <row r="3529" spans="3:18" hidden="1" x14ac:dyDescent="0.25">
      <c r="C3529" t="s">
        <v>45</v>
      </c>
      <c r="D3529" t="s">
        <v>23</v>
      </c>
      <c r="E3529" t="s">
        <v>44</v>
      </c>
      <c r="F3529" t="s">
        <v>41</v>
      </c>
      <c r="G3529" s="89">
        <v>288353</v>
      </c>
      <c r="H3529" t="s">
        <v>42</v>
      </c>
      <c r="I3529" t="s">
        <v>126</v>
      </c>
      <c r="J3529" s="89">
        <v>4902001</v>
      </c>
      <c r="K3529" t="s">
        <v>127</v>
      </c>
      <c r="L3529" t="s">
        <v>128</v>
      </c>
      <c r="M3529" t="s">
        <v>152</v>
      </c>
      <c r="N3529">
        <v>1</v>
      </c>
      <c r="O3529" s="89">
        <v>11534.12</v>
      </c>
      <c r="P3529" s="89">
        <v>141292.97</v>
      </c>
      <c r="Q3529" t="s">
        <v>142</v>
      </c>
      <c r="R3529" t="s">
        <v>131</v>
      </c>
    </row>
    <row r="3530" spans="3:18" hidden="1" x14ac:dyDescent="0.25">
      <c r="C3530" t="s">
        <v>45</v>
      </c>
      <c r="D3530" t="s">
        <v>21</v>
      </c>
      <c r="E3530" t="s">
        <v>40</v>
      </c>
      <c r="F3530" t="s">
        <v>41</v>
      </c>
      <c r="G3530" s="89">
        <v>0</v>
      </c>
      <c r="H3530" t="s">
        <v>146</v>
      </c>
      <c r="I3530" t="s">
        <v>147</v>
      </c>
      <c r="J3530" s="89">
        <v>0</v>
      </c>
      <c r="K3530" t="s">
        <v>127</v>
      </c>
      <c r="L3530" t="s">
        <v>128</v>
      </c>
      <c r="N3530">
        <v>1</v>
      </c>
      <c r="O3530" s="89">
        <v>0</v>
      </c>
      <c r="P3530" s="89">
        <v>0</v>
      </c>
      <c r="Q3530" t="s">
        <v>150</v>
      </c>
      <c r="R3530" t="s">
        <v>131</v>
      </c>
    </row>
    <row r="3531" spans="3:18" hidden="1" x14ac:dyDescent="0.25">
      <c r="C3531" t="s">
        <v>45</v>
      </c>
      <c r="D3531" t="s">
        <v>23</v>
      </c>
      <c r="E3531" t="s">
        <v>40</v>
      </c>
      <c r="F3531" t="s">
        <v>41</v>
      </c>
      <c r="G3531" s="89">
        <v>101952</v>
      </c>
      <c r="H3531" t="s">
        <v>42</v>
      </c>
      <c r="I3531" t="s">
        <v>147</v>
      </c>
      <c r="J3531" s="89">
        <v>407808</v>
      </c>
      <c r="K3531" t="s">
        <v>134</v>
      </c>
      <c r="L3531" t="s">
        <v>128</v>
      </c>
      <c r="M3531" t="s">
        <v>152</v>
      </c>
      <c r="N3531">
        <v>1</v>
      </c>
      <c r="O3531" s="89">
        <v>3058.56</v>
      </c>
      <c r="P3531" s="89">
        <v>15292.8</v>
      </c>
      <c r="Q3531" t="s">
        <v>130</v>
      </c>
      <c r="R3531" t="s">
        <v>131</v>
      </c>
    </row>
    <row r="3532" spans="3:18" x14ac:dyDescent="0.25">
      <c r="C3532" t="s">
        <v>47</v>
      </c>
      <c r="D3532" t="s">
        <v>22</v>
      </c>
      <c r="E3532" t="s">
        <v>48</v>
      </c>
      <c r="F3532" t="s">
        <v>41</v>
      </c>
      <c r="G3532" s="89">
        <v>30921</v>
      </c>
      <c r="H3532" t="s">
        <v>140</v>
      </c>
      <c r="I3532" t="s">
        <v>147</v>
      </c>
      <c r="J3532" s="89">
        <v>61842</v>
      </c>
      <c r="K3532" t="s">
        <v>134</v>
      </c>
      <c r="L3532" t="s">
        <v>128</v>
      </c>
      <c r="N3532">
        <v>1</v>
      </c>
      <c r="O3532" s="89">
        <v>1236.8399999999999</v>
      </c>
      <c r="P3532" s="89">
        <v>3092.1</v>
      </c>
      <c r="Q3532" t="s">
        <v>130</v>
      </c>
      <c r="R3532" t="s">
        <v>131</v>
      </c>
    </row>
    <row r="3533" spans="3:18" x14ac:dyDescent="0.25">
      <c r="C3533" t="s">
        <v>47</v>
      </c>
      <c r="D3533" t="s">
        <v>138</v>
      </c>
      <c r="E3533" t="s">
        <v>40</v>
      </c>
      <c r="F3533" t="s">
        <v>41</v>
      </c>
      <c r="G3533" s="89">
        <v>349325</v>
      </c>
      <c r="H3533" t="s">
        <v>42</v>
      </c>
      <c r="I3533" t="s">
        <v>147</v>
      </c>
      <c r="J3533" s="89">
        <v>1746625</v>
      </c>
      <c r="K3533" t="s">
        <v>127</v>
      </c>
      <c r="L3533" t="s">
        <v>128</v>
      </c>
      <c r="M3533" t="s">
        <v>139</v>
      </c>
      <c r="N3533">
        <v>1</v>
      </c>
      <c r="O3533" s="89">
        <v>10479.75</v>
      </c>
      <c r="P3533" s="89">
        <v>139730</v>
      </c>
      <c r="Q3533" t="s">
        <v>142</v>
      </c>
      <c r="R3533" t="s">
        <v>131</v>
      </c>
    </row>
    <row r="3534" spans="3:18" hidden="1" x14ac:dyDescent="0.25">
      <c r="C3534" t="s">
        <v>45</v>
      </c>
      <c r="D3534" t="s">
        <v>23</v>
      </c>
      <c r="E3534" t="s">
        <v>44</v>
      </c>
      <c r="F3534" t="s">
        <v>41</v>
      </c>
      <c r="G3534" s="89">
        <v>54127</v>
      </c>
      <c r="H3534" t="s">
        <v>42</v>
      </c>
      <c r="I3534" t="s">
        <v>147</v>
      </c>
      <c r="J3534" s="89">
        <v>216508</v>
      </c>
      <c r="K3534" t="s">
        <v>127</v>
      </c>
      <c r="L3534" t="s">
        <v>128</v>
      </c>
      <c r="M3534" t="s">
        <v>152</v>
      </c>
      <c r="N3534">
        <v>1</v>
      </c>
      <c r="O3534" s="89">
        <v>2706.35</v>
      </c>
      <c r="P3534" s="89">
        <v>11366.67</v>
      </c>
      <c r="Q3534" t="s">
        <v>130</v>
      </c>
      <c r="R3534" t="s">
        <v>42</v>
      </c>
    </row>
    <row r="3535" spans="3:18" x14ac:dyDescent="0.25">
      <c r="C3535" t="s">
        <v>47</v>
      </c>
      <c r="D3535" t="s">
        <v>19</v>
      </c>
      <c r="E3535" t="s">
        <v>43</v>
      </c>
      <c r="F3535" t="s">
        <v>41</v>
      </c>
      <c r="G3535" s="89">
        <v>99168</v>
      </c>
      <c r="H3535" t="s">
        <v>146</v>
      </c>
      <c r="I3535" t="s">
        <v>141</v>
      </c>
      <c r="J3535" s="89">
        <v>694176</v>
      </c>
      <c r="K3535" t="s">
        <v>134</v>
      </c>
      <c r="L3535" t="s">
        <v>128</v>
      </c>
      <c r="N3535">
        <v>1</v>
      </c>
      <c r="O3535" s="89">
        <v>2975.04</v>
      </c>
      <c r="P3535" s="89">
        <v>9916.7999999999993</v>
      </c>
      <c r="Q3535" t="s">
        <v>130</v>
      </c>
      <c r="R3535" t="s">
        <v>131</v>
      </c>
    </row>
    <row r="3536" spans="3:18" hidden="1" x14ac:dyDescent="0.25">
      <c r="C3536" t="s">
        <v>45</v>
      </c>
      <c r="D3536" t="s">
        <v>24</v>
      </c>
      <c r="E3536" t="s">
        <v>48</v>
      </c>
      <c r="F3536" t="s">
        <v>41</v>
      </c>
      <c r="G3536" s="89">
        <v>4193355</v>
      </c>
      <c r="H3536" t="s">
        <v>42</v>
      </c>
      <c r="I3536" t="s">
        <v>133</v>
      </c>
      <c r="J3536" s="89">
        <v>146767425</v>
      </c>
      <c r="K3536" t="s">
        <v>144</v>
      </c>
      <c r="N3536">
        <v>1</v>
      </c>
      <c r="O3536" s="89">
        <v>125800.65</v>
      </c>
      <c r="P3536" s="89">
        <v>3564351.75</v>
      </c>
      <c r="Q3536" t="s">
        <v>135</v>
      </c>
      <c r="R3536" t="s">
        <v>131</v>
      </c>
    </row>
    <row r="3537" spans="3:18" hidden="1" x14ac:dyDescent="0.25">
      <c r="C3537" t="s">
        <v>45</v>
      </c>
      <c r="D3537" t="s">
        <v>149</v>
      </c>
      <c r="E3537" t="s">
        <v>43</v>
      </c>
      <c r="F3537" t="s">
        <v>41</v>
      </c>
      <c r="G3537" s="89">
        <v>200163</v>
      </c>
      <c r="H3537" t="s">
        <v>140</v>
      </c>
      <c r="I3537" t="s">
        <v>147</v>
      </c>
      <c r="J3537" s="89">
        <v>600489</v>
      </c>
      <c r="K3537" t="s">
        <v>144</v>
      </c>
      <c r="N3537">
        <v>1</v>
      </c>
      <c r="O3537" s="89">
        <v>8006.52</v>
      </c>
      <c r="P3537" s="89">
        <v>10008.15</v>
      </c>
      <c r="Q3537" t="s">
        <v>130</v>
      </c>
      <c r="R3537" t="s">
        <v>131</v>
      </c>
    </row>
    <row r="3538" spans="3:18" hidden="1" x14ac:dyDescent="0.25">
      <c r="C3538" t="s">
        <v>45</v>
      </c>
      <c r="D3538" t="s">
        <v>24</v>
      </c>
      <c r="E3538" t="s">
        <v>40</v>
      </c>
      <c r="F3538" t="s">
        <v>53</v>
      </c>
      <c r="G3538" s="89">
        <v>160320</v>
      </c>
      <c r="H3538" t="s">
        <v>42</v>
      </c>
      <c r="I3538" t="s">
        <v>133</v>
      </c>
      <c r="J3538" s="89">
        <v>5130240</v>
      </c>
      <c r="K3538" t="s">
        <v>144</v>
      </c>
      <c r="N3538">
        <v>1</v>
      </c>
      <c r="O3538" s="89">
        <v>4809.6000000000004</v>
      </c>
      <c r="P3538" s="89">
        <v>84969.600000000006</v>
      </c>
      <c r="Q3538" t="s">
        <v>142</v>
      </c>
      <c r="R3538" t="s">
        <v>131</v>
      </c>
    </row>
    <row r="3539" spans="3:18" hidden="1" x14ac:dyDescent="0.25">
      <c r="C3539" t="s">
        <v>45</v>
      </c>
      <c r="D3539" t="s">
        <v>149</v>
      </c>
      <c r="E3539" t="s">
        <v>43</v>
      </c>
      <c r="F3539" t="s">
        <v>41</v>
      </c>
      <c r="G3539" s="89">
        <v>1941496</v>
      </c>
      <c r="H3539" t="s">
        <v>42</v>
      </c>
      <c r="I3539" t="s">
        <v>141</v>
      </c>
      <c r="J3539" s="89">
        <v>15531968</v>
      </c>
      <c r="K3539" t="s">
        <v>127</v>
      </c>
      <c r="L3539" t="s">
        <v>128</v>
      </c>
      <c r="M3539" t="s">
        <v>136</v>
      </c>
      <c r="N3539">
        <v>1</v>
      </c>
      <c r="O3539" s="89">
        <v>58244.88</v>
      </c>
      <c r="P3539" s="89">
        <v>873673.2</v>
      </c>
      <c r="Q3539" t="s">
        <v>142</v>
      </c>
      <c r="R3539" t="s">
        <v>131</v>
      </c>
    </row>
    <row r="3540" spans="3:18" hidden="1" x14ac:dyDescent="0.25">
      <c r="C3540" t="s">
        <v>45</v>
      </c>
      <c r="D3540" t="s">
        <v>21</v>
      </c>
      <c r="E3540" t="s">
        <v>43</v>
      </c>
      <c r="F3540" t="s">
        <v>41</v>
      </c>
      <c r="G3540" s="89">
        <v>13593732</v>
      </c>
      <c r="H3540" t="s">
        <v>145</v>
      </c>
      <c r="I3540" t="s">
        <v>133</v>
      </c>
      <c r="J3540" s="89">
        <v>394218228</v>
      </c>
      <c r="K3540" t="s">
        <v>144</v>
      </c>
      <c r="N3540">
        <v>1</v>
      </c>
      <c r="O3540" s="89">
        <v>407811.96</v>
      </c>
      <c r="P3540" s="89">
        <v>6796866</v>
      </c>
      <c r="Q3540" t="s">
        <v>142</v>
      </c>
      <c r="R3540" t="s">
        <v>131</v>
      </c>
    </row>
    <row r="3541" spans="3:18" hidden="1" x14ac:dyDescent="0.25">
      <c r="C3541" t="s">
        <v>45</v>
      </c>
      <c r="D3541" t="s">
        <v>20</v>
      </c>
      <c r="E3541" t="s">
        <v>40</v>
      </c>
      <c r="F3541" t="s">
        <v>41</v>
      </c>
      <c r="G3541" s="89">
        <v>98793</v>
      </c>
      <c r="H3541" t="s">
        <v>42</v>
      </c>
      <c r="I3541" t="s">
        <v>147</v>
      </c>
      <c r="J3541" s="89">
        <v>395172</v>
      </c>
      <c r="K3541" t="s">
        <v>127</v>
      </c>
      <c r="L3541" t="s">
        <v>128</v>
      </c>
      <c r="M3541" t="s">
        <v>139</v>
      </c>
      <c r="N3541">
        <v>1</v>
      </c>
      <c r="O3541" s="89">
        <v>2963.79</v>
      </c>
      <c r="P3541" s="89">
        <v>34577.550000000003</v>
      </c>
      <c r="Q3541" t="s">
        <v>130</v>
      </c>
      <c r="R3541" t="s">
        <v>42</v>
      </c>
    </row>
    <row r="3542" spans="3:18" hidden="1" x14ac:dyDescent="0.25">
      <c r="C3542" t="s">
        <v>45</v>
      </c>
      <c r="D3542" t="s">
        <v>24</v>
      </c>
      <c r="E3542" t="s">
        <v>48</v>
      </c>
      <c r="F3542" t="s">
        <v>41</v>
      </c>
      <c r="G3542" s="89">
        <v>13898</v>
      </c>
      <c r="H3542" t="s">
        <v>145</v>
      </c>
      <c r="I3542" t="s">
        <v>147</v>
      </c>
      <c r="J3542" s="89">
        <v>55592</v>
      </c>
      <c r="K3542" t="s">
        <v>127</v>
      </c>
      <c r="L3542" t="s">
        <v>128</v>
      </c>
      <c r="N3542">
        <v>1</v>
      </c>
      <c r="O3542" s="89">
        <v>555.91999999999996</v>
      </c>
      <c r="P3542" s="89">
        <v>10284.52</v>
      </c>
      <c r="Q3542" t="s">
        <v>137</v>
      </c>
      <c r="R3542" t="s">
        <v>131</v>
      </c>
    </row>
    <row r="3543" spans="3:18" x14ac:dyDescent="0.25">
      <c r="C3543" t="s">
        <v>47</v>
      </c>
      <c r="D3543" t="s">
        <v>21</v>
      </c>
      <c r="E3543" t="s">
        <v>40</v>
      </c>
      <c r="F3543" t="s">
        <v>41</v>
      </c>
      <c r="G3543" s="89">
        <v>1099846</v>
      </c>
      <c r="H3543" t="s">
        <v>140</v>
      </c>
      <c r="I3543" t="s">
        <v>153</v>
      </c>
      <c r="J3543" s="89"/>
      <c r="K3543" t="s">
        <v>127</v>
      </c>
      <c r="L3543" t="s">
        <v>128</v>
      </c>
      <c r="N3543">
        <v>0</v>
      </c>
      <c r="O3543" s="89">
        <v>32995.379999999997</v>
      </c>
      <c r="P3543" s="89">
        <v>538924.54</v>
      </c>
      <c r="Q3543" t="s">
        <v>142</v>
      </c>
      <c r="R3543" t="s">
        <v>131</v>
      </c>
    </row>
    <row r="3544" spans="3:18" hidden="1" x14ac:dyDescent="0.25">
      <c r="C3544" t="s">
        <v>45</v>
      </c>
      <c r="D3544" t="s">
        <v>23</v>
      </c>
      <c r="E3544" t="s">
        <v>40</v>
      </c>
      <c r="F3544" t="s">
        <v>41</v>
      </c>
      <c r="G3544" s="89">
        <v>13972144</v>
      </c>
      <c r="H3544" t="s">
        <v>140</v>
      </c>
      <c r="I3544" t="s">
        <v>147</v>
      </c>
      <c r="J3544" s="89">
        <v>41916432</v>
      </c>
      <c r="K3544" t="s">
        <v>127</v>
      </c>
      <c r="L3544" t="s">
        <v>128</v>
      </c>
      <c r="N3544">
        <v>1</v>
      </c>
      <c r="O3544" s="89">
        <v>419164.32</v>
      </c>
      <c r="P3544" s="89">
        <v>6287464.7999999998</v>
      </c>
      <c r="Q3544" t="s">
        <v>142</v>
      </c>
      <c r="R3544" t="s">
        <v>131</v>
      </c>
    </row>
    <row r="3545" spans="3:18" hidden="1" x14ac:dyDescent="0.25">
      <c r="C3545" t="s">
        <v>45</v>
      </c>
      <c r="D3545" t="s">
        <v>149</v>
      </c>
      <c r="E3545" t="s">
        <v>43</v>
      </c>
      <c r="F3545" t="s">
        <v>41</v>
      </c>
      <c r="G3545" s="89">
        <v>614172</v>
      </c>
      <c r="H3545" t="s">
        <v>42</v>
      </c>
      <c r="I3545" t="s">
        <v>133</v>
      </c>
      <c r="J3545" s="89">
        <v>17196816</v>
      </c>
      <c r="K3545" t="s">
        <v>134</v>
      </c>
      <c r="L3545" t="s">
        <v>128</v>
      </c>
      <c r="M3545" t="s">
        <v>136</v>
      </c>
      <c r="N3545">
        <v>1</v>
      </c>
      <c r="O3545" s="89">
        <v>18425.16</v>
      </c>
      <c r="P3545" s="89">
        <v>165826.44</v>
      </c>
      <c r="Q3545" t="s">
        <v>130</v>
      </c>
      <c r="R3545" t="s">
        <v>131</v>
      </c>
    </row>
    <row r="3546" spans="3:18" hidden="1" x14ac:dyDescent="0.25">
      <c r="C3546" t="s">
        <v>45</v>
      </c>
      <c r="D3546" t="s">
        <v>19</v>
      </c>
      <c r="E3546" t="s">
        <v>43</v>
      </c>
      <c r="F3546" t="s">
        <v>41</v>
      </c>
      <c r="G3546" s="89">
        <v>232578</v>
      </c>
      <c r="H3546" t="s">
        <v>132</v>
      </c>
      <c r="I3546" t="s">
        <v>147</v>
      </c>
      <c r="J3546" s="89">
        <v>697734</v>
      </c>
      <c r="K3546" t="s">
        <v>127</v>
      </c>
      <c r="L3546" t="s">
        <v>128</v>
      </c>
      <c r="N3546">
        <v>1</v>
      </c>
      <c r="O3546" s="89">
        <v>6977.34</v>
      </c>
      <c r="P3546" s="89">
        <v>204668.64</v>
      </c>
      <c r="Q3546" t="s">
        <v>135</v>
      </c>
      <c r="R3546" t="s">
        <v>131</v>
      </c>
    </row>
    <row r="3547" spans="3:18" x14ac:dyDescent="0.25">
      <c r="C3547" t="s">
        <v>47</v>
      </c>
      <c r="D3547" t="s">
        <v>22</v>
      </c>
      <c r="E3547" t="s">
        <v>43</v>
      </c>
      <c r="F3547" t="s">
        <v>41</v>
      </c>
      <c r="G3547" s="89">
        <v>99515</v>
      </c>
      <c r="H3547" t="s">
        <v>132</v>
      </c>
      <c r="I3547" t="s">
        <v>147</v>
      </c>
      <c r="J3547" s="89"/>
      <c r="K3547" t="s">
        <v>127</v>
      </c>
      <c r="L3547" t="s">
        <v>128</v>
      </c>
      <c r="N3547">
        <v>0</v>
      </c>
      <c r="O3547" s="89">
        <v>4975.75</v>
      </c>
      <c r="P3547" s="89">
        <v>13932.1</v>
      </c>
      <c r="Q3547" t="s">
        <v>130</v>
      </c>
      <c r="R3547" t="s">
        <v>131</v>
      </c>
    </row>
    <row r="3548" spans="3:18" hidden="1" x14ac:dyDescent="0.25">
      <c r="C3548" t="s">
        <v>45</v>
      </c>
      <c r="D3548" t="s">
        <v>21</v>
      </c>
      <c r="E3548" t="s">
        <v>43</v>
      </c>
      <c r="F3548" t="s">
        <v>41</v>
      </c>
      <c r="G3548" s="89">
        <v>891669</v>
      </c>
      <c r="H3548" t="s">
        <v>154</v>
      </c>
      <c r="I3548" t="s">
        <v>147</v>
      </c>
      <c r="J3548" s="89"/>
      <c r="K3548" t="s">
        <v>127</v>
      </c>
      <c r="L3548" t="s">
        <v>128</v>
      </c>
      <c r="N3548">
        <v>0</v>
      </c>
      <c r="O3548" s="89">
        <v>0</v>
      </c>
      <c r="P3548" s="89">
        <v>62416.83</v>
      </c>
      <c r="Q3548" t="s">
        <v>130</v>
      </c>
      <c r="R3548" t="s">
        <v>131</v>
      </c>
    </row>
    <row r="3549" spans="3:18" hidden="1" x14ac:dyDescent="0.25">
      <c r="C3549" t="s">
        <v>45</v>
      </c>
      <c r="D3549" t="s">
        <v>24</v>
      </c>
      <c r="E3549" t="s">
        <v>43</v>
      </c>
      <c r="F3549" t="s">
        <v>41</v>
      </c>
      <c r="G3549" s="89">
        <v>199551</v>
      </c>
      <c r="H3549" t="s">
        <v>42</v>
      </c>
      <c r="I3549" t="s">
        <v>133</v>
      </c>
      <c r="J3549" s="89">
        <v>6385632</v>
      </c>
      <c r="K3549" t="s">
        <v>127</v>
      </c>
      <c r="L3549" t="s">
        <v>128</v>
      </c>
      <c r="M3549" t="s">
        <v>148</v>
      </c>
      <c r="N3549">
        <v>1</v>
      </c>
      <c r="O3549" s="89">
        <v>5986.53</v>
      </c>
      <c r="P3549" s="89">
        <v>251434.26</v>
      </c>
      <c r="Q3549" t="s">
        <v>150</v>
      </c>
      <c r="R3549" t="s">
        <v>42</v>
      </c>
    </row>
    <row r="3550" spans="3:18" hidden="1" x14ac:dyDescent="0.25">
      <c r="C3550" t="s">
        <v>45</v>
      </c>
      <c r="D3550" t="s">
        <v>20</v>
      </c>
      <c r="E3550" t="s">
        <v>43</v>
      </c>
      <c r="F3550" t="s">
        <v>41</v>
      </c>
      <c r="G3550" s="89">
        <v>5421331</v>
      </c>
      <c r="H3550" t="s">
        <v>140</v>
      </c>
      <c r="I3550" t="s">
        <v>133</v>
      </c>
      <c r="J3550" s="89">
        <v>162639930</v>
      </c>
      <c r="K3550" t="s">
        <v>144</v>
      </c>
      <c r="N3550">
        <v>1</v>
      </c>
      <c r="O3550" s="89">
        <v>162639.93</v>
      </c>
      <c r="P3550" s="89">
        <v>3740718.39</v>
      </c>
      <c r="Q3550" t="s">
        <v>137</v>
      </c>
      <c r="R3550" t="s">
        <v>131</v>
      </c>
    </row>
    <row r="3551" spans="3:18" hidden="1" x14ac:dyDescent="0.25">
      <c r="C3551" t="s">
        <v>45</v>
      </c>
      <c r="D3551" t="s">
        <v>22</v>
      </c>
      <c r="E3551" t="s">
        <v>48</v>
      </c>
      <c r="F3551" t="s">
        <v>41</v>
      </c>
      <c r="G3551" s="89">
        <v>77119</v>
      </c>
      <c r="H3551" t="s">
        <v>42</v>
      </c>
      <c r="I3551" t="s">
        <v>141</v>
      </c>
      <c r="J3551" s="89">
        <v>771190</v>
      </c>
      <c r="K3551" t="s">
        <v>127</v>
      </c>
      <c r="L3551" t="s">
        <v>128</v>
      </c>
      <c r="M3551" t="s">
        <v>143</v>
      </c>
      <c r="N3551">
        <v>1</v>
      </c>
      <c r="O3551" s="89">
        <v>3084.76</v>
      </c>
      <c r="P3551" s="89">
        <v>47813.78</v>
      </c>
      <c r="Q3551" t="s">
        <v>137</v>
      </c>
      <c r="R3551" t="s">
        <v>42</v>
      </c>
    </row>
    <row r="3552" spans="3:18" x14ac:dyDescent="0.25">
      <c r="C3552" t="s">
        <v>47</v>
      </c>
      <c r="D3552" t="s">
        <v>22</v>
      </c>
      <c r="E3552" t="s">
        <v>43</v>
      </c>
      <c r="F3552" t="s">
        <v>41</v>
      </c>
      <c r="G3552" s="89">
        <v>20859</v>
      </c>
      <c r="H3552" t="s">
        <v>42</v>
      </c>
      <c r="I3552" t="s">
        <v>147</v>
      </c>
      <c r="J3552" s="89">
        <v>41718</v>
      </c>
      <c r="K3552" t="s">
        <v>127</v>
      </c>
      <c r="L3552" t="s">
        <v>128</v>
      </c>
      <c r="M3552" t="s">
        <v>143</v>
      </c>
      <c r="N3552">
        <v>1</v>
      </c>
      <c r="O3552" s="89">
        <v>625.77</v>
      </c>
      <c r="P3552" s="89">
        <v>3128.85</v>
      </c>
      <c r="Q3552" t="s">
        <v>130</v>
      </c>
      <c r="R3552" t="s">
        <v>131</v>
      </c>
    </row>
    <row r="3553" spans="3:18" hidden="1" x14ac:dyDescent="0.25">
      <c r="C3553" t="s">
        <v>45</v>
      </c>
      <c r="D3553" t="s">
        <v>19</v>
      </c>
      <c r="E3553" t="s">
        <v>43</v>
      </c>
      <c r="F3553" t="s">
        <v>41</v>
      </c>
      <c r="G3553" s="89">
        <v>232238</v>
      </c>
      <c r="H3553" t="s">
        <v>145</v>
      </c>
      <c r="I3553" t="s">
        <v>126</v>
      </c>
      <c r="J3553" s="89">
        <v>3948046</v>
      </c>
      <c r="K3553" t="s">
        <v>144</v>
      </c>
      <c r="N3553">
        <v>1</v>
      </c>
      <c r="O3553" s="89">
        <v>6967.14</v>
      </c>
      <c r="P3553" s="89">
        <v>185790.4</v>
      </c>
      <c r="Q3553" t="s">
        <v>137</v>
      </c>
      <c r="R3553" t="s">
        <v>131</v>
      </c>
    </row>
    <row r="3554" spans="3:18" hidden="1" x14ac:dyDescent="0.25">
      <c r="C3554" t="s">
        <v>45</v>
      </c>
      <c r="D3554" t="s">
        <v>24</v>
      </c>
      <c r="E3554" t="s">
        <v>44</v>
      </c>
      <c r="F3554" t="s">
        <v>41</v>
      </c>
      <c r="G3554" s="89">
        <v>271201</v>
      </c>
      <c r="H3554" t="s">
        <v>42</v>
      </c>
      <c r="I3554" t="s">
        <v>126</v>
      </c>
      <c r="J3554" s="89">
        <v>4068015</v>
      </c>
      <c r="K3554" t="s">
        <v>144</v>
      </c>
      <c r="N3554">
        <v>1</v>
      </c>
      <c r="O3554" s="89">
        <v>8136.03</v>
      </c>
      <c r="P3554" s="89">
        <v>146448.54</v>
      </c>
      <c r="Q3554" t="s">
        <v>142</v>
      </c>
      <c r="R3554" t="s">
        <v>42</v>
      </c>
    </row>
    <row r="3555" spans="3:18" hidden="1" x14ac:dyDescent="0.25">
      <c r="C3555" t="s">
        <v>45</v>
      </c>
      <c r="D3555" t="s">
        <v>19</v>
      </c>
      <c r="E3555" t="s">
        <v>43</v>
      </c>
      <c r="F3555" t="s">
        <v>53</v>
      </c>
      <c r="G3555" s="89">
        <v>245141</v>
      </c>
      <c r="H3555" t="s">
        <v>42</v>
      </c>
      <c r="I3555" t="s">
        <v>133</v>
      </c>
      <c r="J3555" s="89">
        <v>9070217</v>
      </c>
      <c r="K3555" t="s">
        <v>144</v>
      </c>
      <c r="N3555">
        <v>1</v>
      </c>
      <c r="O3555" s="89">
        <v>4902.82</v>
      </c>
      <c r="P3555" s="89">
        <v>149536.01</v>
      </c>
      <c r="Q3555" t="s">
        <v>137</v>
      </c>
      <c r="R3555" t="s">
        <v>131</v>
      </c>
    </row>
    <row r="3556" spans="3:18" hidden="1" x14ac:dyDescent="0.25">
      <c r="C3556" t="s">
        <v>45</v>
      </c>
      <c r="D3556" t="s">
        <v>22</v>
      </c>
      <c r="E3556" t="s">
        <v>43</v>
      </c>
      <c r="F3556" t="s">
        <v>41</v>
      </c>
      <c r="G3556" s="89">
        <v>58676</v>
      </c>
      <c r="H3556" t="s">
        <v>146</v>
      </c>
      <c r="I3556" t="s">
        <v>133</v>
      </c>
      <c r="J3556" s="89">
        <v>1936308</v>
      </c>
      <c r="K3556" t="s">
        <v>134</v>
      </c>
      <c r="L3556" t="s">
        <v>128</v>
      </c>
      <c r="N3556">
        <v>1</v>
      </c>
      <c r="O3556" s="89">
        <v>1760.28</v>
      </c>
      <c r="P3556" s="89">
        <v>44593.760000000002</v>
      </c>
      <c r="Q3556" t="s">
        <v>137</v>
      </c>
      <c r="R3556" t="s">
        <v>131</v>
      </c>
    </row>
    <row r="3557" spans="3:18" hidden="1" x14ac:dyDescent="0.25">
      <c r="C3557" t="s">
        <v>45</v>
      </c>
      <c r="D3557" t="s">
        <v>24</v>
      </c>
      <c r="E3557" t="s">
        <v>43</v>
      </c>
      <c r="F3557" t="s">
        <v>41</v>
      </c>
      <c r="G3557" s="89">
        <v>3646502</v>
      </c>
      <c r="H3557" t="s">
        <v>42</v>
      </c>
      <c r="I3557" t="s">
        <v>126</v>
      </c>
      <c r="J3557" s="89">
        <v>58344032</v>
      </c>
      <c r="K3557" t="s">
        <v>127</v>
      </c>
      <c r="L3557" t="s">
        <v>128</v>
      </c>
      <c r="M3557" t="s">
        <v>148</v>
      </c>
      <c r="N3557">
        <v>1</v>
      </c>
      <c r="O3557" s="89">
        <v>109395.06</v>
      </c>
      <c r="P3557" s="89">
        <v>1786785.98</v>
      </c>
      <c r="Q3557" t="s">
        <v>142</v>
      </c>
      <c r="R3557" t="s">
        <v>131</v>
      </c>
    </row>
    <row r="3558" spans="3:18" hidden="1" x14ac:dyDescent="0.25">
      <c r="C3558" t="s">
        <v>45</v>
      </c>
      <c r="D3558" t="s">
        <v>21</v>
      </c>
      <c r="E3558" t="s">
        <v>40</v>
      </c>
      <c r="F3558" t="s">
        <v>41</v>
      </c>
      <c r="G3558" s="89">
        <v>833626</v>
      </c>
      <c r="H3558" t="s">
        <v>146</v>
      </c>
      <c r="I3558" t="s">
        <v>133</v>
      </c>
      <c r="J3558" s="89">
        <v>23341528</v>
      </c>
      <c r="K3558" t="s">
        <v>127</v>
      </c>
      <c r="L3558" t="s">
        <v>128</v>
      </c>
      <c r="N3558">
        <v>1</v>
      </c>
      <c r="O3558" s="89">
        <v>25008.78</v>
      </c>
      <c r="P3558" s="89">
        <v>1017023.72</v>
      </c>
      <c r="Q3558" t="s">
        <v>150</v>
      </c>
      <c r="R3558" t="s">
        <v>131</v>
      </c>
    </row>
    <row r="3559" spans="3:18" hidden="1" x14ac:dyDescent="0.25">
      <c r="C3559" t="s">
        <v>45</v>
      </c>
      <c r="D3559" t="s">
        <v>22</v>
      </c>
      <c r="E3559" t="s">
        <v>48</v>
      </c>
      <c r="F3559" t="s">
        <v>41</v>
      </c>
      <c r="G3559" s="89">
        <v>162273</v>
      </c>
      <c r="H3559" t="s">
        <v>42</v>
      </c>
      <c r="I3559" t="s">
        <v>133</v>
      </c>
      <c r="J3559" s="89">
        <v>3732279</v>
      </c>
      <c r="K3559" t="s">
        <v>127</v>
      </c>
      <c r="L3559" t="s">
        <v>128</v>
      </c>
      <c r="M3559" t="s">
        <v>152</v>
      </c>
      <c r="N3559">
        <v>1</v>
      </c>
      <c r="O3559" s="89">
        <v>6490.92</v>
      </c>
      <c r="P3559" s="89">
        <v>118459.29</v>
      </c>
      <c r="Q3559" t="s">
        <v>137</v>
      </c>
      <c r="R3559" t="s">
        <v>42</v>
      </c>
    </row>
    <row r="3560" spans="3:18" hidden="1" x14ac:dyDescent="0.25">
      <c r="C3560" t="s">
        <v>45</v>
      </c>
      <c r="D3560" t="s">
        <v>21</v>
      </c>
      <c r="E3560" t="s">
        <v>43</v>
      </c>
      <c r="F3560" t="s">
        <v>41</v>
      </c>
      <c r="G3560" s="89">
        <v>2575886</v>
      </c>
      <c r="H3560" t="s">
        <v>140</v>
      </c>
      <c r="I3560" t="s">
        <v>133</v>
      </c>
      <c r="J3560" s="89">
        <v>72124808</v>
      </c>
      <c r="K3560" t="s">
        <v>134</v>
      </c>
      <c r="L3560" t="s">
        <v>128</v>
      </c>
      <c r="N3560">
        <v>1</v>
      </c>
      <c r="O3560" s="89">
        <v>77276.58</v>
      </c>
      <c r="P3560" s="89">
        <v>1287943</v>
      </c>
      <c r="Q3560" t="s">
        <v>142</v>
      </c>
      <c r="R3560" t="s">
        <v>131</v>
      </c>
    </row>
    <row r="3561" spans="3:18" hidden="1" x14ac:dyDescent="0.25">
      <c r="C3561" t="s">
        <v>45</v>
      </c>
      <c r="D3561" t="s">
        <v>20</v>
      </c>
      <c r="E3561" t="s">
        <v>43</v>
      </c>
      <c r="F3561" t="s">
        <v>41</v>
      </c>
      <c r="G3561" s="89">
        <v>37220</v>
      </c>
      <c r="H3561" t="s">
        <v>132</v>
      </c>
      <c r="I3561" t="s">
        <v>141</v>
      </c>
      <c r="J3561" s="89">
        <v>334980</v>
      </c>
      <c r="K3561" t="s">
        <v>134</v>
      </c>
      <c r="L3561" t="s">
        <v>128</v>
      </c>
      <c r="N3561">
        <v>1</v>
      </c>
      <c r="O3561" s="89">
        <v>1116.5999999999999</v>
      </c>
      <c r="P3561" s="89">
        <v>10793.8</v>
      </c>
      <c r="Q3561" t="s">
        <v>130</v>
      </c>
      <c r="R3561" t="s">
        <v>131</v>
      </c>
    </row>
    <row r="3562" spans="3:18" hidden="1" x14ac:dyDescent="0.25">
      <c r="C3562" t="s">
        <v>45</v>
      </c>
      <c r="D3562" t="s">
        <v>24</v>
      </c>
      <c r="E3562" t="s">
        <v>44</v>
      </c>
      <c r="F3562" t="s">
        <v>41</v>
      </c>
      <c r="G3562" s="89">
        <v>53530</v>
      </c>
      <c r="H3562" t="s">
        <v>140</v>
      </c>
      <c r="I3562" t="s">
        <v>126</v>
      </c>
      <c r="J3562" s="89">
        <v>749420</v>
      </c>
      <c r="K3562" t="s">
        <v>127</v>
      </c>
      <c r="L3562" t="s">
        <v>128</v>
      </c>
      <c r="N3562">
        <v>1</v>
      </c>
      <c r="O3562" s="89">
        <v>1605.9</v>
      </c>
      <c r="P3562" s="89">
        <v>61024.2</v>
      </c>
      <c r="Q3562" t="s">
        <v>150</v>
      </c>
      <c r="R3562" t="s">
        <v>131</v>
      </c>
    </row>
    <row r="3563" spans="3:18" hidden="1" x14ac:dyDescent="0.25">
      <c r="C3563" t="s">
        <v>45</v>
      </c>
      <c r="D3563" t="s">
        <v>19</v>
      </c>
      <c r="E3563" t="s">
        <v>43</v>
      </c>
      <c r="F3563" t="s">
        <v>41</v>
      </c>
      <c r="G3563" s="89">
        <v>1032003</v>
      </c>
      <c r="H3563" t="s">
        <v>146</v>
      </c>
      <c r="I3563" t="s">
        <v>133</v>
      </c>
      <c r="J3563" s="89">
        <v>33024096</v>
      </c>
      <c r="K3563" t="s">
        <v>144</v>
      </c>
      <c r="N3563">
        <v>1</v>
      </c>
      <c r="O3563" s="89">
        <v>30960.09</v>
      </c>
      <c r="P3563" s="89">
        <v>856562.49</v>
      </c>
      <c r="Q3563" t="s">
        <v>135</v>
      </c>
      <c r="R3563" t="s">
        <v>131</v>
      </c>
    </row>
    <row r="3564" spans="3:18" hidden="1" x14ac:dyDescent="0.25">
      <c r="C3564" t="s">
        <v>45</v>
      </c>
      <c r="D3564" t="s">
        <v>21</v>
      </c>
      <c r="E3564" t="s">
        <v>40</v>
      </c>
      <c r="F3564" t="s">
        <v>41</v>
      </c>
      <c r="G3564" s="89">
        <v>112997</v>
      </c>
      <c r="H3564" t="s">
        <v>42</v>
      </c>
      <c r="I3564" t="s">
        <v>133</v>
      </c>
      <c r="J3564" s="89">
        <v>3276913</v>
      </c>
      <c r="K3564" t="s">
        <v>127</v>
      </c>
      <c r="L3564" t="s">
        <v>128</v>
      </c>
      <c r="M3564" t="s">
        <v>139</v>
      </c>
      <c r="N3564">
        <v>1</v>
      </c>
      <c r="O3564" s="89">
        <v>3389.91</v>
      </c>
      <c r="P3564" s="89">
        <v>57628.47</v>
      </c>
      <c r="Q3564" t="s">
        <v>142</v>
      </c>
      <c r="R3564" t="s">
        <v>42</v>
      </c>
    </row>
    <row r="3565" spans="3:18" hidden="1" x14ac:dyDescent="0.25">
      <c r="C3565" t="s">
        <v>45</v>
      </c>
      <c r="D3565" t="s">
        <v>23</v>
      </c>
      <c r="E3565" t="s">
        <v>40</v>
      </c>
      <c r="F3565" t="s">
        <v>41</v>
      </c>
      <c r="G3565" s="89">
        <v>830007</v>
      </c>
      <c r="H3565" t="s">
        <v>132</v>
      </c>
      <c r="I3565" t="s">
        <v>147</v>
      </c>
      <c r="J3565" s="89">
        <v>3320028</v>
      </c>
      <c r="K3565" t="s">
        <v>144</v>
      </c>
      <c r="N3565">
        <v>1</v>
      </c>
      <c r="O3565" s="89">
        <v>33200.28</v>
      </c>
      <c r="P3565" s="89">
        <v>730406.16</v>
      </c>
      <c r="Q3565" t="s">
        <v>135</v>
      </c>
      <c r="R3565" t="s">
        <v>131</v>
      </c>
    </row>
    <row r="3566" spans="3:18" hidden="1" x14ac:dyDescent="0.25">
      <c r="C3566" t="s">
        <v>45</v>
      </c>
      <c r="D3566" t="s">
        <v>22</v>
      </c>
      <c r="E3566" t="s">
        <v>40</v>
      </c>
      <c r="F3566" t="s">
        <v>41</v>
      </c>
      <c r="G3566" s="89">
        <v>215049</v>
      </c>
      <c r="H3566" t="s">
        <v>146</v>
      </c>
      <c r="I3566" t="s">
        <v>147</v>
      </c>
      <c r="J3566" s="89"/>
      <c r="K3566" t="s">
        <v>127</v>
      </c>
      <c r="L3566" t="s">
        <v>128</v>
      </c>
      <c r="N3566">
        <v>0</v>
      </c>
      <c r="O3566" s="89">
        <v>10752.45</v>
      </c>
      <c r="P3566" s="89">
        <v>6451.47</v>
      </c>
      <c r="Q3566" t="s">
        <v>130</v>
      </c>
      <c r="R3566" t="s">
        <v>131</v>
      </c>
    </row>
    <row r="3567" spans="3:18" x14ac:dyDescent="0.25">
      <c r="C3567" t="s">
        <v>47</v>
      </c>
      <c r="D3567" t="s">
        <v>22</v>
      </c>
      <c r="E3567" t="s">
        <v>40</v>
      </c>
      <c r="F3567" t="s">
        <v>41</v>
      </c>
      <c r="G3567" s="89">
        <v>93898</v>
      </c>
      <c r="H3567" t="s">
        <v>42</v>
      </c>
      <c r="I3567" t="s">
        <v>126</v>
      </c>
      <c r="J3567" s="89">
        <v>1126776</v>
      </c>
      <c r="K3567" t="s">
        <v>127</v>
      </c>
      <c r="L3567" t="s">
        <v>128</v>
      </c>
      <c r="M3567" t="s">
        <v>143</v>
      </c>
      <c r="N3567">
        <v>1</v>
      </c>
      <c r="O3567" s="89">
        <v>3755.92</v>
      </c>
      <c r="P3567" s="89">
        <v>9389.7999999999993</v>
      </c>
      <c r="Q3567" t="s">
        <v>130</v>
      </c>
      <c r="R3567" t="s">
        <v>131</v>
      </c>
    </row>
    <row r="3568" spans="3:18" hidden="1" x14ac:dyDescent="0.25">
      <c r="C3568" t="s">
        <v>45</v>
      </c>
      <c r="D3568" t="s">
        <v>21</v>
      </c>
      <c r="E3568" t="s">
        <v>43</v>
      </c>
      <c r="F3568" t="s">
        <v>53</v>
      </c>
      <c r="G3568" s="89">
        <v>509128</v>
      </c>
      <c r="H3568" t="s">
        <v>42</v>
      </c>
      <c r="I3568" t="s">
        <v>133</v>
      </c>
      <c r="J3568" s="89">
        <v>14255584</v>
      </c>
      <c r="K3568" t="s">
        <v>144</v>
      </c>
      <c r="N3568">
        <v>1</v>
      </c>
      <c r="O3568" s="89">
        <v>15273.84</v>
      </c>
      <c r="P3568" s="89">
        <v>254564</v>
      </c>
      <c r="Q3568" t="s">
        <v>142</v>
      </c>
      <c r="R3568" t="s">
        <v>131</v>
      </c>
    </row>
    <row r="3569" spans="3:18" hidden="1" x14ac:dyDescent="0.25">
      <c r="C3569" t="s">
        <v>45</v>
      </c>
      <c r="D3569" t="s">
        <v>21</v>
      </c>
      <c r="E3569" t="s">
        <v>40</v>
      </c>
      <c r="F3569" t="s">
        <v>53</v>
      </c>
      <c r="G3569" s="89">
        <v>93191</v>
      </c>
      <c r="H3569" t="s">
        <v>146</v>
      </c>
      <c r="I3569" t="s">
        <v>133</v>
      </c>
      <c r="J3569" s="89">
        <v>3448067</v>
      </c>
      <c r="K3569" t="s">
        <v>144</v>
      </c>
      <c r="N3569">
        <v>1</v>
      </c>
      <c r="O3569" s="89">
        <v>2795.73</v>
      </c>
      <c r="P3569" s="89">
        <v>13978.65</v>
      </c>
      <c r="Q3569" t="s">
        <v>130</v>
      </c>
      <c r="R3569" t="s">
        <v>131</v>
      </c>
    </row>
    <row r="3570" spans="3:18" x14ac:dyDescent="0.25">
      <c r="C3570" t="s">
        <v>47</v>
      </c>
      <c r="D3570" t="s">
        <v>24</v>
      </c>
      <c r="E3570" t="s">
        <v>48</v>
      </c>
      <c r="F3570" t="s">
        <v>41</v>
      </c>
      <c r="G3570" s="89">
        <v>1884560</v>
      </c>
      <c r="H3570" t="s">
        <v>146</v>
      </c>
      <c r="I3570" t="s">
        <v>126</v>
      </c>
      <c r="J3570" s="89">
        <v>20730160</v>
      </c>
      <c r="K3570" t="s">
        <v>127</v>
      </c>
      <c r="L3570" t="s">
        <v>128</v>
      </c>
      <c r="N3570">
        <v>1</v>
      </c>
      <c r="O3570" s="89">
        <v>56536.800000000003</v>
      </c>
      <c r="P3570" s="89">
        <v>961125.6</v>
      </c>
      <c r="Q3570" t="s">
        <v>142</v>
      </c>
      <c r="R3570" t="s">
        <v>131</v>
      </c>
    </row>
    <row r="3571" spans="3:18" hidden="1" x14ac:dyDescent="0.25">
      <c r="C3571" t="s">
        <v>45</v>
      </c>
      <c r="D3571" t="s">
        <v>22</v>
      </c>
      <c r="E3571" t="s">
        <v>40</v>
      </c>
      <c r="F3571" t="s">
        <v>41</v>
      </c>
      <c r="G3571" s="89">
        <v>853620</v>
      </c>
      <c r="H3571" t="s">
        <v>145</v>
      </c>
      <c r="I3571" t="s">
        <v>126</v>
      </c>
      <c r="J3571" s="89">
        <v>15365160</v>
      </c>
      <c r="K3571" t="s">
        <v>127</v>
      </c>
      <c r="L3571" t="s">
        <v>128</v>
      </c>
      <c r="N3571">
        <v>1</v>
      </c>
      <c r="O3571" s="89">
        <v>34144.800000000003</v>
      </c>
      <c r="P3571" s="89">
        <v>725577</v>
      </c>
      <c r="Q3571" t="s">
        <v>135</v>
      </c>
      <c r="R3571" t="s">
        <v>131</v>
      </c>
    </row>
    <row r="3572" spans="3:18" hidden="1" x14ac:dyDescent="0.25">
      <c r="C3572" t="s">
        <v>45</v>
      </c>
      <c r="D3572" t="s">
        <v>22</v>
      </c>
      <c r="E3572" t="s">
        <v>46</v>
      </c>
      <c r="F3572" t="s">
        <v>41</v>
      </c>
      <c r="G3572" s="89">
        <v>111771</v>
      </c>
      <c r="H3572" t="s">
        <v>42</v>
      </c>
      <c r="I3572" t="s">
        <v>141</v>
      </c>
      <c r="J3572" s="89">
        <v>1005939</v>
      </c>
      <c r="K3572" t="s">
        <v>127</v>
      </c>
      <c r="L3572" t="s">
        <v>128</v>
      </c>
      <c r="M3572" t="s">
        <v>143</v>
      </c>
      <c r="N3572">
        <v>1</v>
      </c>
      <c r="O3572" s="89">
        <v>5588.55</v>
      </c>
      <c r="P3572" s="89">
        <v>64827.18</v>
      </c>
      <c r="Q3572" t="s">
        <v>142</v>
      </c>
      <c r="R3572" t="s">
        <v>42</v>
      </c>
    </row>
    <row r="3573" spans="3:18" hidden="1" x14ac:dyDescent="0.25">
      <c r="C3573" t="s">
        <v>45</v>
      </c>
      <c r="D3573" t="s">
        <v>24</v>
      </c>
      <c r="E3573" t="s">
        <v>48</v>
      </c>
      <c r="F3573" t="s">
        <v>41</v>
      </c>
      <c r="G3573" s="89">
        <v>1444513</v>
      </c>
      <c r="H3573" t="s">
        <v>42</v>
      </c>
      <c r="I3573" t="s">
        <v>133</v>
      </c>
      <c r="J3573" s="89">
        <v>49113442</v>
      </c>
      <c r="K3573" t="s">
        <v>134</v>
      </c>
      <c r="L3573" t="s">
        <v>128</v>
      </c>
      <c r="M3573" t="s">
        <v>148</v>
      </c>
      <c r="N3573">
        <v>1</v>
      </c>
      <c r="O3573" s="89">
        <v>43335.39</v>
      </c>
      <c r="P3573" s="89">
        <v>1011159.1</v>
      </c>
      <c r="Q3573" t="s">
        <v>137</v>
      </c>
      <c r="R3573" t="s">
        <v>131</v>
      </c>
    </row>
    <row r="3574" spans="3:18" hidden="1" x14ac:dyDescent="0.25">
      <c r="C3574" t="s">
        <v>45</v>
      </c>
      <c r="D3574" t="s">
        <v>19</v>
      </c>
      <c r="E3574" t="s">
        <v>43</v>
      </c>
      <c r="F3574" t="s">
        <v>41</v>
      </c>
      <c r="G3574" s="89">
        <v>326680</v>
      </c>
      <c r="H3574" t="s">
        <v>42</v>
      </c>
      <c r="I3574" t="s">
        <v>133</v>
      </c>
      <c r="J3574" s="89">
        <v>7840320</v>
      </c>
      <c r="K3574" t="s">
        <v>127</v>
      </c>
      <c r="L3574" t="s">
        <v>128</v>
      </c>
      <c r="M3574" t="s">
        <v>143</v>
      </c>
      <c r="N3574">
        <v>1</v>
      </c>
      <c r="O3574" s="89">
        <v>9800.4</v>
      </c>
      <c r="P3574" s="89">
        <v>156806.39999999999</v>
      </c>
      <c r="Q3574" t="s">
        <v>142</v>
      </c>
      <c r="R3574" t="s">
        <v>42</v>
      </c>
    </row>
    <row r="3575" spans="3:18" hidden="1" x14ac:dyDescent="0.25">
      <c r="C3575" t="s">
        <v>45</v>
      </c>
      <c r="D3575" t="s">
        <v>149</v>
      </c>
      <c r="E3575" t="s">
        <v>43</v>
      </c>
      <c r="F3575" t="s">
        <v>41</v>
      </c>
      <c r="G3575" s="89">
        <v>22910</v>
      </c>
      <c r="H3575" t="s">
        <v>140</v>
      </c>
      <c r="I3575" t="s">
        <v>141</v>
      </c>
      <c r="J3575" s="89">
        <v>137460</v>
      </c>
      <c r="K3575" t="s">
        <v>127</v>
      </c>
      <c r="L3575" t="s">
        <v>151</v>
      </c>
      <c r="N3575">
        <v>1</v>
      </c>
      <c r="O3575" s="89">
        <v>1603.7</v>
      </c>
      <c r="P3575" s="89">
        <v>5040.2</v>
      </c>
      <c r="Q3575" t="s">
        <v>130</v>
      </c>
      <c r="R3575" t="s">
        <v>131</v>
      </c>
    </row>
    <row r="3576" spans="3:18" hidden="1" x14ac:dyDescent="0.25">
      <c r="C3576" t="s">
        <v>45</v>
      </c>
      <c r="D3576" t="s">
        <v>20</v>
      </c>
      <c r="E3576" t="s">
        <v>43</v>
      </c>
      <c r="F3576" t="s">
        <v>41</v>
      </c>
      <c r="G3576" s="89">
        <v>122221</v>
      </c>
      <c r="H3576" t="s">
        <v>146</v>
      </c>
      <c r="I3576" t="s">
        <v>153</v>
      </c>
      <c r="J3576" s="89"/>
      <c r="K3576" t="s">
        <v>127</v>
      </c>
      <c r="L3576" t="s">
        <v>128</v>
      </c>
      <c r="N3576">
        <v>0</v>
      </c>
      <c r="O3576" s="89">
        <v>3666.63</v>
      </c>
      <c r="P3576" s="89">
        <v>58666.080000000002</v>
      </c>
      <c r="Q3576" t="s">
        <v>142</v>
      </c>
      <c r="R3576" t="s">
        <v>131</v>
      </c>
    </row>
    <row r="3577" spans="3:18" hidden="1" x14ac:dyDescent="0.25">
      <c r="C3577" t="s">
        <v>45</v>
      </c>
      <c r="D3577" t="s">
        <v>20</v>
      </c>
      <c r="E3577" t="s">
        <v>43</v>
      </c>
      <c r="F3577" t="s">
        <v>41</v>
      </c>
      <c r="G3577" s="89">
        <v>65895</v>
      </c>
      <c r="H3577" t="s">
        <v>42</v>
      </c>
      <c r="I3577" t="s">
        <v>133</v>
      </c>
      <c r="J3577" s="89">
        <v>1515585</v>
      </c>
      <c r="K3577" t="s">
        <v>127</v>
      </c>
      <c r="L3577" t="s">
        <v>128</v>
      </c>
      <c r="M3577" t="s">
        <v>152</v>
      </c>
      <c r="N3577">
        <v>1</v>
      </c>
      <c r="O3577" s="89">
        <v>2635.8</v>
      </c>
      <c r="P3577" s="89">
        <v>29652.75</v>
      </c>
      <c r="Q3577" t="s">
        <v>142</v>
      </c>
      <c r="R3577" t="s">
        <v>42</v>
      </c>
    </row>
    <row r="3578" spans="3:18" hidden="1" x14ac:dyDescent="0.25">
      <c r="C3578" t="s">
        <v>45</v>
      </c>
      <c r="D3578" t="s">
        <v>21</v>
      </c>
      <c r="E3578" t="s">
        <v>48</v>
      </c>
      <c r="F3578" t="s">
        <v>41</v>
      </c>
      <c r="G3578" s="89">
        <v>513439</v>
      </c>
      <c r="H3578" t="s">
        <v>42</v>
      </c>
      <c r="I3578" t="s">
        <v>141</v>
      </c>
      <c r="J3578" s="89">
        <v>4107512</v>
      </c>
      <c r="K3578" t="s">
        <v>127</v>
      </c>
      <c r="L3578" t="s">
        <v>128</v>
      </c>
      <c r="M3578" t="s">
        <v>129</v>
      </c>
      <c r="N3578">
        <v>1</v>
      </c>
      <c r="O3578" s="89">
        <v>15403.17</v>
      </c>
      <c r="P3578" s="89">
        <v>112956.58</v>
      </c>
      <c r="Q3578" t="s">
        <v>130</v>
      </c>
      <c r="R3578" t="s">
        <v>42</v>
      </c>
    </row>
    <row r="3579" spans="3:18" hidden="1" x14ac:dyDescent="0.25">
      <c r="C3579" t="s">
        <v>45</v>
      </c>
      <c r="D3579" t="s">
        <v>19</v>
      </c>
      <c r="E3579" t="s">
        <v>43</v>
      </c>
      <c r="F3579" t="s">
        <v>41</v>
      </c>
      <c r="G3579" s="89">
        <v>24344</v>
      </c>
      <c r="H3579" t="s">
        <v>145</v>
      </c>
      <c r="I3579" t="s">
        <v>141</v>
      </c>
      <c r="J3579" s="89">
        <v>194752</v>
      </c>
      <c r="K3579" t="s">
        <v>144</v>
      </c>
      <c r="N3579">
        <v>1</v>
      </c>
      <c r="O3579" s="89">
        <v>730.32</v>
      </c>
      <c r="P3579" s="89">
        <v>9250.7199999999993</v>
      </c>
      <c r="Q3579" t="s">
        <v>130</v>
      </c>
      <c r="R3579" t="s">
        <v>131</v>
      </c>
    </row>
    <row r="3580" spans="3:18" hidden="1" x14ac:dyDescent="0.25">
      <c r="C3580" t="s">
        <v>45</v>
      </c>
      <c r="D3580" t="s">
        <v>138</v>
      </c>
      <c r="E3580" t="s">
        <v>40</v>
      </c>
      <c r="F3580" t="s">
        <v>41</v>
      </c>
      <c r="G3580" s="89">
        <v>105392</v>
      </c>
      <c r="H3580" t="s">
        <v>42</v>
      </c>
      <c r="I3580" t="s">
        <v>141</v>
      </c>
      <c r="J3580" s="89">
        <v>1053920</v>
      </c>
      <c r="K3580" t="s">
        <v>127</v>
      </c>
      <c r="L3580" t="s">
        <v>128</v>
      </c>
      <c r="M3580" t="s">
        <v>139</v>
      </c>
      <c r="N3580">
        <v>1</v>
      </c>
      <c r="O3580" s="89">
        <v>4215.68</v>
      </c>
      <c r="P3580" s="89">
        <v>51642.080000000002</v>
      </c>
      <c r="Q3580" t="s">
        <v>142</v>
      </c>
      <c r="R3580" t="s">
        <v>42</v>
      </c>
    </row>
    <row r="3581" spans="3:18" hidden="1" x14ac:dyDescent="0.25">
      <c r="C3581" t="s">
        <v>45</v>
      </c>
      <c r="D3581" t="s">
        <v>24</v>
      </c>
      <c r="E3581" t="s">
        <v>44</v>
      </c>
      <c r="F3581" t="s">
        <v>41</v>
      </c>
      <c r="G3581" s="89">
        <v>2363882</v>
      </c>
      <c r="H3581" t="s">
        <v>140</v>
      </c>
      <c r="I3581" t="s">
        <v>133</v>
      </c>
      <c r="J3581" s="89">
        <v>78008106</v>
      </c>
      <c r="K3581" t="s">
        <v>127</v>
      </c>
      <c r="L3581" t="s">
        <v>128</v>
      </c>
      <c r="N3581">
        <v>1</v>
      </c>
      <c r="O3581" s="89">
        <v>70916.460000000006</v>
      </c>
      <c r="P3581" s="89">
        <v>3025768.96</v>
      </c>
      <c r="Q3581" t="s">
        <v>150</v>
      </c>
      <c r="R3581" t="s">
        <v>131</v>
      </c>
    </row>
    <row r="3582" spans="3:18" hidden="1" x14ac:dyDescent="0.25">
      <c r="C3582" t="s">
        <v>45</v>
      </c>
      <c r="D3582" t="s">
        <v>19</v>
      </c>
      <c r="E3582" t="s">
        <v>43</v>
      </c>
      <c r="F3582" t="s">
        <v>41</v>
      </c>
      <c r="G3582" s="89">
        <v>23511363</v>
      </c>
      <c r="H3582" t="s">
        <v>145</v>
      </c>
      <c r="I3582" t="s">
        <v>133</v>
      </c>
      <c r="J3582" s="89">
        <v>705340890</v>
      </c>
      <c r="K3582" t="s">
        <v>127</v>
      </c>
      <c r="L3582" t="s">
        <v>128</v>
      </c>
      <c r="N3582">
        <v>1</v>
      </c>
      <c r="O3582" s="89">
        <v>705340.89</v>
      </c>
      <c r="P3582" s="89">
        <v>16222840.470000001</v>
      </c>
      <c r="Q3582" t="s">
        <v>137</v>
      </c>
      <c r="R3582" t="s">
        <v>131</v>
      </c>
    </row>
    <row r="3583" spans="3:18" hidden="1" x14ac:dyDescent="0.25">
      <c r="C3583" t="s">
        <v>45</v>
      </c>
      <c r="D3583" t="s">
        <v>22</v>
      </c>
      <c r="E3583" t="s">
        <v>40</v>
      </c>
      <c r="F3583" t="s">
        <v>41</v>
      </c>
      <c r="G3583" s="89">
        <v>13736</v>
      </c>
      <c r="H3583" t="s">
        <v>146</v>
      </c>
      <c r="I3583" t="s">
        <v>141</v>
      </c>
      <c r="J3583" s="89">
        <v>82416</v>
      </c>
      <c r="K3583" t="s">
        <v>127</v>
      </c>
      <c r="L3583" t="s">
        <v>128</v>
      </c>
      <c r="N3583">
        <v>1</v>
      </c>
      <c r="O3583" s="89">
        <v>0</v>
      </c>
      <c r="P3583" s="89">
        <v>17994.16</v>
      </c>
      <c r="Q3583" t="s">
        <v>150</v>
      </c>
      <c r="R3583" t="s">
        <v>131</v>
      </c>
    </row>
    <row r="3584" spans="3:18" hidden="1" x14ac:dyDescent="0.25">
      <c r="C3584" t="s">
        <v>45</v>
      </c>
      <c r="D3584" t="s">
        <v>23</v>
      </c>
      <c r="E3584" t="s">
        <v>48</v>
      </c>
      <c r="F3584" t="s">
        <v>41</v>
      </c>
      <c r="G3584" s="89">
        <v>157824</v>
      </c>
      <c r="H3584" t="s">
        <v>42</v>
      </c>
      <c r="I3584" t="s">
        <v>126</v>
      </c>
      <c r="J3584" s="89">
        <v>2525184</v>
      </c>
      <c r="K3584" t="s">
        <v>127</v>
      </c>
      <c r="L3584" t="s">
        <v>128</v>
      </c>
      <c r="M3584" t="s">
        <v>143</v>
      </c>
      <c r="N3584">
        <v>1</v>
      </c>
      <c r="O3584" s="89">
        <v>4734.72</v>
      </c>
      <c r="P3584" s="89">
        <v>82068.479999999996</v>
      </c>
      <c r="Q3584" t="s">
        <v>142</v>
      </c>
      <c r="R3584" t="s">
        <v>131</v>
      </c>
    </row>
    <row r="3585" spans="3:18" x14ac:dyDescent="0.25">
      <c r="C3585" t="s">
        <v>47</v>
      </c>
      <c r="D3585" t="s">
        <v>138</v>
      </c>
      <c r="E3585" t="s">
        <v>40</v>
      </c>
      <c r="F3585" t="s">
        <v>41</v>
      </c>
      <c r="G3585" s="89">
        <v>37658</v>
      </c>
      <c r="H3585" t="s">
        <v>146</v>
      </c>
      <c r="I3585" t="s">
        <v>126</v>
      </c>
      <c r="J3585" s="89">
        <v>715502</v>
      </c>
      <c r="K3585" t="s">
        <v>134</v>
      </c>
      <c r="L3585" t="s">
        <v>128</v>
      </c>
      <c r="N3585">
        <v>1</v>
      </c>
      <c r="O3585" s="89">
        <v>1882.9</v>
      </c>
      <c r="P3585" s="89">
        <v>25984.02</v>
      </c>
      <c r="Q3585" t="s">
        <v>137</v>
      </c>
      <c r="R3585" t="s">
        <v>131</v>
      </c>
    </row>
    <row r="3586" spans="3:18" hidden="1" x14ac:dyDescent="0.25">
      <c r="C3586" t="s">
        <v>45</v>
      </c>
      <c r="D3586" t="s">
        <v>19</v>
      </c>
      <c r="E3586" t="s">
        <v>43</v>
      </c>
      <c r="F3586" t="s">
        <v>41</v>
      </c>
      <c r="G3586" s="89">
        <v>63884</v>
      </c>
      <c r="H3586" t="s">
        <v>42</v>
      </c>
      <c r="I3586" t="s">
        <v>126</v>
      </c>
      <c r="J3586" s="89">
        <v>830492</v>
      </c>
      <c r="K3586" t="s">
        <v>127</v>
      </c>
      <c r="L3586" t="s">
        <v>151</v>
      </c>
      <c r="M3586" t="s">
        <v>156</v>
      </c>
      <c r="N3586">
        <v>1</v>
      </c>
      <c r="O3586" s="89">
        <v>1916.52</v>
      </c>
      <c r="P3586" s="89">
        <v>21720.560000000001</v>
      </c>
      <c r="Q3586" t="s">
        <v>130</v>
      </c>
      <c r="R3586" t="s">
        <v>131</v>
      </c>
    </row>
    <row r="3587" spans="3:18" x14ac:dyDescent="0.25">
      <c r="C3587" t="s">
        <v>47</v>
      </c>
      <c r="D3587" t="s">
        <v>24</v>
      </c>
      <c r="E3587" t="s">
        <v>48</v>
      </c>
      <c r="F3587" t="s">
        <v>41</v>
      </c>
      <c r="G3587" s="89">
        <v>186118</v>
      </c>
      <c r="H3587" t="s">
        <v>146</v>
      </c>
      <c r="I3587" t="s">
        <v>141</v>
      </c>
      <c r="J3587" s="89">
        <v>1675062</v>
      </c>
      <c r="K3587" t="s">
        <v>144</v>
      </c>
      <c r="N3587">
        <v>1</v>
      </c>
      <c r="O3587" s="89">
        <v>7444.72</v>
      </c>
      <c r="P3587" s="89">
        <v>100503.72</v>
      </c>
      <c r="Q3587" t="s">
        <v>142</v>
      </c>
      <c r="R3587" t="s">
        <v>131</v>
      </c>
    </row>
    <row r="3588" spans="3:18" hidden="1" x14ac:dyDescent="0.25">
      <c r="C3588" t="s">
        <v>45</v>
      </c>
      <c r="D3588" t="s">
        <v>19</v>
      </c>
      <c r="E3588" t="s">
        <v>43</v>
      </c>
      <c r="F3588" t="s">
        <v>41</v>
      </c>
      <c r="G3588" s="89">
        <v>229491</v>
      </c>
      <c r="H3588" t="s">
        <v>42</v>
      </c>
      <c r="I3588" t="s">
        <v>126</v>
      </c>
      <c r="J3588" s="89">
        <v>3901347</v>
      </c>
      <c r="K3588" t="s">
        <v>127</v>
      </c>
      <c r="L3588" t="s">
        <v>128</v>
      </c>
      <c r="M3588" t="s">
        <v>129</v>
      </c>
      <c r="N3588">
        <v>1</v>
      </c>
      <c r="O3588" s="89">
        <v>9179.64</v>
      </c>
      <c r="P3588" s="89">
        <v>151464.06</v>
      </c>
      <c r="Q3588" t="s">
        <v>137</v>
      </c>
      <c r="R3588" t="s">
        <v>42</v>
      </c>
    </row>
    <row r="3589" spans="3:18" hidden="1" x14ac:dyDescent="0.25">
      <c r="C3589" t="s">
        <v>45</v>
      </c>
      <c r="D3589" t="s">
        <v>25</v>
      </c>
      <c r="E3589" t="s">
        <v>48</v>
      </c>
      <c r="F3589" t="s">
        <v>41</v>
      </c>
      <c r="G3589" s="89">
        <v>468623</v>
      </c>
      <c r="H3589" t="s">
        <v>145</v>
      </c>
      <c r="I3589" t="s">
        <v>133</v>
      </c>
      <c r="J3589" s="89">
        <v>14058690</v>
      </c>
      <c r="K3589" t="s">
        <v>127</v>
      </c>
      <c r="L3589" t="s">
        <v>128</v>
      </c>
      <c r="N3589">
        <v>1</v>
      </c>
      <c r="O3589" s="89">
        <v>14058.69</v>
      </c>
      <c r="P3589" s="89">
        <v>299918.71999999997</v>
      </c>
      <c r="Q3589" t="s">
        <v>137</v>
      </c>
      <c r="R3589" t="s">
        <v>131</v>
      </c>
    </row>
    <row r="3590" spans="3:18" hidden="1" x14ac:dyDescent="0.25">
      <c r="C3590" t="s">
        <v>45</v>
      </c>
      <c r="D3590" t="s">
        <v>21</v>
      </c>
      <c r="E3590" t="s">
        <v>43</v>
      </c>
      <c r="F3590" t="s">
        <v>41</v>
      </c>
      <c r="G3590" s="89">
        <v>215933</v>
      </c>
      <c r="H3590" t="s">
        <v>145</v>
      </c>
      <c r="I3590" t="s">
        <v>141</v>
      </c>
      <c r="J3590" s="89">
        <v>1511531</v>
      </c>
      <c r="K3590" t="s">
        <v>127</v>
      </c>
      <c r="L3590" t="s">
        <v>128</v>
      </c>
      <c r="N3590">
        <v>1</v>
      </c>
      <c r="O3590" s="89">
        <v>8637.32</v>
      </c>
      <c r="P3590" s="89">
        <v>179224.39</v>
      </c>
      <c r="Q3590" t="s">
        <v>135</v>
      </c>
      <c r="R3590" t="s">
        <v>131</v>
      </c>
    </row>
    <row r="3591" spans="3:18" hidden="1" x14ac:dyDescent="0.25">
      <c r="C3591" t="s">
        <v>45</v>
      </c>
      <c r="D3591" t="s">
        <v>24</v>
      </c>
      <c r="E3591" t="s">
        <v>40</v>
      </c>
      <c r="F3591" t="s">
        <v>41</v>
      </c>
      <c r="G3591" s="89">
        <v>11233711</v>
      </c>
      <c r="H3591" t="s">
        <v>42</v>
      </c>
      <c r="I3591" t="s">
        <v>133</v>
      </c>
      <c r="J3591" s="89">
        <v>325777619</v>
      </c>
      <c r="K3591" t="s">
        <v>127</v>
      </c>
      <c r="L3591" t="s">
        <v>128</v>
      </c>
      <c r="M3591" t="s">
        <v>148</v>
      </c>
      <c r="N3591">
        <v>1</v>
      </c>
      <c r="O3591" s="89">
        <v>337011.33</v>
      </c>
      <c r="P3591" s="89">
        <v>3257776.19</v>
      </c>
      <c r="Q3591" t="s">
        <v>130</v>
      </c>
      <c r="R3591" t="s">
        <v>131</v>
      </c>
    </row>
    <row r="3592" spans="3:18" hidden="1" x14ac:dyDescent="0.25">
      <c r="C3592" t="s">
        <v>45</v>
      </c>
      <c r="D3592" t="s">
        <v>21</v>
      </c>
      <c r="E3592" t="s">
        <v>43</v>
      </c>
      <c r="F3592" t="s">
        <v>41</v>
      </c>
      <c r="G3592" s="89">
        <v>255084513</v>
      </c>
      <c r="H3592" t="s">
        <v>140</v>
      </c>
      <c r="I3592" t="s">
        <v>133</v>
      </c>
      <c r="J3592" s="89">
        <v>6377112825</v>
      </c>
      <c r="K3592" t="s">
        <v>127</v>
      </c>
      <c r="L3592" t="s">
        <v>128</v>
      </c>
      <c r="N3592">
        <v>1</v>
      </c>
      <c r="O3592" s="89">
        <v>7652535.3899999997</v>
      </c>
      <c r="P3592" s="89">
        <v>132643946.76000001</v>
      </c>
      <c r="Q3592" t="s">
        <v>142</v>
      </c>
      <c r="R3592" t="s">
        <v>131</v>
      </c>
    </row>
    <row r="3593" spans="3:18" hidden="1" x14ac:dyDescent="0.25">
      <c r="C3593" t="s">
        <v>45</v>
      </c>
      <c r="D3593" t="s">
        <v>20</v>
      </c>
      <c r="E3593" t="s">
        <v>43</v>
      </c>
      <c r="F3593" t="s">
        <v>41</v>
      </c>
      <c r="G3593" s="89">
        <v>946968</v>
      </c>
      <c r="H3593" t="s">
        <v>42</v>
      </c>
      <c r="I3593" t="s">
        <v>126</v>
      </c>
      <c r="J3593" s="89">
        <v>17045424</v>
      </c>
      <c r="K3593" t="s">
        <v>127</v>
      </c>
      <c r="L3593" t="s">
        <v>128</v>
      </c>
      <c r="M3593" t="s">
        <v>139</v>
      </c>
      <c r="N3593">
        <v>1</v>
      </c>
      <c r="O3593" s="89">
        <v>28409.040000000001</v>
      </c>
      <c r="P3593" s="89">
        <v>624998.88</v>
      </c>
      <c r="Q3593" t="s">
        <v>137</v>
      </c>
      <c r="R3593" t="s">
        <v>42</v>
      </c>
    </row>
    <row r="3594" spans="3:18" hidden="1" x14ac:dyDescent="0.25">
      <c r="C3594" t="s">
        <v>45</v>
      </c>
      <c r="D3594" t="s">
        <v>19</v>
      </c>
      <c r="E3594" t="s">
        <v>43</v>
      </c>
      <c r="F3594" t="s">
        <v>41</v>
      </c>
      <c r="G3594" s="89">
        <v>5384274</v>
      </c>
      <c r="H3594" t="s">
        <v>42</v>
      </c>
      <c r="I3594" t="s">
        <v>126</v>
      </c>
      <c r="J3594" s="89">
        <v>86148384</v>
      </c>
      <c r="K3594" t="s">
        <v>127</v>
      </c>
      <c r="L3594" t="s">
        <v>128</v>
      </c>
      <c r="M3594" t="s">
        <v>136</v>
      </c>
      <c r="N3594">
        <v>1</v>
      </c>
      <c r="O3594" s="89">
        <v>161528.22</v>
      </c>
      <c r="P3594" s="89">
        <v>1346068.5</v>
      </c>
      <c r="Q3594" t="s">
        <v>130</v>
      </c>
      <c r="R3594" t="s">
        <v>42</v>
      </c>
    </row>
    <row r="3595" spans="3:18" hidden="1" x14ac:dyDescent="0.25">
      <c r="C3595" t="s">
        <v>45</v>
      </c>
      <c r="D3595" t="s">
        <v>22</v>
      </c>
      <c r="E3595" t="s">
        <v>40</v>
      </c>
      <c r="F3595" t="s">
        <v>53</v>
      </c>
      <c r="G3595" s="89">
        <v>706791</v>
      </c>
      <c r="H3595" t="s">
        <v>140</v>
      </c>
      <c r="I3595" t="s">
        <v>133</v>
      </c>
      <c r="J3595" s="89">
        <v>21203730</v>
      </c>
      <c r="K3595" t="s">
        <v>144</v>
      </c>
      <c r="N3595">
        <v>1</v>
      </c>
      <c r="O3595" s="89">
        <v>21203.73</v>
      </c>
      <c r="P3595" s="89">
        <v>367531.32</v>
      </c>
      <c r="Q3595" t="s">
        <v>142</v>
      </c>
      <c r="R3595" t="s">
        <v>131</v>
      </c>
    </row>
    <row r="3596" spans="3:18" x14ac:dyDescent="0.25">
      <c r="C3596" t="s">
        <v>47</v>
      </c>
      <c r="D3596" t="s">
        <v>21</v>
      </c>
      <c r="E3596" t="s">
        <v>40</v>
      </c>
      <c r="F3596" t="s">
        <v>41</v>
      </c>
      <c r="G3596" s="89">
        <v>851319</v>
      </c>
      <c r="H3596" t="s">
        <v>42</v>
      </c>
      <c r="I3596" t="s">
        <v>147</v>
      </c>
      <c r="J3596" s="89">
        <v>851319</v>
      </c>
      <c r="K3596" t="s">
        <v>127</v>
      </c>
      <c r="L3596" t="s">
        <v>128</v>
      </c>
      <c r="M3596" t="s">
        <v>129</v>
      </c>
      <c r="N3596">
        <v>1</v>
      </c>
      <c r="O3596" s="89">
        <v>42565.95</v>
      </c>
      <c r="P3596" s="89">
        <v>357553.98</v>
      </c>
      <c r="Q3596" t="s">
        <v>142</v>
      </c>
      <c r="R3596" t="s">
        <v>131</v>
      </c>
    </row>
    <row r="3597" spans="3:18" hidden="1" x14ac:dyDescent="0.25">
      <c r="C3597" t="s">
        <v>45</v>
      </c>
      <c r="D3597" t="s">
        <v>23</v>
      </c>
      <c r="E3597" t="s">
        <v>43</v>
      </c>
      <c r="F3597" t="s">
        <v>41</v>
      </c>
      <c r="G3597" s="89">
        <v>40193</v>
      </c>
      <c r="H3597" t="s">
        <v>132</v>
      </c>
      <c r="I3597" t="s">
        <v>141</v>
      </c>
      <c r="J3597" s="89">
        <v>321544</v>
      </c>
      <c r="K3597" t="s">
        <v>127</v>
      </c>
      <c r="L3597" t="s">
        <v>128</v>
      </c>
      <c r="N3597">
        <v>1</v>
      </c>
      <c r="O3597" s="89">
        <v>2009.65</v>
      </c>
      <c r="P3597" s="89">
        <v>17282.990000000002</v>
      </c>
      <c r="Q3597" t="s">
        <v>142</v>
      </c>
      <c r="R3597" t="s">
        <v>131</v>
      </c>
    </row>
    <row r="3598" spans="3:18" hidden="1" x14ac:dyDescent="0.25">
      <c r="C3598" t="s">
        <v>39</v>
      </c>
      <c r="D3598" t="s">
        <v>20</v>
      </c>
      <c r="E3598" t="s">
        <v>43</v>
      </c>
      <c r="F3598" t="s">
        <v>41</v>
      </c>
      <c r="G3598" s="89">
        <v>360475</v>
      </c>
      <c r="H3598" t="s">
        <v>140</v>
      </c>
      <c r="I3598" t="s">
        <v>133</v>
      </c>
      <c r="J3598" s="89"/>
      <c r="N3598">
        <v>0</v>
      </c>
      <c r="O3598" s="89"/>
      <c r="P3598" s="89"/>
      <c r="R3598" t="s">
        <v>131</v>
      </c>
    </row>
    <row r="3599" spans="3:18" hidden="1" x14ac:dyDescent="0.25">
      <c r="C3599" t="s">
        <v>45</v>
      </c>
      <c r="D3599" t="s">
        <v>50</v>
      </c>
      <c r="E3599" t="s">
        <v>50</v>
      </c>
      <c r="F3599" t="s">
        <v>41</v>
      </c>
      <c r="G3599" s="89">
        <v>980295</v>
      </c>
      <c r="H3599" t="s">
        <v>79</v>
      </c>
      <c r="I3599" t="s">
        <v>133</v>
      </c>
      <c r="J3599" s="89">
        <v>36270915</v>
      </c>
      <c r="K3599" t="s">
        <v>144</v>
      </c>
      <c r="N3599">
        <v>1</v>
      </c>
      <c r="O3599" s="89">
        <v>29408.85</v>
      </c>
      <c r="P3599" s="89">
        <v>1009703.85</v>
      </c>
      <c r="Q3599" t="s">
        <v>150</v>
      </c>
      <c r="R3599" t="s">
        <v>79</v>
      </c>
    </row>
    <row r="3600" spans="3:18" hidden="1" x14ac:dyDescent="0.25">
      <c r="C3600" t="s">
        <v>45</v>
      </c>
      <c r="D3600" t="s">
        <v>23</v>
      </c>
      <c r="E3600" t="s">
        <v>43</v>
      </c>
      <c r="F3600" t="s">
        <v>41</v>
      </c>
      <c r="G3600" s="89">
        <v>541239</v>
      </c>
      <c r="H3600" t="s">
        <v>132</v>
      </c>
      <c r="I3600" t="s">
        <v>133</v>
      </c>
      <c r="J3600" s="89">
        <v>12448497</v>
      </c>
      <c r="K3600" t="s">
        <v>127</v>
      </c>
      <c r="L3600" t="s">
        <v>128</v>
      </c>
      <c r="N3600">
        <v>1</v>
      </c>
      <c r="O3600" s="89">
        <v>16237.17</v>
      </c>
      <c r="P3600" s="89">
        <v>162371.70000000001</v>
      </c>
      <c r="Q3600" t="s">
        <v>130</v>
      </c>
      <c r="R3600" t="s">
        <v>131</v>
      </c>
    </row>
    <row r="3601" spans="3:18" hidden="1" x14ac:dyDescent="0.25">
      <c r="C3601" t="s">
        <v>45</v>
      </c>
      <c r="D3601" t="s">
        <v>24</v>
      </c>
      <c r="E3601" t="s">
        <v>52</v>
      </c>
      <c r="F3601" t="s">
        <v>53</v>
      </c>
      <c r="G3601" s="89">
        <v>1151092</v>
      </c>
      <c r="H3601" t="s">
        <v>42</v>
      </c>
      <c r="I3601" t="s">
        <v>133</v>
      </c>
      <c r="J3601" s="89">
        <v>36834944</v>
      </c>
      <c r="K3601" t="s">
        <v>144</v>
      </c>
      <c r="N3601">
        <v>1</v>
      </c>
      <c r="O3601" s="89">
        <v>34532.76</v>
      </c>
      <c r="P3601" s="89">
        <v>817275.32</v>
      </c>
      <c r="Q3601" t="s">
        <v>137</v>
      </c>
      <c r="R3601" t="s">
        <v>42</v>
      </c>
    </row>
    <row r="3602" spans="3:18" x14ac:dyDescent="0.25">
      <c r="C3602" t="s">
        <v>47</v>
      </c>
      <c r="D3602" t="s">
        <v>19</v>
      </c>
      <c r="E3602" t="s">
        <v>40</v>
      </c>
      <c r="F3602" t="s">
        <v>41</v>
      </c>
      <c r="G3602" s="89">
        <v>35225</v>
      </c>
      <c r="H3602" t="s">
        <v>145</v>
      </c>
      <c r="I3602" t="s">
        <v>126</v>
      </c>
      <c r="J3602" s="89">
        <v>387475</v>
      </c>
      <c r="K3602" t="s">
        <v>127</v>
      </c>
      <c r="L3602" t="s">
        <v>128</v>
      </c>
      <c r="N3602">
        <v>1</v>
      </c>
      <c r="O3602" s="89">
        <v>1409</v>
      </c>
      <c r="P3602" s="89">
        <v>19021.5</v>
      </c>
      <c r="Q3602" t="s">
        <v>142</v>
      </c>
      <c r="R3602" t="s">
        <v>131</v>
      </c>
    </row>
    <row r="3603" spans="3:18" hidden="1" x14ac:dyDescent="0.25">
      <c r="C3603" t="s">
        <v>45</v>
      </c>
      <c r="D3603" t="s">
        <v>22</v>
      </c>
      <c r="E3603" t="s">
        <v>43</v>
      </c>
      <c r="F3603" t="s">
        <v>41</v>
      </c>
      <c r="G3603" s="89">
        <v>2696418</v>
      </c>
      <c r="H3603" t="s">
        <v>140</v>
      </c>
      <c r="I3603" t="s">
        <v>126</v>
      </c>
      <c r="J3603" s="89">
        <v>48535524</v>
      </c>
      <c r="K3603" t="s">
        <v>127</v>
      </c>
      <c r="L3603" t="s">
        <v>128</v>
      </c>
      <c r="N3603">
        <v>1</v>
      </c>
      <c r="O3603" s="89">
        <v>80892.539999999994</v>
      </c>
      <c r="P3603" s="89">
        <v>1779635.88</v>
      </c>
      <c r="Q3603" t="s">
        <v>137</v>
      </c>
      <c r="R3603" t="s">
        <v>131</v>
      </c>
    </row>
    <row r="3604" spans="3:18" hidden="1" x14ac:dyDescent="0.25">
      <c r="C3604" t="s">
        <v>45</v>
      </c>
      <c r="D3604" t="s">
        <v>20</v>
      </c>
      <c r="E3604" t="s">
        <v>43</v>
      </c>
      <c r="F3604" t="s">
        <v>53</v>
      </c>
      <c r="G3604" s="89">
        <v>2189470</v>
      </c>
      <c r="H3604" t="s">
        <v>42</v>
      </c>
      <c r="I3604" t="s">
        <v>126</v>
      </c>
      <c r="J3604" s="89">
        <v>30652580</v>
      </c>
      <c r="K3604" t="s">
        <v>144</v>
      </c>
      <c r="N3604">
        <v>1</v>
      </c>
      <c r="O3604" s="89">
        <v>65684.100000000006</v>
      </c>
      <c r="P3604" s="89">
        <v>1510734.3</v>
      </c>
      <c r="Q3604" t="s">
        <v>137</v>
      </c>
      <c r="R3604" t="s">
        <v>42</v>
      </c>
    </row>
    <row r="3605" spans="3:18" hidden="1" x14ac:dyDescent="0.25">
      <c r="C3605" t="s">
        <v>45</v>
      </c>
      <c r="D3605" t="s">
        <v>24</v>
      </c>
      <c r="E3605" t="s">
        <v>48</v>
      </c>
      <c r="F3605" t="s">
        <v>53</v>
      </c>
      <c r="G3605" s="89">
        <v>66907</v>
      </c>
      <c r="H3605" t="s">
        <v>140</v>
      </c>
      <c r="I3605" t="s">
        <v>141</v>
      </c>
      <c r="J3605" s="89">
        <v>401442</v>
      </c>
      <c r="K3605" t="s">
        <v>127</v>
      </c>
      <c r="L3605" t="s">
        <v>128</v>
      </c>
      <c r="N3605">
        <v>1</v>
      </c>
      <c r="O3605" s="89">
        <v>2007.21</v>
      </c>
      <c r="P3605" s="89">
        <v>11374.19</v>
      </c>
      <c r="Q3605" t="s">
        <v>130</v>
      </c>
      <c r="R3605" t="s">
        <v>131</v>
      </c>
    </row>
    <row r="3606" spans="3:18" hidden="1" x14ac:dyDescent="0.25">
      <c r="C3606" t="s">
        <v>45</v>
      </c>
      <c r="D3606" t="s">
        <v>19</v>
      </c>
      <c r="E3606" t="s">
        <v>40</v>
      </c>
      <c r="F3606" t="s">
        <v>41</v>
      </c>
      <c r="G3606" s="89">
        <v>1265601</v>
      </c>
      <c r="H3606" t="s">
        <v>42</v>
      </c>
      <c r="I3606" t="s">
        <v>126</v>
      </c>
      <c r="J3606" s="89">
        <v>18984015</v>
      </c>
      <c r="K3606" t="s">
        <v>127</v>
      </c>
      <c r="L3606" t="s">
        <v>128</v>
      </c>
      <c r="M3606" t="s">
        <v>136</v>
      </c>
      <c r="N3606">
        <v>1</v>
      </c>
      <c r="O3606" s="89">
        <v>37968.03</v>
      </c>
      <c r="P3606" s="89">
        <v>278432.21999999997</v>
      </c>
      <c r="Q3606" t="s">
        <v>130</v>
      </c>
      <c r="R3606" t="s">
        <v>131</v>
      </c>
    </row>
    <row r="3607" spans="3:18" hidden="1" x14ac:dyDescent="0.25">
      <c r="C3607" t="s">
        <v>45</v>
      </c>
      <c r="D3607" t="s">
        <v>24</v>
      </c>
      <c r="E3607" t="s">
        <v>46</v>
      </c>
      <c r="F3607" t="s">
        <v>41</v>
      </c>
      <c r="G3607" s="89">
        <v>42953</v>
      </c>
      <c r="H3607" t="s">
        <v>42</v>
      </c>
      <c r="I3607" t="s">
        <v>126</v>
      </c>
      <c r="J3607" s="89">
        <v>859060</v>
      </c>
      <c r="K3607" t="s">
        <v>127</v>
      </c>
      <c r="L3607" t="s">
        <v>128</v>
      </c>
      <c r="M3607" t="s">
        <v>148</v>
      </c>
      <c r="N3607">
        <v>1</v>
      </c>
      <c r="O3607" s="89">
        <v>1718.12</v>
      </c>
      <c r="P3607" s="89">
        <v>21476.5</v>
      </c>
      <c r="Q3607" t="s">
        <v>142</v>
      </c>
      <c r="R3607" t="s">
        <v>131</v>
      </c>
    </row>
    <row r="3608" spans="3:18" hidden="1" x14ac:dyDescent="0.25">
      <c r="C3608" t="s">
        <v>45</v>
      </c>
      <c r="D3608" t="s">
        <v>23</v>
      </c>
      <c r="E3608" t="s">
        <v>40</v>
      </c>
      <c r="F3608" t="s">
        <v>41</v>
      </c>
      <c r="G3608" s="89">
        <v>1477058</v>
      </c>
      <c r="H3608" t="s">
        <v>140</v>
      </c>
      <c r="I3608" t="s">
        <v>133</v>
      </c>
      <c r="J3608" s="89">
        <v>41357624</v>
      </c>
      <c r="K3608" t="s">
        <v>134</v>
      </c>
      <c r="L3608" t="s">
        <v>128</v>
      </c>
      <c r="N3608">
        <v>1</v>
      </c>
      <c r="O3608" s="89">
        <v>44311.74</v>
      </c>
      <c r="P3608" s="89">
        <v>797611.32</v>
      </c>
      <c r="Q3608" t="s">
        <v>142</v>
      </c>
      <c r="R3608" t="s">
        <v>131</v>
      </c>
    </row>
    <row r="3609" spans="3:18" x14ac:dyDescent="0.25">
      <c r="C3609" t="s">
        <v>47</v>
      </c>
      <c r="D3609" t="s">
        <v>25</v>
      </c>
      <c r="E3609" t="s">
        <v>44</v>
      </c>
      <c r="F3609" t="s">
        <v>41</v>
      </c>
      <c r="G3609" s="89">
        <v>53903</v>
      </c>
      <c r="H3609" t="s">
        <v>140</v>
      </c>
      <c r="I3609" t="s">
        <v>141</v>
      </c>
      <c r="J3609" s="89">
        <v>485127</v>
      </c>
      <c r="K3609" t="s">
        <v>127</v>
      </c>
      <c r="L3609" t="s">
        <v>128</v>
      </c>
      <c r="N3609">
        <v>1</v>
      </c>
      <c r="O3609" s="89">
        <v>2695.15</v>
      </c>
      <c r="P3609" s="89">
        <v>28029.56</v>
      </c>
      <c r="Q3609" t="s">
        <v>142</v>
      </c>
      <c r="R3609" t="s">
        <v>131</v>
      </c>
    </row>
    <row r="3610" spans="3:18" hidden="1" x14ac:dyDescent="0.25">
      <c r="C3610" t="s">
        <v>45</v>
      </c>
      <c r="D3610" t="s">
        <v>22</v>
      </c>
      <c r="E3610" t="s">
        <v>40</v>
      </c>
      <c r="F3610" t="s">
        <v>41</v>
      </c>
      <c r="G3610" s="89">
        <v>123626</v>
      </c>
      <c r="H3610" t="s">
        <v>42</v>
      </c>
      <c r="I3610" t="s">
        <v>133</v>
      </c>
      <c r="J3610" s="89">
        <v>2719772</v>
      </c>
      <c r="K3610" t="s">
        <v>134</v>
      </c>
      <c r="L3610" t="s">
        <v>128</v>
      </c>
      <c r="M3610" t="s">
        <v>139</v>
      </c>
      <c r="N3610">
        <v>1</v>
      </c>
      <c r="O3610" s="89">
        <v>3708.78</v>
      </c>
      <c r="P3610" s="89">
        <v>49450.400000000001</v>
      </c>
      <c r="Q3610" t="s">
        <v>130</v>
      </c>
      <c r="R3610" t="s">
        <v>42</v>
      </c>
    </row>
    <row r="3611" spans="3:18" hidden="1" x14ac:dyDescent="0.25">
      <c r="C3611" t="s">
        <v>45</v>
      </c>
      <c r="D3611" t="s">
        <v>19</v>
      </c>
      <c r="E3611" t="s">
        <v>48</v>
      </c>
      <c r="F3611" t="s">
        <v>41</v>
      </c>
      <c r="G3611" s="89">
        <v>42707</v>
      </c>
      <c r="H3611" t="s">
        <v>42</v>
      </c>
      <c r="I3611" t="s">
        <v>147</v>
      </c>
      <c r="J3611" s="89">
        <v>128121</v>
      </c>
      <c r="K3611" t="s">
        <v>127</v>
      </c>
      <c r="L3611" t="s">
        <v>128</v>
      </c>
      <c r="M3611" t="s">
        <v>136</v>
      </c>
      <c r="N3611">
        <v>1</v>
      </c>
      <c r="O3611" s="89">
        <v>427.07</v>
      </c>
      <c r="P3611" s="89">
        <v>5124.84</v>
      </c>
      <c r="Q3611" t="s">
        <v>130</v>
      </c>
      <c r="R3611" t="s">
        <v>131</v>
      </c>
    </row>
    <row r="3612" spans="3:18" hidden="1" x14ac:dyDescent="0.25">
      <c r="C3612" t="s">
        <v>45</v>
      </c>
      <c r="D3612" t="s">
        <v>19</v>
      </c>
      <c r="E3612" t="s">
        <v>43</v>
      </c>
      <c r="F3612" t="s">
        <v>41</v>
      </c>
      <c r="G3612" s="89">
        <v>242233</v>
      </c>
      <c r="H3612" t="s">
        <v>42</v>
      </c>
      <c r="I3612" t="s">
        <v>126</v>
      </c>
      <c r="J3612" s="89">
        <v>4602427</v>
      </c>
      <c r="K3612" t="s">
        <v>127</v>
      </c>
      <c r="L3612" t="s">
        <v>128</v>
      </c>
      <c r="M3612" t="s">
        <v>152</v>
      </c>
      <c r="N3612">
        <v>1</v>
      </c>
      <c r="O3612" s="89">
        <v>7266.99</v>
      </c>
      <c r="P3612" s="89">
        <v>145339.79999999999</v>
      </c>
      <c r="Q3612" t="s">
        <v>137</v>
      </c>
      <c r="R3612" t="s">
        <v>131</v>
      </c>
    </row>
    <row r="3613" spans="3:18" hidden="1" x14ac:dyDescent="0.25">
      <c r="C3613" t="s">
        <v>45</v>
      </c>
      <c r="D3613" t="s">
        <v>19</v>
      </c>
      <c r="E3613" t="s">
        <v>43</v>
      </c>
      <c r="F3613" t="s">
        <v>41</v>
      </c>
      <c r="G3613" s="89">
        <v>71244</v>
      </c>
      <c r="H3613" t="s">
        <v>42</v>
      </c>
      <c r="I3613" t="s">
        <v>126</v>
      </c>
      <c r="J3613" s="89">
        <v>1353636</v>
      </c>
      <c r="K3613" t="s">
        <v>127</v>
      </c>
      <c r="L3613" t="s">
        <v>128</v>
      </c>
      <c r="M3613" t="s">
        <v>143</v>
      </c>
      <c r="N3613">
        <v>1</v>
      </c>
      <c r="O3613" s="89">
        <v>2849.76</v>
      </c>
      <c r="P3613" s="89">
        <v>33484.68</v>
      </c>
      <c r="Q3613" t="s">
        <v>142</v>
      </c>
      <c r="R3613" t="s">
        <v>42</v>
      </c>
    </row>
    <row r="3614" spans="3:18" hidden="1" x14ac:dyDescent="0.25">
      <c r="C3614" t="s">
        <v>45</v>
      </c>
      <c r="D3614" t="s">
        <v>23</v>
      </c>
      <c r="E3614" t="s">
        <v>40</v>
      </c>
      <c r="F3614" t="s">
        <v>53</v>
      </c>
      <c r="G3614" s="89">
        <v>303671</v>
      </c>
      <c r="H3614" t="s">
        <v>145</v>
      </c>
      <c r="I3614" t="s">
        <v>133</v>
      </c>
      <c r="J3614" s="89">
        <v>8502788</v>
      </c>
      <c r="K3614" t="s">
        <v>144</v>
      </c>
      <c r="N3614">
        <v>1</v>
      </c>
      <c r="O3614" s="89">
        <v>9110.1299999999992</v>
      </c>
      <c r="P3614" s="89">
        <v>203459.57</v>
      </c>
      <c r="Q3614" t="s">
        <v>137</v>
      </c>
      <c r="R3614" t="s">
        <v>131</v>
      </c>
    </row>
    <row r="3615" spans="3:18" x14ac:dyDescent="0.25">
      <c r="C3615" t="s">
        <v>47</v>
      </c>
      <c r="D3615" t="s">
        <v>23</v>
      </c>
      <c r="E3615" t="s">
        <v>40</v>
      </c>
      <c r="F3615" t="s">
        <v>41</v>
      </c>
      <c r="G3615" s="89">
        <v>12356814</v>
      </c>
      <c r="H3615" t="s">
        <v>42</v>
      </c>
      <c r="I3615" t="s">
        <v>147</v>
      </c>
      <c r="J3615" s="89">
        <v>37070442</v>
      </c>
      <c r="K3615" t="s">
        <v>127</v>
      </c>
      <c r="L3615" t="s">
        <v>128</v>
      </c>
      <c r="M3615" t="s">
        <v>152</v>
      </c>
      <c r="N3615">
        <v>1</v>
      </c>
      <c r="O3615" s="89">
        <v>370704.42</v>
      </c>
      <c r="P3615" s="89">
        <v>3459907.92</v>
      </c>
      <c r="Q3615" t="s">
        <v>130</v>
      </c>
      <c r="R3615" t="s">
        <v>131</v>
      </c>
    </row>
    <row r="3616" spans="3:18" x14ac:dyDescent="0.25">
      <c r="C3616" t="s">
        <v>47</v>
      </c>
      <c r="D3616" t="s">
        <v>21</v>
      </c>
      <c r="E3616" t="s">
        <v>40</v>
      </c>
      <c r="F3616" t="s">
        <v>41</v>
      </c>
      <c r="G3616" s="89">
        <v>5692360</v>
      </c>
      <c r="H3616" t="s">
        <v>145</v>
      </c>
      <c r="I3616" t="s">
        <v>141</v>
      </c>
      <c r="J3616" s="89">
        <v>39846520</v>
      </c>
      <c r="K3616" t="s">
        <v>127</v>
      </c>
      <c r="L3616" t="s">
        <v>128</v>
      </c>
      <c r="N3616">
        <v>1</v>
      </c>
      <c r="O3616" s="89">
        <v>227694.4</v>
      </c>
      <c r="P3616" s="89">
        <v>2732332.8</v>
      </c>
      <c r="Q3616" t="s">
        <v>142</v>
      </c>
      <c r="R3616" t="s">
        <v>131</v>
      </c>
    </row>
    <row r="3617" spans="3:18" hidden="1" x14ac:dyDescent="0.25">
      <c r="C3617" t="s">
        <v>45</v>
      </c>
      <c r="D3617" t="s">
        <v>19</v>
      </c>
      <c r="E3617" t="s">
        <v>43</v>
      </c>
      <c r="F3617" t="s">
        <v>41</v>
      </c>
      <c r="G3617" s="89">
        <v>16972270</v>
      </c>
      <c r="H3617" t="s">
        <v>132</v>
      </c>
      <c r="I3617" t="s">
        <v>133</v>
      </c>
      <c r="J3617" s="89">
        <v>509168100</v>
      </c>
      <c r="K3617" t="s">
        <v>127</v>
      </c>
      <c r="L3617" t="s">
        <v>128</v>
      </c>
      <c r="N3617">
        <v>1</v>
      </c>
      <c r="O3617" s="89">
        <v>509168.1</v>
      </c>
      <c r="P3617" s="89">
        <v>11710866.300000001</v>
      </c>
      <c r="Q3617" t="s">
        <v>137</v>
      </c>
      <c r="R3617" t="s">
        <v>131</v>
      </c>
    </row>
    <row r="3618" spans="3:18" hidden="1" x14ac:dyDescent="0.25">
      <c r="C3618" t="s">
        <v>45</v>
      </c>
      <c r="D3618" t="s">
        <v>21</v>
      </c>
      <c r="E3618" t="s">
        <v>43</v>
      </c>
      <c r="F3618" t="s">
        <v>41</v>
      </c>
      <c r="G3618" s="89">
        <v>6641</v>
      </c>
      <c r="H3618" t="s">
        <v>42</v>
      </c>
      <c r="I3618" t="s">
        <v>141</v>
      </c>
      <c r="J3618" s="89">
        <v>59769</v>
      </c>
      <c r="K3618" t="s">
        <v>127</v>
      </c>
      <c r="L3618" t="s">
        <v>128</v>
      </c>
      <c r="M3618" t="s">
        <v>143</v>
      </c>
      <c r="N3618">
        <v>1</v>
      </c>
      <c r="O3618" s="89">
        <v>199.23</v>
      </c>
      <c r="P3618" s="89">
        <v>3453.32</v>
      </c>
      <c r="Q3618" t="s">
        <v>142</v>
      </c>
      <c r="R3618" t="s">
        <v>131</v>
      </c>
    </row>
    <row r="3619" spans="3:18" hidden="1" x14ac:dyDescent="0.25">
      <c r="C3619" t="s">
        <v>45</v>
      </c>
      <c r="D3619" t="s">
        <v>22</v>
      </c>
      <c r="E3619" t="s">
        <v>43</v>
      </c>
      <c r="F3619" t="s">
        <v>41</v>
      </c>
      <c r="G3619" s="89">
        <v>500087</v>
      </c>
      <c r="H3619" t="s">
        <v>132</v>
      </c>
      <c r="I3619" t="s">
        <v>133</v>
      </c>
      <c r="J3619" s="89">
        <v>12502175</v>
      </c>
      <c r="K3619" t="s">
        <v>144</v>
      </c>
      <c r="N3619">
        <v>1</v>
      </c>
      <c r="O3619" s="89">
        <v>15002.61</v>
      </c>
      <c r="P3619" s="89">
        <v>340059.16</v>
      </c>
      <c r="Q3619" t="s">
        <v>137</v>
      </c>
      <c r="R3619" t="s">
        <v>131</v>
      </c>
    </row>
    <row r="3620" spans="3:18" hidden="1" x14ac:dyDescent="0.25">
      <c r="C3620" t="s">
        <v>45</v>
      </c>
      <c r="D3620" t="s">
        <v>21</v>
      </c>
      <c r="E3620" t="s">
        <v>43</v>
      </c>
      <c r="F3620" t="s">
        <v>41</v>
      </c>
      <c r="G3620" s="89">
        <v>1049959</v>
      </c>
      <c r="H3620" t="s">
        <v>140</v>
      </c>
      <c r="I3620" t="s">
        <v>133</v>
      </c>
      <c r="J3620" s="89">
        <v>33598688</v>
      </c>
      <c r="K3620" t="s">
        <v>134</v>
      </c>
      <c r="L3620" t="s">
        <v>128</v>
      </c>
      <c r="N3620">
        <v>1</v>
      </c>
      <c r="O3620" s="89">
        <v>31498.77</v>
      </c>
      <c r="P3620" s="89">
        <v>1238951.6200000001</v>
      </c>
      <c r="Q3620" t="s">
        <v>150</v>
      </c>
      <c r="R3620" t="s">
        <v>131</v>
      </c>
    </row>
    <row r="3621" spans="3:18" x14ac:dyDescent="0.25">
      <c r="C3621" t="s">
        <v>47</v>
      </c>
      <c r="D3621" t="s">
        <v>23</v>
      </c>
      <c r="E3621" t="s">
        <v>40</v>
      </c>
      <c r="F3621" t="s">
        <v>41</v>
      </c>
      <c r="G3621" s="89">
        <v>97140</v>
      </c>
      <c r="H3621" t="s">
        <v>146</v>
      </c>
      <c r="I3621" t="s">
        <v>147</v>
      </c>
      <c r="J3621" s="89">
        <v>485700</v>
      </c>
      <c r="K3621" t="s">
        <v>127</v>
      </c>
      <c r="L3621" t="s">
        <v>128</v>
      </c>
      <c r="N3621">
        <v>1</v>
      </c>
      <c r="O3621" s="89">
        <v>3885.6</v>
      </c>
      <c r="P3621" s="89">
        <v>44684.4</v>
      </c>
      <c r="Q3621" t="s">
        <v>142</v>
      </c>
      <c r="R3621" t="s">
        <v>131</v>
      </c>
    </row>
    <row r="3622" spans="3:18" hidden="1" x14ac:dyDescent="0.25">
      <c r="C3622" t="s">
        <v>45</v>
      </c>
      <c r="D3622" t="s">
        <v>21</v>
      </c>
      <c r="E3622" t="s">
        <v>40</v>
      </c>
      <c r="F3622" t="s">
        <v>41</v>
      </c>
      <c r="G3622" s="89">
        <v>12162399</v>
      </c>
      <c r="H3622" t="s">
        <v>146</v>
      </c>
      <c r="I3622" t="s">
        <v>133</v>
      </c>
      <c r="J3622" s="89">
        <v>291897576</v>
      </c>
      <c r="K3622" t="s">
        <v>127</v>
      </c>
      <c r="L3622" t="s">
        <v>128</v>
      </c>
      <c r="N3622">
        <v>1</v>
      </c>
      <c r="O3622" s="89">
        <v>364871.97</v>
      </c>
      <c r="P3622" s="89">
        <v>6202823.4900000002</v>
      </c>
      <c r="Q3622" t="s">
        <v>142</v>
      </c>
      <c r="R3622" t="s">
        <v>131</v>
      </c>
    </row>
    <row r="3623" spans="3:18" hidden="1" x14ac:dyDescent="0.25">
      <c r="C3623" t="s">
        <v>45</v>
      </c>
      <c r="D3623" t="s">
        <v>19</v>
      </c>
      <c r="E3623" t="s">
        <v>43</v>
      </c>
      <c r="F3623" t="s">
        <v>41</v>
      </c>
      <c r="G3623" s="89">
        <v>372458</v>
      </c>
      <c r="H3623" t="s">
        <v>42</v>
      </c>
      <c r="I3623" t="s">
        <v>141</v>
      </c>
      <c r="J3623" s="89">
        <v>3724580</v>
      </c>
      <c r="K3623" t="s">
        <v>134</v>
      </c>
      <c r="N3623">
        <v>1</v>
      </c>
      <c r="O3623" s="89">
        <v>11173.74</v>
      </c>
      <c r="P3623" s="89">
        <v>104288.24</v>
      </c>
      <c r="Q3623" t="s">
        <v>130</v>
      </c>
      <c r="R3623" t="s">
        <v>42</v>
      </c>
    </row>
    <row r="3624" spans="3:18" hidden="1" x14ac:dyDescent="0.25">
      <c r="C3624" t="s">
        <v>45</v>
      </c>
      <c r="D3624" t="s">
        <v>23</v>
      </c>
      <c r="E3624" t="s">
        <v>48</v>
      </c>
      <c r="F3624" t="s">
        <v>41</v>
      </c>
      <c r="G3624" s="89">
        <v>1714574</v>
      </c>
      <c r="H3624" t="s">
        <v>132</v>
      </c>
      <c r="I3624" t="s">
        <v>133</v>
      </c>
      <c r="J3624" s="89">
        <v>51437220</v>
      </c>
      <c r="K3624" t="s">
        <v>127</v>
      </c>
      <c r="L3624" t="s">
        <v>128</v>
      </c>
      <c r="N3624">
        <v>1</v>
      </c>
      <c r="O3624" s="89">
        <v>51437.22</v>
      </c>
      <c r="P3624" s="89">
        <v>1457387.9</v>
      </c>
      <c r="Q3624" t="s">
        <v>135</v>
      </c>
      <c r="R3624" t="s">
        <v>131</v>
      </c>
    </row>
    <row r="3625" spans="3:18" hidden="1" x14ac:dyDescent="0.25">
      <c r="C3625" t="s">
        <v>45</v>
      </c>
      <c r="D3625" t="s">
        <v>21</v>
      </c>
      <c r="E3625" t="s">
        <v>43</v>
      </c>
      <c r="F3625" t="s">
        <v>41</v>
      </c>
      <c r="G3625" s="89">
        <v>21654690</v>
      </c>
      <c r="H3625" t="s">
        <v>42</v>
      </c>
      <c r="I3625" t="s">
        <v>141</v>
      </c>
      <c r="J3625" s="89">
        <v>151582830</v>
      </c>
      <c r="K3625" t="s">
        <v>127</v>
      </c>
      <c r="L3625" t="s">
        <v>128</v>
      </c>
      <c r="M3625" t="s">
        <v>129</v>
      </c>
      <c r="N3625">
        <v>1</v>
      </c>
      <c r="O3625" s="89">
        <v>649640.69999999995</v>
      </c>
      <c r="P3625" s="89">
        <v>4980578.7</v>
      </c>
      <c r="Q3625" t="s">
        <v>130</v>
      </c>
      <c r="R3625" t="s">
        <v>131</v>
      </c>
    </row>
    <row r="3626" spans="3:18" hidden="1" x14ac:dyDescent="0.25">
      <c r="C3626" t="s">
        <v>45</v>
      </c>
      <c r="D3626" t="s">
        <v>20</v>
      </c>
      <c r="E3626" t="s">
        <v>43</v>
      </c>
      <c r="F3626" t="s">
        <v>41</v>
      </c>
      <c r="G3626" s="89">
        <v>649948</v>
      </c>
      <c r="H3626" t="s">
        <v>140</v>
      </c>
      <c r="I3626" t="s">
        <v>133</v>
      </c>
      <c r="J3626" s="89">
        <v>24048076</v>
      </c>
      <c r="K3626" t="s">
        <v>144</v>
      </c>
      <c r="N3626">
        <v>1</v>
      </c>
      <c r="O3626" s="89">
        <v>19498.439999999999</v>
      </c>
      <c r="P3626" s="89">
        <v>558955.28</v>
      </c>
      <c r="Q3626" t="s">
        <v>135</v>
      </c>
      <c r="R3626" t="s">
        <v>131</v>
      </c>
    </row>
    <row r="3627" spans="3:18" hidden="1" x14ac:dyDescent="0.25">
      <c r="C3627" t="s">
        <v>45</v>
      </c>
      <c r="D3627" t="s">
        <v>23</v>
      </c>
      <c r="E3627" t="s">
        <v>48</v>
      </c>
      <c r="F3627" t="s">
        <v>41</v>
      </c>
      <c r="G3627" s="89">
        <v>151875</v>
      </c>
      <c r="H3627" t="s">
        <v>42</v>
      </c>
      <c r="I3627" t="s">
        <v>133</v>
      </c>
      <c r="J3627" s="89">
        <v>3645000</v>
      </c>
      <c r="K3627" t="s">
        <v>127</v>
      </c>
      <c r="L3627" t="s">
        <v>128</v>
      </c>
      <c r="M3627" t="s">
        <v>148</v>
      </c>
      <c r="N3627">
        <v>1</v>
      </c>
      <c r="O3627" s="89">
        <v>4556.25</v>
      </c>
      <c r="P3627" s="89">
        <v>56193.75</v>
      </c>
      <c r="Q3627" t="s">
        <v>130</v>
      </c>
      <c r="R3627" t="s">
        <v>42</v>
      </c>
    </row>
    <row r="3628" spans="3:18" hidden="1" x14ac:dyDescent="0.25">
      <c r="C3628" t="s">
        <v>45</v>
      </c>
      <c r="D3628" t="s">
        <v>23</v>
      </c>
      <c r="E3628" t="s">
        <v>40</v>
      </c>
      <c r="F3628" t="s">
        <v>41</v>
      </c>
      <c r="G3628" s="89">
        <v>482319922</v>
      </c>
      <c r="H3628" t="s">
        <v>42</v>
      </c>
      <c r="I3628" t="s">
        <v>133</v>
      </c>
      <c r="J3628" s="89">
        <v>14951917582</v>
      </c>
      <c r="K3628" t="s">
        <v>127</v>
      </c>
      <c r="L3628" t="s">
        <v>128</v>
      </c>
      <c r="M3628" t="s">
        <v>152</v>
      </c>
      <c r="N3628">
        <v>1</v>
      </c>
      <c r="O3628" s="89">
        <v>14469597.66</v>
      </c>
      <c r="P3628" s="89">
        <v>342447144.62</v>
      </c>
      <c r="Q3628" t="s">
        <v>137</v>
      </c>
      <c r="R3628" t="s">
        <v>131</v>
      </c>
    </row>
    <row r="3629" spans="3:18" hidden="1" x14ac:dyDescent="0.25">
      <c r="C3629" t="s">
        <v>45</v>
      </c>
      <c r="D3629" t="s">
        <v>138</v>
      </c>
      <c r="E3629" t="s">
        <v>48</v>
      </c>
      <c r="F3629" t="s">
        <v>41</v>
      </c>
      <c r="G3629" s="89">
        <v>333825</v>
      </c>
      <c r="H3629" t="s">
        <v>42</v>
      </c>
      <c r="I3629" t="s">
        <v>133</v>
      </c>
      <c r="J3629" s="89">
        <v>8345625</v>
      </c>
      <c r="K3629" t="s">
        <v>144</v>
      </c>
      <c r="N3629">
        <v>1</v>
      </c>
      <c r="O3629" s="89">
        <v>10014.75</v>
      </c>
      <c r="P3629" s="89">
        <v>173589</v>
      </c>
      <c r="Q3629" t="s">
        <v>142</v>
      </c>
      <c r="R3629" t="s">
        <v>42</v>
      </c>
    </row>
    <row r="3630" spans="3:18" hidden="1" x14ac:dyDescent="0.25">
      <c r="C3630" t="s">
        <v>45</v>
      </c>
      <c r="D3630" t="s">
        <v>20</v>
      </c>
      <c r="E3630" t="s">
        <v>43</v>
      </c>
      <c r="F3630" t="s">
        <v>41</v>
      </c>
      <c r="G3630" s="89">
        <v>732207</v>
      </c>
      <c r="H3630" t="s">
        <v>42</v>
      </c>
      <c r="I3630" t="s">
        <v>126</v>
      </c>
      <c r="J3630" s="89">
        <v>13179726</v>
      </c>
      <c r="K3630" t="s">
        <v>144</v>
      </c>
      <c r="N3630">
        <v>1</v>
      </c>
      <c r="O3630" s="89">
        <v>21966.21</v>
      </c>
      <c r="P3630" s="89">
        <v>607731.81000000006</v>
      </c>
      <c r="Q3630" t="s">
        <v>135</v>
      </c>
      <c r="R3630" t="s">
        <v>42</v>
      </c>
    </row>
    <row r="3631" spans="3:18" hidden="1" x14ac:dyDescent="0.25">
      <c r="C3631" t="s">
        <v>45</v>
      </c>
      <c r="D3631" t="s">
        <v>19</v>
      </c>
      <c r="E3631" t="s">
        <v>43</v>
      </c>
      <c r="F3631" t="s">
        <v>41</v>
      </c>
      <c r="G3631" s="89">
        <v>562293</v>
      </c>
      <c r="H3631" t="s">
        <v>42</v>
      </c>
      <c r="I3631" t="s">
        <v>133</v>
      </c>
      <c r="J3631" s="89">
        <v>15744204</v>
      </c>
      <c r="K3631" t="s">
        <v>127</v>
      </c>
      <c r="L3631" t="s">
        <v>128</v>
      </c>
      <c r="M3631" t="s">
        <v>129</v>
      </c>
      <c r="N3631">
        <v>1</v>
      </c>
      <c r="O3631" s="89">
        <v>16868.79</v>
      </c>
      <c r="P3631" s="89">
        <v>298015.28999999998</v>
      </c>
      <c r="Q3631" t="s">
        <v>142</v>
      </c>
      <c r="R3631" t="s">
        <v>131</v>
      </c>
    </row>
    <row r="3632" spans="3:18" x14ac:dyDescent="0.25">
      <c r="C3632" t="s">
        <v>47</v>
      </c>
      <c r="D3632" t="s">
        <v>21</v>
      </c>
      <c r="E3632" t="s">
        <v>40</v>
      </c>
      <c r="F3632" t="s">
        <v>41</v>
      </c>
      <c r="G3632" s="89">
        <v>75500</v>
      </c>
      <c r="H3632" t="s">
        <v>140</v>
      </c>
      <c r="I3632" t="s">
        <v>153</v>
      </c>
      <c r="J3632" s="89"/>
      <c r="K3632" t="s">
        <v>127</v>
      </c>
      <c r="L3632" t="s">
        <v>128</v>
      </c>
      <c r="N3632">
        <v>0</v>
      </c>
      <c r="O3632" s="89">
        <v>3775</v>
      </c>
      <c r="P3632" s="89">
        <v>89090</v>
      </c>
      <c r="Q3632" t="s">
        <v>150</v>
      </c>
      <c r="R3632" t="s">
        <v>131</v>
      </c>
    </row>
    <row r="3633" spans="3:18" hidden="1" x14ac:dyDescent="0.25">
      <c r="C3633" t="s">
        <v>45</v>
      </c>
      <c r="D3633" t="s">
        <v>21</v>
      </c>
      <c r="E3633" t="s">
        <v>43</v>
      </c>
      <c r="F3633" t="s">
        <v>41</v>
      </c>
      <c r="G3633" s="89">
        <v>2523882</v>
      </c>
      <c r="H3633" t="s">
        <v>146</v>
      </c>
      <c r="I3633" t="s">
        <v>133</v>
      </c>
      <c r="J3633" s="89">
        <v>75716460</v>
      </c>
      <c r="K3633" t="s">
        <v>144</v>
      </c>
      <c r="N3633">
        <v>1</v>
      </c>
      <c r="O3633" s="89">
        <v>75716.460000000006</v>
      </c>
      <c r="P3633" s="89">
        <v>2094822.06</v>
      </c>
      <c r="Q3633" t="s">
        <v>135</v>
      </c>
      <c r="R3633" t="s">
        <v>131</v>
      </c>
    </row>
    <row r="3634" spans="3:18" x14ac:dyDescent="0.25">
      <c r="C3634" t="s">
        <v>47</v>
      </c>
      <c r="D3634" t="s">
        <v>138</v>
      </c>
      <c r="E3634" t="s">
        <v>40</v>
      </c>
      <c r="F3634" t="s">
        <v>41</v>
      </c>
      <c r="G3634" s="89">
        <v>17033</v>
      </c>
      <c r="H3634" t="s">
        <v>145</v>
      </c>
      <c r="I3634" t="s">
        <v>126</v>
      </c>
      <c r="J3634" s="89">
        <v>187363</v>
      </c>
      <c r="K3634" t="s">
        <v>144</v>
      </c>
      <c r="N3634">
        <v>1</v>
      </c>
      <c r="O3634" s="89">
        <v>851.65</v>
      </c>
      <c r="P3634" s="89">
        <v>9027.49</v>
      </c>
      <c r="Q3634" t="s">
        <v>142</v>
      </c>
      <c r="R3634" t="s">
        <v>131</v>
      </c>
    </row>
    <row r="3635" spans="3:18" hidden="1" x14ac:dyDescent="0.25">
      <c r="C3635" t="s">
        <v>45</v>
      </c>
      <c r="D3635" t="s">
        <v>23</v>
      </c>
      <c r="E3635" t="s">
        <v>44</v>
      </c>
      <c r="F3635" t="s">
        <v>41</v>
      </c>
      <c r="G3635" s="89">
        <v>97105</v>
      </c>
      <c r="H3635" t="s">
        <v>42</v>
      </c>
      <c r="I3635" t="s">
        <v>133</v>
      </c>
      <c r="J3635" s="89">
        <v>2233415</v>
      </c>
      <c r="K3635" t="s">
        <v>127</v>
      </c>
      <c r="L3635" t="s">
        <v>128</v>
      </c>
      <c r="M3635" t="s">
        <v>143</v>
      </c>
      <c r="N3635">
        <v>1</v>
      </c>
      <c r="O3635" s="89">
        <v>3884.2</v>
      </c>
      <c r="P3635" s="89">
        <v>58263</v>
      </c>
      <c r="Q3635" t="s">
        <v>142</v>
      </c>
      <c r="R3635" t="s">
        <v>42</v>
      </c>
    </row>
    <row r="3636" spans="3:18" hidden="1" x14ac:dyDescent="0.25">
      <c r="C3636" t="s">
        <v>45</v>
      </c>
      <c r="D3636" t="s">
        <v>22</v>
      </c>
      <c r="E3636" t="s">
        <v>43</v>
      </c>
      <c r="F3636" t="s">
        <v>41</v>
      </c>
      <c r="G3636" s="89">
        <v>54917</v>
      </c>
      <c r="H3636" t="s">
        <v>132</v>
      </c>
      <c r="I3636" t="s">
        <v>133</v>
      </c>
      <c r="J3636" s="89">
        <v>1153257</v>
      </c>
      <c r="K3636" t="s">
        <v>127</v>
      </c>
      <c r="L3636" t="s">
        <v>151</v>
      </c>
      <c r="N3636">
        <v>1</v>
      </c>
      <c r="O3636" s="89">
        <v>1647.51</v>
      </c>
      <c r="P3636" s="89">
        <v>22515.97</v>
      </c>
      <c r="Q3636" t="s">
        <v>142</v>
      </c>
      <c r="R3636" t="s">
        <v>131</v>
      </c>
    </row>
    <row r="3637" spans="3:18" hidden="1" x14ac:dyDescent="0.25">
      <c r="C3637" t="s">
        <v>45</v>
      </c>
      <c r="D3637" t="s">
        <v>22</v>
      </c>
      <c r="E3637" t="s">
        <v>40</v>
      </c>
      <c r="F3637" t="s">
        <v>53</v>
      </c>
      <c r="G3637" s="89">
        <v>335261</v>
      </c>
      <c r="H3637" t="s">
        <v>140</v>
      </c>
      <c r="I3637" t="s">
        <v>141</v>
      </c>
      <c r="J3637" s="89">
        <v>3352610</v>
      </c>
      <c r="K3637" t="s">
        <v>144</v>
      </c>
      <c r="N3637">
        <v>1</v>
      </c>
      <c r="O3637" s="89">
        <v>10057.83</v>
      </c>
      <c r="P3637" s="89">
        <v>231330.09</v>
      </c>
      <c r="Q3637" t="s">
        <v>137</v>
      </c>
      <c r="R3637" t="s">
        <v>131</v>
      </c>
    </row>
    <row r="3638" spans="3:18" hidden="1" x14ac:dyDescent="0.25">
      <c r="C3638" t="s">
        <v>45</v>
      </c>
      <c r="D3638" t="s">
        <v>149</v>
      </c>
      <c r="E3638" t="s">
        <v>43</v>
      </c>
      <c r="F3638" t="s">
        <v>53</v>
      </c>
      <c r="G3638" s="89">
        <v>286898</v>
      </c>
      <c r="H3638" t="s">
        <v>42</v>
      </c>
      <c r="I3638" t="s">
        <v>126</v>
      </c>
      <c r="J3638" s="89">
        <v>2868980</v>
      </c>
      <c r="K3638" t="s">
        <v>144</v>
      </c>
      <c r="N3638">
        <v>1</v>
      </c>
      <c r="O3638" s="89">
        <v>8606.94</v>
      </c>
      <c r="P3638" s="89">
        <v>220911.46</v>
      </c>
      <c r="Q3638" t="s">
        <v>137</v>
      </c>
      <c r="R3638" t="s">
        <v>131</v>
      </c>
    </row>
    <row r="3639" spans="3:18" hidden="1" x14ac:dyDescent="0.25">
      <c r="C3639" t="s">
        <v>45</v>
      </c>
      <c r="D3639" t="s">
        <v>24</v>
      </c>
      <c r="E3639" t="s">
        <v>48</v>
      </c>
      <c r="F3639" t="s">
        <v>41</v>
      </c>
      <c r="G3639" s="89">
        <v>3333289</v>
      </c>
      <c r="H3639" t="s">
        <v>132</v>
      </c>
      <c r="I3639" t="s">
        <v>126</v>
      </c>
      <c r="J3639" s="89">
        <v>56665913</v>
      </c>
      <c r="K3639" t="s">
        <v>127</v>
      </c>
      <c r="L3639" t="s">
        <v>128</v>
      </c>
      <c r="N3639">
        <v>1</v>
      </c>
      <c r="O3639" s="89">
        <v>99998.67</v>
      </c>
      <c r="P3639" s="89">
        <v>1699977.39</v>
      </c>
      <c r="Q3639" t="s">
        <v>142</v>
      </c>
      <c r="R3639" t="s">
        <v>131</v>
      </c>
    </row>
    <row r="3640" spans="3:18" hidden="1" x14ac:dyDescent="0.25">
      <c r="C3640" t="s">
        <v>45</v>
      </c>
      <c r="D3640" t="s">
        <v>23</v>
      </c>
      <c r="E3640" t="s">
        <v>40</v>
      </c>
      <c r="F3640" t="s">
        <v>41</v>
      </c>
      <c r="G3640" s="89">
        <v>611032</v>
      </c>
      <c r="H3640" t="s">
        <v>145</v>
      </c>
      <c r="I3640" t="s">
        <v>126</v>
      </c>
      <c r="J3640" s="89">
        <v>9165480</v>
      </c>
      <c r="K3640" t="s">
        <v>144</v>
      </c>
      <c r="N3640">
        <v>1</v>
      </c>
      <c r="O3640" s="89">
        <v>18330.96</v>
      </c>
      <c r="P3640" s="89">
        <v>287185.03999999998</v>
      </c>
      <c r="Q3640" t="s">
        <v>142</v>
      </c>
      <c r="R3640" t="s">
        <v>131</v>
      </c>
    </row>
    <row r="3641" spans="3:18" hidden="1" x14ac:dyDescent="0.25">
      <c r="C3641" t="s">
        <v>45</v>
      </c>
      <c r="D3641" t="s">
        <v>22</v>
      </c>
      <c r="E3641" t="s">
        <v>40</v>
      </c>
      <c r="F3641" t="s">
        <v>41</v>
      </c>
      <c r="G3641" s="89">
        <v>33901</v>
      </c>
      <c r="H3641" t="s">
        <v>42</v>
      </c>
      <c r="I3641" t="s">
        <v>141</v>
      </c>
      <c r="J3641" s="89">
        <v>237307</v>
      </c>
      <c r="K3641" t="s">
        <v>127</v>
      </c>
      <c r="L3641" t="s">
        <v>128</v>
      </c>
      <c r="M3641" t="s">
        <v>129</v>
      </c>
      <c r="N3641">
        <v>1</v>
      </c>
      <c r="O3641" s="89">
        <v>1017.03</v>
      </c>
      <c r="P3641" s="89">
        <v>11526.34</v>
      </c>
      <c r="Q3641" t="s">
        <v>130</v>
      </c>
      <c r="R3641" t="s">
        <v>42</v>
      </c>
    </row>
    <row r="3642" spans="3:18" hidden="1" x14ac:dyDescent="0.25">
      <c r="C3642" t="s">
        <v>45</v>
      </c>
      <c r="D3642" t="s">
        <v>24</v>
      </c>
      <c r="E3642" t="s">
        <v>48</v>
      </c>
      <c r="F3642" t="s">
        <v>41</v>
      </c>
      <c r="G3642" s="89">
        <v>67887274</v>
      </c>
      <c r="H3642" t="s">
        <v>42</v>
      </c>
      <c r="I3642" t="s">
        <v>133</v>
      </c>
      <c r="J3642" s="89">
        <v>2036618220</v>
      </c>
      <c r="K3642" t="s">
        <v>127</v>
      </c>
      <c r="L3642" t="s">
        <v>128</v>
      </c>
      <c r="M3642" t="s">
        <v>148</v>
      </c>
      <c r="N3642">
        <v>1</v>
      </c>
      <c r="O3642" s="89">
        <v>2036618.22</v>
      </c>
      <c r="P3642" s="89">
        <v>34622509.740000002</v>
      </c>
      <c r="Q3642" t="s">
        <v>142</v>
      </c>
      <c r="R3642" t="s">
        <v>131</v>
      </c>
    </row>
    <row r="3643" spans="3:18" hidden="1" x14ac:dyDescent="0.25">
      <c r="C3643" t="s">
        <v>45</v>
      </c>
      <c r="D3643" t="s">
        <v>21</v>
      </c>
      <c r="E3643" t="s">
        <v>43</v>
      </c>
      <c r="F3643" t="s">
        <v>41</v>
      </c>
      <c r="G3643" s="89">
        <v>364370</v>
      </c>
      <c r="H3643" t="s">
        <v>132</v>
      </c>
      <c r="I3643" t="s">
        <v>133</v>
      </c>
      <c r="J3643" s="89">
        <v>9837990</v>
      </c>
      <c r="K3643" t="s">
        <v>127</v>
      </c>
      <c r="L3643" t="s">
        <v>151</v>
      </c>
      <c r="N3643">
        <v>1</v>
      </c>
      <c r="O3643" s="89">
        <v>10931.1</v>
      </c>
      <c r="P3643" s="89">
        <v>102023.6</v>
      </c>
      <c r="Q3643" t="s">
        <v>130</v>
      </c>
      <c r="R3643" t="s">
        <v>131</v>
      </c>
    </row>
    <row r="3644" spans="3:18" hidden="1" x14ac:dyDescent="0.25">
      <c r="C3644" t="s">
        <v>45</v>
      </c>
      <c r="D3644" t="s">
        <v>23</v>
      </c>
      <c r="E3644" t="s">
        <v>43</v>
      </c>
      <c r="F3644" t="s">
        <v>41</v>
      </c>
      <c r="G3644" s="89">
        <v>3453177</v>
      </c>
      <c r="H3644" t="s">
        <v>146</v>
      </c>
      <c r="I3644" t="s">
        <v>133</v>
      </c>
      <c r="J3644" s="89">
        <v>93235779</v>
      </c>
      <c r="K3644" t="s">
        <v>127</v>
      </c>
      <c r="L3644" t="s">
        <v>128</v>
      </c>
      <c r="N3644">
        <v>1</v>
      </c>
      <c r="O3644" s="89">
        <v>103595.31</v>
      </c>
      <c r="P3644" s="89">
        <v>1692056.73</v>
      </c>
      <c r="Q3644" t="s">
        <v>142</v>
      </c>
      <c r="R3644" t="s">
        <v>131</v>
      </c>
    </row>
    <row r="3645" spans="3:18" x14ac:dyDescent="0.25">
      <c r="C3645" t="s">
        <v>47</v>
      </c>
      <c r="D3645" t="s">
        <v>20</v>
      </c>
      <c r="E3645" t="s">
        <v>48</v>
      </c>
      <c r="F3645" t="s">
        <v>41</v>
      </c>
      <c r="G3645" s="89">
        <v>27086</v>
      </c>
      <c r="H3645" t="s">
        <v>140</v>
      </c>
      <c r="I3645" t="s">
        <v>126</v>
      </c>
      <c r="J3645" s="89">
        <v>270860</v>
      </c>
      <c r="K3645" t="s">
        <v>127</v>
      </c>
      <c r="L3645" t="s">
        <v>128</v>
      </c>
      <c r="N3645">
        <v>1</v>
      </c>
      <c r="O3645" s="89">
        <v>1083.44</v>
      </c>
      <c r="P3645" s="89">
        <v>18418.48</v>
      </c>
      <c r="Q3645" t="s">
        <v>137</v>
      </c>
      <c r="R3645" t="s">
        <v>131</v>
      </c>
    </row>
    <row r="3646" spans="3:18" x14ac:dyDescent="0.25">
      <c r="C3646" t="s">
        <v>47</v>
      </c>
      <c r="D3646" t="s">
        <v>20</v>
      </c>
      <c r="E3646" t="s">
        <v>43</v>
      </c>
      <c r="F3646" t="s">
        <v>41</v>
      </c>
      <c r="G3646" s="89">
        <v>140000</v>
      </c>
      <c r="H3646" t="s">
        <v>140</v>
      </c>
      <c r="I3646" t="s">
        <v>141</v>
      </c>
      <c r="J3646" s="89">
        <v>1260000</v>
      </c>
      <c r="K3646" t="s">
        <v>127</v>
      </c>
      <c r="L3646" t="s">
        <v>128</v>
      </c>
      <c r="N3646">
        <v>1</v>
      </c>
      <c r="O3646" s="89">
        <v>4200</v>
      </c>
      <c r="P3646" s="89">
        <v>177800</v>
      </c>
      <c r="Q3646" t="s">
        <v>150</v>
      </c>
      <c r="R3646" t="s">
        <v>131</v>
      </c>
    </row>
    <row r="3647" spans="3:18" hidden="1" x14ac:dyDescent="0.25">
      <c r="C3647" t="s">
        <v>45</v>
      </c>
      <c r="D3647" t="s">
        <v>20</v>
      </c>
      <c r="E3647" t="s">
        <v>40</v>
      </c>
      <c r="F3647" t="s">
        <v>41</v>
      </c>
      <c r="G3647" s="89">
        <v>86679</v>
      </c>
      <c r="H3647" t="s">
        <v>42</v>
      </c>
      <c r="I3647" t="s">
        <v>141</v>
      </c>
      <c r="J3647" s="89">
        <v>520074</v>
      </c>
      <c r="K3647" t="s">
        <v>127</v>
      </c>
      <c r="L3647" t="s">
        <v>128</v>
      </c>
      <c r="M3647" t="s">
        <v>139</v>
      </c>
      <c r="N3647">
        <v>1</v>
      </c>
      <c r="O3647" s="89">
        <v>3467.16</v>
      </c>
      <c r="P3647" s="89">
        <v>39005.550000000003</v>
      </c>
      <c r="Q3647" t="s">
        <v>142</v>
      </c>
      <c r="R3647" t="s">
        <v>42</v>
      </c>
    </row>
    <row r="3648" spans="3:18" hidden="1" x14ac:dyDescent="0.25">
      <c r="C3648" t="s">
        <v>45</v>
      </c>
      <c r="D3648" t="s">
        <v>23</v>
      </c>
      <c r="E3648" t="s">
        <v>48</v>
      </c>
      <c r="F3648" t="s">
        <v>41</v>
      </c>
      <c r="G3648" s="89">
        <v>120314</v>
      </c>
      <c r="H3648" t="s">
        <v>42</v>
      </c>
      <c r="I3648" t="s">
        <v>133</v>
      </c>
      <c r="J3648" s="89">
        <v>3609420</v>
      </c>
      <c r="K3648" t="s">
        <v>127</v>
      </c>
      <c r="L3648" t="s">
        <v>128</v>
      </c>
      <c r="M3648" t="s">
        <v>148</v>
      </c>
      <c r="N3648">
        <v>1</v>
      </c>
      <c r="O3648" s="89">
        <v>3609.42</v>
      </c>
      <c r="P3648" s="89">
        <v>64969.56</v>
      </c>
      <c r="Q3648" t="s">
        <v>142</v>
      </c>
      <c r="R3648" t="s">
        <v>131</v>
      </c>
    </row>
    <row r="3649" spans="3:18" hidden="1" x14ac:dyDescent="0.25">
      <c r="C3649" t="s">
        <v>45</v>
      </c>
      <c r="D3649" t="s">
        <v>149</v>
      </c>
      <c r="E3649" t="s">
        <v>43</v>
      </c>
      <c r="F3649" t="s">
        <v>41</v>
      </c>
      <c r="G3649" s="89">
        <v>43669</v>
      </c>
      <c r="H3649" t="s">
        <v>140</v>
      </c>
      <c r="I3649" t="s">
        <v>126</v>
      </c>
      <c r="J3649" s="89">
        <v>742373</v>
      </c>
      <c r="K3649" t="s">
        <v>127</v>
      </c>
      <c r="L3649" t="s">
        <v>128</v>
      </c>
      <c r="N3649">
        <v>1</v>
      </c>
      <c r="O3649" s="89">
        <v>1746.76</v>
      </c>
      <c r="P3649" s="89">
        <v>65503.5</v>
      </c>
      <c r="Q3649" t="s">
        <v>150</v>
      </c>
      <c r="R3649" t="s">
        <v>131</v>
      </c>
    </row>
    <row r="3650" spans="3:18" hidden="1" x14ac:dyDescent="0.25">
      <c r="C3650" t="s">
        <v>45</v>
      </c>
      <c r="D3650" t="s">
        <v>23</v>
      </c>
      <c r="E3650" t="s">
        <v>48</v>
      </c>
      <c r="F3650" t="s">
        <v>41</v>
      </c>
      <c r="G3650" s="89">
        <v>1030776</v>
      </c>
      <c r="H3650" t="s">
        <v>146</v>
      </c>
      <c r="I3650" t="s">
        <v>141</v>
      </c>
      <c r="J3650" s="89">
        <v>9276984</v>
      </c>
      <c r="K3650" t="s">
        <v>127</v>
      </c>
      <c r="L3650" t="s">
        <v>128</v>
      </c>
      <c r="N3650">
        <v>1</v>
      </c>
      <c r="O3650" s="89">
        <v>41231.040000000001</v>
      </c>
      <c r="P3650" s="89">
        <v>505080.24</v>
      </c>
      <c r="Q3650" t="s">
        <v>142</v>
      </c>
      <c r="R3650" t="s">
        <v>131</v>
      </c>
    </row>
    <row r="3651" spans="3:18" hidden="1" x14ac:dyDescent="0.25">
      <c r="C3651" t="s">
        <v>45</v>
      </c>
      <c r="D3651" t="s">
        <v>23</v>
      </c>
      <c r="E3651" t="s">
        <v>40</v>
      </c>
      <c r="F3651" t="s">
        <v>41</v>
      </c>
      <c r="G3651" s="89">
        <v>30224</v>
      </c>
      <c r="H3651" t="s">
        <v>42</v>
      </c>
      <c r="I3651" t="s">
        <v>141</v>
      </c>
      <c r="J3651" s="89">
        <v>241792</v>
      </c>
      <c r="K3651" t="s">
        <v>144</v>
      </c>
      <c r="N3651">
        <v>1</v>
      </c>
      <c r="O3651" s="89">
        <v>906.72</v>
      </c>
      <c r="P3651" s="89">
        <v>6044.8</v>
      </c>
      <c r="Q3651" t="s">
        <v>130</v>
      </c>
      <c r="R3651" t="s">
        <v>42</v>
      </c>
    </row>
    <row r="3652" spans="3:18" x14ac:dyDescent="0.25">
      <c r="C3652" t="s">
        <v>47</v>
      </c>
      <c r="D3652" t="s">
        <v>21</v>
      </c>
      <c r="E3652" t="s">
        <v>40</v>
      </c>
      <c r="F3652" t="s">
        <v>41</v>
      </c>
      <c r="G3652" s="89">
        <v>1104501</v>
      </c>
      <c r="H3652" t="s">
        <v>140</v>
      </c>
      <c r="I3652" t="s">
        <v>141</v>
      </c>
      <c r="J3652" s="89">
        <v>9940509</v>
      </c>
      <c r="K3652" t="s">
        <v>127</v>
      </c>
      <c r="L3652" t="s">
        <v>128</v>
      </c>
      <c r="N3652">
        <v>1</v>
      </c>
      <c r="O3652" s="89">
        <v>44180.04</v>
      </c>
      <c r="P3652" s="89">
        <v>949870.86</v>
      </c>
      <c r="Q3652" t="s">
        <v>135</v>
      </c>
      <c r="R3652" t="s">
        <v>131</v>
      </c>
    </row>
    <row r="3653" spans="3:18" hidden="1" x14ac:dyDescent="0.25">
      <c r="C3653" t="s">
        <v>45</v>
      </c>
      <c r="D3653" t="s">
        <v>23</v>
      </c>
      <c r="E3653" t="s">
        <v>46</v>
      </c>
      <c r="F3653" t="s">
        <v>53</v>
      </c>
      <c r="G3653" s="89">
        <v>470014</v>
      </c>
      <c r="H3653" t="s">
        <v>42</v>
      </c>
      <c r="I3653" t="s">
        <v>133</v>
      </c>
      <c r="J3653" s="89">
        <v>14570434</v>
      </c>
      <c r="K3653" t="s">
        <v>144</v>
      </c>
      <c r="N3653">
        <v>1</v>
      </c>
      <c r="O3653" s="89">
        <v>14100.42</v>
      </c>
      <c r="P3653" s="89">
        <v>394811.76</v>
      </c>
      <c r="Q3653" t="s">
        <v>135</v>
      </c>
      <c r="R3653" t="s">
        <v>42</v>
      </c>
    </row>
    <row r="3654" spans="3:18" hidden="1" x14ac:dyDescent="0.25">
      <c r="C3654" t="s">
        <v>45</v>
      </c>
      <c r="D3654" t="s">
        <v>20</v>
      </c>
      <c r="E3654" t="s">
        <v>43</v>
      </c>
      <c r="F3654" t="s">
        <v>53</v>
      </c>
      <c r="G3654" s="89">
        <v>1525437</v>
      </c>
      <c r="H3654" t="s">
        <v>42</v>
      </c>
      <c r="I3654" t="s">
        <v>133</v>
      </c>
      <c r="J3654" s="89">
        <v>47288547</v>
      </c>
      <c r="K3654" t="s">
        <v>144</v>
      </c>
      <c r="N3654">
        <v>1</v>
      </c>
      <c r="O3654" s="89">
        <v>45763.11</v>
      </c>
      <c r="P3654" s="89">
        <v>793227.24</v>
      </c>
      <c r="Q3654" t="s">
        <v>142</v>
      </c>
      <c r="R3654" t="s">
        <v>42</v>
      </c>
    </row>
    <row r="3655" spans="3:18" hidden="1" x14ac:dyDescent="0.25">
      <c r="C3655" t="s">
        <v>45</v>
      </c>
      <c r="D3655" t="s">
        <v>23</v>
      </c>
      <c r="E3655" t="s">
        <v>40</v>
      </c>
      <c r="F3655" t="s">
        <v>41</v>
      </c>
      <c r="G3655" s="89">
        <v>137369</v>
      </c>
      <c r="H3655" t="s">
        <v>42</v>
      </c>
      <c r="I3655" t="s">
        <v>126</v>
      </c>
      <c r="J3655" s="89">
        <v>2060535</v>
      </c>
      <c r="K3655" t="s">
        <v>127</v>
      </c>
      <c r="L3655" t="s">
        <v>128</v>
      </c>
      <c r="M3655" t="s">
        <v>129</v>
      </c>
      <c r="N3655">
        <v>1</v>
      </c>
      <c r="O3655" s="89">
        <v>4121.07</v>
      </c>
      <c r="P3655" s="89">
        <v>81047.710000000006</v>
      </c>
      <c r="Q3655" t="s">
        <v>142</v>
      </c>
      <c r="R3655" t="s">
        <v>131</v>
      </c>
    </row>
    <row r="3656" spans="3:18" hidden="1" x14ac:dyDescent="0.25">
      <c r="C3656" t="s">
        <v>45</v>
      </c>
      <c r="D3656" t="s">
        <v>22</v>
      </c>
      <c r="E3656" t="s">
        <v>40</v>
      </c>
      <c r="F3656" t="s">
        <v>41</v>
      </c>
      <c r="G3656" s="89">
        <v>7344</v>
      </c>
      <c r="H3656" t="s">
        <v>146</v>
      </c>
      <c r="I3656" t="s">
        <v>147</v>
      </c>
      <c r="J3656" s="89">
        <v>29376</v>
      </c>
      <c r="K3656" t="s">
        <v>134</v>
      </c>
      <c r="L3656" t="s">
        <v>128</v>
      </c>
      <c r="N3656">
        <v>1</v>
      </c>
      <c r="O3656" s="89">
        <v>514.08000000000004</v>
      </c>
      <c r="P3656" s="89">
        <v>881.28</v>
      </c>
      <c r="Q3656" t="s">
        <v>130</v>
      </c>
      <c r="R3656" t="s">
        <v>131</v>
      </c>
    </row>
    <row r="3657" spans="3:18" hidden="1" x14ac:dyDescent="0.25">
      <c r="C3657" t="s">
        <v>45</v>
      </c>
      <c r="D3657" t="s">
        <v>25</v>
      </c>
      <c r="E3657" t="s">
        <v>48</v>
      </c>
      <c r="F3657" t="s">
        <v>53</v>
      </c>
      <c r="G3657" s="89">
        <v>15186</v>
      </c>
      <c r="H3657" t="s">
        <v>146</v>
      </c>
      <c r="I3657" t="s">
        <v>147</v>
      </c>
      <c r="J3657" s="89">
        <v>75930</v>
      </c>
      <c r="K3657" t="s">
        <v>127</v>
      </c>
      <c r="L3657" t="s">
        <v>128</v>
      </c>
      <c r="N3657">
        <v>1</v>
      </c>
      <c r="O3657" s="89">
        <v>607.44000000000005</v>
      </c>
      <c r="P3657" s="89">
        <v>1518.6</v>
      </c>
      <c r="Q3657" t="s">
        <v>130</v>
      </c>
      <c r="R3657" t="s">
        <v>131</v>
      </c>
    </row>
    <row r="3658" spans="3:18" x14ac:dyDescent="0.25">
      <c r="C3658" t="s">
        <v>47</v>
      </c>
      <c r="D3658" t="s">
        <v>22</v>
      </c>
      <c r="E3658" t="s">
        <v>43</v>
      </c>
      <c r="F3658" t="s">
        <v>41</v>
      </c>
      <c r="G3658" s="89">
        <v>1296067</v>
      </c>
      <c r="H3658" t="s">
        <v>140</v>
      </c>
      <c r="I3658" t="s">
        <v>153</v>
      </c>
      <c r="J3658" s="89"/>
      <c r="K3658" t="s">
        <v>127</v>
      </c>
      <c r="L3658" t="s">
        <v>128</v>
      </c>
      <c r="N3658">
        <v>0</v>
      </c>
      <c r="O3658" s="89">
        <v>38882.01</v>
      </c>
      <c r="P3658" s="89">
        <v>194410.05</v>
      </c>
      <c r="Q3658" t="s">
        <v>130</v>
      </c>
      <c r="R3658" t="s">
        <v>131</v>
      </c>
    </row>
    <row r="3659" spans="3:18" hidden="1" x14ac:dyDescent="0.25">
      <c r="C3659" t="s">
        <v>45</v>
      </c>
      <c r="D3659" t="s">
        <v>24</v>
      </c>
      <c r="E3659" t="s">
        <v>44</v>
      </c>
      <c r="F3659" t="s">
        <v>41</v>
      </c>
      <c r="G3659" s="89">
        <v>7490356</v>
      </c>
      <c r="H3659" t="s">
        <v>140</v>
      </c>
      <c r="I3659" t="s">
        <v>126</v>
      </c>
      <c r="J3659" s="89">
        <v>112355340</v>
      </c>
      <c r="K3659" t="s">
        <v>127</v>
      </c>
      <c r="L3659" t="s">
        <v>128</v>
      </c>
      <c r="N3659">
        <v>1</v>
      </c>
      <c r="O3659" s="89">
        <v>299614.24</v>
      </c>
      <c r="P3659" s="89">
        <v>3670274.44</v>
      </c>
      <c r="Q3659" t="s">
        <v>142</v>
      </c>
      <c r="R3659" t="s">
        <v>131</v>
      </c>
    </row>
    <row r="3660" spans="3:18" hidden="1" x14ac:dyDescent="0.25">
      <c r="C3660" t="s">
        <v>45</v>
      </c>
      <c r="D3660" t="s">
        <v>138</v>
      </c>
      <c r="E3660" t="s">
        <v>43</v>
      </c>
      <c r="F3660" t="s">
        <v>41</v>
      </c>
      <c r="G3660" s="89">
        <v>339308</v>
      </c>
      <c r="H3660" t="s">
        <v>146</v>
      </c>
      <c r="I3660" t="s">
        <v>133</v>
      </c>
      <c r="J3660" s="89">
        <v>11197164</v>
      </c>
      <c r="K3660" t="s">
        <v>127</v>
      </c>
      <c r="L3660" t="s">
        <v>128</v>
      </c>
      <c r="N3660">
        <v>1</v>
      </c>
      <c r="O3660" s="89">
        <v>10179.24</v>
      </c>
      <c r="P3660" s="89">
        <v>424135</v>
      </c>
      <c r="Q3660" t="s">
        <v>150</v>
      </c>
      <c r="R3660" t="s">
        <v>131</v>
      </c>
    </row>
    <row r="3661" spans="3:18" hidden="1" x14ac:dyDescent="0.25">
      <c r="C3661" t="s">
        <v>45</v>
      </c>
      <c r="D3661" t="s">
        <v>23</v>
      </c>
      <c r="E3661" t="s">
        <v>40</v>
      </c>
      <c r="F3661" t="s">
        <v>41</v>
      </c>
      <c r="G3661" s="89">
        <v>84993</v>
      </c>
      <c r="H3661" t="s">
        <v>145</v>
      </c>
      <c r="I3661" t="s">
        <v>133</v>
      </c>
      <c r="J3661" s="89">
        <v>2294811</v>
      </c>
      <c r="K3661" t="s">
        <v>134</v>
      </c>
      <c r="L3661" t="s">
        <v>128</v>
      </c>
      <c r="N3661">
        <v>1</v>
      </c>
      <c r="O3661" s="89">
        <v>3399.72</v>
      </c>
      <c r="P3661" s="89">
        <v>63744.75</v>
      </c>
      <c r="Q3661" t="s">
        <v>137</v>
      </c>
      <c r="R3661" t="s">
        <v>131</v>
      </c>
    </row>
    <row r="3662" spans="3:18" hidden="1" x14ac:dyDescent="0.25">
      <c r="C3662" t="s">
        <v>45</v>
      </c>
      <c r="D3662" t="s">
        <v>19</v>
      </c>
      <c r="E3662" t="s">
        <v>43</v>
      </c>
      <c r="F3662" t="s">
        <v>41</v>
      </c>
      <c r="G3662" s="89">
        <v>40775</v>
      </c>
      <c r="H3662" t="s">
        <v>42</v>
      </c>
      <c r="I3662" t="s">
        <v>133</v>
      </c>
      <c r="J3662" s="89">
        <v>897050</v>
      </c>
      <c r="K3662" t="s">
        <v>134</v>
      </c>
      <c r="L3662" t="s">
        <v>128</v>
      </c>
      <c r="M3662" t="s">
        <v>136</v>
      </c>
      <c r="N3662">
        <v>1</v>
      </c>
      <c r="O3662" s="89">
        <v>1223.25</v>
      </c>
      <c r="P3662" s="89">
        <v>6931.75</v>
      </c>
      <c r="Q3662" t="s">
        <v>130</v>
      </c>
      <c r="R3662" t="s">
        <v>42</v>
      </c>
    </row>
    <row r="3663" spans="3:18" hidden="1" x14ac:dyDescent="0.25">
      <c r="C3663" t="s">
        <v>45</v>
      </c>
      <c r="D3663" t="s">
        <v>21</v>
      </c>
      <c r="E3663" t="s">
        <v>40</v>
      </c>
      <c r="F3663" t="s">
        <v>41</v>
      </c>
      <c r="G3663" s="89">
        <v>124112</v>
      </c>
      <c r="H3663" t="s">
        <v>140</v>
      </c>
      <c r="I3663" t="s">
        <v>141</v>
      </c>
      <c r="J3663" s="89">
        <v>992896</v>
      </c>
      <c r="K3663" t="s">
        <v>127</v>
      </c>
      <c r="L3663" t="s">
        <v>128</v>
      </c>
      <c r="N3663">
        <v>1</v>
      </c>
      <c r="O3663" s="89">
        <v>3723.36</v>
      </c>
      <c r="P3663" s="89">
        <v>90601.76</v>
      </c>
      <c r="Q3663" t="s">
        <v>137</v>
      </c>
      <c r="R3663" t="s">
        <v>131</v>
      </c>
    </row>
    <row r="3664" spans="3:18" hidden="1" x14ac:dyDescent="0.25">
      <c r="C3664" t="s">
        <v>45</v>
      </c>
      <c r="D3664" t="s">
        <v>24</v>
      </c>
      <c r="E3664" t="s">
        <v>46</v>
      </c>
      <c r="F3664" t="s">
        <v>41</v>
      </c>
      <c r="G3664" s="89">
        <v>97305</v>
      </c>
      <c r="H3664" t="s">
        <v>42</v>
      </c>
      <c r="I3664" t="s">
        <v>141</v>
      </c>
      <c r="J3664" s="89">
        <v>973050</v>
      </c>
      <c r="K3664" t="s">
        <v>144</v>
      </c>
      <c r="N3664">
        <v>1</v>
      </c>
      <c r="O3664" s="89">
        <v>2919.15</v>
      </c>
      <c r="P3664" s="89">
        <v>49625.55</v>
      </c>
      <c r="Q3664" t="s">
        <v>142</v>
      </c>
      <c r="R3664" t="s">
        <v>42</v>
      </c>
    </row>
    <row r="3665" spans="3:18" x14ac:dyDescent="0.25">
      <c r="C3665" t="s">
        <v>47</v>
      </c>
      <c r="D3665" t="s">
        <v>22</v>
      </c>
      <c r="E3665" t="s">
        <v>40</v>
      </c>
      <c r="F3665" t="s">
        <v>41</v>
      </c>
      <c r="G3665" s="89">
        <v>25961</v>
      </c>
      <c r="H3665" t="s">
        <v>146</v>
      </c>
      <c r="I3665" t="s">
        <v>147</v>
      </c>
      <c r="J3665" s="89"/>
      <c r="K3665" t="s">
        <v>127</v>
      </c>
      <c r="L3665" t="s">
        <v>128</v>
      </c>
      <c r="N3665">
        <v>0</v>
      </c>
      <c r="O3665" s="89">
        <v>519.22</v>
      </c>
      <c r="P3665" s="89">
        <v>259.61</v>
      </c>
      <c r="Q3665" t="s">
        <v>130</v>
      </c>
      <c r="R3665" t="s">
        <v>131</v>
      </c>
    </row>
    <row r="3666" spans="3:18" hidden="1" x14ac:dyDescent="0.25">
      <c r="C3666" t="s">
        <v>45</v>
      </c>
      <c r="D3666" t="s">
        <v>22</v>
      </c>
      <c r="E3666" t="s">
        <v>43</v>
      </c>
      <c r="F3666" t="s">
        <v>41</v>
      </c>
      <c r="G3666" s="89">
        <v>1272072</v>
      </c>
      <c r="H3666" t="s">
        <v>42</v>
      </c>
      <c r="I3666" t="s">
        <v>126</v>
      </c>
      <c r="J3666" s="89">
        <v>20353152</v>
      </c>
      <c r="K3666" t="s">
        <v>127</v>
      </c>
      <c r="L3666" t="s">
        <v>128</v>
      </c>
      <c r="M3666" t="s">
        <v>143</v>
      </c>
      <c r="N3666">
        <v>1</v>
      </c>
      <c r="O3666" s="89">
        <v>50882.879999999997</v>
      </c>
      <c r="P3666" s="89">
        <v>610594.56000000006</v>
      </c>
      <c r="Q3666" t="s">
        <v>142</v>
      </c>
      <c r="R3666" t="s">
        <v>42</v>
      </c>
    </row>
    <row r="3667" spans="3:18" hidden="1" x14ac:dyDescent="0.25">
      <c r="C3667" t="s">
        <v>45</v>
      </c>
      <c r="D3667" t="s">
        <v>21</v>
      </c>
      <c r="E3667" t="s">
        <v>40</v>
      </c>
      <c r="F3667" t="s">
        <v>41</v>
      </c>
      <c r="G3667" s="89">
        <v>29740</v>
      </c>
      <c r="H3667" t="s">
        <v>132</v>
      </c>
      <c r="I3667" t="s">
        <v>141</v>
      </c>
      <c r="J3667" s="89">
        <v>208180</v>
      </c>
      <c r="K3667" t="s">
        <v>144</v>
      </c>
      <c r="N3667">
        <v>1</v>
      </c>
      <c r="O3667" s="89">
        <v>892.2</v>
      </c>
      <c r="P3667" s="89">
        <v>9814.2000000000007</v>
      </c>
      <c r="Q3667" t="s">
        <v>130</v>
      </c>
      <c r="R3667" t="s">
        <v>131</v>
      </c>
    </row>
    <row r="3668" spans="3:18" x14ac:dyDescent="0.25">
      <c r="C3668" t="s">
        <v>47</v>
      </c>
      <c r="D3668" t="s">
        <v>21</v>
      </c>
      <c r="E3668" t="s">
        <v>43</v>
      </c>
      <c r="F3668" t="s">
        <v>41</v>
      </c>
      <c r="G3668" s="89">
        <v>5049089</v>
      </c>
      <c r="H3668" t="s">
        <v>132</v>
      </c>
      <c r="I3668" t="s">
        <v>141</v>
      </c>
      <c r="J3668" s="89">
        <v>40392712</v>
      </c>
      <c r="K3668" t="s">
        <v>127</v>
      </c>
      <c r="L3668" t="s">
        <v>128</v>
      </c>
      <c r="N3668">
        <v>1</v>
      </c>
      <c r="O3668" s="89">
        <v>201963.56</v>
      </c>
      <c r="P3668" s="89">
        <v>1110799.58</v>
      </c>
      <c r="Q3668" t="s">
        <v>130</v>
      </c>
      <c r="R3668" t="s">
        <v>131</v>
      </c>
    </row>
    <row r="3669" spans="3:18" hidden="1" x14ac:dyDescent="0.25">
      <c r="C3669" t="s">
        <v>45</v>
      </c>
      <c r="D3669" t="s">
        <v>24</v>
      </c>
      <c r="E3669" t="s">
        <v>48</v>
      </c>
      <c r="F3669" t="s">
        <v>41</v>
      </c>
      <c r="G3669" s="89">
        <v>61198</v>
      </c>
      <c r="H3669" t="s">
        <v>42</v>
      </c>
      <c r="I3669" t="s">
        <v>133</v>
      </c>
      <c r="J3669" s="89">
        <v>2080732</v>
      </c>
      <c r="K3669" t="s">
        <v>127</v>
      </c>
      <c r="L3669" t="s">
        <v>128</v>
      </c>
      <c r="M3669" t="s">
        <v>152</v>
      </c>
      <c r="N3669">
        <v>1</v>
      </c>
      <c r="O3669" s="89">
        <v>2447.92</v>
      </c>
      <c r="P3669" s="89">
        <v>47122.46</v>
      </c>
      <c r="Q3669" t="s">
        <v>137</v>
      </c>
      <c r="R3669" t="s">
        <v>42</v>
      </c>
    </row>
    <row r="3670" spans="3:18" hidden="1" x14ac:dyDescent="0.25">
      <c r="C3670" t="s">
        <v>45</v>
      </c>
      <c r="D3670" t="s">
        <v>22</v>
      </c>
      <c r="E3670" t="s">
        <v>40</v>
      </c>
      <c r="F3670" t="s">
        <v>41</v>
      </c>
      <c r="G3670" s="89">
        <v>30549</v>
      </c>
      <c r="H3670" t="s">
        <v>145</v>
      </c>
      <c r="I3670" t="s">
        <v>147</v>
      </c>
      <c r="J3670" s="89">
        <v>122196</v>
      </c>
      <c r="K3670" t="s">
        <v>127</v>
      </c>
      <c r="L3670" t="s">
        <v>128</v>
      </c>
      <c r="N3670">
        <v>1</v>
      </c>
      <c r="O3670" s="89">
        <v>1221.96</v>
      </c>
      <c r="P3670" s="89">
        <v>21384.3</v>
      </c>
      <c r="Q3670" t="s">
        <v>137</v>
      </c>
      <c r="R3670" t="s">
        <v>131</v>
      </c>
    </row>
    <row r="3671" spans="3:18" hidden="1" x14ac:dyDescent="0.25">
      <c r="C3671" t="s">
        <v>45</v>
      </c>
      <c r="D3671" t="s">
        <v>50</v>
      </c>
      <c r="E3671" t="s">
        <v>50</v>
      </c>
      <c r="F3671" t="s">
        <v>41</v>
      </c>
      <c r="G3671" s="89">
        <v>52263</v>
      </c>
      <c r="H3671" t="s">
        <v>51</v>
      </c>
      <c r="I3671" t="s">
        <v>141</v>
      </c>
      <c r="J3671" s="89">
        <v>365841</v>
      </c>
      <c r="K3671" t="s">
        <v>127</v>
      </c>
      <c r="N3671">
        <v>1</v>
      </c>
      <c r="O3671" s="89">
        <v>2613.15</v>
      </c>
      <c r="P3671" s="89">
        <v>27699.39</v>
      </c>
      <c r="Q3671" t="s">
        <v>142</v>
      </c>
    </row>
    <row r="3672" spans="3:18" x14ac:dyDescent="0.25">
      <c r="C3672" t="s">
        <v>47</v>
      </c>
      <c r="D3672" t="s">
        <v>21</v>
      </c>
      <c r="E3672" t="s">
        <v>40</v>
      </c>
      <c r="F3672" t="s">
        <v>41</v>
      </c>
      <c r="G3672" s="89">
        <v>5377341</v>
      </c>
      <c r="H3672" t="s">
        <v>145</v>
      </c>
      <c r="I3672" t="s">
        <v>147</v>
      </c>
      <c r="J3672" s="89">
        <v>16132023</v>
      </c>
      <c r="K3672" t="s">
        <v>127</v>
      </c>
      <c r="L3672" t="s">
        <v>128</v>
      </c>
      <c r="N3672">
        <v>1</v>
      </c>
      <c r="O3672" s="89">
        <v>268867.05</v>
      </c>
      <c r="P3672" s="89">
        <v>1129241.6100000001</v>
      </c>
      <c r="Q3672" t="s">
        <v>130</v>
      </c>
      <c r="R3672" t="s">
        <v>131</v>
      </c>
    </row>
    <row r="3673" spans="3:18" hidden="1" x14ac:dyDescent="0.25">
      <c r="C3673" t="s">
        <v>45</v>
      </c>
      <c r="D3673" t="s">
        <v>21</v>
      </c>
      <c r="E3673" t="s">
        <v>43</v>
      </c>
      <c r="F3673" t="s">
        <v>41</v>
      </c>
      <c r="G3673" s="89">
        <v>721658</v>
      </c>
      <c r="H3673" t="s">
        <v>140</v>
      </c>
      <c r="I3673" t="s">
        <v>126</v>
      </c>
      <c r="J3673" s="89">
        <v>12268186</v>
      </c>
      <c r="K3673" t="s">
        <v>127</v>
      </c>
      <c r="L3673" t="s">
        <v>128</v>
      </c>
      <c r="N3673">
        <v>1</v>
      </c>
      <c r="O3673" s="89">
        <v>28866.32</v>
      </c>
      <c r="P3673" s="89">
        <v>880422.76</v>
      </c>
      <c r="Q3673" t="s">
        <v>150</v>
      </c>
      <c r="R3673" t="s">
        <v>131</v>
      </c>
    </row>
    <row r="3674" spans="3:18" hidden="1" x14ac:dyDescent="0.25">
      <c r="C3674" t="s">
        <v>45</v>
      </c>
      <c r="D3674" t="s">
        <v>21</v>
      </c>
      <c r="E3674" t="s">
        <v>40</v>
      </c>
      <c r="F3674" t="s">
        <v>41</v>
      </c>
      <c r="G3674" s="89">
        <v>1951471</v>
      </c>
      <c r="H3674" t="s">
        <v>42</v>
      </c>
      <c r="I3674" t="s">
        <v>141</v>
      </c>
      <c r="J3674" s="89">
        <v>15611768</v>
      </c>
      <c r="K3674" t="s">
        <v>127</v>
      </c>
      <c r="L3674" t="s">
        <v>128</v>
      </c>
      <c r="M3674" t="s">
        <v>129</v>
      </c>
      <c r="N3674">
        <v>1</v>
      </c>
      <c r="O3674" s="89">
        <v>58544.13</v>
      </c>
      <c r="P3674" s="89">
        <v>936706.08</v>
      </c>
      <c r="Q3674" t="s">
        <v>142</v>
      </c>
      <c r="R3674" t="s">
        <v>131</v>
      </c>
    </row>
    <row r="3675" spans="3:18" hidden="1" x14ac:dyDescent="0.25">
      <c r="C3675" t="s">
        <v>45</v>
      </c>
      <c r="D3675" t="s">
        <v>23</v>
      </c>
      <c r="E3675" t="s">
        <v>43</v>
      </c>
      <c r="F3675" t="s">
        <v>41</v>
      </c>
      <c r="G3675" s="89">
        <v>673391</v>
      </c>
      <c r="H3675" t="s">
        <v>145</v>
      </c>
      <c r="I3675" t="s">
        <v>126</v>
      </c>
      <c r="J3675" s="89">
        <v>10100865</v>
      </c>
      <c r="K3675" t="s">
        <v>127</v>
      </c>
      <c r="L3675" t="s">
        <v>128</v>
      </c>
      <c r="N3675">
        <v>1</v>
      </c>
      <c r="O3675" s="89">
        <v>20201.73</v>
      </c>
      <c r="P3675" s="89">
        <v>208751.21</v>
      </c>
      <c r="Q3675" t="s">
        <v>130</v>
      </c>
      <c r="R3675" t="s">
        <v>131</v>
      </c>
    </row>
    <row r="3676" spans="3:18" hidden="1" x14ac:dyDescent="0.25">
      <c r="C3676" t="s">
        <v>45</v>
      </c>
      <c r="D3676" t="s">
        <v>23</v>
      </c>
      <c r="E3676" t="s">
        <v>48</v>
      </c>
      <c r="F3676" t="s">
        <v>41</v>
      </c>
      <c r="G3676" s="89">
        <v>9407829</v>
      </c>
      <c r="H3676" t="s">
        <v>140</v>
      </c>
      <c r="I3676" t="s">
        <v>133</v>
      </c>
      <c r="J3676" s="89">
        <v>291642699</v>
      </c>
      <c r="K3676" t="s">
        <v>144</v>
      </c>
      <c r="N3676">
        <v>1</v>
      </c>
      <c r="O3676" s="89">
        <v>282234.87</v>
      </c>
      <c r="P3676" s="89">
        <v>6585480.2999999998</v>
      </c>
      <c r="Q3676" t="s">
        <v>137</v>
      </c>
      <c r="R3676" t="s">
        <v>131</v>
      </c>
    </row>
    <row r="3677" spans="3:18" hidden="1" x14ac:dyDescent="0.25">
      <c r="C3677" t="s">
        <v>45</v>
      </c>
      <c r="D3677" t="s">
        <v>22</v>
      </c>
      <c r="E3677" t="s">
        <v>40</v>
      </c>
      <c r="F3677" t="s">
        <v>41</v>
      </c>
      <c r="G3677" s="89">
        <v>1211940</v>
      </c>
      <c r="H3677" t="s">
        <v>140</v>
      </c>
      <c r="I3677" t="s">
        <v>133</v>
      </c>
      <c r="J3677" s="89">
        <v>32722380</v>
      </c>
      <c r="K3677" t="s">
        <v>134</v>
      </c>
      <c r="L3677" t="s">
        <v>128</v>
      </c>
      <c r="N3677">
        <v>1</v>
      </c>
      <c r="O3677" s="89">
        <v>36358.199999999997</v>
      </c>
      <c r="P3677" s="89">
        <v>363582</v>
      </c>
      <c r="Q3677" t="s">
        <v>130</v>
      </c>
      <c r="R3677" t="s">
        <v>131</v>
      </c>
    </row>
    <row r="3678" spans="3:18" x14ac:dyDescent="0.25">
      <c r="C3678" t="s">
        <v>47</v>
      </c>
      <c r="D3678" t="s">
        <v>21</v>
      </c>
      <c r="E3678" t="s">
        <v>43</v>
      </c>
      <c r="F3678" t="s">
        <v>41</v>
      </c>
      <c r="G3678" s="89">
        <v>267580</v>
      </c>
      <c r="H3678" t="s">
        <v>146</v>
      </c>
      <c r="I3678" t="s">
        <v>147</v>
      </c>
      <c r="J3678" s="89">
        <v>1070320</v>
      </c>
      <c r="K3678" t="s">
        <v>127</v>
      </c>
      <c r="L3678" t="s">
        <v>128</v>
      </c>
      <c r="N3678">
        <v>1</v>
      </c>
      <c r="O3678" s="89">
        <v>13379</v>
      </c>
      <c r="P3678" s="89">
        <v>123086.8</v>
      </c>
      <c r="Q3678" t="s">
        <v>142</v>
      </c>
      <c r="R3678" t="s">
        <v>131</v>
      </c>
    </row>
    <row r="3679" spans="3:18" hidden="1" x14ac:dyDescent="0.25">
      <c r="C3679" t="s">
        <v>45</v>
      </c>
      <c r="D3679" t="s">
        <v>22</v>
      </c>
      <c r="E3679" t="s">
        <v>40</v>
      </c>
      <c r="F3679" t="s">
        <v>41</v>
      </c>
      <c r="G3679" s="89">
        <v>3350311</v>
      </c>
      <c r="H3679" t="s">
        <v>132</v>
      </c>
      <c r="I3679" t="s">
        <v>126</v>
      </c>
      <c r="J3679" s="89">
        <v>53604976</v>
      </c>
      <c r="K3679" t="s">
        <v>144</v>
      </c>
      <c r="N3679">
        <v>1</v>
      </c>
      <c r="O3679" s="89">
        <v>100509.33</v>
      </c>
      <c r="P3679" s="89">
        <v>2345217.7000000002</v>
      </c>
      <c r="Q3679" t="s">
        <v>137</v>
      </c>
      <c r="R3679" t="s">
        <v>131</v>
      </c>
    </row>
    <row r="3680" spans="3:18" hidden="1" x14ac:dyDescent="0.25">
      <c r="C3680" t="s">
        <v>45</v>
      </c>
      <c r="D3680" t="s">
        <v>22</v>
      </c>
      <c r="E3680" t="s">
        <v>40</v>
      </c>
      <c r="F3680" t="s">
        <v>41</v>
      </c>
      <c r="G3680" s="89">
        <v>1758055</v>
      </c>
      <c r="H3680" t="s">
        <v>140</v>
      </c>
      <c r="I3680" t="s">
        <v>141</v>
      </c>
      <c r="J3680" s="89">
        <v>17580550</v>
      </c>
      <c r="K3680" t="s">
        <v>134</v>
      </c>
      <c r="L3680" t="s">
        <v>128</v>
      </c>
      <c r="N3680">
        <v>1</v>
      </c>
      <c r="O3680" s="89">
        <v>70322.2</v>
      </c>
      <c r="P3680" s="89">
        <v>931769.15</v>
      </c>
      <c r="Q3680" t="s">
        <v>142</v>
      </c>
      <c r="R3680" t="s">
        <v>131</v>
      </c>
    </row>
    <row r="3681" spans="3:18" hidden="1" x14ac:dyDescent="0.25">
      <c r="C3681" t="s">
        <v>45</v>
      </c>
      <c r="D3681" t="s">
        <v>22</v>
      </c>
      <c r="E3681" t="s">
        <v>43</v>
      </c>
      <c r="F3681" t="s">
        <v>41</v>
      </c>
      <c r="G3681" s="89">
        <v>2568</v>
      </c>
      <c r="H3681" t="s">
        <v>132</v>
      </c>
      <c r="I3681" t="s">
        <v>147</v>
      </c>
      <c r="J3681" s="89">
        <v>2568</v>
      </c>
      <c r="K3681" t="s">
        <v>127</v>
      </c>
      <c r="L3681" t="s">
        <v>128</v>
      </c>
      <c r="N3681">
        <v>1</v>
      </c>
      <c r="O3681" s="89">
        <v>77.040000000000006</v>
      </c>
      <c r="P3681" s="89">
        <v>1104.24</v>
      </c>
      <c r="Q3681" t="s">
        <v>142</v>
      </c>
      <c r="R3681" t="s">
        <v>131</v>
      </c>
    </row>
    <row r="3682" spans="3:18" x14ac:dyDescent="0.25">
      <c r="C3682" t="s">
        <v>47</v>
      </c>
      <c r="D3682" t="s">
        <v>19</v>
      </c>
      <c r="E3682" t="s">
        <v>40</v>
      </c>
      <c r="F3682" t="s">
        <v>41</v>
      </c>
      <c r="G3682" s="89">
        <v>174217</v>
      </c>
      <c r="H3682" t="s">
        <v>145</v>
      </c>
      <c r="I3682" t="s">
        <v>126</v>
      </c>
      <c r="J3682" s="89">
        <v>2439038</v>
      </c>
      <c r="K3682" t="s">
        <v>144</v>
      </c>
      <c r="N3682">
        <v>1</v>
      </c>
      <c r="O3682" s="89">
        <v>8710.85</v>
      </c>
      <c r="P3682" s="89">
        <v>210802.57</v>
      </c>
      <c r="Q3682" t="s">
        <v>150</v>
      </c>
      <c r="R3682" t="s">
        <v>131</v>
      </c>
    </row>
    <row r="3683" spans="3:18" x14ac:dyDescent="0.25">
      <c r="C3683" t="s">
        <v>47</v>
      </c>
      <c r="D3683" t="s">
        <v>20</v>
      </c>
      <c r="E3683" t="s">
        <v>40</v>
      </c>
      <c r="F3683" t="s">
        <v>41</v>
      </c>
      <c r="G3683" s="89">
        <v>101933</v>
      </c>
      <c r="H3683" t="s">
        <v>140</v>
      </c>
      <c r="I3683" t="s">
        <v>141</v>
      </c>
      <c r="J3683" s="89">
        <v>917397</v>
      </c>
      <c r="K3683" t="s">
        <v>144</v>
      </c>
      <c r="N3683">
        <v>1</v>
      </c>
      <c r="O3683" s="89">
        <v>4077.32</v>
      </c>
      <c r="P3683" s="89">
        <v>55043.82</v>
      </c>
      <c r="Q3683" t="s">
        <v>142</v>
      </c>
      <c r="R3683" t="s">
        <v>131</v>
      </c>
    </row>
    <row r="3684" spans="3:18" hidden="1" x14ac:dyDescent="0.25">
      <c r="C3684" t="s">
        <v>45</v>
      </c>
      <c r="D3684" t="s">
        <v>22</v>
      </c>
      <c r="E3684" t="s">
        <v>40</v>
      </c>
      <c r="F3684" t="s">
        <v>41</v>
      </c>
      <c r="G3684" s="89">
        <v>641427</v>
      </c>
      <c r="H3684" t="s">
        <v>145</v>
      </c>
      <c r="I3684" t="s">
        <v>126</v>
      </c>
      <c r="J3684" s="89">
        <v>11545686</v>
      </c>
      <c r="K3684" t="s">
        <v>144</v>
      </c>
      <c r="N3684">
        <v>1</v>
      </c>
      <c r="O3684" s="89">
        <v>19242.810000000001</v>
      </c>
      <c r="P3684" s="89">
        <v>448998.9</v>
      </c>
      <c r="Q3684" t="s">
        <v>137</v>
      </c>
      <c r="R3684" t="s">
        <v>131</v>
      </c>
    </row>
    <row r="3685" spans="3:18" hidden="1" x14ac:dyDescent="0.25">
      <c r="C3685" t="s">
        <v>45</v>
      </c>
      <c r="D3685" t="s">
        <v>22</v>
      </c>
      <c r="E3685" t="s">
        <v>40</v>
      </c>
      <c r="F3685" t="s">
        <v>41</v>
      </c>
      <c r="G3685" s="89">
        <v>9302</v>
      </c>
      <c r="H3685" t="s">
        <v>145</v>
      </c>
      <c r="I3685" t="s">
        <v>126</v>
      </c>
      <c r="J3685" s="89">
        <v>120926</v>
      </c>
      <c r="K3685" t="s">
        <v>134</v>
      </c>
      <c r="L3685" t="s">
        <v>128</v>
      </c>
      <c r="N3685">
        <v>1</v>
      </c>
      <c r="O3685" s="89">
        <v>279.06</v>
      </c>
      <c r="P3685" s="89">
        <v>5767.24</v>
      </c>
      <c r="Q3685" t="s">
        <v>137</v>
      </c>
      <c r="R3685" t="s">
        <v>131</v>
      </c>
    </row>
    <row r="3686" spans="3:18" hidden="1" x14ac:dyDescent="0.25">
      <c r="C3686" t="s">
        <v>45</v>
      </c>
      <c r="D3686" t="s">
        <v>24</v>
      </c>
      <c r="E3686" t="s">
        <v>44</v>
      </c>
      <c r="F3686" t="s">
        <v>41</v>
      </c>
      <c r="G3686" s="89">
        <v>73666</v>
      </c>
      <c r="H3686" t="s">
        <v>140</v>
      </c>
      <c r="I3686" t="s">
        <v>141</v>
      </c>
      <c r="J3686" s="89">
        <v>662994</v>
      </c>
      <c r="K3686" t="s">
        <v>144</v>
      </c>
      <c r="N3686">
        <v>1</v>
      </c>
      <c r="O3686" s="89">
        <v>2209.98</v>
      </c>
      <c r="P3686" s="89">
        <v>49356.22</v>
      </c>
      <c r="Q3686" t="s">
        <v>137</v>
      </c>
      <c r="R3686" t="s">
        <v>131</v>
      </c>
    </row>
    <row r="3687" spans="3:18" x14ac:dyDescent="0.25">
      <c r="C3687" t="s">
        <v>47</v>
      </c>
      <c r="D3687" t="s">
        <v>20</v>
      </c>
      <c r="E3687" t="s">
        <v>40</v>
      </c>
      <c r="F3687" t="s">
        <v>41</v>
      </c>
      <c r="G3687" s="89">
        <v>104697</v>
      </c>
      <c r="H3687" t="s">
        <v>146</v>
      </c>
      <c r="I3687" t="s">
        <v>126</v>
      </c>
      <c r="J3687" s="89">
        <v>1570455</v>
      </c>
      <c r="K3687" t="s">
        <v>127</v>
      </c>
      <c r="L3687" t="s">
        <v>128</v>
      </c>
      <c r="N3687">
        <v>1</v>
      </c>
      <c r="O3687" s="89">
        <v>4187.88</v>
      </c>
      <c r="P3687" s="89">
        <v>40831.83</v>
      </c>
      <c r="Q3687" t="s">
        <v>130</v>
      </c>
      <c r="R3687" t="s">
        <v>131</v>
      </c>
    </row>
    <row r="3688" spans="3:18" hidden="1" x14ac:dyDescent="0.25">
      <c r="C3688" t="s">
        <v>45</v>
      </c>
      <c r="D3688" t="s">
        <v>138</v>
      </c>
      <c r="E3688" t="s">
        <v>43</v>
      </c>
      <c r="F3688" t="s">
        <v>41</v>
      </c>
      <c r="G3688" s="89">
        <v>127878</v>
      </c>
      <c r="H3688" t="s">
        <v>42</v>
      </c>
      <c r="I3688" t="s">
        <v>141</v>
      </c>
      <c r="J3688" s="89">
        <v>1150902</v>
      </c>
      <c r="K3688" t="s">
        <v>144</v>
      </c>
      <c r="N3688">
        <v>1</v>
      </c>
      <c r="O3688" s="89">
        <v>3836.34</v>
      </c>
      <c r="P3688" s="89">
        <v>19181.7</v>
      </c>
      <c r="Q3688" t="s">
        <v>130</v>
      </c>
      <c r="R3688" t="s">
        <v>131</v>
      </c>
    </row>
    <row r="3689" spans="3:18" hidden="1" x14ac:dyDescent="0.25">
      <c r="C3689" t="s">
        <v>45</v>
      </c>
      <c r="D3689" t="s">
        <v>23</v>
      </c>
      <c r="E3689" t="s">
        <v>40</v>
      </c>
      <c r="F3689" t="s">
        <v>41</v>
      </c>
      <c r="G3689" s="89">
        <v>774820</v>
      </c>
      <c r="H3689" t="s">
        <v>145</v>
      </c>
      <c r="I3689" t="s">
        <v>141</v>
      </c>
      <c r="J3689" s="89">
        <v>6973380</v>
      </c>
      <c r="K3689" t="s">
        <v>127</v>
      </c>
      <c r="L3689" t="s">
        <v>128</v>
      </c>
      <c r="N3689">
        <v>1</v>
      </c>
      <c r="O3689" s="89">
        <v>30992.799999999999</v>
      </c>
      <c r="P3689" s="89">
        <v>495884.79999999999</v>
      </c>
      <c r="Q3689" t="s">
        <v>137</v>
      </c>
      <c r="R3689" t="s">
        <v>131</v>
      </c>
    </row>
    <row r="3690" spans="3:18" hidden="1" x14ac:dyDescent="0.25">
      <c r="C3690" t="s">
        <v>45</v>
      </c>
      <c r="D3690" t="s">
        <v>21</v>
      </c>
      <c r="E3690" t="s">
        <v>48</v>
      </c>
      <c r="F3690" t="s">
        <v>41</v>
      </c>
      <c r="G3690" s="89">
        <v>363514</v>
      </c>
      <c r="H3690" t="s">
        <v>42</v>
      </c>
      <c r="I3690" t="s">
        <v>133</v>
      </c>
      <c r="J3690" s="89">
        <v>9814878</v>
      </c>
      <c r="K3690" t="s">
        <v>127</v>
      </c>
      <c r="L3690" t="s">
        <v>128</v>
      </c>
      <c r="M3690" t="s">
        <v>143</v>
      </c>
      <c r="N3690">
        <v>1</v>
      </c>
      <c r="O3690" s="89">
        <v>10905.42</v>
      </c>
      <c r="P3690" s="89">
        <v>243554.38</v>
      </c>
      <c r="Q3690" t="s">
        <v>137</v>
      </c>
      <c r="R3690" t="s">
        <v>42</v>
      </c>
    </row>
    <row r="3691" spans="3:18" hidden="1" x14ac:dyDescent="0.25">
      <c r="C3691" t="s">
        <v>45</v>
      </c>
      <c r="D3691" t="s">
        <v>22</v>
      </c>
      <c r="E3691" t="s">
        <v>40</v>
      </c>
      <c r="F3691" t="s">
        <v>41</v>
      </c>
      <c r="G3691" s="89">
        <v>80595</v>
      </c>
      <c r="H3691" t="s">
        <v>146</v>
      </c>
      <c r="I3691" t="s">
        <v>126</v>
      </c>
      <c r="J3691" s="89">
        <v>805950</v>
      </c>
      <c r="K3691" t="s">
        <v>134</v>
      </c>
      <c r="L3691" t="s">
        <v>128</v>
      </c>
      <c r="N3691">
        <v>1</v>
      </c>
      <c r="O3691" s="89">
        <v>2417.85</v>
      </c>
      <c r="P3691" s="89">
        <v>33043.949999999997</v>
      </c>
      <c r="Q3691" t="s">
        <v>142</v>
      </c>
      <c r="R3691" t="s">
        <v>131</v>
      </c>
    </row>
    <row r="3692" spans="3:18" x14ac:dyDescent="0.25">
      <c r="C3692" t="s">
        <v>47</v>
      </c>
      <c r="D3692" t="s">
        <v>22</v>
      </c>
      <c r="E3692" t="s">
        <v>40</v>
      </c>
      <c r="F3692" t="s">
        <v>41</v>
      </c>
      <c r="G3692" s="89">
        <v>191769</v>
      </c>
      <c r="H3692" t="s">
        <v>145</v>
      </c>
      <c r="I3692" t="s">
        <v>133</v>
      </c>
      <c r="J3692" s="89">
        <v>5369532</v>
      </c>
      <c r="K3692" t="s">
        <v>127</v>
      </c>
      <c r="L3692" t="s">
        <v>128</v>
      </c>
      <c r="N3692">
        <v>1</v>
      </c>
      <c r="O3692" s="89">
        <v>7670.76</v>
      </c>
      <c r="P3692" s="89">
        <v>149579.82</v>
      </c>
      <c r="Q3692" t="s">
        <v>137</v>
      </c>
      <c r="R3692" t="s">
        <v>131</v>
      </c>
    </row>
    <row r="3693" spans="3:18" hidden="1" x14ac:dyDescent="0.25">
      <c r="C3693" t="s">
        <v>45</v>
      </c>
      <c r="D3693" t="s">
        <v>20</v>
      </c>
      <c r="E3693" t="s">
        <v>43</v>
      </c>
      <c r="F3693" t="s">
        <v>41</v>
      </c>
      <c r="G3693" s="89">
        <v>23451270</v>
      </c>
      <c r="H3693" t="s">
        <v>140</v>
      </c>
      <c r="I3693" t="s">
        <v>126</v>
      </c>
      <c r="J3693" s="89">
        <v>375220320</v>
      </c>
      <c r="K3693" t="s">
        <v>127</v>
      </c>
      <c r="L3693" t="s">
        <v>128</v>
      </c>
      <c r="N3693">
        <v>1</v>
      </c>
      <c r="O3693" s="89">
        <v>703538.1</v>
      </c>
      <c r="P3693" s="89">
        <v>11491122.300000001</v>
      </c>
      <c r="Q3693" t="s">
        <v>142</v>
      </c>
      <c r="R3693" t="s">
        <v>131</v>
      </c>
    </row>
    <row r="3694" spans="3:18" hidden="1" x14ac:dyDescent="0.25">
      <c r="C3694" t="s">
        <v>45</v>
      </c>
      <c r="D3694" t="s">
        <v>22</v>
      </c>
      <c r="E3694" t="s">
        <v>40</v>
      </c>
      <c r="F3694" t="s">
        <v>41</v>
      </c>
      <c r="G3694" s="89">
        <v>19253218</v>
      </c>
      <c r="H3694" t="s">
        <v>132</v>
      </c>
      <c r="I3694" t="s">
        <v>126</v>
      </c>
      <c r="J3694" s="89">
        <v>327304706</v>
      </c>
      <c r="K3694" t="s">
        <v>127</v>
      </c>
      <c r="L3694" t="s">
        <v>128</v>
      </c>
      <c r="N3694">
        <v>1</v>
      </c>
      <c r="O3694" s="89">
        <v>577596.54</v>
      </c>
      <c r="P3694" s="89">
        <v>12899656.060000001</v>
      </c>
      <c r="Q3694" t="s">
        <v>137</v>
      </c>
      <c r="R3694" t="s">
        <v>131</v>
      </c>
    </row>
    <row r="3695" spans="3:18" hidden="1" x14ac:dyDescent="0.25">
      <c r="C3695" t="s">
        <v>45</v>
      </c>
      <c r="D3695" t="s">
        <v>138</v>
      </c>
      <c r="E3695" t="s">
        <v>43</v>
      </c>
      <c r="F3695" t="s">
        <v>41</v>
      </c>
      <c r="G3695" s="89">
        <v>188626</v>
      </c>
      <c r="H3695" t="s">
        <v>42</v>
      </c>
      <c r="I3695" t="s">
        <v>133</v>
      </c>
      <c r="J3695" s="89">
        <v>5847406</v>
      </c>
      <c r="K3695" t="s">
        <v>127</v>
      </c>
      <c r="L3695" t="s">
        <v>128</v>
      </c>
      <c r="M3695" t="s">
        <v>148</v>
      </c>
      <c r="N3695">
        <v>1</v>
      </c>
      <c r="O3695" s="89">
        <v>5658.78</v>
      </c>
      <c r="P3695" s="89">
        <v>124493.16</v>
      </c>
      <c r="Q3695" t="s">
        <v>137</v>
      </c>
      <c r="R3695" t="s">
        <v>42</v>
      </c>
    </row>
    <row r="3696" spans="3:18" hidden="1" x14ac:dyDescent="0.25">
      <c r="C3696" t="s">
        <v>45</v>
      </c>
      <c r="D3696" t="s">
        <v>149</v>
      </c>
      <c r="E3696" t="s">
        <v>40</v>
      </c>
      <c r="F3696" t="s">
        <v>41</v>
      </c>
      <c r="G3696" s="89">
        <v>119441</v>
      </c>
      <c r="H3696" t="s">
        <v>42</v>
      </c>
      <c r="I3696" t="s">
        <v>133</v>
      </c>
      <c r="J3696" s="89">
        <v>3702671</v>
      </c>
      <c r="K3696" t="s">
        <v>144</v>
      </c>
      <c r="N3696">
        <v>1</v>
      </c>
      <c r="O3696" s="89">
        <v>3583.23</v>
      </c>
      <c r="P3696" s="89">
        <v>63303.73</v>
      </c>
      <c r="Q3696" t="s">
        <v>142</v>
      </c>
      <c r="R3696" t="s">
        <v>131</v>
      </c>
    </row>
    <row r="3697" spans="3:18" hidden="1" x14ac:dyDescent="0.25">
      <c r="C3697" t="s">
        <v>45</v>
      </c>
      <c r="D3697" t="s">
        <v>22</v>
      </c>
      <c r="E3697" t="s">
        <v>40</v>
      </c>
      <c r="F3697" t="s">
        <v>41</v>
      </c>
      <c r="G3697" s="89">
        <v>112021</v>
      </c>
      <c r="H3697" t="s">
        <v>146</v>
      </c>
      <c r="I3697" t="s">
        <v>133</v>
      </c>
      <c r="J3697" s="89">
        <v>2464462</v>
      </c>
      <c r="K3697" t="s">
        <v>127</v>
      </c>
      <c r="L3697" t="s">
        <v>151</v>
      </c>
      <c r="N3697">
        <v>1</v>
      </c>
      <c r="O3697" s="89">
        <v>4480.84</v>
      </c>
      <c r="P3697" s="89">
        <v>44808.4</v>
      </c>
      <c r="Q3697" t="s">
        <v>142</v>
      </c>
      <c r="R3697" t="s">
        <v>131</v>
      </c>
    </row>
    <row r="3698" spans="3:18" hidden="1" x14ac:dyDescent="0.25">
      <c r="C3698" t="s">
        <v>45</v>
      </c>
      <c r="D3698" t="s">
        <v>149</v>
      </c>
      <c r="E3698" t="s">
        <v>43</v>
      </c>
      <c r="F3698" t="s">
        <v>53</v>
      </c>
      <c r="G3698" s="89">
        <v>276663</v>
      </c>
      <c r="H3698" t="s">
        <v>42</v>
      </c>
      <c r="I3698" t="s">
        <v>133</v>
      </c>
      <c r="J3698" s="89">
        <v>9959868</v>
      </c>
      <c r="K3698" t="s">
        <v>127</v>
      </c>
      <c r="L3698" t="s">
        <v>128</v>
      </c>
      <c r="M3698" t="s">
        <v>136</v>
      </c>
      <c r="N3698">
        <v>1</v>
      </c>
      <c r="O3698" s="89">
        <v>8299.89</v>
      </c>
      <c r="P3698" s="89">
        <v>190897.47</v>
      </c>
      <c r="Q3698" t="s">
        <v>137</v>
      </c>
      <c r="R3698" t="s">
        <v>131</v>
      </c>
    </row>
    <row r="3699" spans="3:18" hidden="1" x14ac:dyDescent="0.25">
      <c r="C3699" t="s">
        <v>45</v>
      </c>
      <c r="D3699" t="s">
        <v>19</v>
      </c>
      <c r="E3699" t="s">
        <v>40</v>
      </c>
      <c r="F3699" t="s">
        <v>41</v>
      </c>
      <c r="G3699" s="89">
        <v>404832</v>
      </c>
      <c r="H3699" t="s">
        <v>42</v>
      </c>
      <c r="I3699" t="s">
        <v>133</v>
      </c>
      <c r="J3699" s="89">
        <v>12954624</v>
      </c>
      <c r="K3699" t="s">
        <v>127</v>
      </c>
      <c r="L3699" t="s">
        <v>128</v>
      </c>
      <c r="M3699" t="s">
        <v>136</v>
      </c>
      <c r="N3699">
        <v>1</v>
      </c>
      <c r="O3699" s="89">
        <v>12144.96</v>
      </c>
      <c r="P3699" s="89">
        <v>287430.71999999997</v>
      </c>
      <c r="Q3699" t="s">
        <v>137</v>
      </c>
      <c r="R3699" t="s">
        <v>42</v>
      </c>
    </row>
    <row r="3700" spans="3:18" hidden="1" x14ac:dyDescent="0.25">
      <c r="C3700" t="s">
        <v>45</v>
      </c>
      <c r="D3700" t="s">
        <v>23</v>
      </c>
      <c r="E3700" t="s">
        <v>43</v>
      </c>
      <c r="F3700" t="s">
        <v>41</v>
      </c>
      <c r="G3700" s="89">
        <v>1235928</v>
      </c>
      <c r="H3700" t="s">
        <v>146</v>
      </c>
      <c r="I3700" t="s">
        <v>126</v>
      </c>
      <c r="J3700" s="89">
        <v>17302992</v>
      </c>
      <c r="K3700" t="s">
        <v>127</v>
      </c>
      <c r="L3700" t="s">
        <v>128</v>
      </c>
      <c r="N3700">
        <v>1</v>
      </c>
      <c r="O3700" s="89">
        <v>37077.839999999997</v>
      </c>
      <c r="P3700" s="89">
        <v>259544.88</v>
      </c>
      <c r="Q3700" t="s">
        <v>130</v>
      </c>
      <c r="R3700" t="s">
        <v>131</v>
      </c>
    </row>
    <row r="3701" spans="3:18" hidden="1" x14ac:dyDescent="0.25">
      <c r="C3701" t="s">
        <v>45</v>
      </c>
      <c r="D3701" t="s">
        <v>138</v>
      </c>
      <c r="E3701" t="s">
        <v>40</v>
      </c>
      <c r="F3701" t="s">
        <v>41</v>
      </c>
      <c r="G3701" s="89">
        <v>214294</v>
      </c>
      <c r="H3701" t="s">
        <v>42</v>
      </c>
      <c r="I3701" t="s">
        <v>147</v>
      </c>
      <c r="J3701" s="89">
        <v>642882</v>
      </c>
      <c r="K3701" t="s">
        <v>127</v>
      </c>
      <c r="L3701" t="s">
        <v>128</v>
      </c>
      <c r="M3701" t="s">
        <v>139</v>
      </c>
      <c r="N3701">
        <v>1</v>
      </c>
      <c r="O3701" s="89">
        <v>8571.76</v>
      </c>
      <c r="P3701" s="89">
        <v>90003.48</v>
      </c>
      <c r="Q3701" t="s">
        <v>142</v>
      </c>
      <c r="R3701" t="s">
        <v>131</v>
      </c>
    </row>
    <row r="3702" spans="3:18" hidden="1" x14ac:dyDescent="0.25">
      <c r="C3702" t="s">
        <v>45</v>
      </c>
      <c r="D3702" t="s">
        <v>24</v>
      </c>
      <c r="E3702" t="s">
        <v>48</v>
      </c>
      <c r="F3702" t="s">
        <v>41</v>
      </c>
      <c r="G3702" s="89">
        <v>184667</v>
      </c>
      <c r="H3702" t="s">
        <v>42</v>
      </c>
      <c r="I3702" t="s">
        <v>133</v>
      </c>
      <c r="J3702" s="89">
        <v>6278678</v>
      </c>
      <c r="K3702" t="s">
        <v>127</v>
      </c>
      <c r="L3702" t="s">
        <v>128</v>
      </c>
      <c r="M3702" t="s">
        <v>143</v>
      </c>
      <c r="N3702">
        <v>1</v>
      </c>
      <c r="O3702" s="89">
        <v>5540.01</v>
      </c>
      <c r="P3702" s="89">
        <v>127420.23</v>
      </c>
      <c r="Q3702" t="s">
        <v>137</v>
      </c>
      <c r="R3702" t="s">
        <v>42</v>
      </c>
    </row>
    <row r="3703" spans="3:18" hidden="1" x14ac:dyDescent="0.25">
      <c r="C3703" t="s">
        <v>45</v>
      </c>
      <c r="D3703" t="s">
        <v>21</v>
      </c>
      <c r="E3703" t="s">
        <v>40</v>
      </c>
      <c r="F3703" t="s">
        <v>41</v>
      </c>
      <c r="G3703" s="89">
        <v>426407</v>
      </c>
      <c r="H3703" t="s">
        <v>140</v>
      </c>
      <c r="I3703" t="s">
        <v>126</v>
      </c>
      <c r="J3703" s="89">
        <v>7675326</v>
      </c>
      <c r="K3703" t="s">
        <v>144</v>
      </c>
      <c r="N3703">
        <v>1</v>
      </c>
      <c r="O3703" s="89">
        <v>12792.21</v>
      </c>
      <c r="P3703" s="89">
        <v>298484.90000000002</v>
      </c>
      <c r="Q3703" t="s">
        <v>137</v>
      </c>
      <c r="R3703" t="s">
        <v>131</v>
      </c>
    </row>
    <row r="3704" spans="3:18" hidden="1" x14ac:dyDescent="0.25">
      <c r="C3704" t="s">
        <v>45</v>
      </c>
      <c r="D3704" t="s">
        <v>21</v>
      </c>
      <c r="E3704" t="s">
        <v>43</v>
      </c>
      <c r="F3704" t="s">
        <v>41</v>
      </c>
      <c r="G3704" s="89">
        <v>146228</v>
      </c>
      <c r="H3704" t="s">
        <v>42</v>
      </c>
      <c r="I3704" t="s">
        <v>147</v>
      </c>
      <c r="J3704" s="89">
        <v>292456</v>
      </c>
      <c r="K3704" t="s">
        <v>134</v>
      </c>
      <c r="L3704" t="s">
        <v>128</v>
      </c>
      <c r="M3704" t="s">
        <v>129</v>
      </c>
      <c r="N3704">
        <v>1</v>
      </c>
      <c r="O3704" s="89">
        <v>5849.12</v>
      </c>
      <c r="P3704" s="89">
        <v>73114</v>
      </c>
      <c r="Q3704" t="s">
        <v>142</v>
      </c>
      <c r="R3704" t="s">
        <v>131</v>
      </c>
    </row>
    <row r="3705" spans="3:18" hidden="1" x14ac:dyDescent="0.25">
      <c r="C3705" t="s">
        <v>45</v>
      </c>
      <c r="D3705" t="s">
        <v>149</v>
      </c>
      <c r="E3705" t="s">
        <v>48</v>
      </c>
      <c r="F3705" t="s">
        <v>41</v>
      </c>
      <c r="G3705" s="89">
        <v>568445</v>
      </c>
      <c r="H3705" t="s">
        <v>42</v>
      </c>
      <c r="I3705" t="s">
        <v>133</v>
      </c>
      <c r="J3705" s="89">
        <v>18758685</v>
      </c>
      <c r="K3705" t="s">
        <v>127</v>
      </c>
      <c r="L3705" t="s">
        <v>128</v>
      </c>
      <c r="M3705" t="s">
        <v>136</v>
      </c>
      <c r="N3705">
        <v>1</v>
      </c>
      <c r="O3705" s="89">
        <v>22737.8</v>
      </c>
      <c r="P3705" s="89">
        <v>409280.4</v>
      </c>
      <c r="Q3705" t="s">
        <v>137</v>
      </c>
      <c r="R3705" t="s">
        <v>42</v>
      </c>
    </row>
    <row r="3706" spans="3:18" hidden="1" x14ac:dyDescent="0.25">
      <c r="C3706" t="s">
        <v>45</v>
      </c>
      <c r="D3706" t="s">
        <v>22</v>
      </c>
      <c r="E3706" t="s">
        <v>40</v>
      </c>
      <c r="F3706" t="s">
        <v>41</v>
      </c>
      <c r="G3706" s="89">
        <v>19071</v>
      </c>
      <c r="H3706" t="s">
        <v>140</v>
      </c>
      <c r="I3706" t="s">
        <v>141</v>
      </c>
      <c r="J3706" s="89">
        <v>114426</v>
      </c>
      <c r="K3706" t="s">
        <v>127</v>
      </c>
      <c r="L3706" t="s">
        <v>151</v>
      </c>
      <c r="N3706">
        <v>1</v>
      </c>
      <c r="O3706" s="89">
        <v>572.13</v>
      </c>
      <c r="P3706" s="89">
        <v>2669.94</v>
      </c>
      <c r="Q3706" t="s">
        <v>130</v>
      </c>
      <c r="R3706" t="s">
        <v>131</v>
      </c>
    </row>
    <row r="3707" spans="3:18" hidden="1" x14ac:dyDescent="0.25">
      <c r="C3707" t="s">
        <v>45</v>
      </c>
      <c r="D3707" t="s">
        <v>149</v>
      </c>
      <c r="E3707" t="s">
        <v>43</v>
      </c>
      <c r="F3707" t="s">
        <v>53</v>
      </c>
      <c r="G3707" s="89">
        <v>258279</v>
      </c>
      <c r="H3707" t="s">
        <v>42</v>
      </c>
      <c r="I3707" t="s">
        <v>126</v>
      </c>
      <c r="J3707" s="89">
        <v>4390743</v>
      </c>
      <c r="K3707" t="s">
        <v>144</v>
      </c>
      <c r="N3707">
        <v>1</v>
      </c>
      <c r="O3707" s="89">
        <v>7748.37</v>
      </c>
      <c r="P3707" s="89">
        <v>80066.490000000005</v>
      </c>
      <c r="Q3707" t="s">
        <v>130</v>
      </c>
      <c r="R3707" t="s">
        <v>42</v>
      </c>
    </row>
    <row r="3708" spans="3:18" hidden="1" x14ac:dyDescent="0.25">
      <c r="C3708" t="s">
        <v>45</v>
      </c>
      <c r="D3708" t="s">
        <v>19</v>
      </c>
      <c r="E3708" t="s">
        <v>43</v>
      </c>
      <c r="F3708" t="s">
        <v>41</v>
      </c>
      <c r="G3708" s="89">
        <v>72092291</v>
      </c>
      <c r="H3708" t="s">
        <v>146</v>
      </c>
      <c r="I3708" t="s">
        <v>133</v>
      </c>
      <c r="J3708" s="89">
        <v>2162768730</v>
      </c>
      <c r="K3708" t="s">
        <v>127</v>
      </c>
      <c r="L3708" t="s">
        <v>128</v>
      </c>
      <c r="N3708">
        <v>1</v>
      </c>
      <c r="O3708" s="89">
        <v>2162768.73</v>
      </c>
      <c r="P3708" s="89">
        <v>49743680.789999999</v>
      </c>
      <c r="Q3708" t="s">
        <v>137</v>
      </c>
      <c r="R3708" t="s">
        <v>131</v>
      </c>
    </row>
    <row r="3709" spans="3:18" hidden="1" x14ac:dyDescent="0.25">
      <c r="C3709" t="s">
        <v>45</v>
      </c>
      <c r="D3709" t="s">
        <v>23</v>
      </c>
      <c r="E3709" t="s">
        <v>48</v>
      </c>
      <c r="F3709" t="s">
        <v>41</v>
      </c>
      <c r="G3709" s="89">
        <v>32185928</v>
      </c>
      <c r="H3709" t="s">
        <v>42</v>
      </c>
      <c r="I3709" t="s">
        <v>133</v>
      </c>
      <c r="J3709" s="89">
        <v>1029949696</v>
      </c>
      <c r="K3709" t="s">
        <v>127</v>
      </c>
      <c r="L3709" t="s">
        <v>128</v>
      </c>
      <c r="M3709" t="s">
        <v>152</v>
      </c>
      <c r="N3709">
        <v>1</v>
      </c>
      <c r="O3709" s="89">
        <v>965577.84</v>
      </c>
      <c r="P3709" s="89">
        <v>22852008.879999999</v>
      </c>
      <c r="Q3709" t="s">
        <v>137</v>
      </c>
      <c r="R3709" t="s">
        <v>42</v>
      </c>
    </row>
    <row r="3710" spans="3:18" hidden="1" x14ac:dyDescent="0.25">
      <c r="C3710" t="s">
        <v>45</v>
      </c>
      <c r="D3710" t="s">
        <v>138</v>
      </c>
      <c r="E3710" t="s">
        <v>43</v>
      </c>
      <c r="F3710" t="s">
        <v>41</v>
      </c>
      <c r="G3710" s="89">
        <v>165696</v>
      </c>
      <c r="H3710" t="s">
        <v>146</v>
      </c>
      <c r="I3710" t="s">
        <v>126</v>
      </c>
      <c r="J3710" s="89">
        <v>2319744</v>
      </c>
      <c r="K3710" t="s">
        <v>144</v>
      </c>
      <c r="N3710">
        <v>1</v>
      </c>
      <c r="O3710" s="89">
        <v>4970.88</v>
      </c>
      <c r="P3710" s="89">
        <v>134213.76000000001</v>
      </c>
      <c r="Q3710" t="s">
        <v>135</v>
      </c>
      <c r="R3710" t="s">
        <v>131</v>
      </c>
    </row>
    <row r="3711" spans="3:18" hidden="1" x14ac:dyDescent="0.25">
      <c r="C3711" t="s">
        <v>45</v>
      </c>
      <c r="D3711" t="s">
        <v>20</v>
      </c>
      <c r="E3711" t="s">
        <v>43</v>
      </c>
      <c r="F3711" t="s">
        <v>41</v>
      </c>
      <c r="G3711" s="89">
        <v>49512</v>
      </c>
      <c r="H3711" t="s">
        <v>146</v>
      </c>
      <c r="I3711" t="s">
        <v>126</v>
      </c>
      <c r="J3711" s="89">
        <v>495120</v>
      </c>
      <c r="K3711" t="s">
        <v>144</v>
      </c>
      <c r="N3711">
        <v>1</v>
      </c>
      <c r="O3711" s="89">
        <v>990.24</v>
      </c>
      <c r="P3711" s="89">
        <v>24260.880000000001</v>
      </c>
      <c r="Q3711" t="s">
        <v>142</v>
      </c>
      <c r="R3711" t="s">
        <v>131</v>
      </c>
    </row>
    <row r="3712" spans="3:18" x14ac:dyDescent="0.25">
      <c r="C3712" t="s">
        <v>47</v>
      </c>
      <c r="D3712" t="s">
        <v>20</v>
      </c>
      <c r="E3712" t="s">
        <v>40</v>
      </c>
      <c r="F3712" t="s">
        <v>41</v>
      </c>
      <c r="G3712" s="89">
        <v>466929</v>
      </c>
      <c r="H3712" t="s">
        <v>140</v>
      </c>
      <c r="I3712" t="s">
        <v>141</v>
      </c>
      <c r="J3712" s="89">
        <v>3735432</v>
      </c>
      <c r="K3712" t="s">
        <v>127</v>
      </c>
      <c r="L3712" t="s">
        <v>128</v>
      </c>
      <c r="N3712">
        <v>1</v>
      </c>
      <c r="O3712" s="89">
        <v>23346.45</v>
      </c>
      <c r="P3712" s="89">
        <v>303503.84999999998</v>
      </c>
      <c r="Q3712" t="s">
        <v>137</v>
      </c>
      <c r="R3712" t="s">
        <v>131</v>
      </c>
    </row>
    <row r="3713" spans="3:18" hidden="1" x14ac:dyDescent="0.25">
      <c r="C3713" t="s">
        <v>45</v>
      </c>
      <c r="D3713" t="s">
        <v>23</v>
      </c>
      <c r="E3713" t="s">
        <v>52</v>
      </c>
      <c r="F3713" t="s">
        <v>41</v>
      </c>
      <c r="G3713" s="89">
        <v>346916</v>
      </c>
      <c r="H3713" t="s">
        <v>42</v>
      </c>
      <c r="I3713" t="s">
        <v>133</v>
      </c>
      <c r="J3713" s="89">
        <v>11448228</v>
      </c>
      <c r="K3713" t="s">
        <v>127</v>
      </c>
      <c r="L3713" t="s">
        <v>128</v>
      </c>
      <c r="M3713" t="s">
        <v>152</v>
      </c>
      <c r="N3713">
        <v>1</v>
      </c>
      <c r="O3713" s="89">
        <v>10407.48</v>
      </c>
      <c r="P3713" s="89">
        <v>423237.52</v>
      </c>
      <c r="Q3713" t="s">
        <v>150</v>
      </c>
      <c r="R3713" t="s">
        <v>42</v>
      </c>
    </row>
    <row r="3714" spans="3:18" hidden="1" x14ac:dyDescent="0.25">
      <c r="C3714" t="s">
        <v>45</v>
      </c>
      <c r="D3714" t="s">
        <v>23</v>
      </c>
      <c r="E3714" t="s">
        <v>48</v>
      </c>
      <c r="F3714" t="s">
        <v>53</v>
      </c>
      <c r="G3714" s="89">
        <v>98439</v>
      </c>
      <c r="H3714" t="s">
        <v>140</v>
      </c>
      <c r="I3714" t="s">
        <v>133</v>
      </c>
      <c r="J3714" s="89">
        <v>3248487</v>
      </c>
      <c r="K3714" t="s">
        <v>127</v>
      </c>
      <c r="L3714" t="s">
        <v>128</v>
      </c>
      <c r="N3714">
        <v>1</v>
      </c>
      <c r="O3714" s="89">
        <v>4921.95</v>
      </c>
      <c r="P3714" s="89">
        <v>46266.33</v>
      </c>
      <c r="Q3714" t="s">
        <v>142</v>
      </c>
      <c r="R3714" t="s">
        <v>131</v>
      </c>
    </row>
    <row r="3715" spans="3:18" hidden="1" x14ac:dyDescent="0.25">
      <c r="C3715" t="s">
        <v>45</v>
      </c>
      <c r="D3715" t="s">
        <v>22</v>
      </c>
      <c r="E3715" t="s">
        <v>44</v>
      </c>
      <c r="F3715" t="s">
        <v>41</v>
      </c>
      <c r="G3715" s="89">
        <v>101910</v>
      </c>
      <c r="H3715" t="s">
        <v>42</v>
      </c>
      <c r="I3715" t="s">
        <v>126</v>
      </c>
      <c r="J3715" s="89">
        <v>1630560</v>
      </c>
      <c r="K3715" t="s">
        <v>127</v>
      </c>
      <c r="L3715" t="s">
        <v>128</v>
      </c>
      <c r="M3715" t="s">
        <v>143</v>
      </c>
      <c r="N3715">
        <v>1</v>
      </c>
      <c r="O3715" s="89">
        <v>3057.3</v>
      </c>
      <c r="P3715" s="89">
        <v>62165.1</v>
      </c>
      <c r="Q3715" t="s">
        <v>137</v>
      </c>
      <c r="R3715" t="s">
        <v>131</v>
      </c>
    </row>
    <row r="3716" spans="3:18" hidden="1" x14ac:dyDescent="0.25">
      <c r="C3716" t="s">
        <v>45</v>
      </c>
      <c r="D3716" t="s">
        <v>19</v>
      </c>
      <c r="E3716" t="s">
        <v>43</v>
      </c>
      <c r="F3716" t="s">
        <v>41</v>
      </c>
      <c r="G3716" s="89">
        <v>998526</v>
      </c>
      <c r="H3716" t="s">
        <v>140</v>
      </c>
      <c r="I3716" t="s">
        <v>147</v>
      </c>
      <c r="J3716" s="89">
        <v>1997052</v>
      </c>
      <c r="K3716" t="s">
        <v>144</v>
      </c>
      <c r="N3716">
        <v>1</v>
      </c>
      <c r="O3716" s="89">
        <v>39941.040000000001</v>
      </c>
      <c r="P3716" s="89">
        <v>399410.4</v>
      </c>
      <c r="Q3716" t="s">
        <v>142</v>
      </c>
      <c r="R3716" t="s">
        <v>131</v>
      </c>
    </row>
    <row r="3717" spans="3:18" hidden="1" x14ac:dyDescent="0.25">
      <c r="C3717" t="s">
        <v>45</v>
      </c>
      <c r="D3717" t="s">
        <v>21</v>
      </c>
      <c r="E3717" t="s">
        <v>43</v>
      </c>
      <c r="F3717" t="s">
        <v>41</v>
      </c>
      <c r="G3717" s="89">
        <v>78108</v>
      </c>
      <c r="H3717" t="s">
        <v>42</v>
      </c>
      <c r="I3717" t="s">
        <v>133</v>
      </c>
      <c r="J3717" s="89">
        <v>2577564</v>
      </c>
      <c r="K3717" t="s">
        <v>127</v>
      </c>
      <c r="L3717" t="s">
        <v>128</v>
      </c>
      <c r="M3717" t="s">
        <v>148</v>
      </c>
      <c r="N3717">
        <v>1</v>
      </c>
      <c r="O3717" s="89">
        <v>2343.2399999999998</v>
      </c>
      <c r="P3717" s="89">
        <v>49989.120000000003</v>
      </c>
      <c r="Q3717" t="s">
        <v>137</v>
      </c>
      <c r="R3717" t="s">
        <v>131</v>
      </c>
    </row>
    <row r="3718" spans="3:18" hidden="1" x14ac:dyDescent="0.25">
      <c r="C3718" t="s">
        <v>45</v>
      </c>
      <c r="D3718" t="s">
        <v>19</v>
      </c>
      <c r="E3718" t="s">
        <v>43</v>
      </c>
      <c r="F3718" t="s">
        <v>41</v>
      </c>
      <c r="G3718" s="89">
        <v>70705</v>
      </c>
      <c r="H3718" t="s">
        <v>146</v>
      </c>
      <c r="I3718" t="s">
        <v>133</v>
      </c>
      <c r="J3718" s="89">
        <v>1696920</v>
      </c>
      <c r="K3718" t="s">
        <v>127</v>
      </c>
      <c r="L3718" t="s">
        <v>151</v>
      </c>
      <c r="N3718">
        <v>1</v>
      </c>
      <c r="O3718" s="89">
        <v>3535.25</v>
      </c>
      <c r="P3718" s="89">
        <v>55856.95</v>
      </c>
      <c r="Q3718" t="s">
        <v>137</v>
      </c>
      <c r="R3718" t="s">
        <v>131</v>
      </c>
    </row>
    <row r="3719" spans="3:18" hidden="1" x14ac:dyDescent="0.25">
      <c r="C3719" t="s">
        <v>45</v>
      </c>
      <c r="D3719" t="s">
        <v>20</v>
      </c>
      <c r="E3719" t="s">
        <v>43</v>
      </c>
      <c r="F3719" t="s">
        <v>41</v>
      </c>
      <c r="G3719" s="89">
        <v>279066</v>
      </c>
      <c r="H3719" t="s">
        <v>42</v>
      </c>
      <c r="I3719" t="s">
        <v>126</v>
      </c>
      <c r="J3719" s="89">
        <v>4185990</v>
      </c>
      <c r="K3719" t="s">
        <v>127</v>
      </c>
      <c r="L3719" t="s">
        <v>128</v>
      </c>
      <c r="M3719" t="s">
        <v>143</v>
      </c>
      <c r="N3719">
        <v>1</v>
      </c>
      <c r="O3719" s="89">
        <v>8371.98</v>
      </c>
      <c r="P3719" s="89">
        <v>100463.76</v>
      </c>
      <c r="Q3719" t="s">
        <v>130</v>
      </c>
      <c r="R3719" t="s">
        <v>42</v>
      </c>
    </row>
    <row r="3720" spans="3:18" x14ac:dyDescent="0.25">
      <c r="C3720" t="s">
        <v>47</v>
      </c>
      <c r="D3720" t="s">
        <v>22</v>
      </c>
      <c r="E3720" t="s">
        <v>40</v>
      </c>
      <c r="F3720" t="s">
        <v>41</v>
      </c>
      <c r="G3720" s="89">
        <v>33656</v>
      </c>
      <c r="H3720" t="s">
        <v>145</v>
      </c>
      <c r="I3720" t="s">
        <v>147</v>
      </c>
      <c r="J3720" s="89">
        <v>100968</v>
      </c>
      <c r="K3720" t="s">
        <v>127</v>
      </c>
      <c r="L3720" t="s">
        <v>128</v>
      </c>
      <c r="N3720">
        <v>1</v>
      </c>
      <c r="O3720" s="89">
        <v>1346.24</v>
      </c>
      <c r="P3720" s="89">
        <v>25578.560000000001</v>
      </c>
      <c r="Q3720" t="s">
        <v>137</v>
      </c>
      <c r="R3720" t="s">
        <v>131</v>
      </c>
    </row>
    <row r="3721" spans="3:18" hidden="1" x14ac:dyDescent="0.25">
      <c r="C3721" t="s">
        <v>45</v>
      </c>
      <c r="D3721" t="s">
        <v>23</v>
      </c>
      <c r="E3721" t="s">
        <v>43</v>
      </c>
      <c r="F3721" t="s">
        <v>41</v>
      </c>
      <c r="G3721" s="89">
        <v>1311244</v>
      </c>
      <c r="H3721" t="s">
        <v>42</v>
      </c>
      <c r="I3721" t="s">
        <v>133</v>
      </c>
      <c r="J3721" s="89">
        <v>47204784</v>
      </c>
      <c r="K3721" t="s">
        <v>144</v>
      </c>
      <c r="N3721">
        <v>1</v>
      </c>
      <c r="O3721" s="89">
        <v>39337.32</v>
      </c>
      <c r="P3721" s="89">
        <v>917870.8</v>
      </c>
      <c r="Q3721" t="s">
        <v>137</v>
      </c>
      <c r="R3721" t="s">
        <v>131</v>
      </c>
    </row>
    <row r="3722" spans="3:18" x14ac:dyDescent="0.25">
      <c r="C3722" t="s">
        <v>47</v>
      </c>
      <c r="D3722" t="s">
        <v>138</v>
      </c>
      <c r="E3722" t="s">
        <v>40</v>
      </c>
      <c r="F3722" t="s">
        <v>41</v>
      </c>
      <c r="G3722" s="89">
        <v>5011583</v>
      </c>
      <c r="H3722" t="s">
        <v>140</v>
      </c>
      <c r="I3722" t="s">
        <v>141</v>
      </c>
      <c r="J3722" s="89">
        <v>40092664</v>
      </c>
      <c r="K3722" t="s">
        <v>127</v>
      </c>
      <c r="L3722" t="s">
        <v>128</v>
      </c>
      <c r="N3722">
        <v>1</v>
      </c>
      <c r="O3722" s="89">
        <v>200463.32</v>
      </c>
      <c r="P3722" s="89">
        <v>2505791.5</v>
      </c>
      <c r="Q3722" t="s">
        <v>142</v>
      </c>
      <c r="R3722" t="s">
        <v>131</v>
      </c>
    </row>
    <row r="3723" spans="3:18" hidden="1" x14ac:dyDescent="0.25">
      <c r="C3723" t="s">
        <v>45</v>
      </c>
      <c r="D3723" t="s">
        <v>149</v>
      </c>
      <c r="E3723" t="s">
        <v>43</v>
      </c>
      <c r="F3723" t="s">
        <v>53</v>
      </c>
      <c r="G3723" s="89">
        <v>108261</v>
      </c>
      <c r="H3723" t="s">
        <v>140</v>
      </c>
      <c r="I3723" t="s">
        <v>133</v>
      </c>
      <c r="J3723" s="89">
        <v>3897396</v>
      </c>
      <c r="K3723" t="s">
        <v>127</v>
      </c>
      <c r="L3723" t="s">
        <v>128</v>
      </c>
      <c r="N3723">
        <v>1</v>
      </c>
      <c r="O3723" s="89">
        <v>3247.83</v>
      </c>
      <c r="P3723" s="89">
        <v>57378.33</v>
      </c>
      <c r="Q3723" t="s">
        <v>142</v>
      </c>
      <c r="R3723" t="s">
        <v>131</v>
      </c>
    </row>
    <row r="3724" spans="3:18" hidden="1" x14ac:dyDescent="0.25">
      <c r="C3724" t="s">
        <v>45</v>
      </c>
      <c r="D3724" t="s">
        <v>22</v>
      </c>
      <c r="E3724" t="s">
        <v>40</v>
      </c>
      <c r="F3724" t="s">
        <v>53</v>
      </c>
      <c r="G3724" s="89">
        <v>102921</v>
      </c>
      <c r="H3724" t="s">
        <v>132</v>
      </c>
      <c r="I3724" t="s">
        <v>133</v>
      </c>
      <c r="J3724" s="89">
        <v>2984709</v>
      </c>
      <c r="K3724" t="s">
        <v>127</v>
      </c>
      <c r="L3724" t="s">
        <v>128</v>
      </c>
      <c r="N3724">
        <v>1</v>
      </c>
      <c r="O3724" s="89">
        <v>3087.63</v>
      </c>
      <c r="P3724" s="89">
        <v>63811.02</v>
      </c>
      <c r="Q3724" t="s">
        <v>137</v>
      </c>
      <c r="R3724" t="s">
        <v>131</v>
      </c>
    </row>
    <row r="3725" spans="3:18" hidden="1" x14ac:dyDescent="0.25">
      <c r="C3725" t="s">
        <v>45</v>
      </c>
      <c r="D3725" t="s">
        <v>24</v>
      </c>
      <c r="E3725" t="s">
        <v>40</v>
      </c>
      <c r="F3725" t="s">
        <v>41</v>
      </c>
      <c r="G3725" s="89">
        <v>79890</v>
      </c>
      <c r="H3725" t="s">
        <v>146</v>
      </c>
      <c r="I3725" t="s">
        <v>126</v>
      </c>
      <c r="J3725" s="89">
        <v>1517910</v>
      </c>
      <c r="K3725" t="s">
        <v>127</v>
      </c>
      <c r="L3725" t="s">
        <v>128</v>
      </c>
      <c r="N3725">
        <v>1</v>
      </c>
      <c r="O3725" s="89">
        <v>3994.5</v>
      </c>
      <c r="P3725" s="89">
        <v>85482.3</v>
      </c>
      <c r="Q3725" t="s">
        <v>150</v>
      </c>
      <c r="R3725" t="s">
        <v>131</v>
      </c>
    </row>
    <row r="3726" spans="3:18" hidden="1" x14ac:dyDescent="0.25">
      <c r="C3726" t="s">
        <v>45</v>
      </c>
      <c r="D3726" t="s">
        <v>138</v>
      </c>
      <c r="E3726" t="s">
        <v>40</v>
      </c>
      <c r="F3726" t="s">
        <v>41</v>
      </c>
      <c r="G3726" s="89">
        <v>1364480</v>
      </c>
      <c r="H3726" t="s">
        <v>42</v>
      </c>
      <c r="I3726" t="s">
        <v>126</v>
      </c>
      <c r="J3726" s="89">
        <v>20467200</v>
      </c>
      <c r="K3726" t="s">
        <v>127</v>
      </c>
      <c r="L3726" t="s">
        <v>128</v>
      </c>
      <c r="M3726" t="s">
        <v>139</v>
      </c>
      <c r="N3726">
        <v>1</v>
      </c>
      <c r="O3726" s="89">
        <v>40934.400000000001</v>
      </c>
      <c r="P3726" s="89">
        <v>409344</v>
      </c>
      <c r="Q3726" t="s">
        <v>130</v>
      </c>
      <c r="R3726" t="s">
        <v>131</v>
      </c>
    </row>
    <row r="3727" spans="3:18" hidden="1" x14ac:dyDescent="0.25">
      <c r="C3727" t="s">
        <v>45</v>
      </c>
      <c r="D3727" t="s">
        <v>21</v>
      </c>
      <c r="E3727" t="s">
        <v>40</v>
      </c>
      <c r="F3727" t="s">
        <v>41</v>
      </c>
      <c r="G3727" s="89">
        <v>6940609</v>
      </c>
      <c r="H3727" t="s">
        <v>146</v>
      </c>
      <c r="I3727" t="s">
        <v>126</v>
      </c>
      <c r="J3727" s="89">
        <v>97168526</v>
      </c>
      <c r="K3727" t="s">
        <v>127</v>
      </c>
      <c r="L3727" t="s">
        <v>128</v>
      </c>
      <c r="N3727">
        <v>1</v>
      </c>
      <c r="O3727" s="89">
        <v>208218.27</v>
      </c>
      <c r="P3727" s="89">
        <v>1804558.34</v>
      </c>
      <c r="Q3727" t="s">
        <v>130</v>
      </c>
      <c r="R3727" t="s">
        <v>131</v>
      </c>
    </row>
    <row r="3728" spans="3:18" hidden="1" x14ac:dyDescent="0.25">
      <c r="C3728" t="s">
        <v>45</v>
      </c>
      <c r="D3728" t="s">
        <v>23</v>
      </c>
      <c r="E3728" t="s">
        <v>44</v>
      </c>
      <c r="F3728" t="s">
        <v>41</v>
      </c>
      <c r="G3728" s="89">
        <v>39933</v>
      </c>
      <c r="H3728" t="s">
        <v>42</v>
      </c>
      <c r="I3728" t="s">
        <v>133</v>
      </c>
      <c r="J3728" s="89">
        <v>1237923</v>
      </c>
      <c r="K3728" t="s">
        <v>134</v>
      </c>
      <c r="L3728" t="s">
        <v>128</v>
      </c>
      <c r="M3728" t="s">
        <v>152</v>
      </c>
      <c r="N3728">
        <v>1</v>
      </c>
      <c r="O3728" s="89">
        <v>1197.99</v>
      </c>
      <c r="P3728" s="89">
        <v>13177.89</v>
      </c>
      <c r="Q3728" t="s">
        <v>130</v>
      </c>
      <c r="R3728" t="s">
        <v>42</v>
      </c>
    </row>
    <row r="3729" spans="3:18" hidden="1" x14ac:dyDescent="0.25">
      <c r="C3729" t="s">
        <v>45</v>
      </c>
      <c r="D3729" t="s">
        <v>22</v>
      </c>
      <c r="E3729" t="s">
        <v>40</v>
      </c>
      <c r="F3729" t="s">
        <v>41</v>
      </c>
      <c r="G3729" s="89">
        <v>50749093</v>
      </c>
      <c r="H3729" t="s">
        <v>146</v>
      </c>
      <c r="I3729" t="s">
        <v>133</v>
      </c>
      <c r="J3729" s="89">
        <v>1319476418</v>
      </c>
      <c r="K3729" t="s">
        <v>127</v>
      </c>
      <c r="L3729" t="s">
        <v>128</v>
      </c>
      <c r="N3729">
        <v>1</v>
      </c>
      <c r="O3729" s="89">
        <v>1522472.79</v>
      </c>
      <c r="P3729" s="89">
        <v>25882037.43</v>
      </c>
      <c r="Q3729" t="s">
        <v>142</v>
      </c>
      <c r="R3729" t="s">
        <v>131</v>
      </c>
    </row>
    <row r="3730" spans="3:18" x14ac:dyDescent="0.25">
      <c r="C3730" t="s">
        <v>47</v>
      </c>
      <c r="D3730" t="s">
        <v>21</v>
      </c>
      <c r="E3730" t="s">
        <v>43</v>
      </c>
      <c r="F3730" t="s">
        <v>41</v>
      </c>
      <c r="G3730" s="89">
        <v>2949175</v>
      </c>
      <c r="H3730" t="s">
        <v>132</v>
      </c>
      <c r="I3730" t="s">
        <v>126</v>
      </c>
      <c r="J3730" s="89">
        <v>38339275</v>
      </c>
      <c r="K3730" t="s">
        <v>127</v>
      </c>
      <c r="L3730" t="s">
        <v>128</v>
      </c>
      <c r="N3730">
        <v>1</v>
      </c>
      <c r="O3730" s="89">
        <v>117967</v>
      </c>
      <c r="P3730" s="89">
        <v>766785.5</v>
      </c>
      <c r="Q3730" t="s">
        <v>130</v>
      </c>
      <c r="R3730" t="s">
        <v>131</v>
      </c>
    </row>
    <row r="3731" spans="3:18" hidden="1" x14ac:dyDescent="0.25">
      <c r="C3731" t="s">
        <v>45</v>
      </c>
      <c r="D3731" t="s">
        <v>23</v>
      </c>
      <c r="E3731" t="s">
        <v>40</v>
      </c>
      <c r="F3731" t="s">
        <v>41</v>
      </c>
      <c r="G3731" s="89">
        <v>396434</v>
      </c>
      <c r="H3731" t="s">
        <v>42</v>
      </c>
      <c r="I3731" t="s">
        <v>126</v>
      </c>
      <c r="J3731" s="89">
        <v>7532246</v>
      </c>
      <c r="K3731" t="s">
        <v>144</v>
      </c>
      <c r="N3731">
        <v>1</v>
      </c>
      <c r="O3731" s="89">
        <v>11893.02</v>
      </c>
      <c r="P3731" s="89">
        <v>269575.12</v>
      </c>
      <c r="Q3731" t="s">
        <v>137</v>
      </c>
      <c r="R3731" t="s">
        <v>42</v>
      </c>
    </row>
    <row r="3732" spans="3:18" hidden="1" x14ac:dyDescent="0.25">
      <c r="C3732" t="s">
        <v>45</v>
      </c>
      <c r="D3732" t="s">
        <v>138</v>
      </c>
      <c r="E3732" t="s">
        <v>43</v>
      </c>
      <c r="F3732" t="s">
        <v>41</v>
      </c>
      <c r="G3732" s="89">
        <v>513550</v>
      </c>
      <c r="H3732" t="s">
        <v>42</v>
      </c>
      <c r="I3732" t="s">
        <v>133</v>
      </c>
      <c r="J3732" s="89">
        <v>15920050</v>
      </c>
      <c r="K3732" t="s">
        <v>134</v>
      </c>
      <c r="L3732" t="s">
        <v>128</v>
      </c>
      <c r="M3732" t="s">
        <v>139</v>
      </c>
      <c r="N3732">
        <v>1</v>
      </c>
      <c r="O3732" s="89">
        <v>15406.5</v>
      </c>
      <c r="P3732" s="89">
        <v>431382</v>
      </c>
      <c r="Q3732" t="s">
        <v>135</v>
      </c>
      <c r="R3732" t="s">
        <v>131</v>
      </c>
    </row>
    <row r="3733" spans="3:18" hidden="1" x14ac:dyDescent="0.25">
      <c r="C3733" t="s">
        <v>45</v>
      </c>
      <c r="D3733" t="s">
        <v>19</v>
      </c>
      <c r="E3733" t="s">
        <v>43</v>
      </c>
      <c r="F3733" t="s">
        <v>41</v>
      </c>
      <c r="G3733" s="89">
        <v>222273</v>
      </c>
      <c r="H3733" t="s">
        <v>42</v>
      </c>
      <c r="I3733" t="s">
        <v>133</v>
      </c>
      <c r="J3733" s="89">
        <v>6445917</v>
      </c>
      <c r="K3733" t="s">
        <v>134</v>
      </c>
      <c r="L3733" t="s">
        <v>128</v>
      </c>
      <c r="M3733" t="s">
        <v>143</v>
      </c>
      <c r="N3733">
        <v>1</v>
      </c>
      <c r="O3733" s="89">
        <v>4445.46</v>
      </c>
      <c r="P3733" s="89">
        <v>177818.4</v>
      </c>
      <c r="Q3733" t="s">
        <v>135</v>
      </c>
      <c r="R3733" t="s">
        <v>131</v>
      </c>
    </row>
    <row r="3734" spans="3:18" hidden="1" x14ac:dyDescent="0.25">
      <c r="C3734" t="s">
        <v>45</v>
      </c>
      <c r="D3734" t="s">
        <v>23</v>
      </c>
      <c r="E3734" t="s">
        <v>43</v>
      </c>
      <c r="F3734" t="s">
        <v>41</v>
      </c>
      <c r="G3734" s="89">
        <v>31810</v>
      </c>
      <c r="H3734" t="s">
        <v>42</v>
      </c>
      <c r="I3734" t="s">
        <v>126</v>
      </c>
      <c r="J3734" s="89">
        <v>508960</v>
      </c>
      <c r="K3734" t="s">
        <v>127</v>
      </c>
      <c r="L3734" t="s">
        <v>128</v>
      </c>
      <c r="M3734" t="s">
        <v>152</v>
      </c>
      <c r="N3734">
        <v>1</v>
      </c>
      <c r="O3734" s="89">
        <v>1272.4000000000001</v>
      </c>
      <c r="P3734" s="89">
        <v>12405.9</v>
      </c>
      <c r="Q3734" t="s">
        <v>130</v>
      </c>
      <c r="R3734" t="s">
        <v>42</v>
      </c>
    </row>
    <row r="3735" spans="3:18" hidden="1" x14ac:dyDescent="0.25">
      <c r="C3735" t="s">
        <v>45</v>
      </c>
      <c r="D3735" t="s">
        <v>20</v>
      </c>
      <c r="E3735" t="s">
        <v>43</v>
      </c>
      <c r="F3735" t="s">
        <v>41</v>
      </c>
      <c r="G3735" s="89">
        <v>223267</v>
      </c>
      <c r="H3735" t="s">
        <v>42</v>
      </c>
      <c r="I3735" t="s">
        <v>133</v>
      </c>
      <c r="J3735" s="89">
        <v>6251476</v>
      </c>
      <c r="K3735" t="s">
        <v>134</v>
      </c>
      <c r="L3735" t="s">
        <v>128</v>
      </c>
      <c r="M3735" t="s">
        <v>139</v>
      </c>
      <c r="N3735">
        <v>1</v>
      </c>
      <c r="O3735" s="89">
        <v>6698.01</v>
      </c>
      <c r="P3735" s="89">
        <v>78143.45</v>
      </c>
      <c r="Q3735" t="s">
        <v>130</v>
      </c>
      <c r="R3735" t="s">
        <v>131</v>
      </c>
    </row>
    <row r="3736" spans="3:18" hidden="1" x14ac:dyDescent="0.25">
      <c r="C3736" t="s">
        <v>45</v>
      </c>
      <c r="D3736" t="s">
        <v>138</v>
      </c>
      <c r="E3736" t="s">
        <v>43</v>
      </c>
      <c r="F3736" t="s">
        <v>41</v>
      </c>
      <c r="G3736" s="89">
        <v>79625</v>
      </c>
      <c r="H3736" t="s">
        <v>146</v>
      </c>
      <c r="I3736" t="s">
        <v>147</v>
      </c>
      <c r="J3736" s="89">
        <v>318500</v>
      </c>
      <c r="K3736" t="s">
        <v>127</v>
      </c>
      <c r="L3736" t="s">
        <v>128</v>
      </c>
      <c r="N3736">
        <v>1</v>
      </c>
      <c r="O3736" s="89">
        <v>2388.75</v>
      </c>
      <c r="P3736" s="89">
        <v>35831.25</v>
      </c>
      <c r="Q3736" t="s">
        <v>142</v>
      </c>
      <c r="R3736" t="s">
        <v>131</v>
      </c>
    </row>
    <row r="3737" spans="3:18" hidden="1" x14ac:dyDescent="0.25">
      <c r="C3737" t="s">
        <v>45</v>
      </c>
      <c r="D3737" t="s">
        <v>19</v>
      </c>
      <c r="E3737" t="s">
        <v>40</v>
      </c>
      <c r="F3737" t="s">
        <v>41</v>
      </c>
      <c r="G3737" s="89">
        <v>310263</v>
      </c>
      <c r="H3737" t="s">
        <v>42</v>
      </c>
      <c r="I3737" t="s">
        <v>133</v>
      </c>
      <c r="J3737" s="89">
        <v>11169468</v>
      </c>
      <c r="K3737" t="s">
        <v>144</v>
      </c>
      <c r="N3737">
        <v>1</v>
      </c>
      <c r="O3737" s="89">
        <v>9307.89</v>
      </c>
      <c r="P3737" s="89">
        <v>139618.35</v>
      </c>
      <c r="Q3737" t="s">
        <v>142</v>
      </c>
      <c r="R3737" t="s">
        <v>42</v>
      </c>
    </row>
    <row r="3738" spans="3:18" hidden="1" x14ac:dyDescent="0.25">
      <c r="C3738" t="s">
        <v>45</v>
      </c>
      <c r="D3738" t="s">
        <v>25</v>
      </c>
      <c r="E3738" t="s">
        <v>44</v>
      </c>
      <c r="F3738" t="s">
        <v>41</v>
      </c>
      <c r="G3738" s="89">
        <v>28449</v>
      </c>
      <c r="H3738" t="s">
        <v>140</v>
      </c>
      <c r="I3738" t="s">
        <v>147</v>
      </c>
      <c r="J3738" s="89">
        <v>113796</v>
      </c>
      <c r="K3738" t="s">
        <v>127</v>
      </c>
      <c r="L3738" t="s">
        <v>128</v>
      </c>
      <c r="N3738">
        <v>1</v>
      </c>
      <c r="O3738" s="89">
        <v>568.98</v>
      </c>
      <c r="P3738" s="89">
        <v>7681.23</v>
      </c>
      <c r="Q3738" t="s">
        <v>130</v>
      </c>
      <c r="R3738" t="s">
        <v>131</v>
      </c>
    </row>
    <row r="3739" spans="3:18" hidden="1" x14ac:dyDescent="0.25">
      <c r="C3739" t="s">
        <v>45</v>
      </c>
      <c r="D3739" t="s">
        <v>23</v>
      </c>
      <c r="E3739" t="s">
        <v>43</v>
      </c>
      <c r="F3739" t="s">
        <v>41</v>
      </c>
      <c r="G3739" s="89">
        <v>644249</v>
      </c>
      <c r="H3739" t="s">
        <v>146</v>
      </c>
      <c r="I3739" t="s">
        <v>133</v>
      </c>
      <c r="J3739" s="89">
        <v>21260217</v>
      </c>
      <c r="K3739" t="s">
        <v>127</v>
      </c>
      <c r="L3739" t="s">
        <v>128</v>
      </c>
      <c r="N3739">
        <v>1</v>
      </c>
      <c r="O3739" s="89">
        <v>19327.47</v>
      </c>
      <c r="P3739" s="89">
        <v>708673.9</v>
      </c>
      <c r="Q3739" t="s">
        <v>150</v>
      </c>
      <c r="R3739" t="s">
        <v>131</v>
      </c>
    </row>
    <row r="3740" spans="3:18" hidden="1" x14ac:dyDescent="0.25">
      <c r="C3740" t="s">
        <v>45</v>
      </c>
      <c r="D3740" t="s">
        <v>23</v>
      </c>
      <c r="E3740" t="s">
        <v>46</v>
      </c>
      <c r="F3740" t="s">
        <v>41</v>
      </c>
      <c r="G3740" s="89">
        <v>40040</v>
      </c>
      <c r="H3740" t="s">
        <v>42</v>
      </c>
      <c r="I3740" t="s">
        <v>126</v>
      </c>
      <c r="J3740" s="89">
        <v>680680</v>
      </c>
      <c r="K3740" t="s">
        <v>127</v>
      </c>
      <c r="L3740" t="s">
        <v>128</v>
      </c>
      <c r="M3740" t="s">
        <v>143</v>
      </c>
      <c r="N3740">
        <v>1</v>
      </c>
      <c r="O3740" s="89">
        <v>1601.6</v>
      </c>
      <c r="P3740" s="89">
        <v>17617.599999999999</v>
      </c>
      <c r="Q3740" t="s">
        <v>142</v>
      </c>
      <c r="R3740" t="s">
        <v>42</v>
      </c>
    </row>
    <row r="3741" spans="3:18" hidden="1" x14ac:dyDescent="0.25">
      <c r="C3741" t="s">
        <v>45</v>
      </c>
      <c r="D3741" t="s">
        <v>149</v>
      </c>
      <c r="E3741" t="s">
        <v>43</v>
      </c>
      <c r="F3741" t="s">
        <v>41</v>
      </c>
      <c r="G3741" s="89">
        <v>147292</v>
      </c>
      <c r="H3741" t="s">
        <v>42</v>
      </c>
      <c r="I3741" t="s">
        <v>126</v>
      </c>
      <c r="J3741" s="89">
        <v>2356672</v>
      </c>
      <c r="K3741" t="s">
        <v>127</v>
      </c>
      <c r="L3741" t="s">
        <v>128</v>
      </c>
      <c r="M3741" t="s">
        <v>143</v>
      </c>
      <c r="N3741">
        <v>1</v>
      </c>
      <c r="O3741" s="89">
        <v>4418.76</v>
      </c>
      <c r="P3741" s="89">
        <v>98685.64</v>
      </c>
      <c r="Q3741" t="s">
        <v>137</v>
      </c>
      <c r="R3741" t="s">
        <v>131</v>
      </c>
    </row>
    <row r="3742" spans="3:18" hidden="1" x14ac:dyDescent="0.25">
      <c r="C3742" t="s">
        <v>45</v>
      </c>
      <c r="D3742" t="s">
        <v>19</v>
      </c>
      <c r="E3742" t="s">
        <v>43</v>
      </c>
      <c r="F3742" t="s">
        <v>41</v>
      </c>
      <c r="G3742" s="89">
        <v>8121805</v>
      </c>
      <c r="H3742" t="s">
        <v>42</v>
      </c>
      <c r="I3742" t="s">
        <v>133</v>
      </c>
      <c r="J3742" s="89">
        <v>259897760</v>
      </c>
      <c r="K3742" t="s">
        <v>144</v>
      </c>
      <c r="N3742">
        <v>1</v>
      </c>
      <c r="O3742" s="89">
        <v>243654.15</v>
      </c>
      <c r="P3742" s="89">
        <v>5685263.5</v>
      </c>
      <c r="Q3742" t="s">
        <v>137</v>
      </c>
      <c r="R3742" t="s">
        <v>131</v>
      </c>
    </row>
    <row r="3743" spans="3:18" x14ac:dyDescent="0.25">
      <c r="C3743" t="s">
        <v>47</v>
      </c>
      <c r="D3743" t="s">
        <v>20</v>
      </c>
      <c r="E3743" t="s">
        <v>40</v>
      </c>
      <c r="F3743" t="s">
        <v>41</v>
      </c>
      <c r="G3743" s="89">
        <v>428897</v>
      </c>
      <c r="H3743" t="s">
        <v>42</v>
      </c>
      <c r="I3743" t="s">
        <v>126</v>
      </c>
      <c r="J3743" s="89">
        <v>4717867</v>
      </c>
      <c r="K3743" t="s">
        <v>144</v>
      </c>
      <c r="N3743">
        <v>1</v>
      </c>
      <c r="O3743" s="89">
        <v>17155.88</v>
      </c>
      <c r="P3743" s="89">
        <v>205870.56</v>
      </c>
      <c r="Q3743" t="s">
        <v>142</v>
      </c>
      <c r="R3743" t="s">
        <v>131</v>
      </c>
    </row>
    <row r="3744" spans="3:18" hidden="1" x14ac:dyDescent="0.25">
      <c r="C3744" t="s">
        <v>45</v>
      </c>
      <c r="D3744" t="s">
        <v>25</v>
      </c>
      <c r="E3744" t="s">
        <v>48</v>
      </c>
      <c r="F3744" t="s">
        <v>41</v>
      </c>
      <c r="G3744" s="89">
        <v>111779</v>
      </c>
      <c r="H3744" t="s">
        <v>145</v>
      </c>
      <c r="I3744" t="s">
        <v>126</v>
      </c>
      <c r="J3744" s="89">
        <v>2012022</v>
      </c>
      <c r="K3744" t="s">
        <v>127</v>
      </c>
      <c r="L3744" t="s">
        <v>128</v>
      </c>
      <c r="N3744">
        <v>1</v>
      </c>
      <c r="O3744" s="89">
        <v>3353.37</v>
      </c>
      <c r="P3744" s="89">
        <v>68185.19</v>
      </c>
      <c r="Q3744" t="s">
        <v>137</v>
      </c>
      <c r="R3744" t="s">
        <v>131</v>
      </c>
    </row>
    <row r="3745" spans="3:18" x14ac:dyDescent="0.25">
      <c r="C3745" t="s">
        <v>47</v>
      </c>
      <c r="D3745" t="s">
        <v>21</v>
      </c>
      <c r="E3745" t="s">
        <v>40</v>
      </c>
      <c r="F3745" t="s">
        <v>41</v>
      </c>
      <c r="G3745" s="89">
        <v>624803</v>
      </c>
      <c r="H3745" t="s">
        <v>132</v>
      </c>
      <c r="I3745" t="s">
        <v>141</v>
      </c>
      <c r="J3745" s="89">
        <v>4373621</v>
      </c>
      <c r="K3745" t="s">
        <v>127</v>
      </c>
      <c r="L3745" t="s">
        <v>128</v>
      </c>
      <c r="N3745">
        <v>1</v>
      </c>
      <c r="O3745" s="89">
        <v>24992.12</v>
      </c>
      <c r="P3745" s="89">
        <v>518586.49</v>
      </c>
      <c r="Q3745" t="s">
        <v>135</v>
      </c>
      <c r="R3745" t="s">
        <v>131</v>
      </c>
    </row>
    <row r="3746" spans="3:18" hidden="1" x14ac:dyDescent="0.25">
      <c r="C3746" t="s">
        <v>45</v>
      </c>
      <c r="D3746" t="s">
        <v>24</v>
      </c>
      <c r="E3746" t="s">
        <v>44</v>
      </c>
      <c r="F3746" t="s">
        <v>41</v>
      </c>
      <c r="G3746" s="89">
        <v>5545</v>
      </c>
      <c r="H3746" t="s">
        <v>154</v>
      </c>
      <c r="I3746" t="s">
        <v>147</v>
      </c>
      <c r="J3746" s="89">
        <v>11090</v>
      </c>
      <c r="K3746" t="s">
        <v>127</v>
      </c>
      <c r="L3746" t="s">
        <v>128</v>
      </c>
      <c r="N3746">
        <v>1</v>
      </c>
      <c r="O3746" s="89">
        <v>221.8</v>
      </c>
      <c r="P3746" s="89">
        <v>388.15</v>
      </c>
      <c r="Q3746" t="s">
        <v>130</v>
      </c>
      <c r="R3746" t="s">
        <v>131</v>
      </c>
    </row>
    <row r="3747" spans="3:18" hidden="1" x14ac:dyDescent="0.25">
      <c r="C3747" t="s">
        <v>45</v>
      </c>
      <c r="D3747" t="s">
        <v>23</v>
      </c>
      <c r="E3747" t="s">
        <v>43</v>
      </c>
      <c r="F3747" t="s">
        <v>41</v>
      </c>
      <c r="G3747" s="89">
        <v>159749</v>
      </c>
      <c r="H3747" t="s">
        <v>42</v>
      </c>
      <c r="I3747" t="s">
        <v>126</v>
      </c>
      <c r="J3747" s="89">
        <v>3035231</v>
      </c>
      <c r="K3747" t="s">
        <v>127</v>
      </c>
      <c r="L3747" t="s">
        <v>128</v>
      </c>
      <c r="M3747" t="s">
        <v>152</v>
      </c>
      <c r="N3747">
        <v>1</v>
      </c>
      <c r="O3747" s="89">
        <v>3194.98</v>
      </c>
      <c r="P3747" s="89">
        <v>89459.44</v>
      </c>
      <c r="Q3747" t="s">
        <v>142</v>
      </c>
      <c r="R3747" t="s">
        <v>42</v>
      </c>
    </row>
    <row r="3748" spans="3:18" hidden="1" x14ac:dyDescent="0.25">
      <c r="C3748" t="s">
        <v>45</v>
      </c>
      <c r="D3748" t="s">
        <v>24</v>
      </c>
      <c r="E3748" t="s">
        <v>48</v>
      </c>
      <c r="F3748" t="s">
        <v>41</v>
      </c>
      <c r="G3748" s="89">
        <v>17483</v>
      </c>
      <c r="H3748" t="s">
        <v>42</v>
      </c>
      <c r="I3748" t="s">
        <v>147</v>
      </c>
      <c r="J3748" s="89">
        <v>69932</v>
      </c>
      <c r="K3748" t="s">
        <v>127</v>
      </c>
      <c r="L3748" t="s">
        <v>128</v>
      </c>
      <c r="M3748" t="s">
        <v>148</v>
      </c>
      <c r="N3748">
        <v>1</v>
      </c>
      <c r="O3748" s="89">
        <v>524.49</v>
      </c>
      <c r="P3748" s="89">
        <v>4720.41</v>
      </c>
      <c r="Q3748" t="s">
        <v>130</v>
      </c>
      <c r="R3748" t="s">
        <v>42</v>
      </c>
    </row>
    <row r="3749" spans="3:18" hidden="1" x14ac:dyDescent="0.25">
      <c r="C3749" t="s">
        <v>45</v>
      </c>
      <c r="D3749" t="s">
        <v>23</v>
      </c>
      <c r="E3749" t="s">
        <v>48</v>
      </c>
      <c r="F3749" t="s">
        <v>41</v>
      </c>
      <c r="G3749" s="89">
        <v>839837</v>
      </c>
      <c r="H3749" t="s">
        <v>145</v>
      </c>
      <c r="I3749" t="s">
        <v>133</v>
      </c>
      <c r="J3749" s="89">
        <v>26034947</v>
      </c>
      <c r="K3749" t="s">
        <v>144</v>
      </c>
      <c r="N3749">
        <v>1</v>
      </c>
      <c r="O3749" s="89">
        <v>25195.11</v>
      </c>
      <c r="P3749" s="89">
        <v>697064.71</v>
      </c>
      <c r="Q3749" t="s">
        <v>135</v>
      </c>
      <c r="R3749" t="s">
        <v>131</v>
      </c>
    </row>
    <row r="3750" spans="3:18" hidden="1" x14ac:dyDescent="0.25">
      <c r="C3750" t="s">
        <v>45</v>
      </c>
      <c r="D3750" t="s">
        <v>23</v>
      </c>
      <c r="E3750" t="s">
        <v>48</v>
      </c>
      <c r="F3750" t="s">
        <v>41</v>
      </c>
      <c r="G3750" s="89">
        <v>60855</v>
      </c>
      <c r="H3750" t="s">
        <v>132</v>
      </c>
      <c r="I3750" t="s">
        <v>133</v>
      </c>
      <c r="J3750" s="89">
        <v>1582230</v>
      </c>
      <c r="K3750" t="s">
        <v>127</v>
      </c>
      <c r="L3750" t="s">
        <v>151</v>
      </c>
      <c r="N3750">
        <v>1</v>
      </c>
      <c r="O3750" s="89">
        <v>1825.65</v>
      </c>
      <c r="P3750" s="89">
        <v>37121.550000000003</v>
      </c>
      <c r="Q3750" t="s">
        <v>137</v>
      </c>
      <c r="R3750" t="s">
        <v>131</v>
      </c>
    </row>
    <row r="3751" spans="3:18" x14ac:dyDescent="0.25">
      <c r="C3751" t="s">
        <v>47</v>
      </c>
      <c r="D3751" t="s">
        <v>23</v>
      </c>
      <c r="E3751" t="s">
        <v>48</v>
      </c>
      <c r="F3751" t="s">
        <v>41</v>
      </c>
      <c r="G3751" s="89">
        <v>66000</v>
      </c>
      <c r="H3751" t="s">
        <v>140</v>
      </c>
      <c r="I3751" t="s">
        <v>133</v>
      </c>
      <c r="J3751" s="89">
        <v>1452000</v>
      </c>
      <c r="K3751" t="s">
        <v>127</v>
      </c>
      <c r="L3751" t="s">
        <v>128</v>
      </c>
      <c r="N3751">
        <v>1</v>
      </c>
      <c r="O3751" s="89">
        <v>4620</v>
      </c>
      <c r="P3751" s="89">
        <v>77880</v>
      </c>
      <c r="Q3751" t="s">
        <v>150</v>
      </c>
      <c r="R3751" t="s">
        <v>131</v>
      </c>
    </row>
    <row r="3752" spans="3:18" hidden="1" x14ac:dyDescent="0.25">
      <c r="C3752" t="s">
        <v>45</v>
      </c>
      <c r="D3752" t="s">
        <v>24</v>
      </c>
      <c r="E3752" t="s">
        <v>40</v>
      </c>
      <c r="F3752" t="s">
        <v>41</v>
      </c>
      <c r="G3752" s="89">
        <v>375937</v>
      </c>
      <c r="H3752" t="s">
        <v>145</v>
      </c>
      <c r="I3752" t="s">
        <v>126</v>
      </c>
      <c r="J3752" s="89">
        <v>4511244</v>
      </c>
      <c r="K3752" t="s">
        <v>144</v>
      </c>
      <c r="N3752">
        <v>1</v>
      </c>
      <c r="O3752" s="89">
        <v>15037.48</v>
      </c>
      <c r="P3752" s="89">
        <v>71428.03</v>
      </c>
      <c r="Q3752" t="s">
        <v>130</v>
      </c>
      <c r="R3752" t="s">
        <v>131</v>
      </c>
    </row>
    <row r="3753" spans="3:18" hidden="1" x14ac:dyDescent="0.25">
      <c r="C3753" t="s">
        <v>45</v>
      </c>
      <c r="D3753" t="s">
        <v>149</v>
      </c>
      <c r="E3753" t="s">
        <v>43</v>
      </c>
      <c r="F3753" t="s">
        <v>41</v>
      </c>
      <c r="G3753" s="89">
        <v>353181</v>
      </c>
      <c r="H3753" t="s">
        <v>42</v>
      </c>
      <c r="I3753" t="s">
        <v>133</v>
      </c>
      <c r="J3753" s="89">
        <v>10948611</v>
      </c>
      <c r="K3753" t="s">
        <v>127</v>
      </c>
      <c r="L3753" t="s">
        <v>128</v>
      </c>
      <c r="M3753" t="s">
        <v>139</v>
      </c>
      <c r="N3753">
        <v>1</v>
      </c>
      <c r="O3753" s="89">
        <v>10595.43</v>
      </c>
      <c r="P3753" s="89">
        <v>187185.93</v>
      </c>
      <c r="Q3753" t="s">
        <v>142</v>
      </c>
      <c r="R3753" t="s">
        <v>131</v>
      </c>
    </row>
    <row r="3754" spans="3:18" hidden="1" x14ac:dyDescent="0.25">
      <c r="C3754" t="s">
        <v>45</v>
      </c>
      <c r="D3754" t="s">
        <v>21</v>
      </c>
      <c r="E3754" t="s">
        <v>43</v>
      </c>
      <c r="F3754" t="s">
        <v>41</v>
      </c>
      <c r="G3754" s="89">
        <v>57485</v>
      </c>
      <c r="H3754" t="s">
        <v>42</v>
      </c>
      <c r="I3754" t="s">
        <v>141</v>
      </c>
      <c r="J3754" s="89">
        <v>517365</v>
      </c>
      <c r="K3754" t="s">
        <v>144</v>
      </c>
      <c r="N3754">
        <v>1</v>
      </c>
      <c r="O3754" s="89">
        <v>1724.55</v>
      </c>
      <c r="P3754" s="89">
        <v>13221.55</v>
      </c>
      <c r="Q3754" t="s">
        <v>130</v>
      </c>
      <c r="R3754" t="s">
        <v>42</v>
      </c>
    </row>
    <row r="3755" spans="3:18" hidden="1" x14ac:dyDescent="0.25">
      <c r="C3755" t="s">
        <v>45</v>
      </c>
      <c r="D3755" t="s">
        <v>22</v>
      </c>
      <c r="E3755" t="s">
        <v>44</v>
      </c>
      <c r="F3755" t="s">
        <v>41</v>
      </c>
      <c r="G3755" s="89">
        <v>30191</v>
      </c>
      <c r="H3755" t="s">
        <v>42</v>
      </c>
      <c r="I3755" t="s">
        <v>141</v>
      </c>
      <c r="J3755" s="89">
        <v>271719</v>
      </c>
      <c r="K3755" t="s">
        <v>127</v>
      </c>
      <c r="L3755" t="s">
        <v>128</v>
      </c>
      <c r="M3755" t="s">
        <v>143</v>
      </c>
      <c r="N3755">
        <v>1</v>
      </c>
      <c r="O3755" s="89">
        <v>1207.6400000000001</v>
      </c>
      <c r="P3755" s="89">
        <v>12378.31</v>
      </c>
      <c r="Q3755" t="s">
        <v>142</v>
      </c>
      <c r="R3755" t="s">
        <v>42</v>
      </c>
    </row>
    <row r="3756" spans="3:18" x14ac:dyDescent="0.25">
      <c r="C3756" t="s">
        <v>47</v>
      </c>
      <c r="D3756" t="s">
        <v>138</v>
      </c>
      <c r="E3756" t="s">
        <v>43</v>
      </c>
      <c r="F3756" t="s">
        <v>41</v>
      </c>
      <c r="G3756" s="89">
        <v>43382</v>
      </c>
      <c r="H3756" t="s">
        <v>145</v>
      </c>
      <c r="I3756" t="s">
        <v>141</v>
      </c>
      <c r="J3756" s="89">
        <v>347056</v>
      </c>
      <c r="K3756" t="s">
        <v>127</v>
      </c>
      <c r="L3756" t="s">
        <v>128</v>
      </c>
      <c r="N3756">
        <v>1</v>
      </c>
      <c r="O3756" s="89">
        <v>2169.1</v>
      </c>
      <c r="P3756" s="89">
        <v>26896.84</v>
      </c>
      <c r="Q3756" t="s">
        <v>137</v>
      </c>
      <c r="R3756" t="s">
        <v>131</v>
      </c>
    </row>
    <row r="3757" spans="3:18" hidden="1" x14ac:dyDescent="0.25">
      <c r="C3757" t="s">
        <v>45</v>
      </c>
      <c r="D3757" t="s">
        <v>22</v>
      </c>
      <c r="E3757" t="s">
        <v>44</v>
      </c>
      <c r="F3757" t="s">
        <v>53</v>
      </c>
      <c r="G3757" s="89">
        <v>1381247</v>
      </c>
      <c r="H3757" t="s">
        <v>42</v>
      </c>
      <c r="I3757" t="s">
        <v>133</v>
      </c>
      <c r="J3757" s="89">
        <v>44199904</v>
      </c>
      <c r="K3757" t="s">
        <v>144</v>
      </c>
      <c r="N3757">
        <v>1</v>
      </c>
      <c r="O3757" s="89">
        <v>41437.410000000003</v>
      </c>
      <c r="P3757" s="89">
        <v>994497.84</v>
      </c>
      <c r="Q3757" t="s">
        <v>137</v>
      </c>
      <c r="R3757" t="s">
        <v>42</v>
      </c>
    </row>
    <row r="3758" spans="3:18" hidden="1" x14ac:dyDescent="0.25">
      <c r="C3758" t="s">
        <v>45</v>
      </c>
      <c r="D3758" t="s">
        <v>138</v>
      </c>
      <c r="E3758" t="s">
        <v>43</v>
      </c>
      <c r="F3758" t="s">
        <v>41</v>
      </c>
      <c r="G3758" s="89">
        <v>2484644</v>
      </c>
      <c r="H3758" t="s">
        <v>146</v>
      </c>
      <c r="I3758" t="s">
        <v>141</v>
      </c>
      <c r="J3758" s="89">
        <v>17392508</v>
      </c>
      <c r="K3758" t="s">
        <v>127</v>
      </c>
      <c r="L3758" t="s">
        <v>128</v>
      </c>
      <c r="N3758">
        <v>1</v>
      </c>
      <c r="O3758" s="89">
        <v>74539.320000000007</v>
      </c>
      <c r="P3758" s="89">
        <v>521775.24</v>
      </c>
      <c r="Q3758" t="s">
        <v>130</v>
      </c>
      <c r="R3758" t="s">
        <v>131</v>
      </c>
    </row>
    <row r="3759" spans="3:18" hidden="1" x14ac:dyDescent="0.25">
      <c r="C3759" t="s">
        <v>45</v>
      </c>
      <c r="D3759" t="s">
        <v>21</v>
      </c>
      <c r="E3759" t="s">
        <v>43</v>
      </c>
      <c r="F3759" t="s">
        <v>41</v>
      </c>
      <c r="G3759" s="89">
        <v>72427344</v>
      </c>
      <c r="H3759" t="s">
        <v>42</v>
      </c>
      <c r="I3759" t="s">
        <v>133</v>
      </c>
      <c r="J3759" s="89">
        <v>2245247664</v>
      </c>
      <c r="K3759" t="s">
        <v>127</v>
      </c>
      <c r="L3759" t="s">
        <v>128</v>
      </c>
      <c r="M3759" t="s">
        <v>129</v>
      </c>
      <c r="N3759">
        <v>1</v>
      </c>
      <c r="O3759" s="89">
        <v>2172820.3199999998</v>
      </c>
      <c r="P3759" s="89">
        <v>51423414.240000002</v>
      </c>
      <c r="Q3759" t="s">
        <v>137</v>
      </c>
      <c r="R3759" t="s">
        <v>42</v>
      </c>
    </row>
    <row r="3760" spans="3:18" hidden="1" x14ac:dyDescent="0.25">
      <c r="C3760" t="s">
        <v>45</v>
      </c>
      <c r="D3760" t="s">
        <v>20</v>
      </c>
      <c r="E3760" t="s">
        <v>43</v>
      </c>
      <c r="F3760" t="s">
        <v>41</v>
      </c>
      <c r="G3760" s="89">
        <v>290344</v>
      </c>
      <c r="H3760" t="s">
        <v>132</v>
      </c>
      <c r="I3760" t="s">
        <v>133</v>
      </c>
      <c r="J3760" s="89">
        <v>7839288</v>
      </c>
      <c r="K3760" t="s">
        <v>134</v>
      </c>
      <c r="L3760" t="s">
        <v>128</v>
      </c>
      <c r="N3760">
        <v>1</v>
      </c>
      <c r="O3760" s="89">
        <v>8710.32</v>
      </c>
      <c r="P3760" s="89">
        <v>130654.8</v>
      </c>
      <c r="Q3760" t="s">
        <v>142</v>
      </c>
      <c r="R3760" t="s">
        <v>131</v>
      </c>
    </row>
    <row r="3761" spans="3:18" x14ac:dyDescent="0.25">
      <c r="C3761" t="s">
        <v>47</v>
      </c>
      <c r="D3761" t="s">
        <v>138</v>
      </c>
      <c r="E3761" t="s">
        <v>48</v>
      </c>
      <c r="F3761" t="s">
        <v>41</v>
      </c>
      <c r="G3761" s="89">
        <v>696872</v>
      </c>
      <c r="H3761" t="s">
        <v>42</v>
      </c>
      <c r="I3761" t="s">
        <v>126</v>
      </c>
      <c r="J3761" s="89">
        <v>8362464</v>
      </c>
      <c r="K3761" t="s">
        <v>144</v>
      </c>
      <c r="N3761">
        <v>1</v>
      </c>
      <c r="O3761" s="89">
        <v>34843.599999999999</v>
      </c>
      <c r="P3761" s="89">
        <v>557497.59999999998</v>
      </c>
      <c r="Q3761" t="s">
        <v>135</v>
      </c>
      <c r="R3761" t="s">
        <v>131</v>
      </c>
    </row>
    <row r="3762" spans="3:18" x14ac:dyDescent="0.25">
      <c r="C3762" t="s">
        <v>47</v>
      </c>
      <c r="D3762" t="s">
        <v>138</v>
      </c>
      <c r="E3762" t="s">
        <v>40</v>
      </c>
      <c r="F3762" t="s">
        <v>41</v>
      </c>
      <c r="G3762" s="89">
        <v>14630851</v>
      </c>
      <c r="H3762" t="s">
        <v>145</v>
      </c>
      <c r="I3762" t="s">
        <v>141</v>
      </c>
      <c r="J3762" s="89">
        <v>87785106</v>
      </c>
      <c r="K3762" t="s">
        <v>127</v>
      </c>
      <c r="L3762" t="s">
        <v>128</v>
      </c>
      <c r="N3762">
        <v>1</v>
      </c>
      <c r="O3762" s="89">
        <v>731542.55</v>
      </c>
      <c r="P3762" s="89">
        <v>2926170.2</v>
      </c>
      <c r="Q3762" t="s">
        <v>130</v>
      </c>
      <c r="R3762" t="s">
        <v>131</v>
      </c>
    </row>
    <row r="3763" spans="3:18" hidden="1" x14ac:dyDescent="0.25">
      <c r="C3763" t="s">
        <v>45</v>
      </c>
      <c r="D3763" t="s">
        <v>20</v>
      </c>
      <c r="E3763" t="s">
        <v>40</v>
      </c>
      <c r="F3763" t="s">
        <v>41</v>
      </c>
      <c r="G3763" s="89">
        <v>45293</v>
      </c>
      <c r="H3763" t="s">
        <v>42</v>
      </c>
      <c r="I3763" t="s">
        <v>133</v>
      </c>
      <c r="J3763" s="89">
        <v>1494669</v>
      </c>
      <c r="K3763" t="s">
        <v>134</v>
      </c>
      <c r="L3763" t="s">
        <v>128</v>
      </c>
      <c r="M3763" t="s">
        <v>139</v>
      </c>
      <c r="N3763">
        <v>1</v>
      </c>
      <c r="O3763" s="89">
        <v>1811.72</v>
      </c>
      <c r="P3763" s="89">
        <v>22193.57</v>
      </c>
      <c r="Q3763" t="s">
        <v>142</v>
      </c>
      <c r="R3763" t="s">
        <v>131</v>
      </c>
    </row>
    <row r="3764" spans="3:18" hidden="1" x14ac:dyDescent="0.25">
      <c r="C3764" t="s">
        <v>45</v>
      </c>
      <c r="D3764" t="s">
        <v>23</v>
      </c>
      <c r="E3764" t="s">
        <v>48</v>
      </c>
      <c r="F3764" t="s">
        <v>41</v>
      </c>
      <c r="G3764" s="89">
        <v>835776</v>
      </c>
      <c r="H3764" t="s">
        <v>42</v>
      </c>
      <c r="I3764" t="s">
        <v>126</v>
      </c>
      <c r="J3764" s="89">
        <v>12536640</v>
      </c>
      <c r="K3764" t="s">
        <v>144</v>
      </c>
      <c r="N3764">
        <v>1</v>
      </c>
      <c r="O3764" s="89">
        <v>25073.279999999999</v>
      </c>
      <c r="P3764" s="89">
        <v>225659.51999999999</v>
      </c>
      <c r="Q3764" t="s">
        <v>130</v>
      </c>
      <c r="R3764" t="s">
        <v>42</v>
      </c>
    </row>
    <row r="3765" spans="3:18" hidden="1" x14ac:dyDescent="0.25">
      <c r="C3765" t="s">
        <v>45</v>
      </c>
      <c r="D3765" t="s">
        <v>21</v>
      </c>
      <c r="E3765" t="s">
        <v>43</v>
      </c>
      <c r="F3765" t="s">
        <v>41</v>
      </c>
      <c r="G3765" s="89">
        <v>133977</v>
      </c>
      <c r="H3765" t="s">
        <v>42</v>
      </c>
      <c r="I3765" t="s">
        <v>141</v>
      </c>
      <c r="J3765" s="89">
        <v>803862</v>
      </c>
      <c r="K3765" t="s">
        <v>144</v>
      </c>
      <c r="N3765">
        <v>1</v>
      </c>
      <c r="O3765" s="89">
        <v>4019.31</v>
      </c>
      <c r="P3765" s="89">
        <v>53590.8</v>
      </c>
      <c r="Q3765" t="s">
        <v>142</v>
      </c>
      <c r="R3765" t="s">
        <v>42</v>
      </c>
    </row>
    <row r="3766" spans="3:18" hidden="1" x14ac:dyDescent="0.25">
      <c r="C3766" t="s">
        <v>45</v>
      </c>
      <c r="D3766" t="s">
        <v>24</v>
      </c>
      <c r="E3766" t="s">
        <v>48</v>
      </c>
      <c r="F3766" t="s">
        <v>41</v>
      </c>
      <c r="G3766" s="89">
        <v>81818</v>
      </c>
      <c r="H3766" t="s">
        <v>42</v>
      </c>
      <c r="I3766" t="s">
        <v>126</v>
      </c>
      <c r="J3766" s="89">
        <v>1227270</v>
      </c>
      <c r="K3766" t="s">
        <v>134</v>
      </c>
      <c r="L3766" t="s">
        <v>128</v>
      </c>
      <c r="M3766" t="s">
        <v>148</v>
      </c>
      <c r="N3766">
        <v>1</v>
      </c>
      <c r="O3766" s="89">
        <v>2454.54</v>
      </c>
      <c r="P3766" s="89">
        <v>50727.16</v>
      </c>
      <c r="Q3766" t="s">
        <v>137</v>
      </c>
      <c r="R3766" t="s">
        <v>131</v>
      </c>
    </row>
    <row r="3767" spans="3:18" hidden="1" x14ac:dyDescent="0.25">
      <c r="C3767" t="s">
        <v>45</v>
      </c>
      <c r="D3767" t="s">
        <v>24</v>
      </c>
      <c r="E3767" t="s">
        <v>44</v>
      </c>
      <c r="F3767" t="s">
        <v>41</v>
      </c>
      <c r="G3767" s="89">
        <v>373763</v>
      </c>
      <c r="H3767" t="s">
        <v>146</v>
      </c>
      <c r="I3767" t="s">
        <v>133</v>
      </c>
      <c r="J3767" s="89">
        <v>8596549</v>
      </c>
      <c r="K3767" t="s">
        <v>127</v>
      </c>
      <c r="L3767" t="s">
        <v>128</v>
      </c>
      <c r="N3767">
        <v>1</v>
      </c>
      <c r="O3767" s="89">
        <v>11212.89</v>
      </c>
      <c r="P3767" s="89">
        <v>100916.01</v>
      </c>
      <c r="Q3767" t="s">
        <v>130</v>
      </c>
      <c r="R3767" t="s">
        <v>131</v>
      </c>
    </row>
    <row r="3768" spans="3:18" hidden="1" x14ac:dyDescent="0.25">
      <c r="C3768" t="s">
        <v>45</v>
      </c>
      <c r="D3768" t="s">
        <v>23</v>
      </c>
      <c r="E3768" t="s">
        <v>43</v>
      </c>
      <c r="F3768" t="s">
        <v>41</v>
      </c>
      <c r="G3768" s="89">
        <v>51932</v>
      </c>
      <c r="H3768" t="s">
        <v>42</v>
      </c>
      <c r="I3768" t="s">
        <v>133</v>
      </c>
      <c r="J3768" s="89">
        <v>1817620</v>
      </c>
      <c r="K3768" t="s">
        <v>127</v>
      </c>
      <c r="L3768" t="s">
        <v>128</v>
      </c>
      <c r="M3768" t="s">
        <v>139</v>
      </c>
      <c r="N3768">
        <v>1</v>
      </c>
      <c r="O3768" s="89">
        <v>2077.2800000000002</v>
      </c>
      <c r="P3768" s="89">
        <v>32717.16</v>
      </c>
      <c r="Q3768" t="s">
        <v>137</v>
      </c>
      <c r="R3768" t="s">
        <v>42</v>
      </c>
    </row>
    <row r="3769" spans="3:18" hidden="1" x14ac:dyDescent="0.25">
      <c r="C3769" t="s">
        <v>45</v>
      </c>
      <c r="D3769" t="s">
        <v>24</v>
      </c>
      <c r="E3769" t="s">
        <v>48</v>
      </c>
      <c r="F3769" t="s">
        <v>41</v>
      </c>
      <c r="G3769" s="89">
        <v>243487</v>
      </c>
      <c r="H3769" t="s">
        <v>42</v>
      </c>
      <c r="I3769" t="s">
        <v>147</v>
      </c>
      <c r="J3769" s="89">
        <v>486974</v>
      </c>
      <c r="K3769" t="s">
        <v>134</v>
      </c>
      <c r="L3769" t="s">
        <v>128</v>
      </c>
      <c r="M3769" t="s">
        <v>148</v>
      </c>
      <c r="N3769">
        <v>1</v>
      </c>
      <c r="O3769" s="89">
        <v>4869.74</v>
      </c>
      <c r="P3769" s="89">
        <v>102264.54</v>
      </c>
      <c r="Q3769" t="s">
        <v>142</v>
      </c>
      <c r="R3769" t="s">
        <v>42</v>
      </c>
    </row>
    <row r="3770" spans="3:18" hidden="1" x14ac:dyDescent="0.25">
      <c r="C3770" t="s">
        <v>45</v>
      </c>
      <c r="D3770" t="s">
        <v>25</v>
      </c>
      <c r="E3770" t="s">
        <v>40</v>
      </c>
      <c r="F3770" t="s">
        <v>41</v>
      </c>
      <c r="G3770" s="89">
        <v>97713</v>
      </c>
      <c r="H3770" t="s">
        <v>132</v>
      </c>
      <c r="I3770" t="s">
        <v>126</v>
      </c>
      <c r="J3770" s="89">
        <v>1270269</v>
      </c>
      <c r="K3770" t="s">
        <v>127</v>
      </c>
      <c r="L3770" t="s">
        <v>128</v>
      </c>
      <c r="N3770">
        <v>1</v>
      </c>
      <c r="O3770" s="89">
        <v>2931.39</v>
      </c>
      <c r="P3770" s="89">
        <v>37130.94</v>
      </c>
      <c r="Q3770" t="s">
        <v>130</v>
      </c>
      <c r="R3770" t="s">
        <v>131</v>
      </c>
    </row>
    <row r="3771" spans="3:18" hidden="1" x14ac:dyDescent="0.25">
      <c r="C3771" t="s">
        <v>45</v>
      </c>
      <c r="D3771" t="s">
        <v>22</v>
      </c>
      <c r="E3771" t="s">
        <v>46</v>
      </c>
      <c r="F3771" t="s">
        <v>41</v>
      </c>
      <c r="G3771" s="89">
        <v>136531</v>
      </c>
      <c r="H3771" t="s">
        <v>42</v>
      </c>
      <c r="I3771" t="s">
        <v>126</v>
      </c>
      <c r="J3771" s="89">
        <v>1911434</v>
      </c>
      <c r="K3771" t="s">
        <v>144</v>
      </c>
      <c r="N3771">
        <v>1</v>
      </c>
      <c r="O3771" s="89">
        <v>4095.93</v>
      </c>
      <c r="P3771" s="89">
        <v>30036.82</v>
      </c>
      <c r="Q3771" t="s">
        <v>130</v>
      </c>
      <c r="R3771" t="s">
        <v>42</v>
      </c>
    </row>
    <row r="3772" spans="3:18" hidden="1" x14ac:dyDescent="0.25">
      <c r="C3772" t="s">
        <v>45</v>
      </c>
      <c r="D3772" t="s">
        <v>24</v>
      </c>
      <c r="E3772" t="s">
        <v>48</v>
      </c>
      <c r="F3772" t="s">
        <v>41</v>
      </c>
      <c r="G3772" s="89">
        <v>24224239</v>
      </c>
      <c r="H3772" t="s">
        <v>145</v>
      </c>
      <c r="I3772" t="s">
        <v>133</v>
      </c>
      <c r="J3772" s="89">
        <v>702502931</v>
      </c>
      <c r="K3772" t="s">
        <v>127</v>
      </c>
      <c r="L3772" t="s">
        <v>128</v>
      </c>
      <c r="N3772">
        <v>1</v>
      </c>
      <c r="O3772" s="89">
        <v>726727.17</v>
      </c>
      <c r="P3772" s="89">
        <v>16714724.91</v>
      </c>
      <c r="Q3772" t="s">
        <v>137</v>
      </c>
      <c r="R3772" t="s">
        <v>131</v>
      </c>
    </row>
    <row r="3773" spans="3:18" hidden="1" x14ac:dyDescent="0.25">
      <c r="C3773" t="s">
        <v>45</v>
      </c>
      <c r="D3773" t="s">
        <v>20</v>
      </c>
      <c r="E3773" t="s">
        <v>40</v>
      </c>
      <c r="F3773" t="s">
        <v>41</v>
      </c>
      <c r="G3773" s="89">
        <v>639341</v>
      </c>
      <c r="H3773" t="s">
        <v>42</v>
      </c>
      <c r="I3773" t="s">
        <v>126</v>
      </c>
      <c r="J3773" s="89">
        <v>12786820</v>
      </c>
      <c r="K3773" t="s">
        <v>144</v>
      </c>
      <c r="N3773">
        <v>1</v>
      </c>
      <c r="O3773" s="89">
        <v>19180.23</v>
      </c>
      <c r="P3773" s="89">
        <v>402784.83</v>
      </c>
      <c r="Q3773" t="s">
        <v>137</v>
      </c>
      <c r="R3773" t="s">
        <v>42</v>
      </c>
    </row>
    <row r="3774" spans="3:18" x14ac:dyDescent="0.25">
      <c r="C3774" t="s">
        <v>47</v>
      </c>
      <c r="D3774" t="s">
        <v>21</v>
      </c>
      <c r="E3774" t="s">
        <v>40</v>
      </c>
      <c r="F3774" t="s">
        <v>41</v>
      </c>
      <c r="G3774" s="89">
        <v>8197934</v>
      </c>
      <c r="H3774" t="s">
        <v>140</v>
      </c>
      <c r="I3774" t="s">
        <v>141</v>
      </c>
      <c r="J3774" s="89">
        <v>65583472</v>
      </c>
      <c r="K3774" t="s">
        <v>127</v>
      </c>
      <c r="L3774" t="s">
        <v>128</v>
      </c>
      <c r="N3774">
        <v>1</v>
      </c>
      <c r="O3774" s="89">
        <v>327917.36</v>
      </c>
      <c r="P3774" s="89">
        <v>5574595.1200000001</v>
      </c>
      <c r="Q3774" t="s">
        <v>137</v>
      </c>
      <c r="R3774" t="s">
        <v>131</v>
      </c>
    </row>
    <row r="3775" spans="3:18" hidden="1" x14ac:dyDescent="0.25">
      <c r="C3775" t="s">
        <v>45</v>
      </c>
      <c r="D3775" t="s">
        <v>23</v>
      </c>
      <c r="E3775" t="s">
        <v>40</v>
      </c>
      <c r="F3775" t="s">
        <v>41</v>
      </c>
      <c r="G3775" s="89">
        <v>27359026</v>
      </c>
      <c r="H3775" t="s">
        <v>140</v>
      </c>
      <c r="I3775" t="s">
        <v>141</v>
      </c>
      <c r="J3775" s="89">
        <v>191513182</v>
      </c>
      <c r="K3775" t="s">
        <v>127</v>
      </c>
      <c r="L3775" t="s">
        <v>128</v>
      </c>
      <c r="N3775">
        <v>1</v>
      </c>
      <c r="O3775" s="89">
        <v>820770.78</v>
      </c>
      <c r="P3775" s="89">
        <v>5471805.2000000002</v>
      </c>
      <c r="Q3775" t="s">
        <v>130</v>
      </c>
      <c r="R3775" t="s">
        <v>131</v>
      </c>
    </row>
    <row r="3776" spans="3:18" hidden="1" x14ac:dyDescent="0.25">
      <c r="C3776" t="s">
        <v>45</v>
      </c>
      <c r="D3776" t="s">
        <v>22</v>
      </c>
      <c r="E3776" t="s">
        <v>40</v>
      </c>
      <c r="F3776" t="s">
        <v>41</v>
      </c>
      <c r="G3776" s="89">
        <v>30668</v>
      </c>
      <c r="H3776" t="s">
        <v>154</v>
      </c>
      <c r="I3776" t="s">
        <v>147</v>
      </c>
      <c r="J3776" s="89">
        <v>61336</v>
      </c>
      <c r="K3776" t="s">
        <v>127</v>
      </c>
      <c r="L3776" t="s">
        <v>128</v>
      </c>
      <c r="N3776">
        <v>1</v>
      </c>
      <c r="O3776" s="89">
        <v>1533.4</v>
      </c>
      <c r="P3776" s="89">
        <v>1840.08</v>
      </c>
      <c r="Q3776" t="s">
        <v>130</v>
      </c>
      <c r="R3776" t="s">
        <v>131</v>
      </c>
    </row>
    <row r="3777" spans="3:18" hidden="1" x14ac:dyDescent="0.25">
      <c r="C3777" t="s">
        <v>45</v>
      </c>
      <c r="D3777" t="s">
        <v>24</v>
      </c>
      <c r="E3777" t="s">
        <v>52</v>
      </c>
      <c r="F3777" t="s">
        <v>41</v>
      </c>
      <c r="G3777" s="89">
        <v>213234</v>
      </c>
      <c r="H3777" t="s">
        <v>42</v>
      </c>
      <c r="I3777" t="s">
        <v>133</v>
      </c>
      <c r="J3777" s="89">
        <v>8316126</v>
      </c>
      <c r="K3777" t="s">
        <v>134</v>
      </c>
      <c r="N3777">
        <v>1</v>
      </c>
      <c r="O3777" s="89">
        <v>6397.02</v>
      </c>
      <c r="P3777" s="89">
        <v>211101.66</v>
      </c>
      <c r="Q3777" t="s">
        <v>135</v>
      </c>
      <c r="R3777" t="s">
        <v>42</v>
      </c>
    </row>
    <row r="3778" spans="3:18" hidden="1" x14ac:dyDescent="0.25">
      <c r="C3778" t="s">
        <v>45</v>
      </c>
      <c r="D3778" t="s">
        <v>138</v>
      </c>
      <c r="E3778" t="s">
        <v>40</v>
      </c>
      <c r="F3778" t="s">
        <v>41</v>
      </c>
      <c r="G3778" s="89">
        <v>606908</v>
      </c>
      <c r="H3778" t="s">
        <v>140</v>
      </c>
      <c r="I3778" t="s">
        <v>133</v>
      </c>
      <c r="J3778" s="89">
        <v>20634872</v>
      </c>
      <c r="K3778" t="s">
        <v>144</v>
      </c>
      <c r="N3778">
        <v>1</v>
      </c>
      <c r="O3778" s="89">
        <v>18207.240000000002</v>
      </c>
      <c r="P3778" s="89">
        <v>109243.44</v>
      </c>
      <c r="Q3778" t="s">
        <v>130</v>
      </c>
      <c r="R3778" t="s">
        <v>131</v>
      </c>
    </row>
    <row r="3779" spans="3:18" hidden="1" x14ac:dyDescent="0.25">
      <c r="C3779" t="s">
        <v>45</v>
      </c>
      <c r="D3779" t="s">
        <v>20</v>
      </c>
      <c r="E3779" t="s">
        <v>43</v>
      </c>
      <c r="F3779" t="s">
        <v>53</v>
      </c>
      <c r="G3779" s="89">
        <v>7158726</v>
      </c>
      <c r="H3779" t="s">
        <v>42</v>
      </c>
      <c r="I3779" t="s">
        <v>133</v>
      </c>
      <c r="J3779" s="89">
        <v>229079232</v>
      </c>
      <c r="K3779" t="s">
        <v>144</v>
      </c>
      <c r="N3779">
        <v>1</v>
      </c>
      <c r="O3779" s="89">
        <v>214761.78</v>
      </c>
      <c r="P3779" s="89">
        <v>4796346.42</v>
      </c>
      <c r="Q3779" t="s">
        <v>137</v>
      </c>
      <c r="R3779" t="s">
        <v>42</v>
      </c>
    </row>
    <row r="3780" spans="3:18" hidden="1" x14ac:dyDescent="0.25">
      <c r="C3780" t="s">
        <v>45</v>
      </c>
      <c r="D3780" t="s">
        <v>21</v>
      </c>
      <c r="E3780" t="s">
        <v>43</v>
      </c>
      <c r="F3780" t="s">
        <v>41</v>
      </c>
      <c r="G3780" s="89">
        <v>288218</v>
      </c>
      <c r="H3780" t="s">
        <v>140</v>
      </c>
      <c r="I3780" t="s">
        <v>153</v>
      </c>
      <c r="J3780" s="89"/>
      <c r="K3780" t="s">
        <v>127</v>
      </c>
      <c r="L3780" t="s">
        <v>128</v>
      </c>
      <c r="N3780">
        <v>0</v>
      </c>
      <c r="O3780" s="89">
        <v>14410.9</v>
      </c>
      <c r="P3780" s="89">
        <v>204634.78</v>
      </c>
      <c r="Q3780" t="s">
        <v>137</v>
      </c>
      <c r="R3780" t="s">
        <v>131</v>
      </c>
    </row>
    <row r="3781" spans="3:18" hidden="1" x14ac:dyDescent="0.25">
      <c r="C3781" t="s">
        <v>45</v>
      </c>
      <c r="D3781" t="s">
        <v>23</v>
      </c>
      <c r="E3781" t="s">
        <v>48</v>
      </c>
      <c r="F3781" t="s">
        <v>41</v>
      </c>
      <c r="G3781" s="89">
        <v>7340478</v>
      </c>
      <c r="H3781" t="s">
        <v>42</v>
      </c>
      <c r="I3781" t="s">
        <v>126</v>
      </c>
      <c r="J3781" s="89">
        <v>117447648</v>
      </c>
      <c r="K3781" t="s">
        <v>127</v>
      </c>
      <c r="L3781" t="s">
        <v>128</v>
      </c>
      <c r="M3781" t="s">
        <v>152</v>
      </c>
      <c r="N3781">
        <v>1</v>
      </c>
      <c r="O3781" s="89">
        <v>220214.34</v>
      </c>
      <c r="P3781" s="89">
        <v>3743643.78</v>
      </c>
      <c r="Q3781" t="s">
        <v>142</v>
      </c>
      <c r="R3781" t="s">
        <v>131</v>
      </c>
    </row>
    <row r="3782" spans="3:18" hidden="1" x14ac:dyDescent="0.25">
      <c r="C3782" t="s">
        <v>45</v>
      </c>
      <c r="D3782" t="s">
        <v>23</v>
      </c>
      <c r="E3782" t="s">
        <v>40</v>
      </c>
      <c r="F3782" t="s">
        <v>41</v>
      </c>
      <c r="G3782" s="89">
        <v>87173</v>
      </c>
      <c r="H3782" t="s">
        <v>146</v>
      </c>
      <c r="I3782" t="s">
        <v>126</v>
      </c>
      <c r="J3782" s="89">
        <v>1656287</v>
      </c>
      <c r="K3782" t="s">
        <v>134</v>
      </c>
      <c r="L3782" t="s">
        <v>128</v>
      </c>
      <c r="N3782">
        <v>1</v>
      </c>
      <c r="O3782" s="89">
        <v>2615.19</v>
      </c>
      <c r="P3782" s="89">
        <v>49688.61</v>
      </c>
      <c r="Q3782" t="s">
        <v>142</v>
      </c>
      <c r="R3782" t="s">
        <v>131</v>
      </c>
    </row>
    <row r="3783" spans="3:18" hidden="1" x14ac:dyDescent="0.25">
      <c r="C3783" t="s">
        <v>45</v>
      </c>
      <c r="D3783" t="s">
        <v>23</v>
      </c>
      <c r="E3783" t="s">
        <v>48</v>
      </c>
      <c r="F3783" t="s">
        <v>41</v>
      </c>
      <c r="G3783" s="89">
        <v>533974</v>
      </c>
      <c r="H3783" t="s">
        <v>132</v>
      </c>
      <c r="I3783" t="s">
        <v>147</v>
      </c>
      <c r="J3783" s="89">
        <v>1601922</v>
      </c>
      <c r="K3783" t="s">
        <v>127</v>
      </c>
      <c r="L3783" t="s">
        <v>128</v>
      </c>
      <c r="N3783">
        <v>1</v>
      </c>
      <c r="O3783" s="89">
        <v>21358.959999999999</v>
      </c>
      <c r="P3783" s="89">
        <v>85435.839999999997</v>
      </c>
      <c r="Q3783" t="s">
        <v>130</v>
      </c>
      <c r="R3783" t="s">
        <v>131</v>
      </c>
    </row>
    <row r="3784" spans="3:18" hidden="1" x14ac:dyDescent="0.25">
      <c r="C3784" t="s">
        <v>45</v>
      </c>
      <c r="D3784" t="s">
        <v>24</v>
      </c>
      <c r="E3784" t="s">
        <v>46</v>
      </c>
      <c r="F3784" t="s">
        <v>41</v>
      </c>
      <c r="G3784" s="89">
        <v>44236</v>
      </c>
      <c r="H3784" t="s">
        <v>42</v>
      </c>
      <c r="I3784" t="s">
        <v>133</v>
      </c>
      <c r="J3784" s="89">
        <v>1725204</v>
      </c>
      <c r="K3784" t="s">
        <v>134</v>
      </c>
      <c r="N3784">
        <v>1</v>
      </c>
      <c r="O3784" s="89">
        <v>1327.08</v>
      </c>
      <c r="P3784" s="89">
        <v>36715.879999999997</v>
      </c>
      <c r="Q3784" t="s">
        <v>135</v>
      </c>
      <c r="R3784" t="s">
        <v>42</v>
      </c>
    </row>
    <row r="3785" spans="3:18" hidden="1" x14ac:dyDescent="0.25">
      <c r="C3785" t="s">
        <v>45</v>
      </c>
      <c r="D3785" t="s">
        <v>149</v>
      </c>
      <c r="E3785" t="s">
        <v>48</v>
      </c>
      <c r="F3785" t="s">
        <v>41</v>
      </c>
      <c r="G3785" s="89">
        <v>1200630</v>
      </c>
      <c r="H3785" t="s">
        <v>42</v>
      </c>
      <c r="I3785" t="s">
        <v>133</v>
      </c>
      <c r="J3785" s="89">
        <v>36018900</v>
      </c>
      <c r="K3785" t="s">
        <v>127</v>
      </c>
      <c r="L3785" t="s">
        <v>128</v>
      </c>
      <c r="M3785" t="s">
        <v>136</v>
      </c>
      <c r="N3785">
        <v>1</v>
      </c>
      <c r="O3785" s="89">
        <v>36018.9</v>
      </c>
      <c r="P3785" s="89">
        <v>612321.30000000005</v>
      </c>
      <c r="Q3785" t="s">
        <v>142</v>
      </c>
      <c r="R3785" t="s">
        <v>131</v>
      </c>
    </row>
    <row r="3786" spans="3:18" hidden="1" x14ac:dyDescent="0.25">
      <c r="C3786" t="s">
        <v>45</v>
      </c>
      <c r="D3786" t="s">
        <v>149</v>
      </c>
      <c r="E3786" t="s">
        <v>43</v>
      </c>
      <c r="F3786" t="s">
        <v>53</v>
      </c>
      <c r="G3786" s="89">
        <v>107792</v>
      </c>
      <c r="H3786" t="s">
        <v>132</v>
      </c>
      <c r="I3786" t="s">
        <v>133</v>
      </c>
      <c r="J3786" s="89">
        <v>4096096</v>
      </c>
      <c r="K3786" t="s">
        <v>144</v>
      </c>
      <c r="N3786">
        <v>1</v>
      </c>
      <c r="O3786" s="89">
        <v>3233.76</v>
      </c>
      <c r="P3786" s="89">
        <v>61441.440000000002</v>
      </c>
      <c r="Q3786" t="s">
        <v>142</v>
      </c>
      <c r="R3786" t="s">
        <v>131</v>
      </c>
    </row>
    <row r="3787" spans="3:18" x14ac:dyDescent="0.25">
      <c r="C3787" t="s">
        <v>47</v>
      </c>
      <c r="D3787" t="s">
        <v>21</v>
      </c>
      <c r="E3787" t="s">
        <v>40</v>
      </c>
      <c r="F3787" t="s">
        <v>41</v>
      </c>
      <c r="G3787" s="89">
        <v>2232872</v>
      </c>
      <c r="H3787" t="s">
        <v>140</v>
      </c>
      <c r="I3787" t="s">
        <v>126</v>
      </c>
      <c r="J3787" s="89">
        <v>22328720</v>
      </c>
      <c r="K3787" t="s">
        <v>134</v>
      </c>
      <c r="L3787" t="s">
        <v>128</v>
      </c>
      <c r="N3787">
        <v>1</v>
      </c>
      <c r="O3787" s="89">
        <v>89314.880000000005</v>
      </c>
      <c r="P3787" s="89">
        <v>1138764.72</v>
      </c>
      <c r="Q3787" t="s">
        <v>142</v>
      </c>
      <c r="R3787" t="s">
        <v>131</v>
      </c>
    </row>
    <row r="3788" spans="3:18" x14ac:dyDescent="0.25">
      <c r="C3788" t="s">
        <v>47</v>
      </c>
      <c r="D3788" t="s">
        <v>21</v>
      </c>
      <c r="E3788" t="s">
        <v>40</v>
      </c>
      <c r="F3788" t="s">
        <v>41</v>
      </c>
      <c r="G3788" s="89">
        <v>64170905</v>
      </c>
      <c r="H3788" t="s">
        <v>140</v>
      </c>
      <c r="I3788" t="s">
        <v>147</v>
      </c>
      <c r="J3788" s="89">
        <v>256683620</v>
      </c>
      <c r="K3788" t="s">
        <v>127</v>
      </c>
      <c r="L3788" t="s">
        <v>128</v>
      </c>
      <c r="N3788">
        <v>1</v>
      </c>
      <c r="O3788" s="89">
        <v>2566836.2000000002</v>
      </c>
      <c r="P3788" s="89">
        <v>30160325.350000001</v>
      </c>
      <c r="Q3788" t="s">
        <v>142</v>
      </c>
      <c r="R3788" t="s">
        <v>131</v>
      </c>
    </row>
    <row r="3789" spans="3:18" x14ac:dyDescent="0.25">
      <c r="C3789" t="s">
        <v>47</v>
      </c>
      <c r="D3789" t="s">
        <v>22</v>
      </c>
      <c r="E3789" t="s">
        <v>40</v>
      </c>
      <c r="F3789" t="s">
        <v>41</v>
      </c>
      <c r="G3789" s="89">
        <v>293724</v>
      </c>
      <c r="H3789" t="s">
        <v>146</v>
      </c>
      <c r="I3789" t="s">
        <v>126</v>
      </c>
      <c r="J3789" s="89">
        <v>4112136</v>
      </c>
      <c r="K3789" t="s">
        <v>127</v>
      </c>
      <c r="L3789" t="s">
        <v>128</v>
      </c>
      <c r="N3789">
        <v>1</v>
      </c>
      <c r="O3789" s="89">
        <v>14686.2</v>
      </c>
      <c r="P3789" s="89">
        <v>49933.08</v>
      </c>
      <c r="Q3789" t="s">
        <v>130</v>
      </c>
      <c r="R3789" t="s">
        <v>131</v>
      </c>
    </row>
    <row r="3790" spans="3:18" hidden="1" x14ac:dyDescent="0.25">
      <c r="C3790" t="s">
        <v>45</v>
      </c>
      <c r="D3790" t="s">
        <v>21</v>
      </c>
      <c r="E3790" t="s">
        <v>43</v>
      </c>
      <c r="F3790" t="s">
        <v>41</v>
      </c>
      <c r="G3790" s="89">
        <v>4216884</v>
      </c>
      <c r="H3790" t="s">
        <v>146</v>
      </c>
      <c r="I3790" t="s">
        <v>133</v>
      </c>
      <c r="J3790" s="89">
        <v>118072752</v>
      </c>
      <c r="K3790" t="s">
        <v>144</v>
      </c>
      <c r="N3790">
        <v>1</v>
      </c>
      <c r="O3790" s="89">
        <v>126506.52</v>
      </c>
      <c r="P3790" s="89">
        <v>1180727.52</v>
      </c>
      <c r="Q3790" t="s">
        <v>130</v>
      </c>
      <c r="R3790" t="s">
        <v>131</v>
      </c>
    </row>
    <row r="3791" spans="3:18" x14ac:dyDescent="0.25">
      <c r="C3791" t="s">
        <v>47</v>
      </c>
      <c r="D3791" t="s">
        <v>25</v>
      </c>
      <c r="E3791" t="s">
        <v>48</v>
      </c>
      <c r="F3791" t="s">
        <v>41</v>
      </c>
      <c r="G3791" s="89">
        <v>111836</v>
      </c>
      <c r="H3791" t="s">
        <v>145</v>
      </c>
      <c r="I3791" t="s">
        <v>147</v>
      </c>
      <c r="J3791" s="89">
        <v>223672</v>
      </c>
      <c r="K3791" t="s">
        <v>127</v>
      </c>
      <c r="L3791" t="s">
        <v>128</v>
      </c>
      <c r="N3791">
        <v>1</v>
      </c>
      <c r="O3791" s="89">
        <v>4473.4399999999996</v>
      </c>
      <c r="P3791" s="89">
        <v>45852.76</v>
      </c>
      <c r="Q3791" t="s">
        <v>142</v>
      </c>
      <c r="R3791" t="s">
        <v>131</v>
      </c>
    </row>
    <row r="3792" spans="3:18" hidden="1" x14ac:dyDescent="0.25">
      <c r="C3792" t="s">
        <v>45</v>
      </c>
      <c r="D3792" t="s">
        <v>22</v>
      </c>
      <c r="E3792" t="s">
        <v>48</v>
      </c>
      <c r="F3792" t="s">
        <v>41</v>
      </c>
      <c r="G3792" s="89">
        <v>138263</v>
      </c>
      <c r="H3792" t="s">
        <v>146</v>
      </c>
      <c r="I3792" t="s">
        <v>126</v>
      </c>
      <c r="J3792" s="89">
        <v>2626997</v>
      </c>
      <c r="K3792" t="s">
        <v>127</v>
      </c>
      <c r="L3792" t="s">
        <v>128</v>
      </c>
      <c r="N3792">
        <v>1</v>
      </c>
      <c r="O3792" s="89">
        <v>4147.8900000000003</v>
      </c>
      <c r="P3792" s="89">
        <v>76044.649999999994</v>
      </c>
      <c r="Q3792" t="s">
        <v>142</v>
      </c>
      <c r="R3792" t="s">
        <v>131</v>
      </c>
    </row>
    <row r="3793" spans="3:18" hidden="1" x14ac:dyDescent="0.25">
      <c r="C3793" t="s">
        <v>45</v>
      </c>
      <c r="D3793" t="s">
        <v>22</v>
      </c>
      <c r="E3793" t="s">
        <v>40</v>
      </c>
      <c r="F3793" t="s">
        <v>41</v>
      </c>
      <c r="G3793" s="89">
        <v>89745</v>
      </c>
      <c r="H3793" t="s">
        <v>154</v>
      </c>
      <c r="I3793" t="s">
        <v>133</v>
      </c>
      <c r="J3793" s="89">
        <v>2333370</v>
      </c>
      <c r="K3793" t="s">
        <v>127</v>
      </c>
      <c r="L3793" t="s">
        <v>128</v>
      </c>
      <c r="N3793">
        <v>1</v>
      </c>
      <c r="O3793" s="89">
        <v>4487.25</v>
      </c>
      <c r="P3793" s="89">
        <v>62821.5</v>
      </c>
      <c r="Q3793" t="s">
        <v>137</v>
      </c>
      <c r="R3793" t="s">
        <v>131</v>
      </c>
    </row>
    <row r="3794" spans="3:18" x14ac:dyDescent="0.25">
      <c r="C3794" t="s">
        <v>47</v>
      </c>
      <c r="D3794" t="s">
        <v>22</v>
      </c>
      <c r="E3794" t="s">
        <v>40</v>
      </c>
      <c r="F3794" t="s">
        <v>41</v>
      </c>
      <c r="G3794" s="89">
        <v>1629</v>
      </c>
      <c r="H3794" t="s">
        <v>132</v>
      </c>
      <c r="I3794" t="s">
        <v>147</v>
      </c>
      <c r="J3794" s="89"/>
      <c r="K3794" t="s">
        <v>127</v>
      </c>
      <c r="L3794" t="s">
        <v>151</v>
      </c>
      <c r="N3794">
        <v>0</v>
      </c>
      <c r="O3794" s="89">
        <v>65.16</v>
      </c>
      <c r="P3794" s="89">
        <v>16.29</v>
      </c>
      <c r="Q3794" t="s">
        <v>130</v>
      </c>
      <c r="R3794" t="s">
        <v>131</v>
      </c>
    </row>
    <row r="3795" spans="3:18" x14ac:dyDescent="0.25">
      <c r="C3795" t="s">
        <v>47</v>
      </c>
      <c r="D3795" t="s">
        <v>23</v>
      </c>
      <c r="E3795" t="s">
        <v>44</v>
      </c>
      <c r="F3795" t="s">
        <v>41</v>
      </c>
      <c r="G3795" s="89">
        <v>841855</v>
      </c>
      <c r="H3795" t="s">
        <v>146</v>
      </c>
      <c r="I3795" t="s">
        <v>153</v>
      </c>
      <c r="J3795" s="89"/>
      <c r="K3795" t="s">
        <v>127</v>
      </c>
      <c r="L3795" t="s">
        <v>128</v>
      </c>
      <c r="N3795">
        <v>0</v>
      </c>
      <c r="O3795" s="89">
        <v>50511.3</v>
      </c>
      <c r="P3795" s="89">
        <v>244137.95</v>
      </c>
      <c r="Q3795" t="s">
        <v>130</v>
      </c>
      <c r="R3795" t="s">
        <v>131</v>
      </c>
    </row>
    <row r="3796" spans="3:18" hidden="1" x14ac:dyDescent="0.25">
      <c r="C3796" t="s">
        <v>45</v>
      </c>
      <c r="D3796" t="s">
        <v>25</v>
      </c>
      <c r="E3796" t="s">
        <v>48</v>
      </c>
      <c r="F3796" t="s">
        <v>41</v>
      </c>
      <c r="G3796" s="89">
        <v>339877</v>
      </c>
      <c r="H3796" t="s">
        <v>145</v>
      </c>
      <c r="I3796" t="s">
        <v>126</v>
      </c>
      <c r="J3796" s="89">
        <v>4758278</v>
      </c>
      <c r="K3796" t="s">
        <v>127</v>
      </c>
      <c r="L3796" t="s">
        <v>128</v>
      </c>
      <c r="N3796">
        <v>1</v>
      </c>
      <c r="O3796" s="89">
        <v>10196.31</v>
      </c>
      <c r="P3796" s="89">
        <v>91766.79</v>
      </c>
      <c r="Q3796" t="s">
        <v>130</v>
      </c>
      <c r="R3796" t="s">
        <v>131</v>
      </c>
    </row>
    <row r="3797" spans="3:18" hidden="1" x14ac:dyDescent="0.25">
      <c r="C3797" t="s">
        <v>45</v>
      </c>
      <c r="D3797" t="s">
        <v>22</v>
      </c>
      <c r="E3797" t="s">
        <v>44</v>
      </c>
      <c r="F3797" t="s">
        <v>41</v>
      </c>
      <c r="G3797" s="89">
        <v>30004</v>
      </c>
      <c r="H3797" t="s">
        <v>42</v>
      </c>
      <c r="I3797" t="s">
        <v>141</v>
      </c>
      <c r="J3797" s="89">
        <v>210028</v>
      </c>
      <c r="K3797" t="s">
        <v>144</v>
      </c>
      <c r="N3797">
        <v>1</v>
      </c>
      <c r="O3797" s="89">
        <v>900.12</v>
      </c>
      <c r="P3797" s="89">
        <v>23703.16</v>
      </c>
      <c r="Q3797" t="s">
        <v>137</v>
      </c>
      <c r="R3797" t="s">
        <v>42</v>
      </c>
    </row>
    <row r="3798" spans="3:18" hidden="1" x14ac:dyDescent="0.25">
      <c r="C3798" t="s">
        <v>45</v>
      </c>
      <c r="D3798" t="s">
        <v>21</v>
      </c>
      <c r="E3798" t="s">
        <v>43</v>
      </c>
      <c r="F3798" t="s">
        <v>41</v>
      </c>
      <c r="G3798" s="89">
        <v>179182202</v>
      </c>
      <c r="H3798" t="s">
        <v>146</v>
      </c>
      <c r="I3798" t="s">
        <v>133</v>
      </c>
      <c r="J3798" s="89">
        <v>4479555050</v>
      </c>
      <c r="K3798" t="s">
        <v>127</v>
      </c>
      <c r="L3798" t="s">
        <v>128</v>
      </c>
      <c r="N3798">
        <v>1</v>
      </c>
      <c r="O3798" s="89">
        <v>5375466.0599999996</v>
      </c>
      <c r="P3798" s="89">
        <v>93174745.040000007</v>
      </c>
      <c r="Q3798" t="s">
        <v>142</v>
      </c>
      <c r="R3798" t="s">
        <v>131</v>
      </c>
    </row>
    <row r="3799" spans="3:18" hidden="1" x14ac:dyDescent="0.25">
      <c r="C3799" t="s">
        <v>45</v>
      </c>
      <c r="D3799" t="s">
        <v>20</v>
      </c>
      <c r="E3799" t="s">
        <v>48</v>
      </c>
      <c r="F3799" t="s">
        <v>41</v>
      </c>
      <c r="G3799" s="89">
        <v>2761218</v>
      </c>
      <c r="H3799" t="s">
        <v>42</v>
      </c>
      <c r="I3799" t="s">
        <v>133</v>
      </c>
      <c r="J3799" s="89">
        <v>80075322</v>
      </c>
      <c r="K3799" t="s">
        <v>127</v>
      </c>
      <c r="L3799" t="s">
        <v>128</v>
      </c>
      <c r="M3799" t="s">
        <v>139</v>
      </c>
      <c r="N3799">
        <v>1</v>
      </c>
      <c r="O3799" s="89">
        <v>82836.539999999994</v>
      </c>
      <c r="P3799" s="89">
        <v>1463445.54</v>
      </c>
      <c r="Q3799" t="s">
        <v>142</v>
      </c>
      <c r="R3799" t="s">
        <v>131</v>
      </c>
    </row>
    <row r="3800" spans="3:18" hidden="1" x14ac:dyDescent="0.25">
      <c r="C3800" t="s">
        <v>45</v>
      </c>
      <c r="D3800" t="s">
        <v>23</v>
      </c>
      <c r="E3800" t="s">
        <v>40</v>
      </c>
      <c r="F3800" t="s">
        <v>53</v>
      </c>
      <c r="G3800" s="89">
        <v>95478</v>
      </c>
      <c r="H3800" t="s">
        <v>42</v>
      </c>
      <c r="I3800" t="s">
        <v>126</v>
      </c>
      <c r="J3800" s="89">
        <v>1050258</v>
      </c>
      <c r="K3800" t="s">
        <v>144</v>
      </c>
      <c r="N3800">
        <v>1</v>
      </c>
      <c r="O3800" s="89">
        <v>2864.34</v>
      </c>
      <c r="P3800" s="89">
        <v>37236.42</v>
      </c>
      <c r="Q3800" t="s">
        <v>130</v>
      </c>
      <c r="R3800" t="s">
        <v>42</v>
      </c>
    </row>
    <row r="3801" spans="3:18" hidden="1" x14ac:dyDescent="0.25">
      <c r="C3801" t="s">
        <v>45</v>
      </c>
      <c r="D3801" t="s">
        <v>20</v>
      </c>
      <c r="E3801" t="s">
        <v>43</v>
      </c>
      <c r="F3801" t="s">
        <v>41</v>
      </c>
      <c r="G3801" s="89">
        <v>336443</v>
      </c>
      <c r="H3801" t="s">
        <v>42</v>
      </c>
      <c r="I3801" t="s">
        <v>133</v>
      </c>
      <c r="J3801" s="89">
        <v>11439062</v>
      </c>
      <c r="K3801" t="s">
        <v>127</v>
      </c>
      <c r="L3801" t="s">
        <v>151</v>
      </c>
      <c r="M3801" t="s">
        <v>156</v>
      </c>
      <c r="N3801">
        <v>1</v>
      </c>
      <c r="O3801" s="89">
        <v>10093.290000000001</v>
      </c>
      <c r="P3801" s="89">
        <v>222052.38</v>
      </c>
      <c r="Q3801" t="s">
        <v>137</v>
      </c>
      <c r="R3801" t="s">
        <v>131</v>
      </c>
    </row>
    <row r="3802" spans="3:18" hidden="1" x14ac:dyDescent="0.25">
      <c r="C3802" t="s">
        <v>45</v>
      </c>
      <c r="D3802" t="s">
        <v>22</v>
      </c>
      <c r="E3802" t="s">
        <v>43</v>
      </c>
      <c r="F3802" t="s">
        <v>41</v>
      </c>
      <c r="G3802" s="89">
        <v>262108</v>
      </c>
      <c r="H3802" t="s">
        <v>42</v>
      </c>
      <c r="I3802" t="s">
        <v>126</v>
      </c>
      <c r="J3802" s="89">
        <v>4717944</v>
      </c>
      <c r="K3802" t="s">
        <v>127</v>
      </c>
      <c r="L3802" t="s">
        <v>128</v>
      </c>
      <c r="M3802" t="s">
        <v>143</v>
      </c>
      <c r="N3802">
        <v>1</v>
      </c>
      <c r="O3802" s="89">
        <v>7863.24</v>
      </c>
      <c r="P3802" s="89">
        <v>167749.12</v>
      </c>
      <c r="Q3802" t="s">
        <v>137</v>
      </c>
      <c r="R3802" t="s">
        <v>42</v>
      </c>
    </row>
    <row r="3803" spans="3:18" hidden="1" x14ac:dyDescent="0.25">
      <c r="C3803" t="s">
        <v>45</v>
      </c>
      <c r="D3803" t="s">
        <v>22</v>
      </c>
      <c r="E3803" t="s">
        <v>40</v>
      </c>
      <c r="F3803" t="s">
        <v>41</v>
      </c>
      <c r="G3803" s="89">
        <v>11269228</v>
      </c>
      <c r="H3803" t="s">
        <v>132</v>
      </c>
      <c r="I3803" t="s">
        <v>133</v>
      </c>
      <c r="J3803" s="89">
        <v>315538384</v>
      </c>
      <c r="K3803" t="s">
        <v>144</v>
      </c>
      <c r="N3803">
        <v>1</v>
      </c>
      <c r="O3803" s="89">
        <v>338076.84</v>
      </c>
      <c r="P3803" s="89">
        <v>5634614</v>
      </c>
      <c r="Q3803" t="s">
        <v>142</v>
      </c>
      <c r="R3803" t="s">
        <v>131</v>
      </c>
    </row>
    <row r="3804" spans="3:18" hidden="1" x14ac:dyDescent="0.25">
      <c r="C3804" t="s">
        <v>45</v>
      </c>
      <c r="D3804" t="s">
        <v>21</v>
      </c>
      <c r="E3804" t="s">
        <v>40</v>
      </c>
      <c r="F3804" t="s">
        <v>41</v>
      </c>
      <c r="G3804" s="89">
        <v>48985</v>
      </c>
      <c r="H3804" t="s">
        <v>42</v>
      </c>
      <c r="I3804" t="s">
        <v>126</v>
      </c>
      <c r="J3804" s="89">
        <v>489850</v>
      </c>
      <c r="K3804" t="s">
        <v>127</v>
      </c>
      <c r="L3804" t="s">
        <v>128</v>
      </c>
      <c r="M3804" t="s">
        <v>143</v>
      </c>
      <c r="N3804">
        <v>1</v>
      </c>
      <c r="O3804" s="89">
        <v>1959.4</v>
      </c>
      <c r="P3804" s="89">
        <v>16654.900000000001</v>
      </c>
      <c r="Q3804" t="s">
        <v>130</v>
      </c>
      <c r="R3804" t="s">
        <v>131</v>
      </c>
    </row>
    <row r="3805" spans="3:18" hidden="1" x14ac:dyDescent="0.25">
      <c r="C3805" t="s">
        <v>45</v>
      </c>
      <c r="D3805" t="s">
        <v>149</v>
      </c>
      <c r="E3805" t="s">
        <v>43</v>
      </c>
      <c r="F3805" t="s">
        <v>41</v>
      </c>
      <c r="G3805" s="89">
        <v>483395</v>
      </c>
      <c r="H3805" t="s">
        <v>132</v>
      </c>
      <c r="I3805" t="s">
        <v>126</v>
      </c>
      <c r="J3805" s="89">
        <v>7734320</v>
      </c>
      <c r="K3805" t="s">
        <v>127</v>
      </c>
      <c r="L3805" t="s">
        <v>128</v>
      </c>
      <c r="N3805">
        <v>1</v>
      </c>
      <c r="O3805" s="89">
        <v>14501.85</v>
      </c>
      <c r="P3805" s="89">
        <v>246531.45</v>
      </c>
      <c r="Q3805" t="s">
        <v>142</v>
      </c>
      <c r="R3805" t="s">
        <v>131</v>
      </c>
    </row>
    <row r="3806" spans="3:18" hidden="1" x14ac:dyDescent="0.25">
      <c r="C3806" t="s">
        <v>45</v>
      </c>
      <c r="D3806" t="s">
        <v>138</v>
      </c>
      <c r="E3806" t="s">
        <v>43</v>
      </c>
      <c r="F3806" t="s">
        <v>41</v>
      </c>
      <c r="G3806" s="89">
        <v>507705</v>
      </c>
      <c r="H3806" t="s">
        <v>145</v>
      </c>
      <c r="I3806" t="s">
        <v>126</v>
      </c>
      <c r="J3806" s="89">
        <v>7615575</v>
      </c>
      <c r="K3806" t="s">
        <v>144</v>
      </c>
      <c r="N3806">
        <v>1</v>
      </c>
      <c r="O3806" s="89">
        <v>15231.15</v>
      </c>
      <c r="P3806" s="89">
        <v>142157.4</v>
      </c>
      <c r="Q3806" t="s">
        <v>130</v>
      </c>
      <c r="R3806" t="s">
        <v>131</v>
      </c>
    </row>
    <row r="3807" spans="3:18" hidden="1" x14ac:dyDescent="0.25">
      <c r="C3807" t="s">
        <v>45</v>
      </c>
      <c r="D3807" t="s">
        <v>138</v>
      </c>
      <c r="E3807" t="s">
        <v>43</v>
      </c>
      <c r="F3807" t="s">
        <v>41</v>
      </c>
      <c r="G3807" s="89">
        <v>499898</v>
      </c>
      <c r="H3807" t="s">
        <v>42</v>
      </c>
      <c r="I3807" t="s">
        <v>133</v>
      </c>
      <c r="J3807" s="89">
        <v>17496430</v>
      </c>
      <c r="K3807" t="s">
        <v>127</v>
      </c>
      <c r="L3807" t="s">
        <v>128</v>
      </c>
      <c r="M3807" t="s">
        <v>152</v>
      </c>
      <c r="N3807">
        <v>1</v>
      </c>
      <c r="O3807" s="89">
        <v>19995.919999999998</v>
      </c>
      <c r="P3807" s="89">
        <v>354927.58</v>
      </c>
      <c r="Q3807" t="s">
        <v>137</v>
      </c>
      <c r="R3807" t="s">
        <v>42</v>
      </c>
    </row>
    <row r="3808" spans="3:18" x14ac:dyDescent="0.25">
      <c r="C3808" t="s">
        <v>47</v>
      </c>
      <c r="D3808" t="s">
        <v>22</v>
      </c>
      <c r="E3808" t="s">
        <v>43</v>
      </c>
      <c r="F3808" t="s">
        <v>41</v>
      </c>
      <c r="G3808" s="89">
        <v>245962</v>
      </c>
      <c r="H3808" t="s">
        <v>146</v>
      </c>
      <c r="I3808" t="s">
        <v>126</v>
      </c>
      <c r="J3808" s="89">
        <v>3197506</v>
      </c>
      <c r="K3808" t="s">
        <v>127</v>
      </c>
      <c r="L3808" t="s">
        <v>128</v>
      </c>
      <c r="N3808">
        <v>1</v>
      </c>
      <c r="O3808" s="89">
        <v>9838.48</v>
      </c>
      <c r="P3808" s="89">
        <v>199229.22</v>
      </c>
      <c r="Q3808" t="s">
        <v>135</v>
      </c>
      <c r="R3808" t="s">
        <v>131</v>
      </c>
    </row>
    <row r="3809" spans="3:18" x14ac:dyDescent="0.25">
      <c r="C3809" t="s">
        <v>47</v>
      </c>
      <c r="D3809" t="s">
        <v>149</v>
      </c>
      <c r="E3809" t="s">
        <v>43</v>
      </c>
      <c r="F3809" t="s">
        <v>41</v>
      </c>
      <c r="G3809" s="89">
        <v>158272</v>
      </c>
      <c r="H3809" t="s">
        <v>146</v>
      </c>
      <c r="I3809" t="s">
        <v>147</v>
      </c>
      <c r="J3809" s="89">
        <v>474816</v>
      </c>
      <c r="K3809" t="s">
        <v>127</v>
      </c>
      <c r="L3809" t="s">
        <v>128</v>
      </c>
      <c r="N3809">
        <v>1</v>
      </c>
      <c r="O3809" s="89">
        <v>7913.6</v>
      </c>
      <c r="P3809" s="89">
        <v>0</v>
      </c>
      <c r="Q3809" t="s">
        <v>130</v>
      </c>
      <c r="R3809" t="s">
        <v>131</v>
      </c>
    </row>
    <row r="3810" spans="3:18" hidden="1" x14ac:dyDescent="0.25">
      <c r="C3810" t="s">
        <v>45</v>
      </c>
      <c r="D3810" t="s">
        <v>25</v>
      </c>
      <c r="E3810" t="s">
        <v>48</v>
      </c>
      <c r="F3810" t="s">
        <v>41</v>
      </c>
      <c r="G3810" s="89">
        <v>754346</v>
      </c>
      <c r="H3810" t="s">
        <v>140</v>
      </c>
      <c r="I3810" t="s">
        <v>126</v>
      </c>
      <c r="J3810" s="89">
        <v>10560844</v>
      </c>
      <c r="K3810" t="s">
        <v>127</v>
      </c>
      <c r="L3810" t="s">
        <v>128</v>
      </c>
      <c r="N3810">
        <v>1</v>
      </c>
      <c r="O3810" s="89">
        <v>22630.38</v>
      </c>
      <c r="P3810" s="89">
        <v>218760.34</v>
      </c>
      <c r="Q3810" t="s">
        <v>130</v>
      </c>
      <c r="R3810" t="s">
        <v>131</v>
      </c>
    </row>
    <row r="3811" spans="3:18" hidden="1" x14ac:dyDescent="0.25">
      <c r="C3811" t="s">
        <v>45</v>
      </c>
      <c r="D3811" t="s">
        <v>24</v>
      </c>
      <c r="E3811" t="s">
        <v>48</v>
      </c>
      <c r="F3811" t="s">
        <v>41</v>
      </c>
      <c r="G3811" s="89">
        <v>203715</v>
      </c>
      <c r="H3811" t="s">
        <v>146</v>
      </c>
      <c r="I3811" t="s">
        <v>133</v>
      </c>
      <c r="J3811" s="89">
        <v>5907735</v>
      </c>
      <c r="K3811" t="s">
        <v>144</v>
      </c>
      <c r="N3811">
        <v>1</v>
      </c>
      <c r="O3811" s="89">
        <v>4074.3</v>
      </c>
      <c r="P3811" s="89">
        <v>83523.149999999994</v>
      </c>
      <c r="Q3811" t="s">
        <v>142</v>
      </c>
      <c r="R3811" t="s">
        <v>131</v>
      </c>
    </row>
    <row r="3812" spans="3:18" hidden="1" x14ac:dyDescent="0.25">
      <c r="C3812" t="s">
        <v>45</v>
      </c>
      <c r="D3812" t="s">
        <v>21</v>
      </c>
      <c r="E3812" t="s">
        <v>40</v>
      </c>
      <c r="F3812" t="s">
        <v>41</v>
      </c>
      <c r="G3812" s="89">
        <v>3183437</v>
      </c>
      <c r="H3812" t="s">
        <v>140</v>
      </c>
      <c r="I3812" t="s">
        <v>133</v>
      </c>
      <c r="J3812" s="89">
        <v>95503110</v>
      </c>
      <c r="K3812" t="s">
        <v>127</v>
      </c>
      <c r="L3812" t="s">
        <v>128</v>
      </c>
      <c r="N3812">
        <v>1</v>
      </c>
      <c r="O3812" s="89">
        <v>95503.11</v>
      </c>
      <c r="P3812" s="89">
        <v>3851958.77</v>
      </c>
      <c r="Q3812" t="s">
        <v>150</v>
      </c>
      <c r="R3812" t="s">
        <v>131</v>
      </c>
    </row>
    <row r="3813" spans="3:18" hidden="1" x14ac:dyDescent="0.25">
      <c r="C3813" t="s">
        <v>45</v>
      </c>
      <c r="D3813" t="s">
        <v>23</v>
      </c>
      <c r="E3813" t="s">
        <v>48</v>
      </c>
      <c r="F3813" t="s">
        <v>41</v>
      </c>
      <c r="G3813" s="89">
        <v>513787</v>
      </c>
      <c r="H3813" t="s">
        <v>42</v>
      </c>
      <c r="I3813" t="s">
        <v>147</v>
      </c>
      <c r="J3813" s="89">
        <v>1541361</v>
      </c>
      <c r="K3813" t="s">
        <v>127</v>
      </c>
      <c r="L3813" t="s">
        <v>128</v>
      </c>
      <c r="M3813" t="s">
        <v>152</v>
      </c>
      <c r="N3813">
        <v>1</v>
      </c>
      <c r="O3813" s="89">
        <v>20551.48</v>
      </c>
      <c r="P3813" s="89">
        <v>77068.05</v>
      </c>
      <c r="Q3813" t="s">
        <v>130</v>
      </c>
      <c r="R3813" t="s">
        <v>131</v>
      </c>
    </row>
    <row r="3814" spans="3:18" hidden="1" x14ac:dyDescent="0.25">
      <c r="C3814" t="s">
        <v>45</v>
      </c>
      <c r="D3814" t="s">
        <v>138</v>
      </c>
      <c r="E3814" t="s">
        <v>43</v>
      </c>
      <c r="F3814" t="s">
        <v>53</v>
      </c>
      <c r="G3814" s="89">
        <v>1417206</v>
      </c>
      <c r="H3814" t="s">
        <v>42</v>
      </c>
      <c r="I3814" t="s">
        <v>133</v>
      </c>
      <c r="J3814" s="89">
        <v>39681768</v>
      </c>
      <c r="K3814" t="s">
        <v>144</v>
      </c>
      <c r="N3814">
        <v>1</v>
      </c>
      <c r="O3814" s="89">
        <v>42516.18</v>
      </c>
      <c r="P3814" s="89">
        <v>779463.3</v>
      </c>
      <c r="Q3814" t="s">
        <v>142</v>
      </c>
      <c r="R3814" t="s">
        <v>42</v>
      </c>
    </row>
    <row r="3815" spans="3:18" hidden="1" x14ac:dyDescent="0.25">
      <c r="C3815" t="s">
        <v>45</v>
      </c>
      <c r="D3815" t="s">
        <v>24</v>
      </c>
      <c r="E3815" t="s">
        <v>48</v>
      </c>
      <c r="F3815" t="s">
        <v>41</v>
      </c>
      <c r="G3815" s="89">
        <v>83001</v>
      </c>
      <c r="H3815" t="s">
        <v>42</v>
      </c>
      <c r="I3815" t="s">
        <v>126</v>
      </c>
      <c r="J3815" s="89">
        <v>1079013</v>
      </c>
      <c r="K3815" t="s">
        <v>134</v>
      </c>
      <c r="L3815" t="s">
        <v>128</v>
      </c>
      <c r="M3815" t="s">
        <v>148</v>
      </c>
      <c r="N3815">
        <v>1</v>
      </c>
      <c r="O3815" s="89">
        <v>2490.0300000000002</v>
      </c>
      <c r="P3815" s="89">
        <v>20750.25</v>
      </c>
      <c r="Q3815" t="s">
        <v>130</v>
      </c>
      <c r="R3815" t="s">
        <v>131</v>
      </c>
    </row>
    <row r="3816" spans="3:18" hidden="1" x14ac:dyDescent="0.25">
      <c r="C3816" t="s">
        <v>45</v>
      </c>
      <c r="D3816" t="s">
        <v>23</v>
      </c>
      <c r="E3816" t="s">
        <v>40</v>
      </c>
      <c r="F3816" t="s">
        <v>41</v>
      </c>
      <c r="G3816" s="89">
        <v>586238</v>
      </c>
      <c r="H3816" t="s">
        <v>140</v>
      </c>
      <c r="I3816" t="s">
        <v>141</v>
      </c>
      <c r="J3816" s="89">
        <v>4689904</v>
      </c>
      <c r="K3816" t="s">
        <v>127</v>
      </c>
      <c r="L3816" t="s">
        <v>128</v>
      </c>
      <c r="N3816">
        <v>1</v>
      </c>
      <c r="O3816" s="89">
        <v>17587.14</v>
      </c>
      <c r="P3816" s="89">
        <v>416228.98</v>
      </c>
      <c r="Q3816" t="s">
        <v>137</v>
      </c>
      <c r="R3816" t="s">
        <v>131</v>
      </c>
    </row>
    <row r="3817" spans="3:18" hidden="1" x14ac:dyDescent="0.25">
      <c r="C3817" t="s">
        <v>45</v>
      </c>
      <c r="D3817" t="s">
        <v>22</v>
      </c>
      <c r="E3817" t="s">
        <v>43</v>
      </c>
      <c r="F3817" t="s">
        <v>41</v>
      </c>
      <c r="G3817" s="89">
        <v>20236</v>
      </c>
      <c r="H3817" t="s">
        <v>140</v>
      </c>
      <c r="I3817" t="s">
        <v>126</v>
      </c>
      <c r="J3817" s="89">
        <v>222596</v>
      </c>
      <c r="K3817" t="s">
        <v>134</v>
      </c>
      <c r="L3817" t="s">
        <v>128</v>
      </c>
      <c r="N3817">
        <v>1</v>
      </c>
      <c r="O3817" s="89">
        <v>1011.8</v>
      </c>
      <c r="P3817" s="89">
        <v>4047.2</v>
      </c>
      <c r="Q3817" t="s">
        <v>130</v>
      </c>
      <c r="R3817" t="s">
        <v>131</v>
      </c>
    </row>
    <row r="3818" spans="3:18" x14ac:dyDescent="0.25">
      <c r="C3818" t="s">
        <v>47</v>
      </c>
      <c r="D3818" t="s">
        <v>21</v>
      </c>
      <c r="E3818" t="s">
        <v>40</v>
      </c>
      <c r="F3818" t="s">
        <v>41</v>
      </c>
      <c r="G3818" s="89">
        <v>833596</v>
      </c>
      <c r="H3818" t="s">
        <v>154</v>
      </c>
      <c r="I3818" t="s">
        <v>147</v>
      </c>
      <c r="J3818" s="89">
        <v>2500788</v>
      </c>
      <c r="K3818" t="s">
        <v>127</v>
      </c>
      <c r="L3818" t="s">
        <v>128</v>
      </c>
      <c r="N3818">
        <v>1</v>
      </c>
      <c r="O3818" s="89">
        <v>41679.800000000003</v>
      </c>
      <c r="P3818" s="89">
        <v>100031.52</v>
      </c>
      <c r="Q3818" t="s">
        <v>130</v>
      </c>
      <c r="R3818" t="s">
        <v>131</v>
      </c>
    </row>
    <row r="3819" spans="3:18" hidden="1" x14ac:dyDescent="0.25">
      <c r="C3819" t="s">
        <v>45</v>
      </c>
      <c r="D3819" t="s">
        <v>22</v>
      </c>
      <c r="E3819" t="s">
        <v>43</v>
      </c>
      <c r="F3819" t="s">
        <v>41</v>
      </c>
      <c r="G3819" s="89">
        <v>180521</v>
      </c>
      <c r="H3819" t="s">
        <v>42</v>
      </c>
      <c r="I3819" t="s">
        <v>133</v>
      </c>
      <c r="J3819" s="89">
        <v>4151983</v>
      </c>
      <c r="K3819" t="s">
        <v>127</v>
      </c>
      <c r="L3819" t="s">
        <v>128</v>
      </c>
      <c r="M3819" t="s">
        <v>129</v>
      </c>
      <c r="N3819">
        <v>1</v>
      </c>
      <c r="O3819" s="89">
        <v>5415.63</v>
      </c>
      <c r="P3819" s="89">
        <v>99286.55</v>
      </c>
      <c r="Q3819" t="s">
        <v>142</v>
      </c>
      <c r="R3819" t="s">
        <v>42</v>
      </c>
    </row>
    <row r="3820" spans="3:18" hidden="1" x14ac:dyDescent="0.25">
      <c r="C3820" t="s">
        <v>45</v>
      </c>
      <c r="D3820" t="s">
        <v>22</v>
      </c>
      <c r="E3820" t="s">
        <v>40</v>
      </c>
      <c r="F3820" t="s">
        <v>53</v>
      </c>
      <c r="G3820" s="89">
        <v>188788</v>
      </c>
      <c r="H3820" t="s">
        <v>145</v>
      </c>
      <c r="I3820" t="s">
        <v>126</v>
      </c>
      <c r="J3820" s="89">
        <v>3398184</v>
      </c>
      <c r="K3820" t="s">
        <v>144</v>
      </c>
      <c r="N3820">
        <v>1</v>
      </c>
      <c r="O3820" s="89">
        <v>5663.64</v>
      </c>
      <c r="P3820" s="89">
        <v>71739.44</v>
      </c>
      <c r="Q3820" t="s">
        <v>130</v>
      </c>
      <c r="R3820" t="s">
        <v>131</v>
      </c>
    </row>
    <row r="3821" spans="3:18" hidden="1" x14ac:dyDescent="0.25">
      <c r="C3821" t="s">
        <v>45</v>
      </c>
      <c r="D3821" t="s">
        <v>24</v>
      </c>
      <c r="E3821" t="s">
        <v>48</v>
      </c>
      <c r="F3821" t="s">
        <v>41</v>
      </c>
      <c r="G3821" s="89">
        <v>4916332</v>
      </c>
      <c r="H3821" t="s">
        <v>145</v>
      </c>
      <c r="I3821" t="s">
        <v>133</v>
      </c>
      <c r="J3821" s="89">
        <v>132740964</v>
      </c>
      <c r="K3821" t="s">
        <v>127</v>
      </c>
      <c r="L3821" t="s">
        <v>128</v>
      </c>
      <c r="N3821">
        <v>1</v>
      </c>
      <c r="O3821" s="89">
        <v>147489.96</v>
      </c>
      <c r="P3821" s="89">
        <v>1425736.28</v>
      </c>
      <c r="Q3821" t="s">
        <v>130</v>
      </c>
      <c r="R3821" t="s">
        <v>131</v>
      </c>
    </row>
    <row r="3822" spans="3:18" hidden="1" x14ac:dyDescent="0.25">
      <c r="C3822" t="s">
        <v>45</v>
      </c>
      <c r="D3822" t="s">
        <v>19</v>
      </c>
      <c r="E3822" t="s">
        <v>43</v>
      </c>
      <c r="F3822" t="s">
        <v>41</v>
      </c>
      <c r="G3822" s="89">
        <v>185600</v>
      </c>
      <c r="H3822" t="s">
        <v>146</v>
      </c>
      <c r="I3822" t="s">
        <v>126</v>
      </c>
      <c r="J3822" s="89">
        <v>3340800</v>
      </c>
      <c r="K3822" t="s">
        <v>127</v>
      </c>
      <c r="L3822" t="s">
        <v>128</v>
      </c>
      <c r="N3822">
        <v>1</v>
      </c>
      <c r="O3822" s="89">
        <v>11136</v>
      </c>
      <c r="P3822" s="89">
        <v>259840</v>
      </c>
      <c r="Q3822" t="s">
        <v>150</v>
      </c>
      <c r="R3822" t="s">
        <v>131</v>
      </c>
    </row>
    <row r="3823" spans="3:18" x14ac:dyDescent="0.25">
      <c r="C3823" t="s">
        <v>47</v>
      </c>
      <c r="D3823" t="s">
        <v>50</v>
      </c>
      <c r="E3823" t="s">
        <v>50</v>
      </c>
      <c r="F3823" t="s">
        <v>41</v>
      </c>
      <c r="G3823" s="89">
        <v>368621</v>
      </c>
      <c r="H3823" t="s">
        <v>51</v>
      </c>
      <c r="I3823" t="s">
        <v>147</v>
      </c>
      <c r="J3823" s="89"/>
      <c r="K3823" t="s">
        <v>127</v>
      </c>
      <c r="N3823">
        <v>0</v>
      </c>
      <c r="O3823" s="89">
        <v>11058.63</v>
      </c>
      <c r="P3823" s="89">
        <v>0</v>
      </c>
      <c r="Q3823" t="s">
        <v>130</v>
      </c>
    </row>
    <row r="3824" spans="3:18" hidden="1" x14ac:dyDescent="0.25">
      <c r="C3824" t="s">
        <v>45</v>
      </c>
      <c r="D3824" t="s">
        <v>20</v>
      </c>
      <c r="E3824" t="s">
        <v>43</v>
      </c>
      <c r="F3824" t="s">
        <v>41</v>
      </c>
      <c r="G3824" s="89">
        <v>85681</v>
      </c>
      <c r="H3824" t="s">
        <v>132</v>
      </c>
      <c r="I3824" t="s">
        <v>126</v>
      </c>
      <c r="J3824" s="89">
        <v>1627939</v>
      </c>
      <c r="K3824" t="s">
        <v>144</v>
      </c>
      <c r="N3824">
        <v>1</v>
      </c>
      <c r="O3824" s="89">
        <v>2570.4299999999998</v>
      </c>
      <c r="P3824" s="89">
        <v>23990.68</v>
      </c>
      <c r="Q3824" t="s">
        <v>130</v>
      </c>
      <c r="R3824" t="s">
        <v>131</v>
      </c>
    </row>
    <row r="3825" spans="3:18" hidden="1" x14ac:dyDescent="0.25">
      <c r="C3825" t="s">
        <v>45</v>
      </c>
      <c r="D3825" t="s">
        <v>25</v>
      </c>
      <c r="E3825" t="s">
        <v>48</v>
      </c>
      <c r="F3825" t="s">
        <v>41</v>
      </c>
      <c r="G3825" s="89">
        <v>85986</v>
      </c>
      <c r="H3825" t="s">
        <v>140</v>
      </c>
      <c r="I3825" t="s">
        <v>126</v>
      </c>
      <c r="J3825" s="89">
        <v>1633734</v>
      </c>
      <c r="K3825" t="s">
        <v>144</v>
      </c>
      <c r="N3825">
        <v>1</v>
      </c>
      <c r="O3825" s="89">
        <v>2579.58</v>
      </c>
      <c r="P3825" s="89">
        <v>44712.72</v>
      </c>
      <c r="Q3825" t="s">
        <v>142</v>
      </c>
      <c r="R3825" t="s">
        <v>131</v>
      </c>
    </row>
    <row r="3826" spans="3:18" hidden="1" x14ac:dyDescent="0.25">
      <c r="C3826" t="s">
        <v>45</v>
      </c>
      <c r="D3826" t="s">
        <v>24</v>
      </c>
      <c r="E3826" t="s">
        <v>48</v>
      </c>
      <c r="F3826" t="s">
        <v>41</v>
      </c>
      <c r="G3826" s="89">
        <v>1774717</v>
      </c>
      <c r="H3826" t="s">
        <v>145</v>
      </c>
      <c r="I3826" t="s">
        <v>147</v>
      </c>
      <c r="J3826" s="89">
        <v>5324151</v>
      </c>
      <c r="K3826" t="s">
        <v>127</v>
      </c>
      <c r="L3826" t="s">
        <v>128</v>
      </c>
      <c r="N3826">
        <v>1</v>
      </c>
      <c r="O3826" s="89">
        <v>53241.51</v>
      </c>
      <c r="P3826" s="89">
        <v>212966.04</v>
      </c>
      <c r="Q3826" t="s">
        <v>130</v>
      </c>
      <c r="R3826" t="s">
        <v>131</v>
      </c>
    </row>
    <row r="3827" spans="3:18" x14ac:dyDescent="0.25">
      <c r="C3827" t="s">
        <v>47</v>
      </c>
      <c r="D3827" t="s">
        <v>21</v>
      </c>
      <c r="E3827" t="s">
        <v>43</v>
      </c>
      <c r="F3827" t="s">
        <v>41</v>
      </c>
      <c r="G3827" s="89">
        <v>632743</v>
      </c>
      <c r="H3827" t="s">
        <v>42</v>
      </c>
      <c r="I3827" t="s">
        <v>147</v>
      </c>
      <c r="J3827" s="89">
        <v>2530972</v>
      </c>
      <c r="K3827" t="s">
        <v>127</v>
      </c>
      <c r="L3827" t="s">
        <v>128</v>
      </c>
      <c r="M3827" t="s">
        <v>129</v>
      </c>
      <c r="N3827">
        <v>1</v>
      </c>
      <c r="O3827" s="89">
        <v>25309.72</v>
      </c>
      <c r="P3827" s="89">
        <v>329026.36</v>
      </c>
      <c r="Q3827" t="s">
        <v>142</v>
      </c>
      <c r="R3827" t="s">
        <v>42</v>
      </c>
    </row>
    <row r="3828" spans="3:18" hidden="1" x14ac:dyDescent="0.25">
      <c r="C3828" t="s">
        <v>45</v>
      </c>
      <c r="D3828" t="s">
        <v>138</v>
      </c>
      <c r="E3828" t="s">
        <v>43</v>
      </c>
      <c r="F3828" t="s">
        <v>41</v>
      </c>
      <c r="G3828" s="89">
        <v>2830162</v>
      </c>
      <c r="H3828" t="s">
        <v>42</v>
      </c>
      <c r="I3828" t="s">
        <v>126</v>
      </c>
      <c r="J3828" s="89">
        <v>45282592</v>
      </c>
      <c r="K3828" t="s">
        <v>127</v>
      </c>
      <c r="L3828" t="s">
        <v>128</v>
      </c>
      <c r="M3828" t="s">
        <v>139</v>
      </c>
      <c r="N3828">
        <v>1</v>
      </c>
      <c r="O3828" s="89">
        <v>113206.48</v>
      </c>
      <c r="P3828" s="89">
        <v>707540.5</v>
      </c>
      <c r="Q3828" t="s">
        <v>130</v>
      </c>
      <c r="R3828" t="s">
        <v>42</v>
      </c>
    </row>
    <row r="3829" spans="3:18" x14ac:dyDescent="0.25">
      <c r="C3829" t="s">
        <v>47</v>
      </c>
      <c r="D3829" t="s">
        <v>138</v>
      </c>
      <c r="E3829" t="s">
        <v>40</v>
      </c>
      <c r="F3829" t="s">
        <v>41</v>
      </c>
      <c r="G3829" s="89">
        <v>207</v>
      </c>
      <c r="H3829" t="s">
        <v>42</v>
      </c>
      <c r="I3829" t="s">
        <v>147</v>
      </c>
      <c r="J3829" s="89"/>
      <c r="K3829" t="s">
        <v>127</v>
      </c>
      <c r="L3829" t="s">
        <v>128</v>
      </c>
      <c r="M3829" t="s">
        <v>139</v>
      </c>
      <c r="N3829">
        <v>0</v>
      </c>
      <c r="O3829" s="89">
        <v>6.21</v>
      </c>
      <c r="P3829" s="89">
        <v>0</v>
      </c>
      <c r="Q3829" t="s">
        <v>130</v>
      </c>
      <c r="R3829" t="s">
        <v>131</v>
      </c>
    </row>
    <row r="3830" spans="3:18" hidden="1" x14ac:dyDescent="0.25">
      <c r="C3830" t="s">
        <v>45</v>
      </c>
      <c r="D3830" t="s">
        <v>21</v>
      </c>
      <c r="E3830" t="s">
        <v>40</v>
      </c>
      <c r="F3830" t="s">
        <v>41</v>
      </c>
      <c r="G3830" s="89">
        <v>106808</v>
      </c>
      <c r="H3830" t="s">
        <v>42</v>
      </c>
      <c r="I3830" t="s">
        <v>133</v>
      </c>
      <c r="J3830" s="89">
        <v>3524664</v>
      </c>
      <c r="K3830" t="s">
        <v>134</v>
      </c>
      <c r="L3830" t="s">
        <v>128</v>
      </c>
      <c r="M3830" t="s">
        <v>129</v>
      </c>
      <c r="N3830">
        <v>1</v>
      </c>
      <c r="O3830" s="89">
        <v>4272.32</v>
      </c>
      <c r="P3830" s="89">
        <v>88650.64</v>
      </c>
      <c r="Q3830" t="s">
        <v>135</v>
      </c>
      <c r="R3830" t="s">
        <v>131</v>
      </c>
    </row>
    <row r="3831" spans="3:18" x14ac:dyDescent="0.25">
      <c r="C3831" t="s">
        <v>47</v>
      </c>
      <c r="D3831" t="s">
        <v>23</v>
      </c>
      <c r="E3831" t="s">
        <v>40</v>
      </c>
      <c r="F3831" t="s">
        <v>41</v>
      </c>
      <c r="G3831" s="89">
        <v>60062</v>
      </c>
      <c r="H3831" t="s">
        <v>146</v>
      </c>
      <c r="I3831" t="s">
        <v>153</v>
      </c>
      <c r="J3831" s="89"/>
      <c r="K3831" t="s">
        <v>127</v>
      </c>
      <c r="L3831" t="s">
        <v>128</v>
      </c>
      <c r="N3831">
        <v>0</v>
      </c>
      <c r="O3831" s="89">
        <v>2402.48</v>
      </c>
      <c r="P3831" s="89">
        <v>3603.72</v>
      </c>
      <c r="Q3831" t="s">
        <v>130</v>
      </c>
      <c r="R3831" t="s">
        <v>131</v>
      </c>
    </row>
    <row r="3832" spans="3:18" hidden="1" x14ac:dyDescent="0.25">
      <c r="C3832" t="s">
        <v>45</v>
      </c>
      <c r="D3832" t="s">
        <v>23</v>
      </c>
      <c r="E3832" t="s">
        <v>46</v>
      </c>
      <c r="F3832" t="s">
        <v>53</v>
      </c>
      <c r="G3832" s="89">
        <v>85912</v>
      </c>
      <c r="H3832" t="s">
        <v>42</v>
      </c>
      <c r="I3832" t="s">
        <v>126</v>
      </c>
      <c r="J3832" s="89">
        <v>1116856</v>
      </c>
      <c r="K3832" t="s">
        <v>144</v>
      </c>
      <c r="N3832">
        <v>1</v>
      </c>
      <c r="O3832" s="89">
        <v>2577.36</v>
      </c>
      <c r="P3832" s="89">
        <v>45533.36</v>
      </c>
      <c r="Q3832" t="s">
        <v>142</v>
      </c>
      <c r="R3832" t="s">
        <v>42</v>
      </c>
    </row>
    <row r="3833" spans="3:18" x14ac:dyDescent="0.25">
      <c r="C3833" t="s">
        <v>47</v>
      </c>
      <c r="D3833" t="s">
        <v>19</v>
      </c>
      <c r="E3833" t="s">
        <v>40</v>
      </c>
      <c r="F3833" t="s">
        <v>41</v>
      </c>
      <c r="G3833" s="89">
        <v>432749</v>
      </c>
      <c r="H3833" t="s">
        <v>140</v>
      </c>
      <c r="I3833" t="s">
        <v>126</v>
      </c>
      <c r="J3833" s="89">
        <v>4760239</v>
      </c>
      <c r="K3833" t="s">
        <v>127</v>
      </c>
      <c r="L3833" t="s">
        <v>128</v>
      </c>
      <c r="N3833">
        <v>1</v>
      </c>
      <c r="O3833" s="89">
        <v>21637.45</v>
      </c>
      <c r="P3833" s="89">
        <v>285614.34000000003</v>
      </c>
      <c r="Q3833" t="s">
        <v>137</v>
      </c>
      <c r="R3833" t="s">
        <v>131</v>
      </c>
    </row>
    <row r="3834" spans="3:18" hidden="1" x14ac:dyDescent="0.25">
      <c r="C3834" t="s">
        <v>45</v>
      </c>
      <c r="D3834" t="s">
        <v>25</v>
      </c>
      <c r="E3834" t="s">
        <v>40</v>
      </c>
      <c r="F3834" t="s">
        <v>41</v>
      </c>
      <c r="G3834" s="89">
        <v>245361</v>
      </c>
      <c r="H3834" t="s">
        <v>140</v>
      </c>
      <c r="I3834" t="s">
        <v>126</v>
      </c>
      <c r="J3834" s="89">
        <v>3925776</v>
      </c>
      <c r="K3834" t="s">
        <v>127</v>
      </c>
      <c r="L3834" t="s">
        <v>128</v>
      </c>
      <c r="N3834">
        <v>1</v>
      </c>
      <c r="O3834" s="89">
        <v>9814.44</v>
      </c>
      <c r="P3834" s="89">
        <v>58886.64</v>
      </c>
      <c r="Q3834" t="s">
        <v>130</v>
      </c>
      <c r="R3834" t="s">
        <v>131</v>
      </c>
    </row>
    <row r="3835" spans="3:18" hidden="1" x14ac:dyDescent="0.25">
      <c r="C3835" t="s">
        <v>45</v>
      </c>
      <c r="D3835" t="s">
        <v>138</v>
      </c>
      <c r="E3835" t="s">
        <v>40</v>
      </c>
      <c r="F3835" t="s">
        <v>41</v>
      </c>
      <c r="G3835" s="89">
        <v>173794</v>
      </c>
      <c r="H3835" t="s">
        <v>146</v>
      </c>
      <c r="I3835" t="s">
        <v>133</v>
      </c>
      <c r="J3835" s="89">
        <v>6256584</v>
      </c>
      <c r="K3835" t="s">
        <v>127</v>
      </c>
      <c r="L3835" t="s">
        <v>128</v>
      </c>
      <c r="N3835">
        <v>1</v>
      </c>
      <c r="O3835" s="89">
        <v>5213.82</v>
      </c>
      <c r="P3835" s="89">
        <v>182483.7</v>
      </c>
      <c r="Q3835" t="s">
        <v>150</v>
      </c>
      <c r="R3835" t="s">
        <v>131</v>
      </c>
    </row>
    <row r="3836" spans="3:18" hidden="1" x14ac:dyDescent="0.25">
      <c r="C3836" t="s">
        <v>45</v>
      </c>
      <c r="D3836" t="s">
        <v>50</v>
      </c>
      <c r="E3836" t="s">
        <v>50</v>
      </c>
      <c r="F3836" t="s">
        <v>41</v>
      </c>
      <c r="G3836" s="89">
        <v>25508585</v>
      </c>
      <c r="H3836" t="s">
        <v>79</v>
      </c>
      <c r="I3836" t="s">
        <v>133</v>
      </c>
      <c r="J3836" s="89">
        <v>765257550</v>
      </c>
      <c r="K3836" t="s">
        <v>127</v>
      </c>
      <c r="N3836">
        <v>1</v>
      </c>
      <c r="O3836" s="89">
        <v>765257.55</v>
      </c>
      <c r="P3836" s="89">
        <v>31120473.699999999</v>
      </c>
      <c r="Q3836" t="s">
        <v>150</v>
      </c>
      <c r="R3836" t="s">
        <v>79</v>
      </c>
    </row>
    <row r="3837" spans="3:18" hidden="1" x14ac:dyDescent="0.25">
      <c r="C3837" t="s">
        <v>45</v>
      </c>
      <c r="D3837" t="s">
        <v>23</v>
      </c>
      <c r="E3837" t="s">
        <v>48</v>
      </c>
      <c r="F3837" t="s">
        <v>41</v>
      </c>
      <c r="G3837" s="89">
        <v>31358</v>
      </c>
      <c r="H3837" t="s">
        <v>42</v>
      </c>
      <c r="I3837" t="s">
        <v>133</v>
      </c>
      <c r="J3837" s="89">
        <v>689876</v>
      </c>
      <c r="K3837" t="s">
        <v>127</v>
      </c>
      <c r="L3837" t="s">
        <v>128</v>
      </c>
      <c r="M3837" t="s">
        <v>143</v>
      </c>
      <c r="N3837">
        <v>1</v>
      </c>
      <c r="O3837" s="89">
        <v>940.74</v>
      </c>
      <c r="P3837" s="89">
        <v>13797.52</v>
      </c>
      <c r="Q3837" t="s">
        <v>142</v>
      </c>
      <c r="R3837" t="s">
        <v>42</v>
      </c>
    </row>
    <row r="3838" spans="3:18" x14ac:dyDescent="0.25">
      <c r="C3838" t="s">
        <v>47</v>
      </c>
      <c r="D3838" t="s">
        <v>19</v>
      </c>
      <c r="E3838" t="s">
        <v>40</v>
      </c>
      <c r="F3838" t="s">
        <v>41</v>
      </c>
      <c r="G3838" s="89">
        <v>13374</v>
      </c>
      <c r="H3838" t="s">
        <v>42</v>
      </c>
      <c r="I3838" t="s">
        <v>147</v>
      </c>
      <c r="J3838" s="89">
        <v>26748</v>
      </c>
      <c r="K3838" t="s">
        <v>127</v>
      </c>
      <c r="L3838" t="s">
        <v>128</v>
      </c>
      <c r="M3838" t="s">
        <v>136</v>
      </c>
      <c r="N3838">
        <v>1</v>
      </c>
      <c r="O3838" s="89">
        <v>534.96</v>
      </c>
      <c r="P3838" s="89">
        <v>802.44</v>
      </c>
      <c r="Q3838" t="s">
        <v>130</v>
      </c>
      <c r="R3838" t="s">
        <v>131</v>
      </c>
    </row>
    <row r="3839" spans="3:18" hidden="1" x14ac:dyDescent="0.25">
      <c r="C3839" t="s">
        <v>45</v>
      </c>
      <c r="D3839" t="s">
        <v>138</v>
      </c>
      <c r="E3839" t="s">
        <v>43</v>
      </c>
      <c r="F3839" t="s">
        <v>41</v>
      </c>
      <c r="G3839" s="89">
        <v>11554997</v>
      </c>
      <c r="H3839" t="s">
        <v>42</v>
      </c>
      <c r="I3839" t="s">
        <v>133</v>
      </c>
      <c r="J3839" s="89">
        <v>392869898</v>
      </c>
      <c r="K3839" t="s">
        <v>127</v>
      </c>
      <c r="L3839" t="s">
        <v>128</v>
      </c>
      <c r="M3839" t="s">
        <v>139</v>
      </c>
      <c r="N3839">
        <v>1</v>
      </c>
      <c r="O3839" s="89">
        <v>346649.91</v>
      </c>
      <c r="P3839" s="89">
        <v>9590647.5099999998</v>
      </c>
      <c r="Q3839" t="s">
        <v>135</v>
      </c>
      <c r="R3839" t="s">
        <v>42</v>
      </c>
    </row>
    <row r="3840" spans="3:18" hidden="1" x14ac:dyDescent="0.25">
      <c r="C3840" t="s">
        <v>45</v>
      </c>
      <c r="D3840" t="s">
        <v>23</v>
      </c>
      <c r="E3840" t="s">
        <v>48</v>
      </c>
      <c r="F3840" t="s">
        <v>41</v>
      </c>
      <c r="G3840" s="89">
        <v>139009</v>
      </c>
      <c r="H3840" t="s">
        <v>42</v>
      </c>
      <c r="I3840" t="s">
        <v>141</v>
      </c>
      <c r="J3840" s="89">
        <v>1112072</v>
      </c>
      <c r="K3840" t="s">
        <v>127</v>
      </c>
      <c r="L3840" t="s">
        <v>128</v>
      </c>
      <c r="M3840" t="s">
        <v>152</v>
      </c>
      <c r="N3840">
        <v>1</v>
      </c>
      <c r="O3840" s="89">
        <v>5560.36</v>
      </c>
      <c r="P3840" s="89">
        <v>63944.14</v>
      </c>
      <c r="Q3840" t="s">
        <v>142</v>
      </c>
      <c r="R3840" t="s">
        <v>42</v>
      </c>
    </row>
    <row r="3841" spans="3:18" hidden="1" x14ac:dyDescent="0.25">
      <c r="C3841" t="s">
        <v>45</v>
      </c>
      <c r="D3841" t="s">
        <v>21</v>
      </c>
      <c r="E3841" t="s">
        <v>43</v>
      </c>
      <c r="F3841" t="s">
        <v>41</v>
      </c>
      <c r="G3841" s="89">
        <v>22190016</v>
      </c>
      <c r="H3841" t="s">
        <v>42</v>
      </c>
      <c r="I3841" t="s">
        <v>133</v>
      </c>
      <c r="J3841" s="89">
        <v>776650560</v>
      </c>
      <c r="K3841" t="s">
        <v>144</v>
      </c>
      <c r="N3841">
        <v>1</v>
      </c>
      <c r="O3841" s="89">
        <v>665700.48</v>
      </c>
      <c r="P3841" s="89">
        <v>19083413.760000002</v>
      </c>
      <c r="Q3841" t="s">
        <v>135</v>
      </c>
      <c r="R3841" t="s">
        <v>131</v>
      </c>
    </row>
    <row r="3842" spans="3:18" x14ac:dyDescent="0.25">
      <c r="C3842" t="s">
        <v>47</v>
      </c>
      <c r="D3842" t="s">
        <v>22</v>
      </c>
      <c r="E3842" t="s">
        <v>40</v>
      </c>
      <c r="F3842" t="s">
        <v>41</v>
      </c>
      <c r="G3842" s="89">
        <v>8011785</v>
      </c>
      <c r="H3842" t="s">
        <v>140</v>
      </c>
      <c r="I3842" t="s">
        <v>126</v>
      </c>
      <c r="J3842" s="89">
        <v>104153205</v>
      </c>
      <c r="K3842" t="s">
        <v>127</v>
      </c>
      <c r="L3842" t="s">
        <v>128</v>
      </c>
      <c r="N3842">
        <v>1</v>
      </c>
      <c r="O3842" s="89">
        <v>320471.40000000002</v>
      </c>
      <c r="P3842" s="89">
        <v>5367895.95</v>
      </c>
      <c r="Q3842" t="s">
        <v>137</v>
      </c>
      <c r="R3842" t="s">
        <v>131</v>
      </c>
    </row>
    <row r="3843" spans="3:18" hidden="1" x14ac:dyDescent="0.25">
      <c r="C3843" t="s">
        <v>45</v>
      </c>
      <c r="D3843" t="s">
        <v>23</v>
      </c>
      <c r="E3843" t="s">
        <v>43</v>
      </c>
      <c r="F3843" t="s">
        <v>41</v>
      </c>
      <c r="G3843" s="89">
        <v>633600</v>
      </c>
      <c r="H3843" t="s">
        <v>42</v>
      </c>
      <c r="I3843" t="s">
        <v>133</v>
      </c>
      <c r="J3843" s="89">
        <v>20908800</v>
      </c>
      <c r="K3843" t="s">
        <v>127</v>
      </c>
      <c r="L3843" t="s">
        <v>128</v>
      </c>
      <c r="M3843" t="s">
        <v>152</v>
      </c>
      <c r="N3843">
        <v>1</v>
      </c>
      <c r="O3843" s="89">
        <v>19008</v>
      </c>
      <c r="P3843" s="89">
        <v>868032</v>
      </c>
      <c r="Q3843" t="s">
        <v>150</v>
      </c>
      <c r="R3843" t="s">
        <v>131</v>
      </c>
    </row>
    <row r="3844" spans="3:18" hidden="1" x14ac:dyDescent="0.25">
      <c r="C3844" t="s">
        <v>45</v>
      </c>
      <c r="D3844" t="s">
        <v>23</v>
      </c>
      <c r="E3844" t="s">
        <v>48</v>
      </c>
      <c r="F3844" t="s">
        <v>41</v>
      </c>
      <c r="G3844" s="89">
        <v>45318</v>
      </c>
      <c r="H3844" t="s">
        <v>145</v>
      </c>
      <c r="I3844" t="s">
        <v>126</v>
      </c>
      <c r="J3844" s="89">
        <v>725088</v>
      </c>
      <c r="K3844" t="s">
        <v>127</v>
      </c>
      <c r="L3844" t="s">
        <v>128</v>
      </c>
      <c r="N3844">
        <v>1</v>
      </c>
      <c r="O3844" s="89">
        <v>1812.72</v>
      </c>
      <c r="P3844" s="89">
        <v>49849.8</v>
      </c>
      <c r="Q3844" t="s">
        <v>150</v>
      </c>
      <c r="R3844" t="s">
        <v>131</v>
      </c>
    </row>
    <row r="3845" spans="3:18" hidden="1" x14ac:dyDescent="0.25">
      <c r="C3845" t="s">
        <v>39</v>
      </c>
      <c r="D3845" t="s">
        <v>21</v>
      </c>
      <c r="E3845" t="s">
        <v>43</v>
      </c>
      <c r="F3845" t="s">
        <v>41</v>
      </c>
      <c r="G3845" s="89">
        <v>18428</v>
      </c>
      <c r="H3845" t="s">
        <v>132</v>
      </c>
      <c r="I3845" t="s">
        <v>133</v>
      </c>
      <c r="J3845" s="89"/>
      <c r="N3845">
        <v>0</v>
      </c>
      <c r="O3845" s="89"/>
      <c r="P3845" s="89"/>
      <c r="R3845" t="s">
        <v>131</v>
      </c>
    </row>
    <row r="3846" spans="3:18" hidden="1" x14ac:dyDescent="0.25">
      <c r="C3846" t="s">
        <v>45</v>
      </c>
      <c r="D3846" t="s">
        <v>24</v>
      </c>
      <c r="E3846" t="s">
        <v>48</v>
      </c>
      <c r="F3846" t="s">
        <v>41</v>
      </c>
      <c r="G3846" s="89">
        <v>7817422</v>
      </c>
      <c r="H3846" t="s">
        <v>140</v>
      </c>
      <c r="I3846" t="s">
        <v>133</v>
      </c>
      <c r="J3846" s="89">
        <v>242340082</v>
      </c>
      <c r="K3846" t="s">
        <v>127</v>
      </c>
      <c r="L3846" t="s">
        <v>128</v>
      </c>
      <c r="N3846">
        <v>1</v>
      </c>
      <c r="O3846" s="89">
        <v>234522.66</v>
      </c>
      <c r="P3846" s="89">
        <v>9302732.1799999997</v>
      </c>
      <c r="Q3846" t="s">
        <v>150</v>
      </c>
      <c r="R3846" t="s">
        <v>131</v>
      </c>
    </row>
    <row r="3847" spans="3:18" hidden="1" x14ac:dyDescent="0.25">
      <c r="C3847" t="s">
        <v>45</v>
      </c>
      <c r="D3847" t="s">
        <v>22</v>
      </c>
      <c r="E3847" t="s">
        <v>43</v>
      </c>
      <c r="F3847" t="s">
        <v>41</v>
      </c>
      <c r="G3847" s="89">
        <v>59231</v>
      </c>
      <c r="H3847" t="s">
        <v>146</v>
      </c>
      <c r="I3847" t="s">
        <v>133</v>
      </c>
      <c r="J3847" s="89">
        <v>1303082</v>
      </c>
      <c r="K3847" t="s">
        <v>134</v>
      </c>
      <c r="L3847" t="s">
        <v>128</v>
      </c>
      <c r="N3847">
        <v>1</v>
      </c>
      <c r="O3847" s="89">
        <v>1776.93</v>
      </c>
      <c r="P3847" s="89">
        <v>18361.61</v>
      </c>
      <c r="Q3847" t="s">
        <v>130</v>
      </c>
      <c r="R3847" t="s">
        <v>131</v>
      </c>
    </row>
    <row r="3848" spans="3:18" hidden="1" x14ac:dyDescent="0.25">
      <c r="C3848" t="s">
        <v>45</v>
      </c>
      <c r="D3848" t="s">
        <v>24</v>
      </c>
      <c r="E3848" t="s">
        <v>44</v>
      </c>
      <c r="F3848" t="s">
        <v>41</v>
      </c>
      <c r="G3848" s="89">
        <v>123930</v>
      </c>
      <c r="H3848" t="s">
        <v>42</v>
      </c>
      <c r="I3848" t="s">
        <v>133</v>
      </c>
      <c r="J3848" s="89">
        <v>4709340</v>
      </c>
      <c r="K3848" t="s">
        <v>127</v>
      </c>
      <c r="L3848" t="s">
        <v>128</v>
      </c>
      <c r="M3848" t="s">
        <v>152</v>
      </c>
      <c r="N3848">
        <v>1</v>
      </c>
      <c r="O3848" s="89">
        <v>3717.9</v>
      </c>
      <c r="P3848" s="89">
        <v>90468.9</v>
      </c>
      <c r="Q3848" t="s">
        <v>137</v>
      </c>
      <c r="R3848" t="s">
        <v>42</v>
      </c>
    </row>
    <row r="3849" spans="3:18" x14ac:dyDescent="0.25">
      <c r="C3849" t="s">
        <v>47</v>
      </c>
      <c r="D3849" t="s">
        <v>22</v>
      </c>
      <c r="E3849" t="s">
        <v>40</v>
      </c>
      <c r="F3849" t="s">
        <v>41</v>
      </c>
      <c r="G3849" s="89">
        <v>808</v>
      </c>
      <c r="H3849" t="s">
        <v>132</v>
      </c>
      <c r="I3849" t="s">
        <v>147</v>
      </c>
      <c r="J3849" s="89"/>
      <c r="K3849" t="s">
        <v>127</v>
      </c>
      <c r="L3849" t="s">
        <v>128</v>
      </c>
      <c r="N3849">
        <v>0</v>
      </c>
      <c r="O3849" s="89">
        <v>32.32</v>
      </c>
      <c r="P3849" s="89">
        <v>0</v>
      </c>
      <c r="Q3849" t="s">
        <v>130</v>
      </c>
      <c r="R3849" t="s">
        <v>131</v>
      </c>
    </row>
    <row r="3850" spans="3:18" hidden="1" x14ac:dyDescent="0.25">
      <c r="C3850" t="s">
        <v>45</v>
      </c>
      <c r="D3850" t="s">
        <v>23</v>
      </c>
      <c r="E3850" t="s">
        <v>40</v>
      </c>
      <c r="F3850" t="s">
        <v>41</v>
      </c>
      <c r="G3850" s="89">
        <v>28868</v>
      </c>
      <c r="H3850" t="s">
        <v>132</v>
      </c>
      <c r="I3850" t="s">
        <v>147</v>
      </c>
      <c r="J3850" s="89">
        <v>115472</v>
      </c>
      <c r="K3850" t="s">
        <v>134</v>
      </c>
      <c r="L3850" t="s">
        <v>128</v>
      </c>
      <c r="N3850">
        <v>1</v>
      </c>
      <c r="O3850" s="89">
        <v>577.36</v>
      </c>
      <c r="P3850" s="89">
        <v>6350.96</v>
      </c>
      <c r="Q3850" t="s">
        <v>130</v>
      </c>
      <c r="R3850" t="s">
        <v>131</v>
      </c>
    </row>
    <row r="3851" spans="3:18" hidden="1" x14ac:dyDescent="0.25">
      <c r="C3851" t="s">
        <v>45</v>
      </c>
      <c r="D3851" t="s">
        <v>20</v>
      </c>
      <c r="E3851" t="s">
        <v>43</v>
      </c>
      <c r="F3851" t="s">
        <v>41</v>
      </c>
      <c r="G3851" s="89">
        <v>353301</v>
      </c>
      <c r="H3851" t="s">
        <v>42</v>
      </c>
      <c r="I3851" t="s">
        <v>126</v>
      </c>
      <c r="J3851" s="89">
        <v>6006117</v>
      </c>
      <c r="K3851" t="s">
        <v>144</v>
      </c>
      <c r="N3851">
        <v>1</v>
      </c>
      <c r="O3851" s="89">
        <v>10599.03</v>
      </c>
      <c r="P3851" s="89">
        <v>105990.3</v>
      </c>
      <c r="Q3851" t="s">
        <v>130</v>
      </c>
      <c r="R3851" t="s">
        <v>131</v>
      </c>
    </row>
    <row r="3852" spans="3:18" hidden="1" x14ac:dyDescent="0.25">
      <c r="C3852" t="s">
        <v>45</v>
      </c>
      <c r="D3852" t="s">
        <v>22</v>
      </c>
      <c r="E3852" t="s">
        <v>48</v>
      </c>
      <c r="F3852" t="s">
        <v>41</v>
      </c>
      <c r="G3852" s="89">
        <v>259786</v>
      </c>
      <c r="H3852" t="s">
        <v>140</v>
      </c>
      <c r="I3852" t="s">
        <v>133</v>
      </c>
      <c r="J3852" s="89">
        <v>8832724</v>
      </c>
      <c r="K3852" t="s">
        <v>144</v>
      </c>
      <c r="N3852">
        <v>1</v>
      </c>
      <c r="O3852" s="89">
        <v>7793.58</v>
      </c>
      <c r="P3852" s="89">
        <v>218220.24</v>
      </c>
      <c r="Q3852" t="s">
        <v>135</v>
      </c>
      <c r="R3852" t="s">
        <v>131</v>
      </c>
    </row>
    <row r="3853" spans="3:18" hidden="1" x14ac:dyDescent="0.25">
      <c r="C3853" t="s">
        <v>45</v>
      </c>
      <c r="D3853" t="s">
        <v>21</v>
      </c>
      <c r="E3853" t="s">
        <v>43</v>
      </c>
      <c r="F3853" t="s">
        <v>41</v>
      </c>
      <c r="G3853" s="89">
        <v>5125855</v>
      </c>
      <c r="H3853" t="s">
        <v>146</v>
      </c>
      <c r="I3853" t="s">
        <v>147</v>
      </c>
      <c r="J3853" s="89">
        <v>15377565</v>
      </c>
      <c r="K3853" t="s">
        <v>127</v>
      </c>
      <c r="L3853" t="s">
        <v>128</v>
      </c>
      <c r="N3853">
        <v>1</v>
      </c>
      <c r="O3853" s="89">
        <v>205034.2</v>
      </c>
      <c r="P3853" s="89">
        <v>2460410.4</v>
      </c>
      <c r="Q3853" t="s">
        <v>142</v>
      </c>
      <c r="R3853" t="s">
        <v>131</v>
      </c>
    </row>
    <row r="3854" spans="3:18" hidden="1" x14ac:dyDescent="0.25">
      <c r="C3854" t="s">
        <v>45</v>
      </c>
      <c r="D3854" t="s">
        <v>23</v>
      </c>
      <c r="E3854" t="s">
        <v>48</v>
      </c>
      <c r="F3854" t="s">
        <v>41</v>
      </c>
      <c r="G3854" s="89">
        <v>237793</v>
      </c>
      <c r="H3854" t="s">
        <v>42</v>
      </c>
      <c r="I3854" t="s">
        <v>133</v>
      </c>
      <c r="J3854" s="89">
        <v>4993653</v>
      </c>
      <c r="K3854" t="s">
        <v>127</v>
      </c>
      <c r="L3854" t="s">
        <v>128</v>
      </c>
      <c r="M3854" t="s">
        <v>143</v>
      </c>
      <c r="N3854">
        <v>1</v>
      </c>
      <c r="O3854" s="89">
        <v>4755.8599999999997</v>
      </c>
      <c r="P3854" s="89">
        <v>95117.2</v>
      </c>
      <c r="Q3854" t="s">
        <v>130</v>
      </c>
      <c r="R3854" t="s">
        <v>42</v>
      </c>
    </row>
    <row r="3855" spans="3:18" hidden="1" x14ac:dyDescent="0.25">
      <c r="C3855" t="s">
        <v>45</v>
      </c>
      <c r="D3855" t="s">
        <v>23</v>
      </c>
      <c r="E3855" t="s">
        <v>48</v>
      </c>
      <c r="F3855" t="s">
        <v>41</v>
      </c>
      <c r="G3855" s="89">
        <v>122058</v>
      </c>
      <c r="H3855" t="s">
        <v>42</v>
      </c>
      <c r="I3855" t="s">
        <v>133</v>
      </c>
      <c r="J3855" s="89">
        <v>4272030</v>
      </c>
      <c r="K3855" t="s">
        <v>134</v>
      </c>
      <c r="L3855" t="s">
        <v>128</v>
      </c>
      <c r="M3855" t="s">
        <v>152</v>
      </c>
      <c r="N3855">
        <v>1</v>
      </c>
      <c r="O3855" s="89">
        <v>3661.74</v>
      </c>
      <c r="P3855" s="89">
        <v>101308.14</v>
      </c>
      <c r="Q3855" t="s">
        <v>135</v>
      </c>
      <c r="R3855" t="s">
        <v>131</v>
      </c>
    </row>
    <row r="3856" spans="3:18" x14ac:dyDescent="0.25">
      <c r="C3856" t="s">
        <v>47</v>
      </c>
      <c r="D3856" t="s">
        <v>21</v>
      </c>
      <c r="E3856" t="s">
        <v>40</v>
      </c>
      <c r="F3856" t="s">
        <v>41</v>
      </c>
      <c r="G3856" s="89">
        <v>4398903</v>
      </c>
      <c r="H3856" t="s">
        <v>146</v>
      </c>
      <c r="I3856" t="s">
        <v>147</v>
      </c>
      <c r="J3856" s="89">
        <v>13196709</v>
      </c>
      <c r="K3856" t="s">
        <v>127</v>
      </c>
      <c r="L3856" t="s">
        <v>128</v>
      </c>
      <c r="N3856">
        <v>1</v>
      </c>
      <c r="O3856" s="89">
        <v>175956.12</v>
      </c>
      <c r="P3856" s="89">
        <v>2199451.5</v>
      </c>
      <c r="Q3856" t="s">
        <v>142</v>
      </c>
      <c r="R3856" t="s">
        <v>131</v>
      </c>
    </row>
    <row r="3857" spans="3:18" hidden="1" x14ac:dyDescent="0.25">
      <c r="C3857" t="s">
        <v>45</v>
      </c>
      <c r="D3857" t="s">
        <v>24</v>
      </c>
      <c r="E3857" t="s">
        <v>48</v>
      </c>
      <c r="F3857" t="s">
        <v>41</v>
      </c>
      <c r="G3857" s="89">
        <v>1992054</v>
      </c>
      <c r="H3857" t="s">
        <v>140</v>
      </c>
      <c r="I3857" t="s">
        <v>133</v>
      </c>
      <c r="J3857" s="89">
        <v>63745728</v>
      </c>
      <c r="K3857" t="s">
        <v>144</v>
      </c>
      <c r="N3857">
        <v>1</v>
      </c>
      <c r="O3857" s="89">
        <v>59761.62</v>
      </c>
      <c r="P3857" s="89">
        <v>1653404.82</v>
      </c>
      <c r="Q3857" t="s">
        <v>135</v>
      </c>
      <c r="R3857" t="s">
        <v>131</v>
      </c>
    </row>
    <row r="3858" spans="3:18" x14ac:dyDescent="0.25">
      <c r="C3858" t="s">
        <v>47</v>
      </c>
      <c r="D3858" t="s">
        <v>21</v>
      </c>
      <c r="E3858" t="s">
        <v>40</v>
      </c>
      <c r="F3858" t="s">
        <v>41</v>
      </c>
      <c r="G3858" s="89">
        <v>88535</v>
      </c>
      <c r="H3858" t="s">
        <v>140</v>
      </c>
      <c r="I3858" t="s">
        <v>133</v>
      </c>
      <c r="J3858" s="89">
        <v>2036305</v>
      </c>
      <c r="K3858" t="s">
        <v>127</v>
      </c>
      <c r="L3858" t="s">
        <v>128</v>
      </c>
      <c r="N3858">
        <v>1</v>
      </c>
      <c r="O3858" s="89">
        <v>4426.75</v>
      </c>
      <c r="P3858" s="89">
        <v>41611.449999999997</v>
      </c>
      <c r="Q3858" t="s">
        <v>142</v>
      </c>
      <c r="R3858" t="s">
        <v>131</v>
      </c>
    </row>
    <row r="3859" spans="3:18" hidden="1" x14ac:dyDescent="0.25">
      <c r="C3859" t="s">
        <v>45</v>
      </c>
      <c r="D3859" t="s">
        <v>23</v>
      </c>
      <c r="E3859" t="s">
        <v>40</v>
      </c>
      <c r="F3859" t="s">
        <v>41</v>
      </c>
      <c r="G3859" s="89">
        <v>4568932</v>
      </c>
      <c r="H3859" t="s">
        <v>146</v>
      </c>
      <c r="I3859" t="s">
        <v>141</v>
      </c>
      <c r="J3859" s="89">
        <v>31982524</v>
      </c>
      <c r="K3859" t="s">
        <v>127</v>
      </c>
      <c r="L3859" t="s">
        <v>128</v>
      </c>
      <c r="N3859">
        <v>1</v>
      </c>
      <c r="O3859" s="89">
        <v>137067.96</v>
      </c>
      <c r="P3859" s="89">
        <v>959475.72</v>
      </c>
      <c r="Q3859" t="s">
        <v>130</v>
      </c>
      <c r="R3859" t="s">
        <v>131</v>
      </c>
    </row>
    <row r="3860" spans="3:18" hidden="1" x14ac:dyDescent="0.25">
      <c r="C3860" t="s">
        <v>45</v>
      </c>
      <c r="D3860" t="s">
        <v>19</v>
      </c>
      <c r="E3860" t="s">
        <v>43</v>
      </c>
      <c r="F3860" t="s">
        <v>41</v>
      </c>
      <c r="G3860" s="89">
        <v>222436</v>
      </c>
      <c r="H3860" t="s">
        <v>42</v>
      </c>
      <c r="I3860" t="s">
        <v>133</v>
      </c>
      <c r="J3860" s="89">
        <v>6895516</v>
      </c>
      <c r="K3860" t="s">
        <v>127</v>
      </c>
      <c r="L3860" t="s">
        <v>128</v>
      </c>
      <c r="M3860" t="s">
        <v>129</v>
      </c>
      <c r="N3860">
        <v>1</v>
      </c>
      <c r="O3860" s="89">
        <v>6673.08</v>
      </c>
      <c r="P3860" s="89">
        <v>84525.68</v>
      </c>
      <c r="Q3860" t="s">
        <v>130</v>
      </c>
      <c r="R3860" t="s">
        <v>42</v>
      </c>
    </row>
    <row r="3861" spans="3:18" hidden="1" x14ac:dyDescent="0.25">
      <c r="C3861" t="s">
        <v>45</v>
      </c>
      <c r="D3861" t="s">
        <v>24</v>
      </c>
      <c r="E3861" t="s">
        <v>40</v>
      </c>
      <c r="F3861" t="s">
        <v>41</v>
      </c>
      <c r="G3861" s="89">
        <v>1690205</v>
      </c>
      <c r="H3861" t="s">
        <v>140</v>
      </c>
      <c r="I3861" t="s">
        <v>126</v>
      </c>
      <c r="J3861" s="89">
        <v>25353075</v>
      </c>
      <c r="K3861" t="s">
        <v>127</v>
      </c>
      <c r="L3861" t="s">
        <v>128</v>
      </c>
      <c r="N3861">
        <v>1</v>
      </c>
      <c r="O3861" s="89">
        <v>50706.15</v>
      </c>
      <c r="P3861" s="89">
        <v>371845.1</v>
      </c>
      <c r="Q3861" t="s">
        <v>130</v>
      </c>
      <c r="R3861" t="s">
        <v>131</v>
      </c>
    </row>
    <row r="3862" spans="3:18" hidden="1" x14ac:dyDescent="0.25">
      <c r="C3862" t="s">
        <v>45</v>
      </c>
      <c r="D3862" t="s">
        <v>24</v>
      </c>
      <c r="E3862" t="s">
        <v>46</v>
      </c>
      <c r="F3862" t="s">
        <v>41</v>
      </c>
      <c r="G3862" s="89">
        <v>2290139</v>
      </c>
      <c r="H3862" t="s">
        <v>42</v>
      </c>
      <c r="I3862" t="s">
        <v>133</v>
      </c>
      <c r="J3862" s="89">
        <v>80154865</v>
      </c>
      <c r="K3862" t="s">
        <v>127</v>
      </c>
      <c r="L3862" t="s">
        <v>128</v>
      </c>
      <c r="M3862" t="s">
        <v>148</v>
      </c>
      <c r="N3862">
        <v>1</v>
      </c>
      <c r="O3862" s="89">
        <v>68704.17</v>
      </c>
      <c r="P3862" s="89">
        <v>1900815.37</v>
      </c>
      <c r="Q3862" t="s">
        <v>135</v>
      </c>
      <c r="R3862" t="s">
        <v>42</v>
      </c>
    </row>
    <row r="3863" spans="3:18" hidden="1" x14ac:dyDescent="0.25">
      <c r="C3863" t="s">
        <v>45</v>
      </c>
      <c r="D3863" t="s">
        <v>21</v>
      </c>
      <c r="E3863" t="s">
        <v>40</v>
      </c>
      <c r="F3863" t="s">
        <v>53</v>
      </c>
      <c r="G3863" s="89">
        <v>250353</v>
      </c>
      <c r="H3863" t="s">
        <v>42</v>
      </c>
      <c r="I3863" t="s">
        <v>133</v>
      </c>
      <c r="J3863" s="89">
        <v>7510590</v>
      </c>
      <c r="K3863" t="s">
        <v>144</v>
      </c>
      <c r="N3863">
        <v>1</v>
      </c>
      <c r="O3863" s="89">
        <v>7510.59</v>
      </c>
      <c r="P3863" s="89">
        <v>67595.31</v>
      </c>
      <c r="Q3863" t="s">
        <v>130</v>
      </c>
      <c r="R3863" t="s">
        <v>42</v>
      </c>
    </row>
    <row r="3864" spans="3:18" hidden="1" x14ac:dyDescent="0.25">
      <c r="C3864" t="s">
        <v>45</v>
      </c>
      <c r="D3864" t="s">
        <v>22</v>
      </c>
      <c r="E3864" t="s">
        <v>43</v>
      </c>
      <c r="F3864" t="s">
        <v>41</v>
      </c>
      <c r="G3864" s="89">
        <v>29292</v>
      </c>
      <c r="H3864" t="s">
        <v>146</v>
      </c>
      <c r="I3864" t="s">
        <v>126</v>
      </c>
      <c r="J3864" s="89">
        <v>410088</v>
      </c>
      <c r="K3864" t="s">
        <v>144</v>
      </c>
      <c r="N3864">
        <v>1</v>
      </c>
      <c r="O3864" s="89">
        <v>878.76</v>
      </c>
      <c r="P3864" s="89">
        <v>13474.32</v>
      </c>
      <c r="Q3864" t="s">
        <v>142</v>
      </c>
      <c r="R3864" t="s">
        <v>131</v>
      </c>
    </row>
    <row r="3865" spans="3:18" hidden="1" x14ac:dyDescent="0.25">
      <c r="C3865" t="s">
        <v>45</v>
      </c>
      <c r="D3865" t="s">
        <v>138</v>
      </c>
      <c r="E3865" t="s">
        <v>43</v>
      </c>
      <c r="F3865" t="s">
        <v>41</v>
      </c>
      <c r="G3865" s="89">
        <v>302632</v>
      </c>
      <c r="H3865" t="s">
        <v>132</v>
      </c>
      <c r="I3865" t="s">
        <v>141</v>
      </c>
      <c r="J3865" s="89">
        <v>3026320</v>
      </c>
      <c r="K3865" t="s">
        <v>144</v>
      </c>
      <c r="N3865">
        <v>1</v>
      </c>
      <c r="O3865" s="89">
        <v>9078.9599999999991</v>
      </c>
      <c r="P3865" s="89">
        <v>154342.32</v>
      </c>
      <c r="Q3865" t="s">
        <v>142</v>
      </c>
      <c r="R3865" t="s">
        <v>131</v>
      </c>
    </row>
    <row r="3866" spans="3:18" hidden="1" x14ac:dyDescent="0.25">
      <c r="C3866" t="s">
        <v>45</v>
      </c>
      <c r="D3866" t="s">
        <v>21</v>
      </c>
      <c r="E3866" t="s">
        <v>43</v>
      </c>
      <c r="F3866" t="s">
        <v>41</v>
      </c>
      <c r="G3866" s="89">
        <v>813134</v>
      </c>
      <c r="H3866" t="s">
        <v>42</v>
      </c>
      <c r="I3866" t="s">
        <v>133</v>
      </c>
      <c r="J3866" s="89">
        <v>24394020</v>
      </c>
      <c r="K3866" t="s">
        <v>127</v>
      </c>
      <c r="L3866" t="s">
        <v>128</v>
      </c>
      <c r="M3866" t="s">
        <v>129</v>
      </c>
      <c r="N3866">
        <v>1</v>
      </c>
      <c r="O3866" s="89">
        <v>32525.360000000001</v>
      </c>
      <c r="P3866" s="89">
        <v>959498.12</v>
      </c>
      <c r="Q3866" t="s">
        <v>150</v>
      </c>
      <c r="R3866" t="s">
        <v>131</v>
      </c>
    </row>
    <row r="3867" spans="3:18" hidden="1" x14ac:dyDescent="0.25">
      <c r="C3867" t="s">
        <v>45</v>
      </c>
      <c r="D3867" t="s">
        <v>21</v>
      </c>
      <c r="E3867" t="s">
        <v>43</v>
      </c>
      <c r="F3867" t="s">
        <v>41</v>
      </c>
      <c r="G3867" s="89">
        <v>49532073</v>
      </c>
      <c r="H3867" t="s">
        <v>145</v>
      </c>
      <c r="I3867" t="s">
        <v>133</v>
      </c>
      <c r="J3867" s="89">
        <v>1287833898</v>
      </c>
      <c r="K3867" t="s">
        <v>127</v>
      </c>
      <c r="L3867" t="s">
        <v>128</v>
      </c>
      <c r="N3867">
        <v>1</v>
      </c>
      <c r="O3867" s="89">
        <v>1485962.19</v>
      </c>
      <c r="P3867" s="89">
        <v>13868980.439999999</v>
      </c>
      <c r="Q3867" t="s">
        <v>130</v>
      </c>
      <c r="R3867" t="s">
        <v>131</v>
      </c>
    </row>
    <row r="3868" spans="3:18" hidden="1" x14ac:dyDescent="0.25">
      <c r="C3868" t="s">
        <v>45</v>
      </c>
      <c r="D3868" t="s">
        <v>138</v>
      </c>
      <c r="E3868" t="s">
        <v>43</v>
      </c>
      <c r="F3868" t="s">
        <v>41</v>
      </c>
      <c r="G3868" s="89">
        <v>114048</v>
      </c>
      <c r="H3868" t="s">
        <v>146</v>
      </c>
      <c r="I3868" t="s">
        <v>133</v>
      </c>
      <c r="J3868" s="89">
        <v>2965248</v>
      </c>
      <c r="K3868" t="s">
        <v>144</v>
      </c>
      <c r="N3868">
        <v>1</v>
      </c>
      <c r="O3868" s="89">
        <v>3421.44</v>
      </c>
      <c r="P3868" s="89">
        <v>52462.080000000002</v>
      </c>
      <c r="Q3868" t="s">
        <v>142</v>
      </c>
      <c r="R3868" t="s">
        <v>131</v>
      </c>
    </row>
    <row r="3869" spans="3:18" x14ac:dyDescent="0.25">
      <c r="C3869" t="s">
        <v>47</v>
      </c>
      <c r="D3869" t="s">
        <v>24</v>
      </c>
      <c r="E3869" t="s">
        <v>40</v>
      </c>
      <c r="F3869" t="s">
        <v>41</v>
      </c>
      <c r="G3869" s="89">
        <v>32</v>
      </c>
      <c r="H3869" t="s">
        <v>145</v>
      </c>
      <c r="I3869" t="s">
        <v>147</v>
      </c>
      <c r="J3869" s="89"/>
      <c r="K3869" t="s">
        <v>127</v>
      </c>
      <c r="L3869" t="s">
        <v>151</v>
      </c>
      <c r="N3869">
        <v>0</v>
      </c>
      <c r="O3869" s="89">
        <v>0</v>
      </c>
      <c r="P3869" s="89">
        <v>0</v>
      </c>
      <c r="Q3869" t="s">
        <v>130</v>
      </c>
      <c r="R3869" t="s">
        <v>131</v>
      </c>
    </row>
    <row r="3870" spans="3:18" x14ac:dyDescent="0.25">
      <c r="C3870" t="s">
        <v>47</v>
      </c>
      <c r="D3870" t="s">
        <v>25</v>
      </c>
      <c r="E3870" t="s">
        <v>40</v>
      </c>
      <c r="F3870" t="s">
        <v>41</v>
      </c>
      <c r="G3870" s="89">
        <v>780774</v>
      </c>
      <c r="H3870" t="s">
        <v>140</v>
      </c>
      <c r="I3870" t="s">
        <v>141</v>
      </c>
      <c r="J3870" s="89">
        <v>4684644</v>
      </c>
      <c r="K3870" t="s">
        <v>127</v>
      </c>
      <c r="L3870" t="s">
        <v>128</v>
      </c>
      <c r="N3870">
        <v>1</v>
      </c>
      <c r="O3870" s="89">
        <v>31230.959999999999</v>
      </c>
      <c r="P3870" s="89">
        <v>187385.76</v>
      </c>
      <c r="Q3870" t="s">
        <v>130</v>
      </c>
      <c r="R3870" t="s">
        <v>131</v>
      </c>
    </row>
    <row r="3871" spans="3:18" hidden="1" x14ac:dyDescent="0.25">
      <c r="C3871" t="s">
        <v>45</v>
      </c>
      <c r="D3871" t="s">
        <v>23</v>
      </c>
      <c r="E3871" t="s">
        <v>40</v>
      </c>
      <c r="F3871" t="s">
        <v>41</v>
      </c>
      <c r="G3871" s="89">
        <v>856254</v>
      </c>
      <c r="H3871" t="s">
        <v>140</v>
      </c>
      <c r="I3871" t="s">
        <v>133</v>
      </c>
      <c r="J3871" s="89">
        <v>26543874</v>
      </c>
      <c r="K3871" t="s">
        <v>134</v>
      </c>
      <c r="L3871" t="s">
        <v>128</v>
      </c>
      <c r="N3871">
        <v>1</v>
      </c>
      <c r="O3871" s="89">
        <v>25687.62</v>
      </c>
      <c r="P3871" s="89">
        <v>710690.82</v>
      </c>
      <c r="Q3871" t="s">
        <v>135</v>
      </c>
      <c r="R3871" t="s">
        <v>131</v>
      </c>
    </row>
    <row r="3872" spans="3:18" hidden="1" x14ac:dyDescent="0.25">
      <c r="C3872" t="s">
        <v>45</v>
      </c>
      <c r="D3872" t="s">
        <v>23</v>
      </c>
      <c r="E3872" t="s">
        <v>43</v>
      </c>
      <c r="F3872" t="s">
        <v>41</v>
      </c>
      <c r="G3872" s="89">
        <v>282953</v>
      </c>
      <c r="H3872" t="s">
        <v>146</v>
      </c>
      <c r="I3872" t="s">
        <v>126</v>
      </c>
      <c r="J3872" s="89">
        <v>3961342</v>
      </c>
      <c r="K3872" t="s">
        <v>127</v>
      </c>
      <c r="L3872" t="s">
        <v>128</v>
      </c>
      <c r="N3872">
        <v>1</v>
      </c>
      <c r="O3872" s="89">
        <v>8488.59</v>
      </c>
      <c r="P3872" s="89">
        <v>186748.98</v>
      </c>
      <c r="Q3872" t="s">
        <v>137</v>
      </c>
      <c r="R3872" t="s">
        <v>131</v>
      </c>
    </row>
    <row r="3873" spans="3:18" hidden="1" x14ac:dyDescent="0.25">
      <c r="C3873" t="s">
        <v>45</v>
      </c>
      <c r="D3873" t="s">
        <v>24</v>
      </c>
      <c r="E3873" t="s">
        <v>44</v>
      </c>
      <c r="F3873" t="s">
        <v>41</v>
      </c>
      <c r="G3873" s="89">
        <v>100217</v>
      </c>
      <c r="H3873" t="s">
        <v>42</v>
      </c>
      <c r="I3873" t="s">
        <v>141</v>
      </c>
      <c r="J3873" s="89">
        <v>1002170</v>
      </c>
      <c r="K3873" t="s">
        <v>144</v>
      </c>
      <c r="N3873">
        <v>1</v>
      </c>
      <c r="O3873" s="89">
        <v>2004.34</v>
      </c>
      <c r="P3873" s="89">
        <v>36078.120000000003</v>
      </c>
      <c r="Q3873" t="s">
        <v>130</v>
      </c>
      <c r="R3873" t="s">
        <v>42</v>
      </c>
    </row>
    <row r="3874" spans="3:18" hidden="1" x14ac:dyDescent="0.25">
      <c r="C3874" t="s">
        <v>45</v>
      </c>
      <c r="D3874" t="s">
        <v>19</v>
      </c>
      <c r="E3874" t="s">
        <v>43</v>
      </c>
      <c r="F3874" t="s">
        <v>41</v>
      </c>
      <c r="G3874" s="89">
        <v>27227</v>
      </c>
      <c r="H3874" t="s">
        <v>132</v>
      </c>
      <c r="I3874" t="s">
        <v>141</v>
      </c>
      <c r="J3874" s="89">
        <v>136135</v>
      </c>
      <c r="K3874" t="s">
        <v>134</v>
      </c>
      <c r="L3874" t="s">
        <v>128</v>
      </c>
      <c r="N3874">
        <v>1</v>
      </c>
      <c r="O3874" s="89">
        <v>816.81</v>
      </c>
      <c r="P3874" s="89">
        <v>5173.13</v>
      </c>
      <c r="Q3874" t="s">
        <v>130</v>
      </c>
      <c r="R3874" t="s">
        <v>131</v>
      </c>
    </row>
    <row r="3875" spans="3:18" x14ac:dyDescent="0.25">
      <c r="C3875" t="s">
        <v>47</v>
      </c>
      <c r="D3875" t="s">
        <v>24</v>
      </c>
      <c r="E3875" t="s">
        <v>48</v>
      </c>
      <c r="F3875" t="s">
        <v>41</v>
      </c>
      <c r="G3875" s="89">
        <v>81037</v>
      </c>
      <c r="H3875" t="s">
        <v>42</v>
      </c>
      <c r="I3875" t="s">
        <v>133</v>
      </c>
      <c r="J3875" s="89">
        <v>1863851</v>
      </c>
      <c r="K3875" t="s">
        <v>127</v>
      </c>
      <c r="L3875" t="s">
        <v>128</v>
      </c>
      <c r="M3875" t="s">
        <v>148</v>
      </c>
      <c r="N3875">
        <v>1</v>
      </c>
      <c r="O3875" s="89">
        <v>2431.11</v>
      </c>
      <c r="P3875" s="89">
        <v>38087.39</v>
      </c>
      <c r="Q3875" t="s">
        <v>142</v>
      </c>
      <c r="R3875" t="s">
        <v>131</v>
      </c>
    </row>
    <row r="3876" spans="3:18" hidden="1" x14ac:dyDescent="0.25">
      <c r="C3876" t="s">
        <v>45</v>
      </c>
      <c r="D3876" t="s">
        <v>23</v>
      </c>
      <c r="E3876" t="s">
        <v>48</v>
      </c>
      <c r="F3876" t="s">
        <v>41</v>
      </c>
      <c r="G3876" s="89">
        <v>695834</v>
      </c>
      <c r="H3876" t="s">
        <v>145</v>
      </c>
      <c r="I3876" t="s">
        <v>147</v>
      </c>
      <c r="J3876" s="89">
        <v>2087502</v>
      </c>
      <c r="K3876" t="s">
        <v>127</v>
      </c>
      <c r="L3876" t="s">
        <v>128</v>
      </c>
      <c r="N3876">
        <v>1</v>
      </c>
      <c r="O3876" s="89">
        <v>20875.02</v>
      </c>
      <c r="P3876" s="89">
        <v>90458.42</v>
      </c>
      <c r="Q3876" t="s">
        <v>130</v>
      </c>
      <c r="R3876" t="s">
        <v>131</v>
      </c>
    </row>
    <row r="3877" spans="3:18" hidden="1" x14ac:dyDescent="0.25">
      <c r="C3877" t="s">
        <v>45</v>
      </c>
      <c r="D3877" t="s">
        <v>19</v>
      </c>
      <c r="E3877" t="s">
        <v>43</v>
      </c>
      <c r="F3877" t="s">
        <v>41</v>
      </c>
      <c r="G3877" s="89">
        <v>6402603</v>
      </c>
      <c r="H3877" t="s">
        <v>42</v>
      </c>
      <c r="I3877" t="s">
        <v>141</v>
      </c>
      <c r="J3877" s="89">
        <v>51220824</v>
      </c>
      <c r="K3877" t="s">
        <v>127</v>
      </c>
      <c r="L3877" t="s">
        <v>128</v>
      </c>
      <c r="M3877" t="s">
        <v>136</v>
      </c>
      <c r="N3877">
        <v>1</v>
      </c>
      <c r="O3877" s="89">
        <v>192078.09</v>
      </c>
      <c r="P3877" s="89">
        <v>1280520.6000000001</v>
      </c>
      <c r="Q3877" t="s">
        <v>130</v>
      </c>
      <c r="R3877" t="s">
        <v>131</v>
      </c>
    </row>
    <row r="3878" spans="3:18" hidden="1" x14ac:dyDescent="0.25">
      <c r="C3878" t="s">
        <v>45</v>
      </c>
      <c r="D3878" t="s">
        <v>21</v>
      </c>
      <c r="E3878" t="s">
        <v>43</v>
      </c>
      <c r="F3878" t="s">
        <v>41</v>
      </c>
      <c r="G3878" s="89">
        <v>305659</v>
      </c>
      <c r="H3878" t="s">
        <v>42</v>
      </c>
      <c r="I3878" t="s">
        <v>141</v>
      </c>
      <c r="J3878" s="89">
        <v>2445272</v>
      </c>
      <c r="K3878" t="s">
        <v>127</v>
      </c>
      <c r="L3878" t="s">
        <v>128</v>
      </c>
      <c r="M3878" t="s">
        <v>129</v>
      </c>
      <c r="N3878">
        <v>1</v>
      </c>
      <c r="O3878" s="89">
        <v>9169.77</v>
      </c>
      <c r="P3878" s="89">
        <v>149772.91</v>
      </c>
      <c r="Q3878" t="s">
        <v>142</v>
      </c>
      <c r="R3878" t="s">
        <v>42</v>
      </c>
    </row>
    <row r="3879" spans="3:18" hidden="1" x14ac:dyDescent="0.25">
      <c r="C3879" t="s">
        <v>45</v>
      </c>
      <c r="D3879" t="s">
        <v>22</v>
      </c>
      <c r="E3879" t="s">
        <v>40</v>
      </c>
      <c r="F3879" t="s">
        <v>41</v>
      </c>
      <c r="G3879" s="89">
        <v>1316581</v>
      </c>
      <c r="H3879" t="s">
        <v>42</v>
      </c>
      <c r="I3879" t="s">
        <v>141</v>
      </c>
      <c r="J3879" s="89">
        <v>10532648</v>
      </c>
      <c r="K3879" t="s">
        <v>127</v>
      </c>
      <c r="L3879" t="s">
        <v>128</v>
      </c>
      <c r="M3879" t="s">
        <v>143</v>
      </c>
      <c r="N3879">
        <v>1</v>
      </c>
      <c r="O3879" s="89">
        <v>52663.24</v>
      </c>
      <c r="P3879" s="89">
        <v>882109.27</v>
      </c>
      <c r="Q3879" t="s">
        <v>137</v>
      </c>
      <c r="R3879" t="s">
        <v>131</v>
      </c>
    </row>
    <row r="3880" spans="3:18" hidden="1" x14ac:dyDescent="0.25">
      <c r="C3880" t="s">
        <v>45</v>
      </c>
      <c r="D3880" t="s">
        <v>19</v>
      </c>
      <c r="E3880" t="s">
        <v>43</v>
      </c>
      <c r="F3880" t="s">
        <v>41</v>
      </c>
      <c r="G3880" s="89">
        <v>1557921</v>
      </c>
      <c r="H3880" t="s">
        <v>42</v>
      </c>
      <c r="I3880" t="s">
        <v>126</v>
      </c>
      <c r="J3880" s="89">
        <v>28042578</v>
      </c>
      <c r="K3880" t="s">
        <v>127</v>
      </c>
      <c r="L3880" t="s">
        <v>128</v>
      </c>
      <c r="M3880" t="s">
        <v>136</v>
      </c>
      <c r="N3880">
        <v>1</v>
      </c>
      <c r="O3880" s="89">
        <v>46737.63</v>
      </c>
      <c r="P3880" s="89">
        <v>1308653.6399999999</v>
      </c>
      <c r="Q3880" t="s">
        <v>135</v>
      </c>
      <c r="R3880" t="s">
        <v>131</v>
      </c>
    </row>
    <row r="3881" spans="3:18" hidden="1" x14ac:dyDescent="0.25">
      <c r="C3881" t="s">
        <v>45</v>
      </c>
      <c r="D3881" t="s">
        <v>20</v>
      </c>
      <c r="E3881" t="s">
        <v>43</v>
      </c>
      <c r="F3881" t="s">
        <v>41</v>
      </c>
      <c r="G3881" s="89">
        <v>8017435</v>
      </c>
      <c r="H3881" t="s">
        <v>145</v>
      </c>
      <c r="I3881" t="s">
        <v>126</v>
      </c>
      <c r="J3881" s="89">
        <v>120261525</v>
      </c>
      <c r="K3881" t="s">
        <v>127</v>
      </c>
      <c r="L3881" t="s">
        <v>128</v>
      </c>
      <c r="N3881">
        <v>1</v>
      </c>
      <c r="O3881" s="89">
        <v>240523.05</v>
      </c>
      <c r="P3881" s="89">
        <v>2084533.1</v>
      </c>
      <c r="Q3881" t="s">
        <v>130</v>
      </c>
      <c r="R3881" t="s">
        <v>131</v>
      </c>
    </row>
    <row r="3882" spans="3:18" hidden="1" x14ac:dyDescent="0.25">
      <c r="C3882" t="s">
        <v>45</v>
      </c>
      <c r="D3882" t="s">
        <v>19</v>
      </c>
      <c r="E3882" t="s">
        <v>43</v>
      </c>
      <c r="F3882" t="s">
        <v>41</v>
      </c>
      <c r="G3882" s="89">
        <v>18470</v>
      </c>
      <c r="H3882" t="s">
        <v>42</v>
      </c>
      <c r="I3882" t="s">
        <v>147</v>
      </c>
      <c r="J3882" s="89">
        <v>92350</v>
      </c>
      <c r="K3882" t="s">
        <v>144</v>
      </c>
      <c r="N3882">
        <v>1</v>
      </c>
      <c r="O3882" s="89">
        <v>554.1</v>
      </c>
      <c r="P3882" s="89">
        <v>8311.5</v>
      </c>
      <c r="Q3882" t="s">
        <v>142</v>
      </c>
      <c r="R3882" t="s">
        <v>131</v>
      </c>
    </row>
    <row r="3883" spans="3:18" hidden="1" x14ac:dyDescent="0.25">
      <c r="C3883" t="s">
        <v>45</v>
      </c>
      <c r="D3883" t="s">
        <v>21</v>
      </c>
      <c r="E3883" t="s">
        <v>43</v>
      </c>
      <c r="F3883" t="s">
        <v>41</v>
      </c>
      <c r="G3883" s="89">
        <v>45548</v>
      </c>
      <c r="H3883" t="s">
        <v>42</v>
      </c>
      <c r="I3883" t="s">
        <v>126</v>
      </c>
      <c r="J3883" s="89">
        <v>637672</v>
      </c>
      <c r="K3883" t="s">
        <v>127</v>
      </c>
      <c r="L3883" t="s">
        <v>128</v>
      </c>
      <c r="M3883" t="s">
        <v>155</v>
      </c>
      <c r="N3883">
        <v>1</v>
      </c>
      <c r="O3883" s="89">
        <v>1821.92</v>
      </c>
      <c r="P3883" s="89">
        <v>22774</v>
      </c>
      <c r="Q3883" t="s">
        <v>142</v>
      </c>
      <c r="R3883" t="s">
        <v>42</v>
      </c>
    </row>
    <row r="3884" spans="3:18" hidden="1" x14ac:dyDescent="0.25">
      <c r="C3884" t="s">
        <v>45</v>
      </c>
      <c r="D3884" t="s">
        <v>19</v>
      </c>
      <c r="E3884" t="s">
        <v>40</v>
      </c>
      <c r="F3884" t="s">
        <v>41</v>
      </c>
      <c r="G3884" s="89">
        <v>281628</v>
      </c>
      <c r="H3884" t="s">
        <v>42</v>
      </c>
      <c r="I3884" t="s">
        <v>141</v>
      </c>
      <c r="J3884" s="89">
        <v>1971396</v>
      </c>
      <c r="K3884" t="s">
        <v>127</v>
      </c>
      <c r="L3884" t="s">
        <v>128</v>
      </c>
      <c r="M3884" t="s">
        <v>136</v>
      </c>
      <c r="N3884">
        <v>1</v>
      </c>
      <c r="O3884" s="89">
        <v>11265.12</v>
      </c>
      <c r="P3884" s="89">
        <v>126732.6</v>
      </c>
      <c r="Q3884" t="s">
        <v>142</v>
      </c>
      <c r="R3884" t="s">
        <v>131</v>
      </c>
    </row>
    <row r="3885" spans="3:18" hidden="1" x14ac:dyDescent="0.25">
      <c r="C3885" t="s">
        <v>45</v>
      </c>
      <c r="D3885" t="s">
        <v>22</v>
      </c>
      <c r="E3885" t="s">
        <v>44</v>
      </c>
      <c r="F3885" t="s">
        <v>41</v>
      </c>
      <c r="G3885" s="89">
        <v>129133</v>
      </c>
      <c r="H3885" t="s">
        <v>42</v>
      </c>
      <c r="I3885" t="s">
        <v>133</v>
      </c>
      <c r="J3885" s="89">
        <v>4003123</v>
      </c>
      <c r="K3885" t="s">
        <v>134</v>
      </c>
      <c r="L3885" t="s">
        <v>128</v>
      </c>
      <c r="M3885" t="s">
        <v>143</v>
      </c>
      <c r="N3885">
        <v>1</v>
      </c>
      <c r="O3885" s="89">
        <v>3873.99</v>
      </c>
      <c r="P3885" s="89">
        <v>92975.76</v>
      </c>
      <c r="Q3885" t="s">
        <v>137</v>
      </c>
      <c r="R3885" t="s">
        <v>42</v>
      </c>
    </row>
    <row r="3886" spans="3:18" hidden="1" x14ac:dyDescent="0.25">
      <c r="C3886" t="s">
        <v>45</v>
      </c>
      <c r="D3886" t="s">
        <v>24</v>
      </c>
      <c r="E3886" t="s">
        <v>46</v>
      </c>
      <c r="F3886" t="s">
        <v>41</v>
      </c>
      <c r="G3886" s="89">
        <v>17174</v>
      </c>
      <c r="H3886" t="s">
        <v>42</v>
      </c>
      <c r="I3886" t="s">
        <v>141</v>
      </c>
      <c r="J3886" s="89">
        <v>85870</v>
      </c>
      <c r="K3886" t="s">
        <v>127</v>
      </c>
      <c r="L3886" t="s">
        <v>128</v>
      </c>
      <c r="M3886" t="s">
        <v>148</v>
      </c>
      <c r="N3886">
        <v>1</v>
      </c>
      <c r="O3886" s="89">
        <v>1030.44</v>
      </c>
      <c r="P3886" s="89">
        <v>5323.94</v>
      </c>
      <c r="Q3886" t="s">
        <v>130</v>
      </c>
      <c r="R3886" t="s">
        <v>131</v>
      </c>
    </row>
    <row r="3887" spans="3:18" hidden="1" x14ac:dyDescent="0.25">
      <c r="C3887" t="s">
        <v>45</v>
      </c>
      <c r="D3887" t="s">
        <v>24</v>
      </c>
      <c r="E3887" t="s">
        <v>43</v>
      </c>
      <c r="F3887" t="s">
        <v>41</v>
      </c>
      <c r="G3887" s="89">
        <v>4687021</v>
      </c>
      <c r="H3887" t="s">
        <v>42</v>
      </c>
      <c r="I3887" t="s">
        <v>133</v>
      </c>
      <c r="J3887" s="89">
        <v>159358714</v>
      </c>
      <c r="K3887" t="s">
        <v>127</v>
      </c>
      <c r="L3887" t="s">
        <v>128</v>
      </c>
      <c r="M3887" t="s">
        <v>148</v>
      </c>
      <c r="N3887">
        <v>1</v>
      </c>
      <c r="O3887" s="89">
        <v>140610.63</v>
      </c>
      <c r="P3887" s="89">
        <v>3937097.64</v>
      </c>
      <c r="Q3887" t="s">
        <v>135</v>
      </c>
      <c r="R3887" t="s">
        <v>131</v>
      </c>
    </row>
    <row r="3888" spans="3:18" hidden="1" x14ac:dyDescent="0.25">
      <c r="C3888" t="s">
        <v>45</v>
      </c>
      <c r="D3888" t="s">
        <v>23</v>
      </c>
      <c r="E3888" t="s">
        <v>52</v>
      </c>
      <c r="F3888" t="s">
        <v>41</v>
      </c>
      <c r="G3888" s="89">
        <v>5628795</v>
      </c>
      <c r="H3888" t="s">
        <v>42</v>
      </c>
      <c r="I3888" t="s">
        <v>133</v>
      </c>
      <c r="J3888" s="89">
        <v>185750235</v>
      </c>
      <c r="K3888" t="s">
        <v>144</v>
      </c>
      <c r="N3888">
        <v>1</v>
      </c>
      <c r="O3888" s="89">
        <v>168863.85</v>
      </c>
      <c r="P3888" s="89">
        <v>2814397.5</v>
      </c>
      <c r="Q3888" t="s">
        <v>142</v>
      </c>
      <c r="R3888" t="s">
        <v>42</v>
      </c>
    </row>
    <row r="3889" spans="3:18" x14ac:dyDescent="0.25">
      <c r="C3889" t="s">
        <v>47</v>
      </c>
      <c r="D3889" t="s">
        <v>21</v>
      </c>
      <c r="E3889" t="s">
        <v>43</v>
      </c>
      <c r="F3889" t="s">
        <v>41</v>
      </c>
      <c r="G3889" s="89">
        <v>549564</v>
      </c>
      <c r="H3889" t="s">
        <v>42</v>
      </c>
      <c r="I3889" t="s">
        <v>141</v>
      </c>
      <c r="J3889" s="89">
        <v>3297384</v>
      </c>
      <c r="K3889" t="s">
        <v>127</v>
      </c>
      <c r="L3889" t="s">
        <v>128</v>
      </c>
      <c r="M3889" t="s">
        <v>129</v>
      </c>
      <c r="N3889">
        <v>1</v>
      </c>
      <c r="O3889" s="89">
        <v>21982.560000000001</v>
      </c>
      <c r="P3889" s="89">
        <v>98921.52</v>
      </c>
      <c r="Q3889" t="s">
        <v>130</v>
      </c>
      <c r="R3889" t="s">
        <v>131</v>
      </c>
    </row>
    <row r="3890" spans="3:18" x14ac:dyDescent="0.25">
      <c r="C3890" t="s">
        <v>47</v>
      </c>
      <c r="D3890" t="s">
        <v>24</v>
      </c>
      <c r="E3890" t="s">
        <v>48</v>
      </c>
      <c r="F3890" t="s">
        <v>41</v>
      </c>
      <c r="G3890" s="89">
        <v>2141901</v>
      </c>
      <c r="H3890" t="s">
        <v>132</v>
      </c>
      <c r="I3890" t="s">
        <v>126</v>
      </c>
      <c r="J3890" s="89">
        <v>23560911</v>
      </c>
      <c r="K3890" t="s">
        <v>144</v>
      </c>
      <c r="N3890">
        <v>1</v>
      </c>
      <c r="O3890" s="89">
        <v>85676.04</v>
      </c>
      <c r="P3890" s="89">
        <v>878179.41</v>
      </c>
      <c r="Q3890" t="s">
        <v>142</v>
      </c>
      <c r="R3890" t="s">
        <v>131</v>
      </c>
    </row>
    <row r="3891" spans="3:18" hidden="1" x14ac:dyDescent="0.25">
      <c r="C3891" t="s">
        <v>45</v>
      </c>
      <c r="D3891" t="s">
        <v>21</v>
      </c>
      <c r="E3891" t="s">
        <v>43</v>
      </c>
      <c r="F3891" t="s">
        <v>41</v>
      </c>
      <c r="G3891" s="89">
        <v>1068325</v>
      </c>
      <c r="H3891" t="s">
        <v>42</v>
      </c>
      <c r="I3891" t="s">
        <v>126</v>
      </c>
      <c r="J3891" s="89">
        <v>17093200</v>
      </c>
      <c r="K3891" t="s">
        <v>134</v>
      </c>
      <c r="L3891" t="s">
        <v>128</v>
      </c>
      <c r="M3891" t="s">
        <v>129</v>
      </c>
      <c r="N3891">
        <v>1</v>
      </c>
      <c r="O3891" s="89">
        <v>32049.75</v>
      </c>
      <c r="P3891" s="89">
        <v>715777.75</v>
      </c>
      <c r="Q3891" t="s">
        <v>137</v>
      </c>
      <c r="R3891" t="s">
        <v>131</v>
      </c>
    </row>
    <row r="3892" spans="3:18" x14ac:dyDescent="0.25">
      <c r="C3892" t="s">
        <v>47</v>
      </c>
      <c r="D3892" t="s">
        <v>21</v>
      </c>
      <c r="E3892" t="s">
        <v>43</v>
      </c>
      <c r="F3892" t="s">
        <v>41</v>
      </c>
      <c r="G3892" s="89">
        <v>2450871</v>
      </c>
      <c r="H3892" t="s">
        <v>140</v>
      </c>
      <c r="I3892" t="s">
        <v>147</v>
      </c>
      <c r="J3892" s="89">
        <v>9803484</v>
      </c>
      <c r="K3892" t="s">
        <v>127</v>
      </c>
      <c r="L3892" t="s">
        <v>128</v>
      </c>
      <c r="N3892">
        <v>1</v>
      </c>
      <c r="O3892" s="89">
        <v>73526.13</v>
      </c>
      <c r="P3892" s="89">
        <v>1764627.12</v>
      </c>
      <c r="Q3892" t="s">
        <v>137</v>
      </c>
      <c r="R3892" t="s">
        <v>131</v>
      </c>
    </row>
    <row r="3893" spans="3:18" hidden="1" x14ac:dyDescent="0.25">
      <c r="C3893" t="s">
        <v>45</v>
      </c>
      <c r="D3893" t="s">
        <v>149</v>
      </c>
      <c r="E3893" t="s">
        <v>43</v>
      </c>
      <c r="F3893" t="s">
        <v>41</v>
      </c>
      <c r="G3893" s="89">
        <v>36054</v>
      </c>
      <c r="H3893" t="s">
        <v>145</v>
      </c>
      <c r="I3893" t="s">
        <v>141</v>
      </c>
      <c r="J3893" s="89">
        <v>324486</v>
      </c>
      <c r="K3893" t="s">
        <v>134</v>
      </c>
      <c r="L3893" t="s">
        <v>128</v>
      </c>
      <c r="N3893">
        <v>1</v>
      </c>
      <c r="O3893" s="89">
        <v>1081.6199999999999</v>
      </c>
      <c r="P3893" s="89">
        <v>10816.2</v>
      </c>
      <c r="Q3893" t="s">
        <v>130</v>
      </c>
      <c r="R3893" t="s">
        <v>131</v>
      </c>
    </row>
    <row r="3894" spans="3:18" hidden="1" x14ac:dyDescent="0.25">
      <c r="C3894" t="s">
        <v>45</v>
      </c>
      <c r="D3894" t="s">
        <v>21</v>
      </c>
      <c r="E3894" t="s">
        <v>43</v>
      </c>
      <c r="F3894" t="s">
        <v>41</v>
      </c>
      <c r="G3894" s="89">
        <v>7886073</v>
      </c>
      <c r="H3894" t="s">
        <v>146</v>
      </c>
      <c r="I3894" t="s">
        <v>147</v>
      </c>
      <c r="J3894" s="89">
        <v>23658219</v>
      </c>
      <c r="K3894" t="s">
        <v>144</v>
      </c>
      <c r="N3894">
        <v>1</v>
      </c>
      <c r="O3894" s="89">
        <v>315442.92</v>
      </c>
      <c r="P3894" s="89">
        <v>3864175.77</v>
      </c>
      <c r="Q3894" t="s">
        <v>142</v>
      </c>
      <c r="R3894" t="s">
        <v>131</v>
      </c>
    </row>
    <row r="3895" spans="3:18" hidden="1" x14ac:dyDescent="0.25">
      <c r="C3895" t="s">
        <v>45</v>
      </c>
      <c r="D3895" t="s">
        <v>21</v>
      </c>
      <c r="E3895" t="s">
        <v>40</v>
      </c>
      <c r="F3895" t="s">
        <v>41</v>
      </c>
      <c r="G3895" s="89">
        <v>58194</v>
      </c>
      <c r="H3895" t="s">
        <v>145</v>
      </c>
      <c r="I3895" t="s">
        <v>133</v>
      </c>
      <c r="J3895" s="89">
        <v>1862208</v>
      </c>
      <c r="K3895" t="s">
        <v>127</v>
      </c>
      <c r="L3895" t="s">
        <v>151</v>
      </c>
      <c r="N3895">
        <v>1</v>
      </c>
      <c r="O3895" s="89">
        <v>2327.7600000000002</v>
      </c>
      <c r="P3895" s="89">
        <v>45391.32</v>
      </c>
      <c r="Q3895" t="s">
        <v>137</v>
      </c>
      <c r="R3895" t="s">
        <v>131</v>
      </c>
    </row>
    <row r="3896" spans="3:18" hidden="1" x14ac:dyDescent="0.25">
      <c r="C3896" t="s">
        <v>45</v>
      </c>
      <c r="D3896" t="s">
        <v>25</v>
      </c>
      <c r="E3896" t="s">
        <v>44</v>
      </c>
      <c r="F3896" t="s">
        <v>41</v>
      </c>
      <c r="G3896" s="89">
        <v>244063</v>
      </c>
      <c r="H3896" t="s">
        <v>146</v>
      </c>
      <c r="I3896" t="s">
        <v>133</v>
      </c>
      <c r="J3896" s="89">
        <v>6345638</v>
      </c>
      <c r="K3896" t="s">
        <v>127</v>
      </c>
      <c r="L3896" t="s">
        <v>128</v>
      </c>
      <c r="N3896">
        <v>1</v>
      </c>
      <c r="O3896" s="89">
        <v>7321.89</v>
      </c>
      <c r="P3896" s="89">
        <v>61015.75</v>
      </c>
      <c r="Q3896" t="s">
        <v>130</v>
      </c>
      <c r="R3896" t="s">
        <v>131</v>
      </c>
    </row>
    <row r="3897" spans="3:18" x14ac:dyDescent="0.25">
      <c r="C3897" t="s">
        <v>47</v>
      </c>
      <c r="D3897" t="s">
        <v>22</v>
      </c>
      <c r="E3897" t="s">
        <v>48</v>
      </c>
      <c r="F3897" t="s">
        <v>41</v>
      </c>
      <c r="G3897" s="89">
        <v>96056</v>
      </c>
      <c r="H3897" t="s">
        <v>42</v>
      </c>
      <c r="I3897" t="s">
        <v>126</v>
      </c>
      <c r="J3897" s="89">
        <v>1056616</v>
      </c>
      <c r="K3897" t="s">
        <v>127</v>
      </c>
      <c r="L3897" t="s">
        <v>128</v>
      </c>
      <c r="M3897" t="s">
        <v>143</v>
      </c>
      <c r="N3897">
        <v>1</v>
      </c>
      <c r="O3897" s="89">
        <v>3842.24</v>
      </c>
      <c r="P3897" s="89">
        <v>58594.16</v>
      </c>
      <c r="Q3897" t="s">
        <v>137</v>
      </c>
      <c r="R3897" t="s">
        <v>131</v>
      </c>
    </row>
    <row r="3898" spans="3:18" hidden="1" x14ac:dyDescent="0.25">
      <c r="C3898" t="s">
        <v>45</v>
      </c>
      <c r="D3898" t="s">
        <v>21</v>
      </c>
      <c r="E3898" t="s">
        <v>40</v>
      </c>
      <c r="F3898" t="s">
        <v>41</v>
      </c>
      <c r="G3898" s="89">
        <v>126113</v>
      </c>
      <c r="H3898" t="s">
        <v>145</v>
      </c>
      <c r="I3898" t="s">
        <v>141</v>
      </c>
      <c r="J3898" s="89">
        <v>1008904</v>
      </c>
      <c r="K3898" t="s">
        <v>127</v>
      </c>
      <c r="L3898" t="s">
        <v>128</v>
      </c>
      <c r="N3898">
        <v>1</v>
      </c>
      <c r="O3898" s="89">
        <v>3783.39</v>
      </c>
      <c r="P3898" s="89">
        <v>51706.33</v>
      </c>
      <c r="Q3898" t="s">
        <v>142</v>
      </c>
      <c r="R3898" t="s">
        <v>131</v>
      </c>
    </row>
    <row r="3899" spans="3:18" x14ac:dyDescent="0.25">
      <c r="C3899" t="s">
        <v>47</v>
      </c>
      <c r="D3899" t="s">
        <v>22</v>
      </c>
      <c r="E3899" t="s">
        <v>48</v>
      </c>
      <c r="F3899" t="s">
        <v>41</v>
      </c>
      <c r="G3899" s="89">
        <v>55552</v>
      </c>
      <c r="H3899" t="s">
        <v>132</v>
      </c>
      <c r="I3899" t="s">
        <v>141</v>
      </c>
      <c r="J3899" s="89">
        <v>444416</v>
      </c>
      <c r="K3899" t="s">
        <v>127</v>
      </c>
      <c r="L3899" t="s">
        <v>128</v>
      </c>
      <c r="N3899">
        <v>1</v>
      </c>
      <c r="O3899" s="89">
        <v>2777.6</v>
      </c>
      <c r="P3899" s="89">
        <v>33331.199999999997</v>
      </c>
      <c r="Q3899" t="s">
        <v>137</v>
      </c>
      <c r="R3899" t="s">
        <v>131</v>
      </c>
    </row>
    <row r="3900" spans="3:18" hidden="1" x14ac:dyDescent="0.25">
      <c r="C3900" t="s">
        <v>45</v>
      </c>
      <c r="D3900" t="s">
        <v>21</v>
      </c>
      <c r="E3900" t="s">
        <v>48</v>
      </c>
      <c r="F3900" t="s">
        <v>41</v>
      </c>
      <c r="G3900" s="89">
        <v>9550299</v>
      </c>
      <c r="H3900" t="s">
        <v>42</v>
      </c>
      <c r="I3900" t="s">
        <v>133</v>
      </c>
      <c r="J3900" s="89">
        <v>343810764</v>
      </c>
      <c r="K3900" t="s">
        <v>127</v>
      </c>
      <c r="L3900" t="s">
        <v>128</v>
      </c>
      <c r="M3900" t="s">
        <v>129</v>
      </c>
      <c r="N3900">
        <v>1</v>
      </c>
      <c r="O3900" s="89">
        <v>286508.96999999997</v>
      </c>
      <c r="P3900" s="89">
        <v>7926748.1699999999</v>
      </c>
      <c r="Q3900" t="s">
        <v>135</v>
      </c>
      <c r="R3900" t="s">
        <v>42</v>
      </c>
    </row>
    <row r="3901" spans="3:18" hidden="1" x14ac:dyDescent="0.25">
      <c r="C3901" t="s">
        <v>45</v>
      </c>
      <c r="D3901" t="s">
        <v>19</v>
      </c>
      <c r="E3901" t="s">
        <v>43</v>
      </c>
      <c r="F3901" t="s">
        <v>41</v>
      </c>
      <c r="G3901" s="89">
        <v>29974</v>
      </c>
      <c r="H3901" t="s">
        <v>140</v>
      </c>
      <c r="I3901" t="s">
        <v>141</v>
      </c>
      <c r="J3901" s="89">
        <v>269766</v>
      </c>
      <c r="K3901" t="s">
        <v>144</v>
      </c>
      <c r="N3901">
        <v>1</v>
      </c>
      <c r="O3901" s="89">
        <v>899.22</v>
      </c>
      <c r="P3901" s="89">
        <v>19483.099999999999</v>
      </c>
      <c r="Q3901" t="s">
        <v>137</v>
      </c>
      <c r="R3901" t="s">
        <v>131</v>
      </c>
    </row>
    <row r="3902" spans="3:18" hidden="1" x14ac:dyDescent="0.25">
      <c r="C3902" t="s">
        <v>45</v>
      </c>
      <c r="D3902" t="s">
        <v>149</v>
      </c>
      <c r="E3902" t="s">
        <v>43</v>
      </c>
      <c r="F3902" t="s">
        <v>53</v>
      </c>
      <c r="G3902" s="89">
        <v>155375</v>
      </c>
      <c r="H3902" t="s">
        <v>42</v>
      </c>
      <c r="I3902" t="s">
        <v>126</v>
      </c>
      <c r="J3902" s="89">
        <v>2486000</v>
      </c>
      <c r="K3902" t="s">
        <v>144</v>
      </c>
      <c r="N3902">
        <v>1</v>
      </c>
      <c r="O3902" s="89">
        <v>4661.25</v>
      </c>
      <c r="P3902" s="89">
        <v>77687.5</v>
      </c>
      <c r="Q3902" t="s">
        <v>142</v>
      </c>
      <c r="R3902" t="s">
        <v>42</v>
      </c>
    </row>
    <row r="3903" spans="3:18" hidden="1" x14ac:dyDescent="0.25">
      <c r="C3903" t="s">
        <v>45</v>
      </c>
      <c r="D3903" t="s">
        <v>22</v>
      </c>
      <c r="E3903" t="s">
        <v>40</v>
      </c>
      <c r="F3903" t="s">
        <v>53</v>
      </c>
      <c r="G3903" s="89">
        <v>403201</v>
      </c>
      <c r="H3903" t="s">
        <v>140</v>
      </c>
      <c r="I3903" t="s">
        <v>126</v>
      </c>
      <c r="J3903" s="89">
        <v>6451216</v>
      </c>
      <c r="K3903" t="s">
        <v>144</v>
      </c>
      <c r="N3903">
        <v>1</v>
      </c>
      <c r="O3903" s="89">
        <v>12096.03</v>
      </c>
      <c r="P3903" s="89">
        <v>225792.56</v>
      </c>
      <c r="Q3903" t="s">
        <v>142</v>
      </c>
      <c r="R3903" t="s">
        <v>131</v>
      </c>
    </row>
    <row r="3904" spans="3:18" hidden="1" x14ac:dyDescent="0.25">
      <c r="C3904" t="s">
        <v>45</v>
      </c>
      <c r="D3904" t="s">
        <v>21</v>
      </c>
      <c r="E3904" t="s">
        <v>40</v>
      </c>
      <c r="F3904" t="s">
        <v>41</v>
      </c>
      <c r="G3904" s="89">
        <v>91172</v>
      </c>
      <c r="H3904" t="s">
        <v>42</v>
      </c>
      <c r="I3904" t="s">
        <v>126</v>
      </c>
      <c r="J3904" s="89">
        <v>1367580</v>
      </c>
      <c r="K3904" t="s">
        <v>134</v>
      </c>
      <c r="L3904" t="s">
        <v>128</v>
      </c>
      <c r="M3904" t="s">
        <v>129</v>
      </c>
      <c r="N3904">
        <v>1</v>
      </c>
      <c r="O3904" s="89">
        <v>2735.16</v>
      </c>
      <c r="P3904" s="89">
        <v>41027.4</v>
      </c>
      <c r="Q3904" t="s">
        <v>142</v>
      </c>
      <c r="R3904" t="s">
        <v>131</v>
      </c>
    </row>
    <row r="3905" spans="3:18" hidden="1" x14ac:dyDescent="0.25">
      <c r="C3905" t="s">
        <v>45</v>
      </c>
      <c r="D3905" t="s">
        <v>138</v>
      </c>
      <c r="E3905" t="s">
        <v>40</v>
      </c>
      <c r="F3905" t="s">
        <v>41</v>
      </c>
      <c r="G3905" s="89">
        <v>74804</v>
      </c>
      <c r="H3905" t="s">
        <v>42</v>
      </c>
      <c r="I3905" t="s">
        <v>126</v>
      </c>
      <c r="J3905" s="89">
        <v>1271668</v>
      </c>
      <c r="K3905" t="s">
        <v>144</v>
      </c>
      <c r="N3905">
        <v>1</v>
      </c>
      <c r="O3905" s="89">
        <v>1496.08</v>
      </c>
      <c r="P3905" s="89">
        <v>29173.56</v>
      </c>
      <c r="Q3905" t="s">
        <v>130</v>
      </c>
      <c r="R3905" t="s">
        <v>131</v>
      </c>
    </row>
    <row r="3906" spans="3:18" hidden="1" x14ac:dyDescent="0.25">
      <c r="C3906" t="s">
        <v>45</v>
      </c>
      <c r="D3906" t="s">
        <v>20</v>
      </c>
      <c r="E3906" t="s">
        <v>43</v>
      </c>
      <c r="F3906" t="s">
        <v>41</v>
      </c>
      <c r="G3906" s="89">
        <v>8334032</v>
      </c>
      <c r="H3906" t="s">
        <v>146</v>
      </c>
      <c r="I3906" t="s">
        <v>141</v>
      </c>
      <c r="J3906" s="89">
        <v>58338224</v>
      </c>
      <c r="K3906" t="s">
        <v>127</v>
      </c>
      <c r="L3906" t="s">
        <v>128</v>
      </c>
      <c r="N3906">
        <v>1</v>
      </c>
      <c r="O3906" s="89">
        <v>250020.96</v>
      </c>
      <c r="P3906" s="89">
        <v>1833487.04</v>
      </c>
      <c r="Q3906" t="s">
        <v>130</v>
      </c>
      <c r="R3906" t="s">
        <v>131</v>
      </c>
    </row>
    <row r="3907" spans="3:18" hidden="1" x14ac:dyDescent="0.25">
      <c r="C3907" t="s">
        <v>45</v>
      </c>
      <c r="D3907" t="s">
        <v>23</v>
      </c>
      <c r="E3907" t="s">
        <v>48</v>
      </c>
      <c r="F3907" t="s">
        <v>41</v>
      </c>
      <c r="G3907" s="89">
        <v>345788</v>
      </c>
      <c r="H3907" t="s">
        <v>146</v>
      </c>
      <c r="I3907" t="s">
        <v>133</v>
      </c>
      <c r="J3907" s="89">
        <v>10373640</v>
      </c>
      <c r="K3907" t="s">
        <v>144</v>
      </c>
      <c r="N3907">
        <v>1</v>
      </c>
      <c r="O3907" s="89">
        <v>10373.64</v>
      </c>
      <c r="P3907" s="89">
        <v>176351.88</v>
      </c>
      <c r="Q3907" t="s">
        <v>142</v>
      </c>
      <c r="R3907" t="s">
        <v>131</v>
      </c>
    </row>
    <row r="3908" spans="3:18" hidden="1" x14ac:dyDescent="0.25">
      <c r="C3908" t="s">
        <v>45</v>
      </c>
      <c r="D3908" t="s">
        <v>19</v>
      </c>
      <c r="E3908" t="s">
        <v>43</v>
      </c>
      <c r="F3908" t="s">
        <v>41</v>
      </c>
      <c r="G3908" s="89">
        <v>181280</v>
      </c>
      <c r="H3908" t="s">
        <v>154</v>
      </c>
      <c r="I3908" t="s">
        <v>133</v>
      </c>
      <c r="J3908" s="89">
        <v>3988160</v>
      </c>
      <c r="K3908" t="s">
        <v>127</v>
      </c>
      <c r="L3908" t="s">
        <v>128</v>
      </c>
      <c r="N3908">
        <v>1</v>
      </c>
      <c r="O3908" s="89">
        <v>7251.2</v>
      </c>
      <c r="P3908" s="89">
        <v>81576</v>
      </c>
      <c r="Q3908" t="s">
        <v>142</v>
      </c>
      <c r="R3908" t="s">
        <v>131</v>
      </c>
    </row>
    <row r="3909" spans="3:18" hidden="1" x14ac:dyDescent="0.25">
      <c r="C3909" t="s">
        <v>45</v>
      </c>
      <c r="D3909" t="s">
        <v>22</v>
      </c>
      <c r="E3909" t="s">
        <v>43</v>
      </c>
      <c r="F3909" t="s">
        <v>41</v>
      </c>
      <c r="G3909" s="89">
        <v>169030</v>
      </c>
      <c r="H3909" t="s">
        <v>145</v>
      </c>
      <c r="I3909" t="s">
        <v>133</v>
      </c>
      <c r="J3909" s="89">
        <v>4732840</v>
      </c>
      <c r="K3909" t="s">
        <v>134</v>
      </c>
      <c r="L3909" t="s">
        <v>128</v>
      </c>
      <c r="N3909">
        <v>1</v>
      </c>
      <c r="O3909" s="89">
        <v>5070.8999999999996</v>
      </c>
      <c r="P3909" s="89">
        <v>86205.3</v>
      </c>
      <c r="Q3909" t="s">
        <v>142</v>
      </c>
      <c r="R3909" t="s">
        <v>131</v>
      </c>
    </row>
    <row r="3910" spans="3:18" hidden="1" x14ac:dyDescent="0.25">
      <c r="C3910" t="s">
        <v>45</v>
      </c>
      <c r="D3910" t="s">
        <v>23</v>
      </c>
      <c r="E3910" t="s">
        <v>48</v>
      </c>
      <c r="F3910" t="s">
        <v>41</v>
      </c>
      <c r="G3910" s="89">
        <v>225138</v>
      </c>
      <c r="H3910" t="s">
        <v>132</v>
      </c>
      <c r="I3910" t="s">
        <v>126</v>
      </c>
      <c r="J3910" s="89">
        <v>4052484</v>
      </c>
      <c r="K3910" t="s">
        <v>144</v>
      </c>
      <c r="N3910">
        <v>1</v>
      </c>
      <c r="O3910" s="89">
        <v>6754.14</v>
      </c>
      <c r="P3910" s="89">
        <v>101312.1</v>
      </c>
      <c r="Q3910" t="s">
        <v>142</v>
      </c>
      <c r="R3910" t="s">
        <v>131</v>
      </c>
    </row>
    <row r="3911" spans="3:18" hidden="1" x14ac:dyDescent="0.25">
      <c r="C3911" t="s">
        <v>45</v>
      </c>
      <c r="D3911" t="s">
        <v>22</v>
      </c>
      <c r="E3911" t="s">
        <v>40</v>
      </c>
      <c r="F3911" t="s">
        <v>41</v>
      </c>
      <c r="G3911" s="89">
        <v>97656</v>
      </c>
      <c r="H3911" t="s">
        <v>42</v>
      </c>
      <c r="I3911" t="s">
        <v>133</v>
      </c>
      <c r="J3911" s="89">
        <v>2343744</v>
      </c>
      <c r="K3911" t="s">
        <v>127</v>
      </c>
      <c r="L3911" t="s">
        <v>128</v>
      </c>
      <c r="M3911" t="s">
        <v>129</v>
      </c>
      <c r="N3911">
        <v>1</v>
      </c>
      <c r="O3911" s="89">
        <v>2929.68</v>
      </c>
      <c r="P3911" s="89">
        <v>42968.639999999999</v>
      </c>
      <c r="Q3911" t="s">
        <v>142</v>
      </c>
      <c r="R3911" t="s">
        <v>42</v>
      </c>
    </row>
    <row r="3912" spans="3:18" x14ac:dyDescent="0.25">
      <c r="C3912" t="s">
        <v>47</v>
      </c>
      <c r="D3912" t="s">
        <v>22</v>
      </c>
      <c r="E3912" t="s">
        <v>40</v>
      </c>
      <c r="F3912" t="s">
        <v>41</v>
      </c>
      <c r="G3912" s="89">
        <v>373516</v>
      </c>
      <c r="H3912" t="s">
        <v>146</v>
      </c>
      <c r="I3912" t="s">
        <v>153</v>
      </c>
      <c r="J3912" s="89"/>
      <c r="K3912" t="s">
        <v>127</v>
      </c>
      <c r="L3912" t="s">
        <v>128</v>
      </c>
      <c r="N3912">
        <v>0</v>
      </c>
      <c r="O3912" s="89">
        <v>22410.959999999999</v>
      </c>
      <c r="P3912" s="89">
        <v>56027.4</v>
      </c>
      <c r="Q3912" t="s">
        <v>130</v>
      </c>
      <c r="R3912" t="s">
        <v>131</v>
      </c>
    </row>
    <row r="3913" spans="3:18" x14ac:dyDescent="0.25">
      <c r="C3913" t="s">
        <v>47</v>
      </c>
      <c r="D3913" t="s">
        <v>20</v>
      </c>
      <c r="E3913" t="s">
        <v>40</v>
      </c>
      <c r="F3913" t="s">
        <v>41</v>
      </c>
      <c r="G3913" s="89">
        <v>3259157</v>
      </c>
      <c r="H3913" t="s">
        <v>42</v>
      </c>
      <c r="I3913" t="s">
        <v>126</v>
      </c>
      <c r="J3913" s="89">
        <v>42369041</v>
      </c>
      <c r="K3913" t="s">
        <v>127</v>
      </c>
      <c r="L3913" t="s">
        <v>128</v>
      </c>
      <c r="M3913" t="s">
        <v>139</v>
      </c>
      <c r="N3913">
        <v>1</v>
      </c>
      <c r="O3913" s="89">
        <v>130366.28</v>
      </c>
      <c r="P3913" s="89">
        <v>1173296.52</v>
      </c>
      <c r="Q3913" t="s">
        <v>130</v>
      </c>
      <c r="R3913" t="s">
        <v>131</v>
      </c>
    </row>
    <row r="3914" spans="3:18" hidden="1" x14ac:dyDescent="0.25">
      <c r="C3914" t="s">
        <v>45</v>
      </c>
      <c r="D3914" t="s">
        <v>22</v>
      </c>
      <c r="E3914" t="s">
        <v>40</v>
      </c>
      <c r="F3914" t="s">
        <v>41</v>
      </c>
      <c r="G3914" s="89">
        <v>205515</v>
      </c>
      <c r="H3914" t="s">
        <v>140</v>
      </c>
      <c r="I3914" t="s">
        <v>133</v>
      </c>
      <c r="J3914" s="89">
        <v>5137875</v>
      </c>
      <c r="K3914" t="s">
        <v>127</v>
      </c>
      <c r="L3914" t="s">
        <v>151</v>
      </c>
      <c r="N3914">
        <v>1</v>
      </c>
      <c r="O3914" s="89">
        <v>6165.45</v>
      </c>
      <c r="P3914" s="89">
        <v>88371.45</v>
      </c>
      <c r="Q3914" t="s">
        <v>142</v>
      </c>
      <c r="R3914" t="s">
        <v>131</v>
      </c>
    </row>
    <row r="3915" spans="3:18" hidden="1" x14ac:dyDescent="0.25">
      <c r="C3915" t="s">
        <v>45</v>
      </c>
      <c r="D3915" t="s">
        <v>23</v>
      </c>
      <c r="E3915" t="s">
        <v>48</v>
      </c>
      <c r="F3915" t="s">
        <v>41</v>
      </c>
      <c r="G3915" s="89">
        <v>4952400</v>
      </c>
      <c r="H3915" t="s">
        <v>146</v>
      </c>
      <c r="I3915" t="s">
        <v>126</v>
      </c>
      <c r="J3915" s="89">
        <v>79238400</v>
      </c>
      <c r="K3915" t="s">
        <v>127</v>
      </c>
      <c r="L3915" t="s">
        <v>128</v>
      </c>
      <c r="N3915">
        <v>1</v>
      </c>
      <c r="O3915" s="89">
        <v>148572</v>
      </c>
      <c r="P3915" s="89">
        <v>2426676</v>
      </c>
      <c r="Q3915" t="s">
        <v>142</v>
      </c>
      <c r="R3915" t="s">
        <v>131</v>
      </c>
    </row>
    <row r="3916" spans="3:18" hidden="1" x14ac:dyDescent="0.25">
      <c r="C3916" t="s">
        <v>45</v>
      </c>
      <c r="D3916" t="s">
        <v>149</v>
      </c>
      <c r="E3916" t="s">
        <v>44</v>
      </c>
      <c r="F3916" t="s">
        <v>41</v>
      </c>
      <c r="G3916" s="89">
        <v>279866</v>
      </c>
      <c r="H3916" t="s">
        <v>42</v>
      </c>
      <c r="I3916" t="s">
        <v>133</v>
      </c>
      <c r="J3916" s="89">
        <v>7836248</v>
      </c>
      <c r="K3916" t="s">
        <v>127</v>
      </c>
      <c r="L3916" t="s">
        <v>128</v>
      </c>
      <c r="M3916" t="s">
        <v>136</v>
      </c>
      <c r="N3916">
        <v>1</v>
      </c>
      <c r="O3916" s="89">
        <v>8395.98</v>
      </c>
      <c r="P3916" s="89">
        <v>145530.32</v>
      </c>
      <c r="Q3916" t="s">
        <v>142</v>
      </c>
      <c r="R3916" t="s">
        <v>42</v>
      </c>
    </row>
    <row r="3917" spans="3:18" hidden="1" x14ac:dyDescent="0.25">
      <c r="C3917" t="s">
        <v>45</v>
      </c>
      <c r="D3917" t="s">
        <v>149</v>
      </c>
      <c r="E3917" t="s">
        <v>43</v>
      </c>
      <c r="F3917" t="s">
        <v>53</v>
      </c>
      <c r="G3917" s="89">
        <v>18491</v>
      </c>
      <c r="H3917" t="s">
        <v>42</v>
      </c>
      <c r="I3917" t="s">
        <v>141</v>
      </c>
      <c r="J3917" s="89">
        <v>92455</v>
      </c>
      <c r="K3917" t="s">
        <v>134</v>
      </c>
      <c r="N3917">
        <v>1</v>
      </c>
      <c r="O3917" s="89">
        <v>554.73</v>
      </c>
      <c r="P3917" s="89">
        <v>1664.19</v>
      </c>
      <c r="Q3917" t="s">
        <v>130</v>
      </c>
      <c r="R3917" t="s">
        <v>42</v>
      </c>
    </row>
    <row r="3918" spans="3:18" x14ac:dyDescent="0.25">
      <c r="C3918" t="s">
        <v>47</v>
      </c>
      <c r="D3918" t="s">
        <v>22</v>
      </c>
      <c r="E3918" t="s">
        <v>48</v>
      </c>
      <c r="F3918" t="s">
        <v>41</v>
      </c>
      <c r="G3918" s="89">
        <v>7478759</v>
      </c>
      <c r="H3918" t="s">
        <v>42</v>
      </c>
      <c r="I3918" t="s">
        <v>147</v>
      </c>
      <c r="J3918" s="89">
        <v>29915036</v>
      </c>
      <c r="K3918" t="s">
        <v>127</v>
      </c>
      <c r="L3918" t="s">
        <v>128</v>
      </c>
      <c r="M3918" t="s">
        <v>143</v>
      </c>
      <c r="N3918">
        <v>1</v>
      </c>
      <c r="O3918" s="89">
        <v>299150.36</v>
      </c>
      <c r="P3918" s="89">
        <v>3290653.96</v>
      </c>
      <c r="Q3918" t="s">
        <v>142</v>
      </c>
      <c r="R3918" t="s">
        <v>131</v>
      </c>
    </row>
    <row r="3919" spans="3:18" hidden="1" x14ac:dyDescent="0.25">
      <c r="C3919" t="s">
        <v>45</v>
      </c>
      <c r="D3919" t="s">
        <v>22</v>
      </c>
      <c r="E3919" t="s">
        <v>48</v>
      </c>
      <c r="F3919" t="s">
        <v>41</v>
      </c>
      <c r="G3919" s="89">
        <v>8369843</v>
      </c>
      <c r="H3919" t="s">
        <v>42</v>
      </c>
      <c r="I3919" t="s">
        <v>133</v>
      </c>
      <c r="J3919" s="89">
        <v>251095290</v>
      </c>
      <c r="K3919" t="s">
        <v>144</v>
      </c>
      <c r="N3919">
        <v>1</v>
      </c>
      <c r="O3919" s="89">
        <v>251095.29</v>
      </c>
      <c r="P3919" s="89">
        <v>2427254.4700000002</v>
      </c>
      <c r="Q3919" t="s">
        <v>130</v>
      </c>
      <c r="R3919" t="s">
        <v>42</v>
      </c>
    </row>
    <row r="3920" spans="3:18" hidden="1" x14ac:dyDescent="0.25">
      <c r="C3920" t="s">
        <v>45</v>
      </c>
      <c r="D3920" t="s">
        <v>21</v>
      </c>
      <c r="E3920" t="s">
        <v>43</v>
      </c>
      <c r="F3920" t="s">
        <v>41</v>
      </c>
      <c r="G3920" s="89">
        <v>555550</v>
      </c>
      <c r="H3920" t="s">
        <v>145</v>
      </c>
      <c r="I3920" t="s">
        <v>147</v>
      </c>
      <c r="J3920" s="89">
        <v>2222200</v>
      </c>
      <c r="K3920" t="s">
        <v>127</v>
      </c>
      <c r="L3920" t="s">
        <v>128</v>
      </c>
      <c r="N3920">
        <v>1</v>
      </c>
      <c r="O3920" s="89">
        <v>22222</v>
      </c>
      <c r="P3920" s="89">
        <v>361107.5</v>
      </c>
      <c r="Q3920" t="s">
        <v>137</v>
      </c>
      <c r="R3920" t="s">
        <v>131</v>
      </c>
    </row>
    <row r="3921" spans="3:18" hidden="1" x14ac:dyDescent="0.25">
      <c r="C3921" t="s">
        <v>45</v>
      </c>
      <c r="D3921" t="s">
        <v>138</v>
      </c>
      <c r="E3921" t="s">
        <v>40</v>
      </c>
      <c r="F3921" t="s">
        <v>41</v>
      </c>
      <c r="G3921" s="89">
        <v>964772</v>
      </c>
      <c r="H3921" t="s">
        <v>42</v>
      </c>
      <c r="I3921" t="s">
        <v>126</v>
      </c>
      <c r="J3921" s="89">
        <v>14471580</v>
      </c>
      <c r="K3921" t="s">
        <v>127</v>
      </c>
      <c r="L3921" t="s">
        <v>128</v>
      </c>
      <c r="M3921" t="s">
        <v>139</v>
      </c>
      <c r="N3921">
        <v>1</v>
      </c>
      <c r="O3921" s="89">
        <v>28943.16</v>
      </c>
      <c r="P3921" s="89">
        <v>482386</v>
      </c>
      <c r="Q3921" t="s">
        <v>142</v>
      </c>
      <c r="R3921" t="s">
        <v>42</v>
      </c>
    </row>
    <row r="3922" spans="3:18" hidden="1" x14ac:dyDescent="0.25">
      <c r="C3922" t="s">
        <v>45</v>
      </c>
      <c r="D3922" t="s">
        <v>138</v>
      </c>
      <c r="E3922" t="s">
        <v>43</v>
      </c>
      <c r="F3922" t="s">
        <v>41</v>
      </c>
      <c r="G3922" s="89">
        <v>303899</v>
      </c>
      <c r="H3922" t="s">
        <v>42</v>
      </c>
      <c r="I3922" t="s">
        <v>133</v>
      </c>
      <c r="J3922" s="89">
        <v>9420869</v>
      </c>
      <c r="K3922" t="s">
        <v>127</v>
      </c>
      <c r="L3922" t="s">
        <v>151</v>
      </c>
      <c r="M3922" t="s">
        <v>156</v>
      </c>
      <c r="N3922">
        <v>1</v>
      </c>
      <c r="O3922" s="89">
        <v>9116.9699999999993</v>
      </c>
      <c r="P3922" s="89">
        <v>252236.17</v>
      </c>
      <c r="Q3922" t="s">
        <v>135</v>
      </c>
      <c r="R3922" t="s">
        <v>131</v>
      </c>
    </row>
    <row r="3923" spans="3:18" hidden="1" x14ac:dyDescent="0.25">
      <c r="C3923" t="s">
        <v>45</v>
      </c>
      <c r="D3923" t="s">
        <v>20</v>
      </c>
      <c r="E3923" t="s">
        <v>43</v>
      </c>
      <c r="F3923" t="s">
        <v>41</v>
      </c>
      <c r="G3923" s="89">
        <v>4502069</v>
      </c>
      <c r="H3923" t="s">
        <v>145</v>
      </c>
      <c r="I3923" t="s">
        <v>126</v>
      </c>
      <c r="J3923" s="89">
        <v>76535173</v>
      </c>
      <c r="K3923" t="s">
        <v>127</v>
      </c>
      <c r="L3923" t="s">
        <v>128</v>
      </c>
      <c r="N3923">
        <v>1</v>
      </c>
      <c r="O3923" s="89">
        <v>135062.07</v>
      </c>
      <c r="P3923" s="89">
        <v>3016386.23</v>
      </c>
      <c r="Q3923" t="s">
        <v>137</v>
      </c>
      <c r="R3923" t="s">
        <v>131</v>
      </c>
    </row>
    <row r="3924" spans="3:18" hidden="1" x14ac:dyDescent="0.25">
      <c r="C3924" t="s">
        <v>45</v>
      </c>
      <c r="D3924" t="s">
        <v>149</v>
      </c>
      <c r="E3924" t="s">
        <v>43</v>
      </c>
      <c r="F3924" t="s">
        <v>41</v>
      </c>
      <c r="G3924" s="89">
        <v>2184373</v>
      </c>
      <c r="H3924" t="s">
        <v>146</v>
      </c>
      <c r="I3924" t="s">
        <v>133</v>
      </c>
      <c r="J3924" s="89">
        <v>63346817</v>
      </c>
      <c r="K3924" t="s">
        <v>127</v>
      </c>
      <c r="L3924" t="s">
        <v>128</v>
      </c>
      <c r="N3924">
        <v>1</v>
      </c>
      <c r="O3924" s="89">
        <v>65531.19</v>
      </c>
      <c r="P3924" s="89">
        <v>1550904.83</v>
      </c>
      <c r="Q3924" t="s">
        <v>137</v>
      </c>
      <c r="R3924" t="s">
        <v>131</v>
      </c>
    </row>
    <row r="3925" spans="3:18" hidden="1" x14ac:dyDescent="0.25">
      <c r="C3925" t="s">
        <v>45</v>
      </c>
      <c r="D3925" t="s">
        <v>21</v>
      </c>
      <c r="E3925" t="s">
        <v>44</v>
      </c>
      <c r="F3925" t="s">
        <v>41</v>
      </c>
      <c r="G3925" s="89">
        <v>61966</v>
      </c>
      <c r="H3925" t="s">
        <v>42</v>
      </c>
      <c r="I3925" t="s">
        <v>126</v>
      </c>
      <c r="J3925" s="89">
        <v>1239320</v>
      </c>
      <c r="K3925" t="s">
        <v>127</v>
      </c>
      <c r="L3925" t="s">
        <v>128</v>
      </c>
      <c r="M3925" t="s">
        <v>129</v>
      </c>
      <c r="N3925">
        <v>1</v>
      </c>
      <c r="O3925" s="89">
        <v>3098.3</v>
      </c>
      <c r="P3925" s="89">
        <v>41517.22</v>
      </c>
      <c r="Q3925" t="s">
        <v>137</v>
      </c>
      <c r="R3925" t="s">
        <v>42</v>
      </c>
    </row>
    <row r="3926" spans="3:18" hidden="1" x14ac:dyDescent="0.25">
      <c r="C3926" t="s">
        <v>45</v>
      </c>
      <c r="D3926" t="s">
        <v>23</v>
      </c>
      <c r="E3926" t="s">
        <v>40</v>
      </c>
      <c r="F3926" t="s">
        <v>41</v>
      </c>
      <c r="G3926" s="89">
        <v>73040</v>
      </c>
      <c r="H3926" t="s">
        <v>42</v>
      </c>
      <c r="I3926" t="s">
        <v>133</v>
      </c>
      <c r="J3926" s="89">
        <v>2045120</v>
      </c>
      <c r="K3926" t="s">
        <v>127</v>
      </c>
      <c r="L3926" t="s">
        <v>128</v>
      </c>
      <c r="M3926" t="s">
        <v>129</v>
      </c>
      <c r="N3926">
        <v>1</v>
      </c>
      <c r="O3926" s="89">
        <v>2191.1999999999998</v>
      </c>
      <c r="P3926" s="89">
        <v>22642.400000000001</v>
      </c>
      <c r="Q3926" t="s">
        <v>130</v>
      </c>
      <c r="R3926" t="s">
        <v>131</v>
      </c>
    </row>
    <row r="3927" spans="3:18" hidden="1" x14ac:dyDescent="0.25">
      <c r="C3927" t="s">
        <v>45</v>
      </c>
      <c r="D3927" t="s">
        <v>21</v>
      </c>
      <c r="E3927" t="s">
        <v>40</v>
      </c>
      <c r="F3927" t="s">
        <v>41</v>
      </c>
      <c r="G3927" s="89">
        <v>351544</v>
      </c>
      <c r="H3927" t="s">
        <v>145</v>
      </c>
      <c r="I3927" t="s">
        <v>147</v>
      </c>
      <c r="J3927" s="89">
        <v>1054632</v>
      </c>
      <c r="K3927" t="s">
        <v>127</v>
      </c>
      <c r="L3927" t="s">
        <v>128</v>
      </c>
      <c r="N3927">
        <v>1</v>
      </c>
      <c r="O3927" s="89">
        <v>10546.32</v>
      </c>
      <c r="P3927" s="89">
        <v>45700.72</v>
      </c>
      <c r="Q3927" t="s">
        <v>130</v>
      </c>
      <c r="R3927" t="s">
        <v>131</v>
      </c>
    </row>
    <row r="3928" spans="3:18" hidden="1" x14ac:dyDescent="0.25">
      <c r="C3928" t="s">
        <v>45</v>
      </c>
      <c r="D3928" t="s">
        <v>23</v>
      </c>
      <c r="E3928" t="s">
        <v>43</v>
      </c>
      <c r="F3928" t="s">
        <v>41</v>
      </c>
      <c r="G3928" s="89">
        <v>143273</v>
      </c>
      <c r="H3928" t="s">
        <v>132</v>
      </c>
      <c r="I3928" t="s">
        <v>133</v>
      </c>
      <c r="J3928" s="89">
        <v>4298190</v>
      </c>
      <c r="K3928" t="s">
        <v>144</v>
      </c>
      <c r="N3928">
        <v>1</v>
      </c>
      <c r="O3928" s="89">
        <v>4298.1899999999996</v>
      </c>
      <c r="P3928" s="89">
        <v>94560.18</v>
      </c>
      <c r="Q3928" t="s">
        <v>137</v>
      </c>
      <c r="R3928" t="s">
        <v>131</v>
      </c>
    </row>
    <row r="3929" spans="3:18" x14ac:dyDescent="0.25">
      <c r="C3929" t="s">
        <v>47</v>
      </c>
      <c r="D3929" t="s">
        <v>22</v>
      </c>
      <c r="E3929" t="s">
        <v>40</v>
      </c>
      <c r="F3929" t="s">
        <v>41</v>
      </c>
      <c r="G3929" s="89">
        <v>130600</v>
      </c>
      <c r="H3929" t="s">
        <v>145</v>
      </c>
      <c r="I3929" t="s">
        <v>126</v>
      </c>
      <c r="J3929" s="89">
        <v>1828400</v>
      </c>
      <c r="K3929" t="s">
        <v>144</v>
      </c>
      <c r="N3929">
        <v>1</v>
      </c>
      <c r="O3929" s="89">
        <v>6530</v>
      </c>
      <c r="P3929" s="89">
        <v>94032</v>
      </c>
      <c r="Q3929" t="s">
        <v>137</v>
      </c>
      <c r="R3929" t="s">
        <v>131</v>
      </c>
    </row>
    <row r="3930" spans="3:18" hidden="1" x14ac:dyDescent="0.25">
      <c r="C3930" t="s">
        <v>45</v>
      </c>
      <c r="D3930" t="s">
        <v>20</v>
      </c>
      <c r="E3930" t="s">
        <v>43</v>
      </c>
      <c r="F3930" t="s">
        <v>41</v>
      </c>
      <c r="G3930" s="89">
        <v>152503</v>
      </c>
      <c r="H3930" t="s">
        <v>140</v>
      </c>
      <c r="I3930" t="s">
        <v>141</v>
      </c>
      <c r="J3930" s="89">
        <v>1067521</v>
      </c>
      <c r="K3930" t="s">
        <v>144</v>
      </c>
      <c r="N3930">
        <v>1</v>
      </c>
      <c r="O3930" s="89">
        <v>4575.09</v>
      </c>
      <c r="P3930" s="89">
        <v>35075.69</v>
      </c>
      <c r="Q3930" t="s">
        <v>130</v>
      </c>
      <c r="R3930" t="s">
        <v>131</v>
      </c>
    </row>
    <row r="3931" spans="3:18" hidden="1" x14ac:dyDescent="0.25">
      <c r="C3931" t="s">
        <v>45</v>
      </c>
      <c r="D3931" t="s">
        <v>138</v>
      </c>
      <c r="E3931" t="s">
        <v>43</v>
      </c>
      <c r="F3931" t="s">
        <v>41</v>
      </c>
      <c r="G3931" s="89">
        <v>112661</v>
      </c>
      <c r="H3931" t="s">
        <v>42</v>
      </c>
      <c r="I3931" t="s">
        <v>126</v>
      </c>
      <c r="J3931" s="89">
        <v>2140559</v>
      </c>
      <c r="K3931" t="s">
        <v>127</v>
      </c>
      <c r="L3931" t="s">
        <v>128</v>
      </c>
      <c r="M3931" t="s">
        <v>136</v>
      </c>
      <c r="N3931">
        <v>1</v>
      </c>
      <c r="O3931" s="89">
        <v>3379.83</v>
      </c>
      <c r="P3931" s="89">
        <v>33798.300000000003</v>
      </c>
      <c r="Q3931" t="s">
        <v>130</v>
      </c>
      <c r="R3931" t="s">
        <v>42</v>
      </c>
    </row>
    <row r="3932" spans="3:18" hidden="1" x14ac:dyDescent="0.25">
      <c r="C3932" t="s">
        <v>45</v>
      </c>
      <c r="D3932" t="s">
        <v>20</v>
      </c>
      <c r="E3932" t="s">
        <v>43</v>
      </c>
      <c r="F3932" t="s">
        <v>41</v>
      </c>
      <c r="G3932" s="89">
        <v>81077</v>
      </c>
      <c r="H3932" t="s">
        <v>140</v>
      </c>
      <c r="I3932" t="s">
        <v>141</v>
      </c>
      <c r="J3932" s="89">
        <v>648616</v>
      </c>
      <c r="K3932" t="s">
        <v>134</v>
      </c>
      <c r="L3932" t="s">
        <v>128</v>
      </c>
      <c r="N3932">
        <v>1</v>
      </c>
      <c r="O3932" s="89">
        <v>2432.31</v>
      </c>
      <c r="P3932" s="89">
        <v>21080.02</v>
      </c>
      <c r="Q3932" t="s">
        <v>130</v>
      </c>
      <c r="R3932" t="s">
        <v>131</v>
      </c>
    </row>
    <row r="3933" spans="3:18" hidden="1" x14ac:dyDescent="0.25">
      <c r="C3933" t="s">
        <v>45</v>
      </c>
      <c r="D3933" t="s">
        <v>19</v>
      </c>
      <c r="E3933" t="s">
        <v>43</v>
      </c>
      <c r="F3933" t="s">
        <v>41</v>
      </c>
      <c r="G3933" s="89">
        <v>255648</v>
      </c>
      <c r="H3933" t="s">
        <v>132</v>
      </c>
      <c r="I3933" t="s">
        <v>126</v>
      </c>
      <c r="J3933" s="89">
        <v>3834720</v>
      </c>
      <c r="K3933" t="s">
        <v>144</v>
      </c>
      <c r="N3933">
        <v>1</v>
      </c>
      <c r="O3933" s="89">
        <v>7669.44</v>
      </c>
      <c r="P3933" s="89">
        <v>79250.880000000005</v>
      </c>
      <c r="Q3933" t="s">
        <v>130</v>
      </c>
      <c r="R3933" t="s">
        <v>131</v>
      </c>
    </row>
    <row r="3934" spans="3:18" hidden="1" x14ac:dyDescent="0.25">
      <c r="C3934" t="s">
        <v>45</v>
      </c>
      <c r="D3934" t="s">
        <v>24</v>
      </c>
      <c r="E3934" t="s">
        <v>44</v>
      </c>
      <c r="F3934" t="s">
        <v>41</v>
      </c>
      <c r="G3934" s="89">
        <v>5718990</v>
      </c>
      <c r="H3934" t="s">
        <v>140</v>
      </c>
      <c r="I3934" t="s">
        <v>133</v>
      </c>
      <c r="J3934" s="89">
        <v>148693740</v>
      </c>
      <c r="K3934" t="s">
        <v>127</v>
      </c>
      <c r="L3934" t="s">
        <v>128</v>
      </c>
      <c r="N3934">
        <v>1</v>
      </c>
      <c r="O3934" s="89">
        <v>171569.7</v>
      </c>
      <c r="P3934" s="89">
        <v>1601317.2</v>
      </c>
      <c r="Q3934" t="s">
        <v>130</v>
      </c>
      <c r="R3934" t="s">
        <v>131</v>
      </c>
    </row>
    <row r="3935" spans="3:18" hidden="1" x14ac:dyDescent="0.25">
      <c r="C3935" t="s">
        <v>45</v>
      </c>
      <c r="D3935" t="s">
        <v>21</v>
      </c>
      <c r="E3935" t="s">
        <v>44</v>
      </c>
      <c r="F3935" t="s">
        <v>41</v>
      </c>
      <c r="G3935" s="89">
        <v>509937</v>
      </c>
      <c r="H3935" t="s">
        <v>42</v>
      </c>
      <c r="I3935" t="s">
        <v>133</v>
      </c>
      <c r="J3935" s="89">
        <v>16317984</v>
      </c>
      <c r="K3935" t="s">
        <v>127</v>
      </c>
      <c r="L3935" t="s">
        <v>128</v>
      </c>
      <c r="M3935" t="s">
        <v>129</v>
      </c>
      <c r="N3935">
        <v>1</v>
      </c>
      <c r="O3935" s="89">
        <v>15298.11</v>
      </c>
      <c r="P3935" s="89">
        <v>367154.64</v>
      </c>
      <c r="Q3935" t="s">
        <v>137</v>
      </c>
      <c r="R3935" t="s">
        <v>131</v>
      </c>
    </row>
    <row r="3936" spans="3:18" hidden="1" x14ac:dyDescent="0.25">
      <c r="C3936" t="s">
        <v>45</v>
      </c>
      <c r="D3936" t="s">
        <v>23</v>
      </c>
      <c r="E3936" t="s">
        <v>52</v>
      </c>
      <c r="F3936" t="s">
        <v>41</v>
      </c>
      <c r="G3936" s="89">
        <v>19853</v>
      </c>
      <c r="H3936" t="s">
        <v>42</v>
      </c>
      <c r="I3936" t="s">
        <v>126</v>
      </c>
      <c r="J3936" s="89">
        <v>238236</v>
      </c>
      <c r="K3936" t="s">
        <v>134</v>
      </c>
      <c r="L3936" t="s">
        <v>128</v>
      </c>
      <c r="M3936" t="s">
        <v>152</v>
      </c>
      <c r="N3936">
        <v>1</v>
      </c>
      <c r="O3936" s="89">
        <v>595.59</v>
      </c>
      <c r="P3936" s="89">
        <v>12110.33</v>
      </c>
      <c r="Q3936" t="s">
        <v>137</v>
      </c>
      <c r="R3936" t="s">
        <v>42</v>
      </c>
    </row>
    <row r="3937" spans="3:18" hidden="1" x14ac:dyDescent="0.25">
      <c r="C3937" t="s">
        <v>45</v>
      </c>
      <c r="D3937" t="s">
        <v>24</v>
      </c>
      <c r="E3937" t="s">
        <v>46</v>
      </c>
      <c r="F3937" t="s">
        <v>41</v>
      </c>
      <c r="G3937" s="89">
        <v>643195</v>
      </c>
      <c r="H3937" t="s">
        <v>42</v>
      </c>
      <c r="I3937" t="s">
        <v>126</v>
      </c>
      <c r="J3937" s="89">
        <v>10934315</v>
      </c>
      <c r="K3937" t="s">
        <v>144</v>
      </c>
      <c r="N3937">
        <v>1</v>
      </c>
      <c r="O3937" s="89">
        <v>19295.849999999999</v>
      </c>
      <c r="P3937" s="89">
        <v>450236.5</v>
      </c>
      <c r="Q3937" t="s">
        <v>137</v>
      </c>
      <c r="R3937" t="s">
        <v>42</v>
      </c>
    </row>
    <row r="3938" spans="3:18" hidden="1" x14ac:dyDescent="0.25">
      <c r="C3938" t="s">
        <v>45</v>
      </c>
      <c r="D3938" t="s">
        <v>20</v>
      </c>
      <c r="E3938" t="s">
        <v>48</v>
      </c>
      <c r="F3938" t="s">
        <v>41</v>
      </c>
      <c r="G3938" s="89">
        <v>191148</v>
      </c>
      <c r="H3938" t="s">
        <v>42</v>
      </c>
      <c r="I3938" t="s">
        <v>141</v>
      </c>
      <c r="J3938" s="89">
        <v>955740</v>
      </c>
      <c r="K3938" t="s">
        <v>127</v>
      </c>
      <c r="L3938" t="s">
        <v>128</v>
      </c>
      <c r="M3938" t="s">
        <v>139</v>
      </c>
      <c r="N3938">
        <v>1</v>
      </c>
      <c r="O3938" s="89">
        <v>7645.92</v>
      </c>
      <c r="P3938" s="89">
        <v>74547.72</v>
      </c>
      <c r="Q3938" t="s">
        <v>130</v>
      </c>
      <c r="R3938" t="s">
        <v>131</v>
      </c>
    </row>
    <row r="3939" spans="3:18" hidden="1" x14ac:dyDescent="0.25">
      <c r="C3939" t="s">
        <v>45</v>
      </c>
      <c r="D3939" t="s">
        <v>22</v>
      </c>
      <c r="E3939" t="s">
        <v>40</v>
      </c>
      <c r="F3939" t="s">
        <v>41</v>
      </c>
      <c r="G3939" s="89">
        <v>80326</v>
      </c>
      <c r="H3939" t="s">
        <v>132</v>
      </c>
      <c r="I3939" t="s">
        <v>126</v>
      </c>
      <c r="J3939" s="89">
        <v>1445868</v>
      </c>
      <c r="K3939" t="s">
        <v>127</v>
      </c>
      <c r="L3939" t="s">
        <v>151</v>
      </c>
      <c r="N3939">
        <v>1</v>
      </c>
      <c r="O3939" s="89">
        <v>2409.7800000000002</v>
      </c>
      <c r="P3939" s="89">
        <v>56228.2</v>
      </c>
      <c r="Q3939" t="s">
        <v>137</v>
      </c>
      <c r="R3939" t="s">
        <v>131</v>
      </c>
    </row>
    <row r="3940" spans="3:18" hidden="1" x14ac:dyDescent="0.25">
      <c r="C3940" t="s">
        <v>45</v>
      </c>
      <c r="D3940" t="s">
        <v>23</v>
      </c>
      <c r="E3940" t="s">
        <v>46</v>
      </c>
      <c r="F3940" t="s">
        <v>41</v>
      </c>
      <c r="G3940" s="89">
        <v>136104</v>
      </c>
      <c r="H3940" t="s">
        <v>42</v>
      </c>
      <c r="I3940" t="s">
        <v>133</v>
      </c>
      <c r="J3940" s="89">
        <v>3810912</v>
      </c>
      <c r="K3940" t="s">
        <v>134</v>
      </c>
      <c r="L3940" t="s">
        <v>128</v>
      </c>
      <c r="M3940" t="s">
        <v>152</v>
      </c>
      <c r="N3940">
        <v>1</v>
      </c>
      <c r="O3940" s="89">
        <v>4083.12</v>
      </c>
      <c r="P3940" s="89">
        <v>59885.760000000002</v>
      </c>
      <c r="Q3940" t="s">
        <v>142</v>
      </c>
      <c r="R3940" t="s">
        <v>42</v>
      </c>
    </row>
    <row r="3941" spans="3:18" hidden="1" x14ac:dyDescent="0.25">
      <c r="C3941" t="s">
        <v>45</v>
      </c>
      <c r="D3941" t="s">
        <v>24</v>
      </c>
      <c r="E3941" t="s">
        <v>44</v>
      </c>
      <c r="F3941" t="s">
        <v>41</v>
      </c>
      <c r="G3941" s="89">
        <v>5698873</v>
      </c>
      <c r="H3941" t="s">
        <v>140</v>
      </c>
      <c r="I3941" t="s">
        <v>126</v>
      </c>
      <c r="J3941" s="89">
        <v>79784222</v>
      </c>
      <c r="K3941" t="s">
        <v>127</v>
      </c>
      <c r="L3941" t="s">
        <v>128</v>
      </c>
      <c r="N3941">
        <v>1</v>
      </c>
      <c r="O3941" s="89">
        <v>170966.19</v>
      </c>
      <c r="P3941" s="89">
        <v>1538695.71</v>
      </c>
      <c r="Q3941" t="s">
        <v>130</v>
      </c>
      <c r="R3941" t="s">
        <v>131</v>
      </c>
    </row>
    <row r="3942" spans="3:18" hidden="1" x14ac:dyDescent="0.25">
      <c r="C3942" t="s">
        <v>45</v>
      </c>
      <c r="D3942" t="s">
        <v>25</v>
      </c>
      <c r="E3942" t="s">
        <v>44</v>
      </c>
      <c r="F3942" t="s">
        <v>41</v>
      </c>
      <c r="G3942" s="89">
        <v>83935</v>
      </c>
      <c r="H3942" t="s">
        <v>140</v>
      </c>
      <c r="I3942" t="s">
        <v>133</v>
      </c>
      <c r="J3942" s="89">
        <v>3021660</v>
      </c>
      <c r="K3942" t="s">
        <v>127</v>
      </c>
      <c r="L3942" t="s">
        <v>128</v>
      </c>
      <c r="N3942">
        <v>1</v>
      </c>
      <c r="O3942" s="89">
        <v>4196.75</v>
      </c>
      <c r="P3942" s="89">
        <v>90649.8</v>
      </c>
      <c r="Q3942" t="s">
        <v>150</v>
      </c>
      <c r="R3942" t="s">
        <v>131</v>
      </c>
    </row>
    <row r="3943" spans="3:18" hidden="1" x14ac:dyDescent="0.25">
      <c r="C3943" t="s">
        <v>45</v>
      </c>
      <c r="D3943" t="s">
        <v>24</v>
      </c>
      <c r="E3943" t="s">
        <v>48</v>
      </c>
      <c r="F3943" t="s">
        <v>41</v>
      </c>
      <c r="G3943" s="89">
        <v>119939889</v>
      </c>
      <c r="H3943" t="s">
        <v>140</v>
      </c>
      <c r="I3943" t="s">
        <v>133</v>
      </c>
      <c r="J3943" s="89">
        <v>3358316892</v>
      </c>
      <c r="K3943" t="s">
        <v>127</v>
      </c>
      <c r="L3943" t="s">
        <v>128</v>
      </c>
      <c r="N3943">
        <v>1</v>
      </c>
      <c r="O3943" s="89">
        <v>3598196.67</v>
      </c>
      <c r="P3943" s="89">
        <v>81559124.519999996</v>
      </c>
      <c r="Q3943" t="s">
        <v>137</v>
      </c>
      <c r="R3943" t="s">
        <v>131</v>
      </c>
    </row>
    <row r="3944" spans="3:18" hidden="1" x14ac:dyDescent="0.25">
      <c r="C3944" t="s">
        <v>45</v>
      </c>
      <c r="D3944" t="s">
        <v>21</v>
      </c>
      <c r="E3944" t="s">
        <v>40</v>
      </c>
      <c r="F3944" t="s">
        <v>41</v>
      </c>
      <c r="G3944" s="89">
        <v>27725413</v>
      </c>
      <c r="H3944" t="s">
        <v>140</v>
      </c>
      <c r="I3944" t="s">
        <v>133</v>
      </c>
      <c r="J3944" s="89">
        <v>776311564</v>
      </c>
      <c r="K3944" t="s">
        <v>127</v>
      </c>
      <c r="L3944" t="s">
        <v>128</v>
      </c>
      <c r="N3944">
        <v>1</v>
      </c>
      <c r="O3944" s="89">
        <v>831762.39</v>
      </c>
      <c r="P3944" s="89">
        <v>19130534.969999999</v>
      </c>
      <c r="Q3944" t="s">
        <v>137</v>
      </c>
      <c r="R3944" t="s">
        <v>131</v>
      </c>
    </row>
    <row r="3945" spans="3:18" x14ac:dyDescent="0.25">
      <c r="C3945" t="s">
        <v>47</v>
      </c>
      <c r="D3945" t="s">
        <v>23</v>
      </c>
      <c r="E3945" t="s">
        <v>40</v>
      </c>
      <c r="F3945" t="s">
        <v>41</v>
      </c>
      <c r="G3945" s="89">
        <v>7746</v>
      </c>
      <c r="H3945" t="s">
        <v>132</v>
      </c>
      <c r="I3945" t="s">
        <v>126</v>
      </c>
      <c r="J3945" s="89">
        <v>85206</v>
      </c>
      <c r="K3945" t="s">
        <v>127</v>
      </c>
      <c r="L3945" t="s">
        <v>128</v>
      </c>
      <c r="N3945">
        <v>1</v>
      </c>
      <c r="O3945" s="89">
        <v>309.83999999999997</v>
      </c>
      <c r="P3945" s="89">
        <v>7436.16</v>
      </c>
      <c r="Q3945" t="s">
        <v>135</v>
      </c>
      <c r="R3945" t="s">
        <v>131</v>
      </c>
    </row>
    <row r="3946" spans="3:18" hidden="1" x14ac:dyDescent="0.25">
      <c r="C3946" t="s">
        <v>45</v>
      </c>
      <c r="D3946" t="s">
        <v>138</v>
      </c>
      <c r="E3946" t="s">
        <v>40</v>
      </c>
      <c r="F3946" t="s">
        <v>41</v>
      </c>
      <c r="G3946" s="89">
        <v>495235</v>
      </c>
      <c r="H3946" t="s">
        <v>42</v>
      </c>
      <c r="I3946" t="s">
        <v>126</v>
      </c>
      <c r="J3946" s="89">
        <v>8914230</v>
      </c>
      <c r="K3946" t="s">
        <v>144</v>
      </c>
      <c r="N3946">
        <v>1</v>
      </c>
      <c r="O3946" s="89">
        <v>14857.05</v>
      </c>
      <c r="P3946" s="89">
        <v>282283.95</v>
      </c>
      <c r="Q3946" t="s">
        <v>142</v>
      </c>
      <c r="R3946" t="s">
        <v>42</v>
      </c>
    </row>
    <row r="3947" spans="3:18" x14ac:dyDescent="0.25">
      <c r="C3947" t="s">
        <v>47</v>
      </c>
      <c r="D3947" t="s">
        <v>22</v>
      </c>
      <c r="E3947" t="s">
        <v>43</v>
      </c>
      <c r="F3947" t="s">
        <v>41</v>
      </c>
      <c r="G3947" s="89">
        <v>112811</v>
      </c>
      <c r="H3947" t="s">
        <v>146</v>
      </c>
      <c r="I3947" t="s">
        <v>126</v>
      </c>
      <c r="J3947" s="89">
        <v>1917787</v>
      </c>
      <c r="K3947" t="s">
        <v>127</v>
      </c>
      <c r="L3947" t="s">
        <v>128</v>
      </c>
      <c r="N3947">
        <v>1</v>
      </c>
      <c r="O3947" s="89">
        <v>4512.4399999999996</v>
      </c>
      <c r="P3947" s="89">
        <v>55277.39</v>
      </c>
      <c r="Q3947" t="s">
        <v>142</v>
      </c>
      <c r="R3947" t="s">
        <v>131</v>
      </c>
    </row>
    <row r="3948" spans="3:18" x14ac:dyDescent="0.25">
      <c r="C3948" t="s">
        <v>47</v>
      </c>
      <c r="D3948" t="s">
        <v>24</v>
      </c>
      <c r="E3948" t="s">
        <v>44</v>
      </c>
      <c r="F3948" t="s">
        <v>41</v>
      </c>
      <c r="G3948" s="89">
        <v>280568</v>
      </c>
      <c r="H3948" t="s">
        <v>140</v>
      </c>
      <c r="I3948" t="s">
        <v>141</v>
      </c>
      <c r="J3948" s="89">
        <v>1683408</v>
      </c>
      <c r="K3948" t="s">
        <v>144</v>
      </c>
      <c r="N3948">
        <v>1</v>
      </c>
      <c r="O3948" s="89">
        <v>11222.72</v>
      </c>
      <c r="P3948" s="89">
        <v>134672.64000000001</v>
      </c>
      <c r="Q3948" t="s">
        <v>142</v>
      </c>
      <c r="R3948" t="s">
        <v>131</v>
      </c>
    </row>
    <row r="3949" spans="3:18" hidden="1" x14ac:dyDescent="0.25">
      <c r="C3949" t="s">
        <v>45</v>
      </c>
      <c r="D3949" t="s">
        <v>23</v>
      </c>
      <c r="E3949" t="s">
        <v>40</v>
      </c>
      <c r="F3949" t="s">
        <v>41</v>
      </c>
      <c r="G3949" s="89">
        <v>3990166</v>
      </c>
      <c r="H3949" t="s">
        <v>42</v>
      </c>
      <c r="I3949" t="s">
        <v>133</v>
      </c>
      <c r="J3949" s="89">
        <v>119704980</v>
      </c>
      <c r="K3949" t="s">
        <v>144</v>
      </c>
      <c r="N3949">
        <v>1</v>
      </c>
      <c r="O3949" s="89">
        <v>119704.98</v>
      </c>
      <c r="P3949" s="89">
        <v>1117246.48</v>
      </c>
      <c r="Q3949" t="s">
        <v>130</v>
      </c>
      <c r="R3949" t="s">
        <v>131</v>
      </c>
    </row>
    <row r="3950" spans="3:18" hidden="1" x14ac:dyDescent="0.25">
      <c r="C3950" t="s">
        <v>45</v>
      </c>
      <c r="D3950" t="s">
        <v>149</v>
      </c>
      <c r="E3950" t="s">
        <v>46</v>
      </c>
      <c r="F3950" t="s">
        <v>41</v>
      </c>
      <c r="G3950" s="89">
        <v>35446</v>
      </c>
      <c r="H3950" t="s">
        <v>42</v>
      </c>
      <c r="I3950" t="s">
        <v>133</v>
      </c>
      <c r="J3950" s="89">
        <v>1205164</v>
      </c>
      <c r="K3950" t="s">
        <v>134</v>
      </c>
      <c r="L3950" t="s">
        <v>128</v>
      </c>
      <c r="M3950" t="s">
        <v>136</v>
      </c>
      <c r="N3950">
        <v>1</v>
      </c>
      <c r="O3950" s="89">
        <v>1063.3800000000001</v>
      </c>
      <c r="P3950" s="89">
        <v>11697.18</v>
      </c>
      <c r="Q3950" t="s">
        <v>130</v>
      </c>
      <c r="R3950" t="s">
        <v>42</v>
      </c>
    </row>
    <row r="3951" spans="3:18" hidden="1" x14ac:dyDescent="0.25">
      <c r="C3951" t="s">
        <v>45</v>
      </c>
      <c r="D3951" t="s">
        <v>20</v>
      </c>
      <c r="E3951" t="s">
        <v>43</v>
      </c>
      <c r="F3951" t="s">
        <v>41</v>
      </c>
      <c r="G3951" s="89">
        <v>127890</v>
      </c>
      <c r="H3951" t="s">
        <v>146</v>
      </c>
      <c r="I3951" t="s">
        <v>133</v>
      </c>
      <c r="J3951" s="89">
        <v>3325140</v>
      </c>
      <c r="K3951" t="s">
        <v>134</v>
      </c>
      <c r="L3951" t="s">
        <v>128</v>
      </c>
      <c r="N3951">
        <v>1</v>
      </c>
      <c r="O3951" s="89">
        <v>5115.6000000000004</v>
      </c>
      <c r="P3951" s="89">
        <v>58829.4</v>
      </c>
      <c r="Q3951" t="s">
        <v>142</v>
      </c>
      <c r="R3951" t="s">
        <v>131</v>
      </c>
    </row>
    <row r="3952" spans="3:18" hidden="1" x14ac:dyDescent="0.25">
      <c r="C3952" t="s">
        <v>45</v>
      </c>
      <c r="D3952" t="s">
        <v>20</v>
      </c>
      <c r="E3952" t="s">
        <v>43</v>
      </c>
      <c r="F3952" t="s">
        <v>41</v>
      </c>
      <c r="G3952" s="89">
        <v>9570742</v>
      </c>
      <c r="H3952" t="s">
        <v>42</v>
      </c>
      <c r="I3952" t="s">
        <v>126</v>
      </c>
      <c r="J3952" s="89">
        <v>162702614</v>
      </c>
      <c r="K3952" t="s">
        <v>127</v>
      </c>
      <c r="L3952" t="s">
        <v>128</v>
      </c>
      <c r="M3952" t="s">
        <v>139</v>
      </c>
      <c r="N3952">
        <v>1</v>
      </c>
      <c r="O3952" s="89">
        <v>287122.26</v>
      </c>
      <c r="P3952" s="89">
        <v>6220982.2999999998</v>
      </c>
      <c r="Q3952" t="s">
        <v>137</v>
      </c>
      <c r="R3952" t="s">
        <v>131</v>
      </c>
    </row>
    <row r="3953" spans="3:18" hidden="1" x14ac:dyDescent="0.25">
      <c r="C3953" t="s">
        <v>45</v>
      </c>
      <c r="D3953" t="s">
        <v>23</v>
      </c>
      <c r="E3953" t="s">
        <v>40</v>
      </c>
      <c r="F3953" t="s">
        <v>41</v>
      </c>
      <c r="G3953" s="89">
        <v>1439533</v>
      </c>
      <c r="H3953" t="s">
        <v>146</v>
      </c>
      <c r="I3953" t="s">
        <v>133</v>
      </c>
      <c r="J3953" s="89">
        <v>43185990</v>
      </c>
      <c r="K3953" t="s">
        <v>127</v>
      </c>
      <c r="L3953" t="s">
        <v>128</v>
      </c>
      <c r="N3953">
        <v>1</v>
      </c>
      <c r="O3953" s="89">
        <v>57581.32</v>
      </c>
      <c r="P3953" s="89">
        <v>1223603.05</v>
      </c>
      <c r="Q3953" t="s">
        <v>135</v>
      </c>
      <c r="R3953" t="s">
        <v>131</v>
      </c>
    </row>
    <row r="3954" spans="3:18" x14ac:dyDescent="0.25">
      <c r="C3954" t="s">
        <v>47</v>
      </c>
      <c r="D3954" t="s">
        <v>21</v>
      </c>
      <c r="E3954" t="s">
        <v>40</v>
      </c>
      <c r="F3954" t="s">
        <v>41</v>
      </c>
      <c r="G3954" s="89">
        <v>60313</v>
      </c>
      <c r="H3954" t="s">
        <v>140</v>
      </c>
      <c r="I3954" t="s">
        <v>133</v>
      </c>
      <c r="J3954" s="89">
        <v>1266573</v>
      </c>
      <c r="K3954" t="s">
        <v>127</v>
      </c>
      <c r="L3954" t="s">
        <v>128</v>
      </c>
      <c r="N3954">
        <v>1</v>
      </c>
      <c r="O3954" s="89">
        <v>2412.52</v>
      </c>
      <c r="P3954" s="89">
        <v>54281.7</v>
      </c>
      <c r="Q3954" t="s">
        <v>135</v>
      </c>
      <c r="R3954" t="s">
        <v>131</v>
      </c>
    </row>
    <row r="3955" spans="3:18" hidden="1" x14ac:dyDescent="0.25">
      <c r="C3955" t="s">
        <v>45</v>
      </c>
      <c r="D3955" t="s">
        <v>19</v>
      </c>
      <c r="E3955" t="s">
        <v>43</v>
      </c>
      <c r="F3955" t="s">
        <v>41</v>
      </c>
      <c r="G3955" s="89">
        <v>129638</v>
      </c>
      <c r="H3955" t="s">
        <v>146</v>
      </c>
      <c r="I3955" t="s">
        <v>133</v>
      </c>
      <c r="J3955" s="89">
        <v>4018778</v>
      </c>
      <c r="K3955" t="s">
        <v>134</v>
      </c>
      <c r="L3955" t="s">
        <v>128</v>
      </c>
      <c r="N3955">
        <v>1</v>
      </c>
      <c r="O3955" s="89">
        <v>3889.14</v>
      </c>
      <c r="P3955" s="89">
        <v>82968.320000000007</v>
      </c>
      <c r="Q3955" t="s">
        <v>137</v>
      </c>
      <c r="R3955" t="s">
        <v>131</v>
      </c>
    </row>
    <row r="3956" spans="3:18" hidden="1" x14ac:dyDescent="0.25">
      <c r="C3956" t="s">
        <v>45</v>
      </c>
      <c r="D3956" t="s">
        <v>19</v>
      </c>
      <c r="E3956" t="s">
        <v>43</v>
      </c>
      <c r="F3956" t="s">
        <v>41</v>
      </c>
      <c r="G3956" s="89">
        <v>2200744</v>
      </c>
      <c r="H3956" t="s">
        <v>145</v>
      </c>
      <c r="I3956" t="s">
        <v>133</v>
      </c>
      <c r="J3956" s="89">
        <v>70423808</v>
      </c>
      <c r="K3956" t="s">
        <v>144</v>
      </c>
      <c r="N3956">
        <v>1</v>
      </c>
      <c r="O3956" s="89">
        <v>66022.320000000007</v>
      </c>
      <c r="P3956" s="89">
        <v>1562528.24</v>
      </c>
      <c r="Q3956" t="s">
        <v>137</v>
      </c>
      <c r="R3956" t="s">
        <v>131</v>
      </c>
    </row>
    <row r="3957" spans="3:18" x14ac:dyDescent="0.25">
      <c r="C3957" t="s">
        <v>47</v>
      </c>
      <c r="D3957" t="s">
        <v>138</v>
      </c>
      <c r="E3957" t="s">
        <v>48</v>
      </c>
      <c r="F3957" t="s">
        <v>41</v>
      </c>
      <c r="G3957" s="89">
        <v>189691</v>
      </c>
      <c r="H3957" t="s">
        <v>132</v>
      </c>
      <c r="I3957" t="s">
        <v>141</v>
      </c>
      <c r="J3957" s="89">
        <v>1707219</v>
      </c>
      <c r="K3957" t="s">
        <v>127</v>
      </c>
      <c r="L3957" t="s">
        <v>128</v>
      </c>
      <c r="N3957">
        <v>1</v>
      </c>
      <c r="O3957" s="89">
        <v>11381.46</v>
      </c>
      <c r="P3957" s="89">
        <v>98639.32</v>
      </c>
      <c r="Q3957" t="s">
        <v>142</v>
      </c>
      <c r="R3957" t="s">
        <v>131</v>
      </c>
    </row>
    <row r="3958" spans="3:18" hidden="1" x14ac:dyDescent="0.25">
      <c r="C3958" t="s">
        <v>45</v>
      </c>
      <c r="D3958" t="s">
        <v>138</v>
      </c>
      <c r="E3958" t="s">
        <v>43</v>
      </c>
      <c r="F3958" t="s">
        <v>41</v>
      </c>
      <c r="G3958" s="89">
        <v>2287878</v>
      </c>
      <c r="H3958" t="s">
        <v>145</v>
      </c>
      <c r="I3958" t="s">
        <v>133</v>
      </c>
      <c r="J3958" s="89">
        <v>64060584</v>
      </c>
      <c r="K3958" t="s">
        <v>144</v>
      </c>
      <c r="N3958">
        <v>1</v>
      </c>
      <c r="O3958" s="89">
        <v>68636.34</v>
      </c>
      <c r="P3958" s="89">
        <v>1555757.04</v>
      </c>
      <c r="Q3958" t="s">
        <v>137</v>
      </c>
      <c r="R3958" t="s">
        <v>131</v>
      </c>
    </row>
    <row r="3959" spans="3:18" hidden="1" x14ac:dyDescent="0.25">
      <c r="C3959" t="s">
        <v>45</v>
      </c>
      <c r="D3959" t="s">
        <v>22</v>
      </c>
      <c r="E3959" t="s">
        <v>44</v>
      </c>
      <c r="F3959" t="s">
        <v>41</v>
      </c>
      <c r="G3959" s="89">
        <v>76176</v>
      </c>
      <c r="H3959" t="s">
        <v>42</v>
      </c>
      <c r="I3959" t="s">
        <v>133</v>
      </c>
      <c r="J3959" s="89">
        <v>1980576</v>
      </c>
      <c r="K3959" t="s">
        <v>127</v>
      </c>
      <c r="L3959" t="s">
        <v>128</v>
      </c>
      <c r="M3959" t="s">
        <v>136</v>
      </c>
      <c r="N3959">
        <v>1</v>
      </c>
      <c r="O3959" s="89">
        <v>3047.04</v>
      </c>
      <c r="P3959" s="89">
        <v>41896.800000000003</v>
      </c>
      <c r="Q3959" t="s">
        <v>142</v>
      </c>
      <c r="R3959" t="s">
        <v>42</v>
      </c>
    </row>
    <row r="3960" spans="3:18" hidden="1" x14ac:dyDescent="0.25">
      <c r="C3960" t="s">
        <v>45</v>
      </c>
      <c r="D3960" t="s">
        <v>20</v>
      </c>
      <c r="E3960" t="s">
        <v>44</v>
      </c>
      <c r="F3960" t="s">
        <v>41</v>
      </c>
      <c r="G3960" s="89">
        <v>113699</v>
      </c>
      <c r="H3960" t="s">
        <v>42</v>
      </c>
      <c r="I3960" t="s">
        <v>133</v>
      </c>
      <c r="J3960" s="89">
        <v>4661659</v>
      </c>
      <c r="K3960" t="s">
        <v>127</v>
      </c>
      <c r="L3960" t="s">
        <v>128</v>
      </c>
      <c r="M3960" t="s">
        <v>139</v>
      </c>
      <c r="N3960">
        <v>1</v>
      </c>
      <c r="O3960" s="89">
        <v>3410.97</v>
      </c>
      <c r="P3960" s="89">
        <v>85274.25</v>
      </c>
      <c r="Q3960" t="s">
        <v>137</v>
      </c>
      <c r="R3960" t="s">
        <v>42</v>
      </c>
    </row>
    <row r="3961" spans="3:18" hidden="1" x14ac:dyDescent="0.25">
      <c r="C3961" t="s">
        <v>45</v>
      </c>
      <c r="D3961" t="s">
        <v>19</v>
      </c>
      <c r="E3961" t="s">
        <v>50</v>
      </c>
      <c r="F3961" t="s">
        <v>41</v>
      </c>
      <c r="G3961" s="89">
        <v>173381</v>
      </c>
      <c r="H3961" t="s">
        <v>42</v>
      </c>
      <c r="I3961" t="s">
        <v>133</v>
      </c>
      <c r="J3961" s="89">
        <v>4681287</v>
      </c>
      <c r="K3961" t="s">
        <v>127</v>
      </c>
      <c r="M3961" t="s">
        <v>136</v>
      </c>
      <c r="N3961">
        <v>1</v>
      </c>
      <c r="O3961" s="89">
        <v>5201.43</v>
      </c>
      <c r="P3961" s="89">
        <v>133503.37</v>
      </c>
      <c r="Q3961" t="s">
        <v>137</v>
      </c>
    </row>
    <row r="3962" spans="3:18" hidden="1" x14ac:dyDescent="0.25">
      <c r="C3962" t="s">
        <v>45</v>
      </c>
      <c r="D3962" t="s">
        <v>19</v>
      </c>
      <c r="E3962" t="s">
        <v>43</v>
      </c>
      <c r="F3962" t="s">
        <v>41</v>
      </c>
      <c r="G3962" s="89">
        <v>60656</v>
      </c>
      <c r="H3962" t="s">
        <v>154</v>
      </c>
      <c r="I3962" t="s">
        <v>126</v>
      </c>
      <c r="J3962" s="89">
        <v>849184</v>
      </c>
      <c r="K3962" t="s">
        <v>127</v>
      </c>
      <c r="L3962" t="s">
        <v>128</v>
      </c>
      <c r="N3962">
        <v>1</v>
      </c>
      <c r="O3962" s="89">
        <v>2426.2399999999998</v>
      </c>
      <c r="P3962" s="89">
        <v>33360.800000000003</v>
      </c>
      <c r="Q3962" t="s">
        <v>142</v>
      </c>
      <c r="R3962" t="s">
        <v>131</v>
      </c>
    </row>
    <row r="3963" spans="3:18" x14ac:dyDescent="0.25">
      <c r="C3963" t="s">
        <v>47</v>
      </c>
      <c r="D3963" t="s">
        <v>21</v>
      </c>
      <c r="E3963" t="s">
        <v>43</v>
      </c>
      <c r="F3963" t="s">
        <v>41</v>
      </c>
      <c r="G3963" s="89">
        <v>68370249</v>
      </c>
      <c r="H3963" t="s">
        <v>146</v>
      </c>
      <c r="I3963" t="s">
        <v>147</v>
      </c>
      <c r="J3963" s="89">
        <v>205110747</v>
      </c>
      <c r="K3963" t="s">
        <v>127</v>
      </c>
      <c r="L3963" t="s">
        <v>128</v>
      </c>
      <c r="N3963">
        <v>1</v>
      </c>
      <c r="O3963" s="89">
        <v>3418512.45</v>
      </c>
      <c r="P3963" s="89">
        <v>8888132.3699999992</v>
      </c>
      <c r="Q3963" t="s">
        <v>130</v>
      </c>
      <c r="R3963" t="s">
        <v>131</v>
      </c>
    </row>
    <row r="3964" spans="3:18" hidden="1" x14ac:dyDescent="0.25">
      <c r="C3964" t="s">
        <v>45</v>
      </c>
      <c r="D3964" t="s">
        <v>22</v>
      </c>
      <c r="E3964" t="s">
        <v>48</v>
      </c>
      <c r="F3964" t="s">
        <v>41</v>
      </c>
      <c r="G3964" s="89">
        <v>196245</v>
      </c>
      <c r="H3964" t="s">
        <v>140</v>
      </c>
      <c r="I3964" t="s">
        <v>126</v>
      </c>
      <c r="J3964" s="89">
        <v>3924900</v>
      </c>
      <c r="K3964" t="s">
        <v>127</v>
      </c>
      <c r="L3964" t="s">
        <v>128</v>
      </c>
      <c r="N3964">
        <v>1</v>
      </c>
      <c r="O3964" s="89">
        <v>3924.9</v>
      </c>
      <c r="P3964" s="89">
        <v>111859.65</v>
      </c>
      <c r="Q3964" t="s">
        <v>142</v>
      </c>
      <c r="R3964" t="s">
        <v>131</v>
      </c>
    </row>
    <row r="3965" spans="3:18" x14ac:dyDescent="0.25">
      <c r="C3965" t="s">
        <v>47</v>
      </c>
      <c r="D3965" t="s">
        <v>19</v>
      </c>
      <c r="E3965" t="s">
        <v>43</v>
      </c>
      <c r="F3965" t="s">
        <v>41</v>
      </c>
      <c r="G3965" s="89">
        <v>34921</v>
      </c>
      <c r="H3965" t="s">
        <v>42</v>
      </c>
      <c r="I3965" t="s">
        <v>141</v>
      </c>
      <c r="J3965" s="89">
        <v>244447</v>
      </c>
      <c r="K3965" t="s">
        <v>127</v>
      </c>
      <c r="L3965" t="s">
        <v>128</v>
      </c>
      <c r="M3965" t="s">
        <v>136</v>
      </c>
      <c r="N3965">
        <v>1</v>
      </c>
      <c r="O3965" s="89">
        <v>698.42</v>
      </c>
      <c r="P3965" s="89">
        <v>17809.71</v>
      </c>
      <c r="Q3965" t="s">
        <v>142</v>
      </c>
      <c r="R3965" t="s">
        <v>131</v>
      </c>
    </row>
    <row r="3966" spans="3:18" hidden="1" x14ac:dyDescent="0.25">
      <c r="C3966" t="s">
        <v>45</v>
      </c>
      <c r="D3966" t="s">
        <v>22</v>
      </c>
      <c r="E3966" t="s">
        <v>48</v>
      </c>
      <c r="F3966" t="s">
        <v>41</v>
      </c>
      <c r="G3966" s="89">
        <v>188963</v>
      </c>
      <c r="H3966" t="s">
        <v>42</v>
      </c>
      <c r="I3966" t="s">
        <v>133</v>
      </c>
      <c r="J3966" s="89">
        <v>4535112</v>
      </c>
      <c r="K3966" t="s">
        <v>127</v>
      </c>
      <c r="L3966" t="s">
        <v>128</v>
      </c>
      <c r="M3966" t="s">
        <v>136</v>
      </c>
      <c r="N3966">
        <v>1</v>
      </c>
      <c r="O3966" s="89">
        <v>5668.89</v>
      </c>
      <c r="P3966" s="89">
        <v>136053.35999999999</v>
      </c>
      <c r="Q3966" t="s">
        <v>137</v>
      </c>
      <c r="R3966" t="s">
        <v>42</v>
      </c>
    </row>
    <row r="3967" spans="3:18" x14ac:dyDescent="0.25">
      <c r="C3967" t="s">
        <v>47</v>
      </c>
      <c r="D3967" t="s">
        <v>22</v>
      </c>
      <c r="E3967" t="s">
        <v>40</v>
      </c>
      <c r="F3967" t="s">
        <v>41</v>
      </c>
      <c r="G3967" s="89">
        <v>247312</v>
      </c>
      <c r="H3967" t="s">
        <v>132</v>
      </c>
      <c r="I3967" t="s">
        <v>141</v>
      </c>
      <c r="J3967" s="89">
        <v>1978496</v>
      </c>
      <c r="K3967" t="s">
        <v>127</v>
      </c>
      <c r="L3967" t="s">
        <v>128</v>
      </c>
      <c r="N3967">
        <v>1</v>
      </c>
      <c r="O3967" s="89">
        <v>12365.6</v>
      </c>
      <c r="P3967" s="89">
        <v>170645.28</v>
      </c>
      <c r="Q3967" t="s">
        <v>137</v>
      </c>
      <c r="R3967" t="s">
        <v>131</v>
      </c>
    </row>
    <row r="3968" spans="3:18" hidden="1" x14ac:dyDescent="0.25">
      <c r="C3968" t="s">
        <v>45</v>
      </c>
      <c r="D3968" t="s">
        <v>22</v>
      </c>
      <c r="E3968" t="s">
        <v>40</v>
      </c>
      <c r="F3968" t="s">
        <v>53</v>
      </c>
      <c r="G3968" s="89">
        <v>154137</v>
      </c>
      <c r="H3968" t="s">
        <v>42</v>
      </c>
      <c r="I3968" t="s">
        <v>126</v>
      </c>
      <c r="J3968" s="89">
        <v>2620329</v>
      </c>
      <c r="K3968" t="s">
        <v>144</v>
      </c>
      <c r="N3968">
        <v>1</v>
      </c>
      <c r="O3968" s="89">
        <v>4624.1099999999997</v>
      </c>
      <c r="P3968" s="89">
        <v>104813.16</v>
      </c>
      <c r="Q3968" t="s">
        <v>137</v>
      </c>
      <c r="R3968" t="s">
        <v>131</v>
      </c>
    </row>
    <row r="3969" spans="3:18" x14ac:dyDescent="0.25">
      <c r="C3969" t="s">
        <v>47</v>
      </c>
      <c r="D3969" t="s">
        <v>21</v>
      </c>
      <c r="E3969" t="s">
        <v>48</v>
      </c>
      <c r="F3969" t="s">
        <v>41</v>
      </c>
      <c r="G3969" s="89">
        <v>108219</v>
      </c>
      <c r="H3969" t="s">
        <v>145</v>
      </c>
      <c r="I3969" t="s">
        <v>141</v>
      </c>
      <c r="J3969" s="89">
        <v>973971</v>
      </c>
      <c r="K3969" t="s">
        <v>127</v>
      </c>
      <c r="L3969" t="s">
        <v>128</v>
      </c>
      <c r="N3969">
        <v>1</v>
      </c>
      <c r="O3969" s="89">
        <v>6493.14</v>
      </c>
      <c r="P3969" s="89">
        <v>49780.74</v>
      </c>
      <c r="Q3969" t="s">
        <v>142</v>
      </c>
      <c r="R3969" t="s">
        <v>131</v>
      </c>
    </row>
    <row r="3970" spans="3:18" hidden="1" x14ac:dyDescent="0.25">
      <c r="C3970" t="s">
        <v>45</v>
      </c>
      <c r="D3970" t="s">
        <v>24</v>
      </c>
      <c r="E3970" t="s">
        <v>43</v>
      </c>
      <c r="F3970" t="s">
        <v>41</v>
      </c>
      <c r="G3970" s="89">
        <v>104747</v>
      </c>
      <c r="H3970" t="s">
        <v>42</v>
      </c>
      <c r="I3970" t="s">
        <v>126</v>
      </c>
      <c r="J3970" s="89">
        <v>1675952</v>
      </c>
      <c r="K3970" t="s">
        <v>144</v>
      </c>
      <c r="N3970">
        <v>1</v>
      </c>
      <c r="O3970" s="89">
        <v>3142.41</v>
      </c>
      <c r="P3970" s="89">
        <v>87987.48</v>
      </c>
      <c r="Q3970" t="s">
        <v>135</v>
      </c>
      <c r="R3970" t="s">
        <v>42</v>
      </c>
    </row>
    <row r="3971" spans="3:18" hidden="1" x14ac:dyDescent="0.25">
      <c r="C3971" t="s">
        <v>45</v>
      </c>
      <c r="D3971" t="s">
        <v>21</v>
      </c>
      <c r="E3971" t="s">
        <v>43</v>
      </c>
      <c r="F3971" t="s">
        <v>41</v>
      </c>
      <c r="G3971" s="89">
        <v>2482362</v>
      </c>
      <c r="H3971" t="s">
        <v>145</v>
      </c>
      <c r="I3971" t="s">
        <v>126</v>
      </c>
      <c r="J3971" s="89">
        <v>42200154</v>
      </c>
      <c r="K3971" t="s">
        <v>144</v>
      </c>
      <c r="N3971">
        <v>1</v>
      </c>
      <c r="O3971" s="89">
        <v>74470.86</v>
      </c>
      <c r="P3971" s="89">
        <v>1216357.3799999999</v>
      </c>
      <c r="Q3971" t="s">
        <v>142</v>
      </c>
      <c r="R3971" t="s">
        <v>131</v>
      </c>
    </row>
    <row r="3972" spans="3:18" hidden="1" x14ac:dyDescent="0.25">
      <c r="C3972" t="s">
        <v>45</v>
      </c>
      <c r="D3972" t="s">
        <v>23</v>
      </c>
      <c r="E3972" t="s">
        <v>46</v>
      </c>
      <c r="F3972" t="s">
        <v>41</v>
      </c>
      <c r="G3972" s="89">
        <v>1265426</v>
      </c>
      <c r="H3972" t="s">
        <v>42</v>
      </c>
      <c r="I3972" t="s">
        <v>133</v>
      </c>
      <c r="J3972" s="89">
        <v>37962780</v>
      </c>
      <c r="K3972" t="s">
        <v>127</v>
      </c>
      <c r="L3972" t="s">
        <v>128</v>
      </c>
      <c r="M3972" t="s">
        <v>152</v>
      </c>
      <c r="N3972">
        <v>1</v>
      </c>
      <c r="O3972" s="89">
        <v>37962.78</v>
      </c>
      <c r="P3972" s="89">
        <v>316356.5</v>
      </c>
      <c r="Q3972" t="s">
        <v>130</v>
      </c>
      <c r="R3972" t="s">
        <v>42</v>
      </c>
    </row>
    <row r="3973" spans="3:18" hidden="1" x14ac:dyDescent="0.25">
      <c r="C3973" t="s">
        <v>45</v>
      </c>
      <c r="D3973" t="s">
        <v>24</v>
      </c>
      <c r="E3973" t="s">
        <v>46</v>
      </c>
      <c r="F3973" t="s">
        <v>41</v>
      </c>
      <c r="G3973" s="89">
        <v>9868932</v>
      </c>
      <c r="H3973" t="s">
        <v>42</v>
      </c>
      <c r="I3973" t="s">
        <v>133</v>
      </c>
      <c r="J3973" s="89">
        <v>315805824</v>
      </c>
      <c r="K3973" t="s">
        <v>127</v>
      </c>
      <c r="L3973" t="s">
        <v>128</v>
      </c>
      <c r="M3973" t="s">
        <v>148</v>
      </c>
      <c r="N3973">
        <v>1</v>
      </c>
      <c r="O3973" s="89">
        <v>394757.28</v>
      </c>
      <c r="P3973" s="89">
        <v>6908252.4000000004</v>
      </c>
      <c r="Q3973" t="s">
        <v>137</v>
      </c>
      <c r="R3973" t="s">
        <v>42</v>
      </c>
    </row>
    <row r="3974" spans="3:18" hidden="1" x14ac:dyDescent="0.25">
      <c r="C3974" t="s">
        <v>45</v>
      </c>
      <c r="D3974" t="s">
        <v>21</v>
      </c>
      <c r="E3974" t="s">
        <v>43</v>
      </c>
      <c r="F3974" t="s">
        <v>41</v>
      </c>
      <c r="G3974" s="89">
        <v>3290609</v>
      </c>
      <c r="H3974" t="s">
        <v>132</v>
      </c>
      <c r="I3974" t="s">
        <v>147</v>
      </c>
      <c r="J3974" s="89">
        <v>13162436</v>
      </c>
      <c r="K3974" t="s">
        <v>127</v>
      </c>
      <c r="L3974" t="s">
        <v>128</v>
      </c>
      <c r="N3974">
        <v>1</v>
      </c>
      <c r="O3974" s="89">
        <v>131624.35999999999</v>
      </c>
      <c r="P3974" s="89">
        <v>1546586.23</v>
      </c>
      <c r="Q3974" t="s">
        <v>142</v>
      </c>
      <c r="R3974" t="s">
        <v>131</v>
      </c>
    </row>
    <row r="3975" spans="3:18" hidden="1" x14ac:dyDescent="0.25">
      <c r="C3975" t="s">
        <v>45</v>
      </c>
      <c r="D3975" t="s">
        <v>19</v>
      </c>
      <c r="E3975" t="s">
        <v>43</v>
      </c>
      <c r="F3975" t="s">
        <v>41</v>
      </c>
      <c r="G3975" s="89">
        <v>91636</v>
      </c>
      <c r="H3975" t="s">
        <v>146</v>
      </c>
      <c r="I3975" t="s">
        <v>147</v>
      </c>
      <c r="J3975" s="89"/>
      <c r="K3975" t="s">
        <v>127</v>
      </c>
      <c r="L3975" t="s">
        <v>128</v>
      </c>
      <c r="N3975">
        <v>0</v>
      </c>
      <c r="O3975" s="89">
        <v>2749.08</v>
      </c>
      <c r="P3975" s="89">
        <v>82472.399999999994</v>
      </c>
      <c r="Q3975" t="s">
        <v>135</v>
      </c>
      <c r="R3975" t="s">
        <v>131</v>
      </c>
    </row>
    <row r="3976" spans="3:18" hidden="1" x14ac:dyDescent="0.25">
      <c r="C3976" t="s">
        <v>45</v>
      </c>
      <c r="D3976" t="s">
        <v>20</v>
      </c>
      <c r="E3976" t="s">
        <v>43</v>
      </c>
      <c r="F3976" t="s">
        <v>41</v>
      </c>
      <c r="G3976" s="89">
        <v>340201</v>
      </c>
      <c r="H3976" t="s">
        <v>42</v>
      </c>
      <c r="I3976" t="s">
        <v>133</v>
      </c>
      <c r="J3976" s="89">
        <v>8164824</v>
      </c>
      <c r="K3976" t="s">
        <v>127</v>
      </c>
      <c r="L3976" t="s">
        <v>128</v>
      </c>
      <c r="M3976" t="s">
        <v>129</v>
      </c>
      <c r="N3976">
        <v>1</v>
      </c>
      <c r="O3976" s="89">
        <v>10206.030000000001</v>
      </c>
      <c r="P3976" s="89">
        <v>122472.36</v>
      </c>
      <c r="Q3976" t="s">
        <v>130</v>
      </c>
      <c r="R3976" t="s">
        <v>131</v>
      </c>
    </row>
    <row r="3977" spans="3:18" hidden="1" x14ac:dyDescent="0.25">
      <c r="C3977" t="s">
        <v>45</v>
      </c>
      <c r="D3977" t="s">
        <v>138</v>
      </c>
      <c r="E3977" t="s">
        <v>43</v>
      </c>
      <c r="F3977" t="s">
        <v>41</v>
      </c>
      <c r="G3977" s="89">
        <v>352949</v>
      </c>
      <c r="H3977" t="s">
        <v>42</v>
      </c>
      <c r="I3977" t="s">
        <v>126</v>
      </c>
      <c r="J3977" s="89">
        <v>6706031</v>
      </c>
      <c r="K3977" t="s">
        <v>144</v>
      </c>
      <c r="N3977">
        <v>1</v>
      </c>
      <c r="O3977" s="89">
        <v>10588.47</v>
      </c>
      <c r="P3977" s="89">
        <v>229416.85</v>
      </c>
      <c r="Q3977" t="s">
        <v>137</v>
      </c>
      <c r="R3977" t="s">
        <v>131</v>
      </c>
    </row>
    <row r="3978" spans="3:18" hidden="1" x14ac:dyDescent="0.25">
      <c r="C3978" t="s">
        <v>45</v>
      </c>
      <c r="D3978" t="s">
        <v>138</v>
      </c>
      <c r="E3978" t="s">
        <v>40</v>
      </c>
      <c r="F3978" t="s">
        <v>41</v>
      </c>
      <c r="G3978" s="89">
        <v>342344</v>
      </c>
      <c r="H3978" t="s">
        <v>146</v>
      </c>
      <c r="I3978" t="s">
        <v>133</v>
      </c>
      <c r="J3978" s="89">
        <v>8558600</v>
      </c>
      <c r="K3978" t="s">
        <v>127</v>
      </c>
      <c r="L3978" t="s">
        <v>128</v>
      </c>
      <c r="N3978">
        <v>1</v>
      </c>
      <c r="O3978" s="89">
        <v>13693.76</v>
      </c>
      <c r="P3978" s="89">
        <v>236217.36</v>
      </c>
      <c r="Q3978" t="s">
        <v>137</v>
      </c>
      <c r="R3978" t="s">
        <v>131</v>
      </c>
    </row>
    <row r="3979" spans="3:18" hidden="1" x14ac:dyDescent="0.25">
      <c r="C3979" t="s">
        <v>45</v>
      </c>
      <c r="D3979" t="s">
        <v>23</v>
      </c>
      <c r="E3979" t="s">
        <v>40</v>
      </c>
      <c r="F3979" t="s">
        <v>41</v>
      </c>
      <c r="G3979" s="89">
        <v>6548666</v>
      </c>
      <c r="H3979" t="s">
        <v>140</v>
      </c>
      <c r="I3979" t="s">
        <v>133</v>
      </c>
      <c r="J3979" s="89">
        <v>189911314</v>
      </c>
      <c r="K3979" t="s">
        <v>144</v>
      </c>
      <c r="N3979">
        <v>1</v>
      </c>
      <c r="O3979" s="89">
        <v>196459.98</v>
      </c>
      <c r="P3979" s="89">
        <v>1571679.84</v>
      </c>
      <c r="Q3979" t="s">
        <v>130</v>
      </c>
      <c r="R3979" t="s">
        <v>131</v>
      </c>
    </row>
    <row r="3980" spans="3:18" x14ac:dyDescent="0.25">
      <c r="C3980" t="s">
        <v>47</v>
      </c>
      <c r="D3980" t="s">
        <v>22</v>
      </c>
      <c r="E3980" t="s">
        <v>43</v>
      </c>
      <c r="F3980" t="s">
        <v>41</v>
      </c>
      <c r="G3980" s="89">
        <v>2202542</v>
      </c>
      <c r="H3980" t="s">
        <v>140</v>
      </c>
      <c r="I3980" t="s">
        <v>141</v>
      </c>
      <c r="J3980" s="89">
        <v>17620336</v>
      </c>
      <c r="K3980" t="s">
        <v>127</v>
      </c>
      <c r="L3980" t="s">
        <v>128</v>
      </c>
      <c r="N3980">
        <v>1</v>
      </c>
      <c r="O3980" s="89">
        <v>132152.51999999999</v>
      </c>
      <c r="P3980" s="89">
        <v>1409626.88</v>
      </c>
      <c r="Q3980" t="s">
        <v>137</v>
      </c>
      <c r="R3980" t="s">
        <v>131</v>
      </c>
    </row>
    <row r="3981" spans="3:18" x14ac:dyDescent="0.25">
      <c r="C3981" t="s">
        <v>47</v>
      </c>
      <c r="D3981" t="s">
        <v>22</v>
      </c>
      <c r="E3981" t="s">
        <v>43</v>
      </c>
      <c r="F3981" t="s">
        <v>41</v>
      </c>
      <c r="G3981" s="89">
        <v>71800</v>
      </c>
      <c r="H3981" t="s">
        <v>146</v>
      </c>
      <c r="I3981" t="s">
        <v>141</v>
      </c>
      <c r="J3981" s="89">
        <v>502600</v>
      </c>
      <c r="K3981" t="s">
        <v>134</v>
      </c>
      <c r="L3981" t="s">
        <v>128</v>
      </c>
      <c r="N3981">
        <v>1</v>
      </c>
      <c r="O3981" s="89">
        <v>2154</v>
      </c>
      <c r="P3981" s="89">
        <v>7180</v>
      </c>
      <c r="Q3981" t="s">
        <v>130</v>
      </c>
      <c r="R3981" t="s">
        <v>131</v>
      </c>
    </row>
    <row r="3982" spans="3:18" hidden="1" x14ac:dyDescent="0.25">
      <c r="C3982" t="s">
        <v>45</v>
      </c>
      <c r="D3982" t="s">
        <v>22</v>
      </c>
      <c r="E3982" t="s">
        <v>40</v>
      </c>
      <c r="F3982" t="s">
        <v>41</v>
      </c>
      <c r="G3982" s="89">
        <v>2510336</v>
      </c>
      <c r="H3982" t="s">
        <v>145</v>
      </c>
      <c r="I3982" t="s">
        <v>133</v>
      </c>
      <c r="J3982" s="89">
        <v>77820416</v>
      </c>
      <c r="K3982" t="s">
        <v>144</v>
      </c>
      <c r="N3982">
        <v>1</v>
      </c>
      <c r="O3982" s="89">
        <v>75310.080000000002</v>
      </c>
      <c r="P3982" s="89">
        <v>2083578.8799999999</v>
      </c>
      <c r="Q3982" t="s">
        <v>135</v>
      </c>
      <c r="R3982" t="s">
        <v>131</v>
      </c>
    </row>
    <row r="3983" spans="3:18" hidden="1" x14ac:dyDescent="0.25">
      <c r="C3983" t="s">
        <v>45</v>
      </c>
      <c r="D3983" t="s">
        <v>22</v>
      </c>
      <c r="E3983" t="s">
        <v>40</v>
      </c>
      <c r="F3983" t="s">
        <v>41</v>
      </c>
      <c r="G3983" s="89">
        <v>33154</v>
      </c>
      <c r="H3983" t="s">
        <v>132</v>
      </c>
      <c r="I3983" t="s">
        <v>126</v>
      </c>
      <c r="J3983" s="89">
        <v>596772</v>
      </c>
      <c r="K3983" t="s">
        <v>134</v>
      </c>
      <c r="L3983" t="s">
        <v>151</v>
      </c>
      <c r="N3983">
        <v>1</v>
      </c>
      <c r="O3983" s="89">
        <v>994.62</v>
      </c>
      <c r="P3983" s="89">
        <v>26523.200000000001</v>
      </c>
      <c r="Q3983" t="s">
        <v>137</v>
      </c>
      <c r="R3983" t="s">
        <v>131</v>
      </c>
    </row>
    <row r="3984" spans="3:18" hidden="1" x14ac:dyDescent="0.25">
      <c r="C3984" t="s">
        <v>45</v>
      </c>
      <c r="D3984" t="s">
        <v>24</v>
      </c>
      <c r="E3984" t="s">
        <v>48</v>
      </c>
      <c r="F3984" t="s">
        <v>41</v>
      </c>
      <c r="G3984" s="89">
        <v>148167</v>
      </c>
      <c r="H3984" t="s">
        <v>140</v>
      </c>
      <c r="I3984" t="s">
        <v>133</v>
      </c>
      <c r="J3984" s="89">
        <v>4889511</v>
      </c>
      <c r="K3984" t="s">
        <v>127</v>
      </c>
      <c r="L3984" t="s">
        <v>151</v>
      </c>
      <c r="N3984">
        <v>1</v>
      </c>
      <c r="O3984" s="89">
        <v>4445.01</v>
      </c>
      <c r="P3984" s="89">
        <v>97790.22</v>
      </c>
      <c r="Q3984" t="s">
        <v>137</v>
      </c>
      <c r="R3984" t="s">
        <v>131</v>
      </c>
    </row>
    <row r="3985" spans="3:18" hidden="1" x14ac:dyDescent="0.25">
      <c r="C3985" t="s">
        <v>45</v>
      </c>
      <c r="D3985" t="s">
        <v>23</v>
      </c>
      <c r="E3985" t="s">
        <v>48</v>
      </c>
      <c r="F3985" t="s">
        <v>53</v>
      </c>
      <c r="G3985" s="89">
        <v>219578</v>
      </c>
      <c r="H3985" t="s">
        <v>42</v>
      </c>
      <c r="I3985" t="s">
        <v>133</v>
      </c>
      <c r="J3985" s="89">
        <v>5489450</v>
      </c>
      <c r="K3985" t="s">
        <v>144</v>
      </c>
      <c r="N3985">
        <v>1</v>
      </c>
      <c r="O3985" s="89">
        <v>6587.34</v>
      </c>
      <c r="P3985" s="89">
        <v>72460.740000000005</v>
      </c>
      <c r="Q3985" t="s">
        <v>130</v>
      </c>
      <c r="R3985" t="s">
        <v>42</v>
      </c>
    </row>
    <row r="3986" spans="3:18" hidden="1" x14ac:dyDescent="0.25">
      <c r="C3986" t="s">
        <v>45</v>
      </c>
      <c r="D3986" t="s">
        <v>21</v>
      </c>
      <c r="E3986" t="s">
        <v>43</v>
      </c>
      <c r="F3986" t="s">
        <v>41</v>
      </c>
      <c r="G3986" s="89">
        <v>326758</v>
      </c>
      <c r="H3986" t="s">
        <v>140</v>
      </c>
      <c r="I3986" t="s">
        <v>133</v>
      </c>
      <c r="J3986" s="89">
        <v>8822466</v>
      </c>
      <c r="K3986" t="s">
        <v>127</v>
      </c>
      <c r="L3986" t="s">
        <v>151</v>
      </c>
      <c r="N3986">
        <v>1</v>
      </c>
      <c r="O3986" s="89">
        <v>9802.74</v>
      </c>
      <c r="P3986" s="89">
        <v>251603.66</v>
      </c>
      <c r="Q3986" t="s">
        <v>137</v>
      </c>
      <c r="R3986" t="s">
        <v>131</v>
      </c>
    </row>
    <row r="3987" spans="3:18" x14ac:dyDescent="0.25">
      <c r="C3987" t="s">
        <v>47</v>
      </c>
      <c r="D3987" t="s">
        <v>138</v>
      </c>
      <c r="E3987" t="s">
        <v>43</v>
      </c>
      <c r="F3987" t="s">
        <v>41</v>
      </c>
      <c r="G3987" s="89">
        <v>30828</v>
      </c>
      <c r="H3987" t="s">
        <v>145</v>
      </c>
      <c r="I3987" t="s">
        <v>126</v>
      </c>
      <c r="J3987" s="89">
        <v>308280</v>
      </c>
      <c r="K3987" t="s">
        <v>127</v>
      </c>
      <c r="L3987" t="s">
        <v>128</v>
      </c>
      <c r="N3987">
        <v>1</v>
      </c>
      <c r="O3987" s="89">
        <v>1541.4</v>
      </c>
      <c r="P3987" s="89">
        <v>7707</v>
      </c>
      <c r="Q3987" t="s">
        <v>130</v>
      </c>
      <c r="R3987" t="s">
        <v>131</v>
      </c>
    </row>
    <row r="3988" spans="3:18" hidden="1" x14ac:dyDescent="0.25">
      <c r="C3988" t="s">
        <v>45</v>
      </c>
      <c r="D3988" t="s">
        <v>24</v>
      </c>
      <c r="E3988" t="s">
        <v>40</v>
      </c>
      <c r="F3988" t="s">
        <v>41</v>
      </c>
      <c r="G3988" s="89">
        <v>268939</v>
      </c>
      <c r="H3988" t="s">
        <v>146</v>
      </c>
      <c r="I3988" t="s">
        <v>133</v>
      </c>
      <c r="J3988" s="89">
        <v>5378780</v>
      </c>
      <c r="K3988" t="s">
        <v>144</v>
      </c>
      <c r="N3988">
        <v>1</v>
      </c>
      <c r="O3988" s="89">
        <v>8068.17</v>
      </c>
      <c r="P3988" s="89">
        <v>104886.21</v>
      </c>
      <c r="Q3988" t="s">
        <v>130</v>
      </c>
      <c r="R3988" t="s">
        <v>131</v>
      </c>
    </row>
    <row r="3989" spans="3:18" hidden="1" x14ac:dyDescent="0.25">
      <c r="C3989" t="s">
        <v>45</v>
      </c>
      <c r="D3989" t="s">
        <v>138</v>
      </c>
      <c r="E3989" t="s">
        <v>43</v>
      </c>
      <c r="F3989" t="s">
        <v>41</v>
      </c>
      <c r="G3989" s="89">
        <v>483280</v>
      </c>
      <c r="H3989" t="s">
        <v>42</v>
      </c>
      <c r="I3989" t="s">
        <v>133</v>
      </c>
      <c r="J3989" s="89">
        <v>15948240</v>
      </c>
      <c r="K3989" t="s">
        <v>134</v>
      </c>
      <c r="L3989" t="s">
        <v>128</v>
      </c>
      <c r="M3989" t="s">
        <v>139</v>
      </c>
      <c r="N3989">
        <v>1</v>
      </c>
      <c r="O3989" s="89">
        <v>14498.4</v>
      </c>
      <c r="P3989" s="89">
        <v>135318.39999999999</v>
      </c>
      <c r="Q3989" t="s">
        <v>130</v>
      </c>
      <c r="R3989" t="s">
        <v>131</v>
      </c>
    </row>
    <row r="3990" spans="3:18" x14ac:dyDescent="0.25">
      <c r="C3990" t="s">
        <v>47</v>
      </c>
      <c r="D3990" t="s">
        <v>138</v>
      </c>
      <c r="E3990" t="s">
        <v>40</v>
      </c>
      <c r="F3990" t="s">
        <v>41</v>
      </c>
      <c r="G3990" s="89">
        <v>0</v>
      </c>
      <c r="H3990" t="s">
        <v>146</v>
      </c>
      <c r="I3990" t="s">
        <v>133</v>
      </c>
      <c r="J3990" s="89">
        <v>0</v>
      </c>
      <c r="K3990" t="s">
        <v>127</v>
      </c>
      <c r="L3990" t="s">
        <v>128</v>
      </c>
      <c r="N3990">
        <v>1</v>
      </c>
      <c r="O3990" s="89">
        <v>0</v>
      </c>
      <c r="P3990" s="89">
        <v>0</v>
      </c>
      <c r="Q3990" t="s">
        <v>142</v>
      </c>
      <c r="R3990" t="s">
        <v>131</v>
      </c>
    </row>
    <row r="3991" spans="3:18" x14ac:dyDescent="0.25">
      <c r="C3991" t="s">
        <v>47</v>
      </c>
      <c r="D3991" t="s">
        <v>50</v>
      </c>
      <c r="E3991" t="s">
        <v>50</v>
      </c>
      <c r="F3991" t="s">
        <v>41</v>
      </c>
      <c r="G3991" s="89">
        <v>4130652</v>
      </c>
      <c r="H3991" t="s">
        <v>79</v>
      </c>
      <c r="I3991" t="s">
        <v>141</v>
      </c>
      <c r="J3991" s="89">
        <v>28914564</v>
      </c>
      <c r="K3991" t="s">
        <v>127</v>
      </c>
      <c r="N3991">
        <v>1</v>
      </c>
      <c r="O3991" s="89">
        <v>206532.6</v>
      </c>
      <c r="P3991" s="89">
        <v>4543717.2</v>
      </c>
      <c r="Q3991" t="s">
        <v>150</v>
      </c>
      <c r="R3991" t="s">
        <v>79</v>
      </c>
    </row>
    <row r="3992" spans="3:18" hidden="1" x14ac:dyDescent="0.25">
      <c r="C3992" t="s">
        <v>45</v>
      </c>
      <c r="D3992" t="s">
        <v>19</v>
      </c>
      <c r="E3992" t="s">
        <v>43</v>
      </c>
      <c r="F3992" t="s">
        <v>41</v>
      </c>
      <c r="G3992" s="89">
        <v>1978749</v>
      </c>
      <c r="H3992" t="s">
        <v>145</v>
      </c>
      <c r="I3992" t="s">
        <v>141</v>
      </c>
      <c r="J3992" s="89">
        <v>15829992</v>
      </c>
      <c r="K3992" t="s">
        <v>127</v>
      </c>
      <c r="L3992" t="s">
        <v>128</v>
      </c>
      <c r="N3992">
        <v>1</v>
      </c>
      <c r="O3992" s="89">
        <v>59362.47</v>
      </c>
      <c r="P3992" s="89">
        <v>415537.29</v>
      </c>
      <c r="Q3992" t="s">
        <v>130</v>
      </c>
      <c r="R3992" t="s">
        <v>131</v>
      </c>
    </row>
    <row r="3993" spans="3:18" hidden="1" x14ac:dyDescent="0.25">
      <c r="C3993" t="s">
        <v>45</v>
      </c>
      <c r="D3993" t="s">
        <v>21</v>
      </c>
      <c r="E3993" t="s">
        <v>43</v>
      </c>
      <c r="F3993" t="s">
        <v>41</v>
      </c>
      <c r="G3993" s="89">
        <v>1240608</v>
      </c>
      <c r="H3993" t="s">
        <v>140</v>
      </c>
      <c r="I3993" t="s">
        <v>126</v>
      </c>
      <c r="J3993" s="89">
        <v>22330944</v>
      </c>
      <c r="K3993" t="s">
        <v>134</v>
      </c>
      <c r="L3993" t="s">
        <v>128</v>
      </c>
      <c r="N3993">
        <v>1</v>
      </c>
      <c r="O3993" s="89">
        <v>37218.239999999998</v>
      </c>
      <c r="P3993" s="89">
        <v>856019.52</v>
      </c>
      <c r="Q3993" t="s">
        <v>137</v>
      </c>
      <c r="R3993" t="s">
        <v>131</v>
      </c>
    </row>
    <row r="3994" spans="3:18" x14ac:dyDescent="0.25">
      <c r="C3994" t="s">
        <v>47</v>
      </c>
      <c r="D3994" t="s">
        <v>22</v>
      </c>
      <c r="E3994" t="s">
        <v>40</v>
      </c>
      <c r="F3994" t="s">
        <v>41</v>
      </c>
      <c r="G3994" s="89">
        <v>19988838</v>
      </c>
      <c r="H3994" t="s">
        <v>140</v>
      </c>
      <c r="I3994" t="s">
        <v>147</v>
      </c>
      <c r="J3994" s="89">
        <v>79955352</v>
      </c>
      <c r="K3994" t="s">
        <v>144</v>
      </c>
      <c r="N3994">
        <v>1</v>
      </c>
      <c r="O3994" s="89">
        <v>799553.52</v>
      </c>
      <c r="P3994" s="89">
        <v>12992744.699999999</v>
      </c>
      <c r="Q3994" t="s">
        <v>137</v>
      </c>
      <c r="R3994" t="s">
        <v>131</v>
      </c>
    </row>
    <row r="3995" spans="3:18" hidden="1" x14ac:dyDescent="0.25">
      <c r="C3995" t="s">
        <v>45</v>
      </c>
      <c r="D3995" t="s">
        <v>20</v>
      </c>
      <c r="E3995" t="s">
        <v>43</v>
      </c>
      <c r="F3995" t="s">
        <v>41</v>
      </c>
      <c r="G3995" s="89">
        <v>10820</v>
      </c>
      <c r="H3995" t="s">
        <v>132</v>
      </c>
      <c r="I3995" t="s">
        <v>126</v>
      </c>
      <c r="J3995" s="89">
        <v>194760</v>
      </c>
      <c r="K3995" t="s">
        <v>134</v>
      </c>
      <c r="L3995" t="s">
        <v>128</v>
      </c>
      <c r="N3995">
        <v>1</v>
      </c>
      <c r="O3995" s="89">
        <v>216.4</v>
      </c>
      <c r="P3995" s="89">
        <v>7790.4</v>
      </c>
      <c r="Q3995" t="s">
        <v>137</v>
      </c>
      <c r="R3995" t="s">
        <v>131</v>
      </c>
    </row>
    <row r="3996" spans="3:18" hidden="1" x14ac:dyDescent="0.25">
      <c r="C3996" t="s">
        <v>45</v>
      </c>
      <c r="D3996" t="s">
        <v>21</v>
      </c>
      <c r="E3996" t="s">
        <v>40</v>
      </c>
      <c r="F3996" t="s">
        <v>41</v>
      </c>
      <c r="G3996" s="89">
        <v>384171</v>
      </c>
      <c r="H3996" t="s">
        <v>42</v>
      </c>
      <c r="I3996" t="s">
        <v>126</v>
      </c>
      <c r="J3996" s="89">
        <v>5762565</v>
      </c>
      <c r="K3996" t="s">
        <v>144</v>
      </c>
      <c r="N3996">
        <v>1</v>
      </c>
      <c r="O3996" s="89">
        <v>11525.13</v>
      </c>
      <c r="P3996" s="89">
        <v>103726.17</v>
      </c>
      <c r="Q3996" t="s">
        <v>130</v>
      </c>
      <c r="R3996" t="s">
        <v>131</v>
      </c>
    </row>
    <row r="3997" spans="3:18" hidden="1" x14ac:dyDescent="0.25">
      <c r="C3997" t="s">
        <v>45</v>
      </c>
      <c r="D3997" t="s">
        <v>23</v>
      </c>
      <c r="E3997" t="s">
        <v>46</v>
      </c>
      <c r="F3997" t="s">
        <v>41</v>
      </c>
      <c r="G3997" s="89">
        <v>21975738</v>
      </c>
      <c r="H3997" t="s">
        <v>42</v>
      </c>
      <c r="I3997" t="s">
        <v>133</v>
      </c>
      <c r="J3997" s="89">
        <v>747175092</v>
      </c>
      <c r="K3997" t="s">
        <v>144</v>
      </c>
      <c r="N3997">
        <v>1</v>
      </c>
      <c r="O3997" s="89">
        <v>659272.14</v>
      </c>
      <c r="P3997" s="89">
        <v>15822531.359999999</v>
      </c>
      <c r="Q3997" t="s">
        <v>137</v>
      </c>
      <c r="R3997" t="s">
        <v>42</v>
      </c>
    </row>
    <row r="3998" spans="3:18" x14ac:dyDescent="0.25">
      <c r="C3998" t="s">
        <v>47</v>
      </c>
      <c r="D3998" t="s">
        <v>138</v>
      </c>
      <c r="E3998" t="s">
        <v>40</v>
      </c>
      <c r="F3998" t="s">
        <v>41</v>
      </c>
      <c r="G3998" s="89">
        <v>82099</v>
      </c>
      <c r="H3998" t="s">
        <v>42</v>
      </c>
      <c r="I3998" t="s">
        <v>141</v>
      </c>
      <c r="J3998" s="89">
        <v>656792</v>
      </c>
      <c r="K3998" t="s">
        <v>144</v>
      </c>
      <c r="N3998">
        <v>1</v>
      </c>
      <c r="O3998" s="89">
        <v>2462.9699999999998</v>
      </c>
      <c r="P3998" s="89">
        <v>36123.56</v>
      </c>
      <c r="Q3998" t="s">
        <v>142</v>
      </c>
      <c r="R3998" t="s">
        <v>131</v>
      </c>
    </row>
    <row r="3999" spans="3:18" x14ac:dyDescent="0.25">
      <c r="C3999" t="s">
        <v>47</v>
      </c>
      <c r="D3999" t="s">
        <v>21</v>
      </c>
      <c r="E3999" t="s">
        <v>40</v>
      </c>
      <c r="F3999" t="s">
        <v>41</v>
      </c>
      <c r="G3999" s="89">
        <v>266555</v>
      </c>
      <c r="H3999" t="s">
        <v>132</v>
      </c>
      <c r="I3999" t="s">
        <v>141</v>
      </c>
      <c r="J3999" s="89">
        <v>2132440</v>
      </c>
      <c r="K3999" t="s">
        <v>144</v>
      </c>
      <c r="N3999">
        <v>1</v>
      </c>
      <c r="O3999" s="89">
        <v>10662.2</v>
      </c>
      <c r="P3999" s="89">
        <v>189254.05</v>
      </c>
      <c r="Q3999" t="s">
        <v>137</v>
      </c>
      <c r="R3999" t="s">
        <v>131</v>
      </c>
    </row>
    <row r="4000" spans="3:18" x14ac:dyDescent="0.25">
      <c r="C4000" t="s">
        <v>47</v>
      </c>
      <c r="D4000" t="s">
        <v>23</v>
      </c>
      <c r="E4000" t="s">
        <v>48</v>
      </c>
      <c r="F4000" t="s">
        <v>41</v>
      </c>
      <c r="G4000" s="89">
        <v>104788</v>
      </c>
      <c r="H4000" t="s">
        <v>42</v>
      </c>
      <c r="I4000" t="s">
        <v>141</v>
      </c>
      <c r="J4000" s="89">
        <v>1047880</v>
      </c>
      <c r="K4000" t="s">
        <v>127</v>
      </c>
      <c r="L4000" t="s">
        <v>128</v>
      </c>
      <c r="M4000" t="s">
        <v>152</v>
      </c>
      <c r="N4000">
        <v>1</v>
      </c>
      <c r="O4000" s="89">
        <v>4191.5200000000004</v>
      </c>
      <c r="P4000" s="89">
        <v>25149.119999999999</v>
      </c>
      <c r="Q4000" t="s">
        <v>130</v>
      </c>
      <c r="R4000" t="s">
        <v>42</v>
      </c>
    </row>
    <row r="4001" spans="3:18" x14ac:dyDescent="0.25">
      <c r="C4001" t="s">
        <v>47</v>
      </c>
      <c r="D4001" t="s">
        <v>138</v>
      </c>
      <c r="E4001" t="s">
        <v>40</v>
      </c>
      <c r="F4001" t="s">
        <v>41</v>
      </c>
      <c r="G4001" s="89">
        <v>45923</v>
      </c>
      <c r="H4001" t="s">
        <v>145</v>
      </c>
      <c r="I4001" t="s">
        <v>153</v>
      </c>
      <c r="J4001" s="89"/>
      <c r="K4001" t="s">
        <v>127</v>
      </c>
      <c r="L4001" t="s">
        <v>128</v>
      </c>
      <c r="N4001">
        <v>0</v>
      </c>
      <c r="O4001" s="89">
        <v>1836.92</v>
      </c>
      <c r="P4001" s="89">
        <v>1377.69</v>
      </c>
      <c r="Q4001" t="s">
        <v>130</v>
      </c>
      <c r="R4001" t="s">
        <v>131</v>
      </c>
    </row>
    <row r="4002" spans="3:18" hidden="1" x14ac:dyDescent="0.25">
      <c r="C4002" t="s">
        <v>45</v>
      </c>
      <c r="D4002" t="s">
        <v>138</v>
      </c>
      <c r="E4002" t="s">
        <v>43</v>
      </c>
      <c r="F4002" t="s">
        <v>41</v>
      </c>
      <c r="G4002" s="89">
        <v>778112</v>
      </c>
      <c r="H4002" t="s">
        <v>146</v>
      </c>
      <c r="I4002" t="s">
        <v>126</v>
      </c>
      <c r="J4002" s="89">
        <v>11671680</v>
      </c>
      <c r="K4002" t="s">
        <v>127</v>
      </c>
      <c r="L4002" t="s">
        <v>128</v>
      </c>
      <c r="N4002">
        <v>1</v>
      </c>
      <c r="O4002" s="89">
        <v>31124.48</v>
      </c>
      <c r="P4002" s="89">
        <v>513553.91999999998</v>
      </c>
      <c r="Q4002" t="s">
        <v>137</v>
      </c>
      <c r="R4002" t="s">
        <v>131</v>
      </c>
    </row>
    <row r="4003" spans="3:18" hidden="1" x14ac:dyDescent="0.25">
      <c r="C4003" t="s">
        <v>45</v>
      </c>
      <c r="D4003" t="s">
        <v>24</v>
      </c>
      <c r="E4003" t="s">
        <v>43</v>
      </c>
      <c r="F4003" t="s">
        <v>41</v>
      </c>
      <c r="G4003" s="89">
        <v>26401569</v>
      </c>
      <c r="H4003" t="s">
        <v>42</v>
      </c>
      <c r="I4003" t="s">
        <v>133</v>
      </c>
      <c r="J4003" s="89">
        <v>818448639</v>
      </c>
      <c r="K4003" t="s">
        <v>127</v>
      </c>
      <c r="L4003" t="s">
        <v>128</v>
      </c>
      <c r="M4003" t="s">
        <v>148</v>
      </c>
      <c r="N4003">
        <v>1</v>
      </c>
      <c r="O4003" s="89">
        <v>792047.07</v>
      </c>
      <c r="P4003" s="89">
        <v>18745113.989999998</v>
      </c>
      <c r="Q4003" t="s">
        <v>137</v>
      </c>
      <c r="R4003" t="s">
        <v>131</v>
      </c>
    </row>
    <row r="4004" spans="3:18" hidden="1" x14ac:dyDescent="0.25">
      <c r="C4004" t="s">
        <v>45</v>
      </c>
      <c r="D4004" t="s">
        <v>21</v>
      </c>
      <c r="E4004" t="s">
        <v>43</v>
      </c>
      <c r="F4004" t="s">
        <v>41</v>
      </c>
      <c r="G4004" s="89">
        <v>572106</v>
      </c>
      <c r="H4004" t="s">
        <v>146</v>
      </c>
      <c r="I4004" t="s">
        <v>133</v>
      </c>
      <c r="J4004" s="89">
        <v>16018968</v>
      </c>
      <c r="K4004" t="s">
        <v>134</v>
      </c>
      <c r="L4004" t="s">
        <v>128</v>
      </c>
      <c r="N4004">
        <v>1</v>
      </c>
      <c r="O4004" s="89">
        <v>17163.18</v>
      </c>
      <c r="P4004" s="89">
        <v>154468.62</v>
      </c>
      <c r="Q4004" t="s">
        <v>130</v>
      </c>
      <c r="R4004" t="s">
        <v>131</v>
      </c>
    </row>
    <row r="4005" spans="3:18" hidden="1" x14ac:dyDescent="0.25">
      <c r="C4005" t="s">
        <v>45</v>
      </c>
      <c r="D4005" t="s">
        <v>138</v>
      </c>
      <c r="E4005" t="s">
        <v>43</v>
      </c>
      <c r="F4005" t="s">
        <v>41</v>
      </c>
      <c r="G4005" s="89">
        <v>5936339</v>
      </c>
      <c r="H4005" t="s">
        <v>140</v>
      </c>
      <c r="I4005" t="s">
        <v>133</v>
      </c>
      <c r="J4005" s="89">
        <v>178090170</v>
      </c>
      <c r="K4005" t="s">
        <v>144</v>
      </c>
      <c r="N4005">
        <v>1</v>
      </c>
      <c r="O4005" s="89">
        <v>178090.17</v>
      </c>
      <c r="P4005" s="89">
        <v>2968169.5</v>
      </c>
      <c r="Q4005" t="s">
        <v>142</v>
      </c>
      <c r="R4005" t="s">
        <v>131</v>
      </c>
    </row>
    <row r="4006" spans="3:18" hidden="1" x14ac:dyDescent="0.25">
      <c r="C4006" t="s">
        <v>45</v>
      </c>
      <c r="D4006" t="s">
        <v>22</v>
      </c>
      <c r="E4006" t="s">
        <v>40</v>
      </c>
      <c r="F4006" t="s">
        <v>41</v>
      </c>
      <c r="G4006" s="89">
        <v>598983</v>
      </c>
      <c r="H4006" t="s">
        <v>42</v>
      </c>
      <c r="I4006" t="s">
        <v>126</v>
      </c>
      <c r="J4006" s="89">
        <v>10182711</v>
      </c>
      <c r="K4006" t="s">
        <v>127</v>
      </c>
      <c r="L4006" t="s">
        <v>128</v>
      </c>
      <c r="M4006" t="s">
        <v>129</v>
      </c>
      <c r="N4006">
        <v>1</v>
      </c>
      <c r="O4006" s="89">
        <v>17969.490000000002</v>
      </c>
      <c r="P4006" s="89">
        <v>317460.99</v>
      </c>
      <c r="Q4006" t="s">
        <v>142</v>
      </c>
      <c r="R4006" t="s">
        <v>131</v>
      </c>
    </row>
    <row r="4007" spans="3:18" x14ac:dyDescent="0.25">
      <c r="C4007" t="s">
        <v>47</v>
      </c>
      <c r="D4007" t="s">
        <v>21</v>
      </c>
      <c r="E4007" t="s">
        <v>48</v>
      </c>
      <c r="F4007" t="s">
        <v>41</v>
      </c>
      <c r="G4007" s="89">
        <v>178088</v>
      </c>
      <c r="H4007" t="s">
        <v>42</v>
      </c>
      <c r="I4007" t="s">
        <v>133</v>
      </c>
      <c r="J4007" s="89">
        <v>3561760</v>
      </c>
      <c r="K4007" t="s">
        <v>127</v>
      </c>
      <c r="L4007" t="s">
        <v>128</v>
      </c>
      <c r="M4007" t="s">
        <v>129</v>
      </c>
      <c r="N4007">
        <v>1</v>
      </c>
      <c r="O4007" s="89">
        <v>7123.52</v>
      </c>
      <c r="P4007" s="89">
        <v>154936.56</v>
      </c>
      <c r="Q4007" t="s">
        <v>135</v>
      </c>
      <c r="R4007" t="s">
        <v>131</v>
      </c>
    </row>
    <row r="4008" spans="3:18" x14ac:dyDescent="0.25">
      <c r="C4008" t="s">
        <v>47</v>
      </c>
      <c r="D4008" t="s">
        <v>20</v>
      </c>
      <c r="E4008" t="s">
        <v>40</v>
      </c>
      <c r="F4008" t="s">
        <v>41</v>
      </c>
      <c r="G4008" s="89">
        <v>150423</v>
      </c>
      <c r="H4008" t="s">
        <v>132</v>
      </c>
      <c r="I4008" t="s">
        <v>141</v>
      </c>
      <c r="J4008" s="89">
        <v>902538</v>
      </c>
      <c r="K4008" t="s">
        <v>127</v>
      </c>
      <c r="L4008" t="s">
        <v>128</v>
      </c>
      <c r="N4008">
        <v>1</v>
      </c>
      <c r="O4008" s="89">
        <v>7521.15</v>
      </c>
      <c r="P4008" s="89">
        <v>39109.980000000003</v>
      </c>
      <c r="Q4008" t="s">
        <v>130</v>
      </c>
      <c r="R4008" t="s">
        <v>131</v>
      </c>
    </row>
    <row r="4009" spans="3:18" x14ac:dyDescent="0.25">
      <c r="C4009" t="s">
        <v>47</v>
      </c>
      <c r="D4009" t="s">
        <v>23</v>
      </c>
      <c r="E4009" t="s">
        <v>40</v>
      </c>
      <c r="F4009" t="s">
        <v>41</v>
      </c>
      <c r="G4009" s="89">
        <v>1450</v>
      </c>
      <c r="H4009" t="s">
        <v>146</v>
      </c>
      <c r="I4009" t="s">
        <v>147</v>
      </c>
      <c r="J4009" s="89"/>
      <c r="K4009" t="s">
        <v>127</v>
      </c>
      <c r="L4009" t="s">
        <v>128</v>
      </c>
      <c r="N4009">
        <v>0</v>
      </c>
      <c r="O4009" s="89">
        <v>72.5</v>
      </c>
      <c r="P4009" s="89">
        <v>0</v>
      </c>
      <c r="Q4009" t="s">
        <v>130</v>
      </c>
      <c r="R4009" t="s">
        <v>131</v>
      </c>
    </row>
    <row r="4010" spans="3:18" x14ac:dyDescent="0.25">
      <c r="C4010" t="s">
        <v>47</v>
      </c>
      <c r="D4010" t="s">
        <v>24</v>
      </c>
      <c r="E4010" t="s">
        <v>48</v>
      </c>
      <c r="F4010" t="s">
        <v>41</v>
      </c>
      <c r="G4010" s="89">
        <v>6307810</v>
      </c>
      <c r="H4010" t="s">
        <v>140</v>
      </c>
      <c r="I4010" t="s">
        <v>126</v>
      </c>
      <c r="J4010" s="89">
        <v>75693720</v>
      </c>
      <c r="K4010" t="s">
        <v>127</v>
      </c>
      <c r="L4010" t="s">
        <v>128</v>
      </c>
      <c r="N4010">
        <v>1</v>
      </c>
      <c r="O4010" s="89">
        <v>252312.4</v>
      </c>
      <c r="P4010" s="89">
        <v>1576952.5</v>
      </c>
      <c r="Q4010" t="s">
        <v>130</v>
      </c>
      <c r="R4010" t="s">
        <v>131</v>
      </c>
    </row>
    <row r="4011" spans="3:18" hidden="1" x14ac:dyDescent="0.25">
      <c r="C4011" t="s">
        <v>45</v>
      </c>
      <c r="D4011" t="s">
        <v>24</v>
      </c>
      <c r="E4011" t="s">
        <v>40</v>
      </c>
      <c r="F4011" t="s">
        <v>41</v>
      </c>
      <c r="G4011" s="89">
        <v>48333</v>
      </c>
      <c r="H4011" t="s">
        <v>145</v>
      </c>
      <c r="I4011" t="s">
        <v>133</v>
      </c>
      <c r="J4011" s="89">
        <v>1401657</v>
      </c>
      <c r="K4011" t="s">
        <v>134</v>
      </c>
      <c r="N4011">
        <v>1</v>
      </c>
      <c r="O4011" s="89">
        <v>1449.99</v>
      </c>
      <c r="P4011" s="89">
        <v>5316.63</v>
      </c>
      <c r="Q4011" t="s">
        <v>130</v>
      </c>
      <c r="R4011" t="s">
        <v>131</v>
      </c>
    </row>
    <row r="4012" spans="3:18" hidden="1" x14ac:dyDescent="0.25">
      <c r="C4012" t="s">
        <v>45</v>
      </c>
      <c r="D4012" t="s">
        <v>23</v>
      </c>
      <c r="E4012" t="s">
        <v>52</v>
      </c>
      <c r="F4012" t="s">
        <v>41</v>
      </c>
      <c r="G4012" s="89">
        <v>319976</v>
      </c>
      <c r="H4012" t="s">
        <v>42</v>
      </c>
      <c r="I4012" t="s">
        <v>126</v>
      </c>
      <c r="J4012" s="89">
        <v>4479664</v>
      </c>
      <c r="K4012" t="s">
        <v>127</v>
      </c>
      <c r="L4012" t="s">
        <v>128</v>
      </c>
      <c r="M4012" t="s">
        <v>152</v>
      </c>
      <c r="N4012">
        <v>1</v>
      </c>
      <c r="O4012" s="89">
        <v>12799.04</v>
      </c>
      <c r="P4012" s="89">
        <v>95992.8</v>
      </c>
      <c r="Q4012" t="s">
        <v>130</v>
      </c>
      <c r="R4012" t="s">
        <v>42</v>
      </c>
    </row>
    <row r="4013" spans="3:18" hidden="1" x14ac:dyDescent="0.25">
      <c r="C4013" t="s">
        <v>45</v>
      </c>
      <c r="D4013" t="s">
        <v>22</v>
      </c>
      <c r="E4013" t="s">
        <v>40</v>
      </c>
      <c r="F4013" t="s">
        <v>41</v>
      </c>
      <c r="G4013" s="89">
        <v>22687</v>
      </c>
      <c r="H4013" t="s">
        <v>42</v>
      </c>
      <c r="I4013" t="s">
        <v>141</v>
      </c>
      <c r="J4013" s="89">
        <v>181496</v>
      </c>
      <c r="K4013" t="s">
        <v>127</v>
      </c>
      <c r="L4013" t="s">
        <v>128</v>
      </c>
      <c r="M4013" t="s">
        <v>143</v>
      </c>
      <c r="N4013">
        <v>1</v>
      </c>
      <c r="O4013" s="89">
        <v>907.48</v>
      </c>
      <c r="P4013" s="89">
        <v>19057.080000000002</v>
      </c>
      <c r="Q4013" t="s">
        <v>135</v>
      </c>
      <c r="R4013" t="s">
        <v>131</v>
      </c>
    </row>
    <row r="4014" spans="3:18" hidden="1" x14ac:dyDescent="0.25">
      <c r="C4014" t="s">
        <v>45</v>
      </c>
      <c r="D4014" t="s">
        <v>21</v>
      </c>
      <c r="E4014" t="s">
        <v>43</v>
      </c>
      <c r="F4014" t="s">
        <v>41</v>
      </c>
      <c r="G4014" s="89">
        <v>0</v>
      </c>
      <c r="H4014" t="s">
        <v>132</v>
      </c>
      <c r="I4014" t="s">
        <v>133</v>
      </c>
      <c r="J4014" s="89">
        <v>0</v>
      </c>
      <c r="K4014" t="s">
        <v>144</v>
      </c>
      <c r="N4014">
        <v>1</v>
      </c>
      <c r="O4014" s="89">
        <v>0</v>
      </c>
      <c r="P4014" s="89">
        <v>0</v>
      </c>
      <c r="Q4014" t="s">
        <v>150</v>
      </c>
      <c r="R4014" t="s">
        <v>131</v>
      </c>
    </row>
    <row r="4015" spans="3:18" hidden="1" x14ac:dyDescent="0.25">
      <c r="C4015" t="s">
        <v>45</v>
      </c>
      <c r="D4015" t="s">
        <v>23</v>
      </c>
      <c r="E4015" t="s">
        <v>40</v>
      </c>
      <c r="F4015" t="s">
        <v>53</v>
      </c>
      <c r="G4015" s="89">
        <v>16416</v>
      </c>
      <c r="H4015" t="s">
        <v>140</v>
      </c>
      <c r="I4015" t="s">
        <v>147</v>
      </c>
      <c r="J4015" s="89">
        <v>49248</v>
      </c>
      <c r="K4015" t="s">
        <v>127</v>
      </c>
      <c r="L4015" t="s">
        <v>128</v>
      </c>
      <c r="N4015">
        <v>1</v>
      </c>
      <c r="O4015" s="89">
        <v>656.64</v>
      </c>
      <c r="P4015" s="89">
        <v>1969.92</v>
      </c>
      <c r="Q4015" t="s">
        <v>130</v>
      </c>
      <c r="R4015" t="s">
        <v>131</v>
      </c>
    </row>
    <row r="4016" spans="3:18" hidden="1" x14ac:dyDescent="0.25">
      <c r="C4016" t="s">
        <v>45</v>
      </c>
      <c r="D4016" t="s">
        <v>23</v>
      </c>
      <c r="E4016" t="s">
        <v>40</v>
      </c>
      <c r="F4016" t="s">
        <v>41</v>
      </c>
      <c r="G4016" s="89">
        <v>3590771</v>
      </c>
      <c r="H4016" t="s">
        <v>132</v>
      </c>
      <c r="I4016" t="s">
        <v>133</v>
      </c>
      <c r="J4016" s="89">
        <v>96950817</v>
      </c>
      <c r="K4016" t="s">
        <v>144</v>
      </c>
      <c r="N4016">
        <v>1</v>
      </c>
      <c r="O4016" s="89">
        <v>107723.13</v>
      </c>
      <c r="P4016" s="89">
        <v>1795385.5</v>
      </c>
      <c r="Q4016" t="s">
        <v>142</v>
      </c>
      <c r="R4016" t="s">
        <v>131</v>
      </c>
    </row>
    <row r="4017" spans="3:18" hidden="1" x14ac:dyDescent="0.25">
      <c r="C4017" t="s">
        <v>45</v>
      </c>
      <c r="D4017" t="s">
        <v>23</v>
      </c>
      <c r="E4017" t="s">
        <v>52</v>
      </c>
      <c r="F4017" t="s">
        <v>41</v>
      </c>
      <c r="G4017" s="89">
        <v>3837548</v>
      </c>
      <c r="H4017" t="s">
        <v>42</v>
      </c>
      <c r="I4017" t="s">
        <v>133</v>
      </c>
      <c r="J4017" s="89">
        <v>134314180</v>
      </c>
      <c r="K4017" t="s">
        <v>127</v>
      </c>
      <c r="L4017" t="s">
        <v>128</v>
      </c>
      <c r="M4017" t="s">
        <v>152</v>
      </c>
      <c r="N4017">
        <v>1</v>
      </c>
      <c r="O4017" s="89">
        <v>115126.44</v>
      </c>
      <c r="P4017" s="89">
        <v>3223540.32</v>
      </c>
      <c r="Q4017" t="s">
        <v>135</v>
      </c>
      <c r="R4017" t="s">
        <v>42</v>
      </c>
    </row>
    <row r="4018" spans="3:18" hidden="1" x14ac:dyDescent="0.25">
      <c r="C4018" t="s">
        <v>45</v>
      </c>
      <c r="D4018" t="s">
        <v>24</v>
      </c>
      <c r="E4018" t="s">
        <v>44</v>
      </c>
      <c r="F4018" t="s">
        <v>41</v>
      </c>
      <c r="G4018" s="89">
        <v>115186</v>
      </c>
      <c r="H4018" t="s">
        <v>42</v>
      </c>
      <c r="I4018" t="s">
        <v>126</v>
      </c>
      <c r="J4018" s="89">
        <v>1842976</v>
      </c>
      <c r="K4018" t="s">
        <v>144</v>
      </c>
      <c r="N4018">
        <v>1</v>
      </c>
      <c r="O4018" s="89">
        <v>3455.58</v>
      </c>
      <c r="P4018" s="89">
        <v>86389.5</v>
      </c>
      <c r="Q4018" t="s">
        <v>137</v>
      </c>
      <c r="R4018" t="s">
        <v>131</v>
      </c>
    </row>
    <row r="4019" spans="3:18" hidden="1" x14ac:dyDescent="0.25">
      <c r="C4019" t="s">
        <v>45</v>
      </c>
      <c r="D4019" t="s">
        <v>22</v>
      </c>
      <c r="E4019" t="s">
        <v>43</v>
      </c>
      <c r="F4019" t="s">
        <v>41</v>
      </c>
      <c r="G4019" s="89">
        <v>20617287</v>
      </c>
      <c r="H4019" t="s">
        <v>42</v>
      </c>
      <c r="I4019" t="s">
        <v>126</v>
      </c>
      <c r="J4019" s="89">
        <v>329876592</v>
      </c>
      <c r="K4019" t="s">
        <v>127</v>
      </c>
      <c r="L4019" t="s">
        <v>128</v>
      </c>
      <c r="M4019" t="s">
        <v>143</v>
      </c>
      <c r="N4019">
        <v>1</v>
      </c>
      <c r="O4019" s="89">
        <v>618518.61</v>
      </c>
      <c r="P4019" s="89">
        <v>10102470.630000001</v>
      </c>
      <c r="Q4019" t="s">
        <v>142</v>
      </c>
      <c r="R4019" t="s">
        <v>131</v>
      </c>
    </row>
    <row r="4020" spans="3:18" hidden="1" x14ac:dyDescent="0.25">
      <c r="C4020" t="s">
        <v>45</v>
      </c>
      <c r="D4020" t="s">
        <v>23</v>
      </c>
      <c r="E4020" t="s">
        <v>40</v>
      </c>
      <c r="F4020" t="s">
        <v>41</v>
      </c>
      <c r="G4020" s="89">
        <v>1708683</v>
      </c>
      <c r="H4020" t="s">
        <v>140</v>
      </c>
      <c r="I4020" t="s">
        <v>133</v>
      </c>
      <c r="J4020" s="89">
        <v>51260490</v>
      </c>
      <c r="K4020" t="s">
        <v>134</v>
      </c>
      <c r="L4020" t="s">
        <v>128</v>
      </c>
      <c r="N4020">
        <v>1</v>
      </c>
      <c r="O4020" s="89">
        <v>51260.49</v>
      </c>
      <c r="P4020" s="89">
        <v>1196078.1000000001</v>
      </c>
      <c r="Q4020" t="s">
        <v>137</v>
      </c>
      <c r="R4020" t="s">
        <v>131</v>
      </c>
    </row>
    <row r="4021" spans="3:18" hidden="1" x14ac:dyDescent="0.25">
      <c r="C4021" t="s">
        <v>45</v>
      </c>
      <c r="D4021" t="s">
        <v>23</v>
      </c>
      <c r="E4021" t="s">
        <v>40</v>
      </c>
      <c r="F4021" t="s">
        <v>41</v>
      </c>
      <c r="G4021" s="89">
        <v>1491165</v>
      </c>
      <c r="H4021" t="s">
        <v>140</v>
      </c>
      <c r="I4021" t="s">
        <v>141</v>
      </c>
      <c r="J4021" s="89">
        <v>13420485</v>
      </c>
      <c r="K4021" t="s">
        <v>144</v>
      </c>
      <c r="N4021">
        <v>1</v>
      </c>
      <c r="O4021" s="89">
        <v>44734.95</v>
      </c>
      <c r="P4021" s="89">
        <v>790317.45</v>
      </c>
      <c r="Q4021" t="s">
        <v>142</v>
      </c>
      <c r="R4021" t="s">
        <v>131</v>
      </c>
    </row>
    <row r="4022" spans="3:18" hidden="1" x14ac:dyDescent="0.25">
      <c r="C4022" t="s">
        <v>45</v>
      </c>
      <c r="D4022" t="s">
        <v>138</v>
      </c>
      <c r="E4022" t="s">
        <v>43</v>
      </c>
      <c r="F4022" t="s">
        <v>41</v>
      </c>
      <c r="G4022" s="89">
        <v>1510308</v>
      </c>
      <c r="H4022" t="s">
        <v>42</v>
      </c>
      <c r="I4022" t="s">
        <v>126</v>
      </c>
      <c r="J4022" s="89">
        <v>22654620</v>
      </c>
      <c r="K4022" t="s">
        <v>144</v>
      </c>
      <c r="N4022">
        <v>1</v>
      </c>
      <c r="O4022" s="89">
        <v>45309.24</v>
      </c>
      <c r="P4022" s="89">
        <v>377577</v>
      </c>
      <c r="Q4022" t="s">
        <v>130</v>
      </c>
      <c r="R4022" t="s">
        <v>42</v>
      </c>
    </row>
    <row r="4023" spans="3:18" hidden="1" x14ac:dyDescent="0.25">
      <c r="C4023" t="s">
        <v>45</v>
      </c>
      <c r="D4023" t="s">
        <v>21</v>
      </c>
      <c r="E4023" t="s">
        <v>43</v>
      </c>
      <c r="F4023" t="s">
        <v>41</v>
      </c>
      <c r="G4023" s="89">
        <v>326644</v>
      </c>
      <c r="H4023" t="s">
        <v>42</v>
      </c>
      <c r="I4023" t="s">
        <v>147</v>
      </c>
      <c r="J4023" s="89">
        <v>1306576</v>
      </c>
      <c r="K4023" t="s">
        <v>127</v>
      </c>
      <c r="L4023" t="s">
        <v>128</v>
      </c>
      <c r="M4023" t="s">
        <v>129</v>
      </c>
      <c r="N4023">
        <v>1</v>
      </c>
      <c r="O4023" s="89">
        <v>9799.32</v>
      </c>
      <c r="P4023" s="89">
        <v>58795.92</v>
      </c>
      <c r="Q4023" t="s">
        <v>130</v>
      </c>
      <c r="R4023" t="s">
        <v>42</v>
      </c>
    </row>
    <row r="4024" spans="3:18" hidden="1" x14ac:dyDescent="0.25">
      <c r="C4024" t="s">
        <v>45</v>
      </c>
      <c r="D4024" t="s">
        <v>21</v>
      </c>
      <c r="E4024" t="s">
        <v>40</v>
      </c>
      <c r="F4024" t="s">
        <v>41</v>
      </c>
      <c r="G4024" s="89">
        <v>4426589</v>
      </c>
      <c r="H4024" t="s">
        <v>140</v>
      </c>
      <c r="I4024" t="s">
        <v>133</v>
      </c>
      <c r="J4024" s="89">
        <v>137224259</v>
      </c>
      <c r="K4024" t="s">
        <v>144</v>
      </c>
      <c r="N4024">
        <v>1</v>
      </c>
      <c r="O4024" s="89">
        <v>132797.67000000001</v>
      </c>
      <c r="P4024" s="89">
        <v>2257560.39</v>
      </c>
      <c r="Q4024" t="s">
        <v>142</v>
      </c>
      <c r="R4024" t="s">
        <v>131</v>
      </c>
    </row>
    <row r="4025" spans="3:18" x14ac:dyDescent="0.25">
      <c r="C4025" t="s">
        <v>47</v>
      </c>
      <c r="D4025" t="s">
        <v>24</v>
      </c>
      <c r="E4025" t="s">
        <v>48</v>
      </c>
      <c r="F4025" t="s">
        <v>41</v>
      </c>
      <c r="G4025" s="89">
        <v>34019</v>
      </c>
      <c r="H4025" t="s">
        <v>145</v>
      </c>
      <c r="I4025" t="s">
        <v>141</v>
      </c>
      <c r="J4025" s="89">
        <v>238133</v>
      </c>
      <c r="K4025" t="s">
        <v>127</v>
      </c>
      <c r="L4025" t="s">
        <v>128</v>
      </c>
      <c r="N4025">
        <v>1</v>
      </c>
      <c r="O4025" s="89">
        <v>1360.76</v>
      </c>
      <c r="P4025" s="89">
        <v>15648.74</v>
      </c>
      <c r="Q4025" t="s">
        <v>142</v>
      </c>
      <c r="R4025" t="s">
        <v>131</v>
      </c>
    </row>
    <row r="4026" spans="3:18" hidden="1" x14ac:dyDescent="0.25">
      <c r="C4026" t="s">
        <v>45</v>
      </c>
      <c r="D4026" t="s">
        <v>19</v>
      </c>
      <c r="E4026" t="s">
        <v>43</v>
      </c>
      <c r="F4026" t="s">
        <v>53</v>
      </c>
      <c r="G4026" s="89">
        <v>243317</v>
      </c>
      <c r="H4026" t="s">
        <v>140</v>
      </c>
      <c r="I4026" t="s">
        <v>133</v>
      </c>
      <c r="J4026" s="89">
        <v>7786144</v>
      </c>
      <c r="K4026" t="s">
        <v>144</v>
      </c>
      <c r="N4026">
        <v>1</v>
      </c>
      <c r="O4026" s="89">
        <v>7299.51</v>
      </c>
      <c r="P4026" s="89">
        <v>65695.59</v>
      </c>
      <c r="Q4026" t="s">
        <v>130</v>
      </c>
      <c r="R4026" t="s">
        <v>131</v>
      </c>
    </row>
    <row r="4027" spans="3:18" hidden="1" x14ac:dyDescent="0.25">
      <c r="C4027" t="s">
        <v>45</v>
      </c>
      <c r="D4027" t="s">
        <v>21</v>
      </c>
      <c r="E4027" t="s">
        <v>52</v>
      </c>
      <c r="F4027" t="s">
        <v>41</v>
      </c>
      <c r="G4027" s="89">
        <v>564220</v>
      </c>
      <c r="H4027" t="s">
        <v>42</v>
      </c>
      <c r="I4027" t="s">
        <v>133</v>
      </c>
      <c r="J4027" s="89">
        <v>18055040</v>
      </c>
      <c r="K4027" t="s">
        <v>127</v>
      </c>
      <c r="L4027" t="s">
        <v>128</v>
      </c>
      <c r="M4027" t="s">
        <v>129</v>
      </c>
      <c r="N4027">
        <v>1</v>
      </c>
      <c r="O4027" s="89">
        <v>16926.599999999999</v>
      </c>
      <c r="P4027" s="89">
        <v>417522.8</v>
      </c>
      <c r="Q4027" t="s">
        <v>137</v>
      </c>
      <c r="R4027" t="s">
        <v>42</v>
      </c>
    </row>
    <row r="4028" spans="3:18" hidden="1" x14ac:dyDescent="0.25">
      <c r="C4028" t="s">
        <v>45</v>
      </c>
      <c r="D4028" t="s">
        <v>19</v>
      </c>
      <c r="E4028" t="s">
        <v>43</v>
      </c>
      <c r="F4028" t="s">
        <v>41</v>
      </c>
      <c r="G4028" s="89">
        <v>391031</v>
      </c>
      <c r="H4028" t="s">
        <v>42</v>
      </c>
      <c r="I4028" t="s">
        <v>147</v>
      </c>
      <c r="J4028" s="89">
        <v>1564124</v>
      </c>
      <c r="K4028" t="s">
        <v>144</v>
      </c>
      <c r="N4028">
        <v>1</v>
      </c>
      <c r="O4028" s="89">
        <v>11730.93</v>
      </c>
      <c r="P4028" s="89">
        <v>62564.959999999999</v>
      </c>
      <c r="Q4028" t="s">
        <v>130</v>
      </c>
      <c r="R4028" t="s">
        <v>42</v>
      </c>
    </row>
    <row r="4029" spans="3:18" hidden="1" x14ac:dyDescent="0.25">
      <c r="C4029" t="s">
        <v>45</v>
      </c>
      <c r="D4029" t="s">
        <v>21</v>
      </c>
      <c r="E4029" t="s">
        <v>43</v>
      </c>
      <c r="F4029" t="s">
        <v>41</v>
      </c>
      <c r="G4029" s="89">
        <v>151134</v>
      </c>
      <c r="H4029" t="s">
        <v>140</v>
      </c>
      <c r="I4029" t="s">
        <v>126</v>
      </c>
      <c r="J4029" s="89">
        <v>2267010</v>
      </c>
      <c r="K4029" t="s">
        <v>134</v>
      </c>
      <c r="N4029">
        <v>1</v>
      </c>
      <c r="O4029" s="89">
        <v>3022.68</v>
      </c>
      <c r="P4029" s="89">
        <v>57430.92</v>
      </c>
      <c r="Q4029" t="s">
        <v>130</v>
      </c>
      <c r="R4029" t="s">
        <v>131</v>
      </c>
    </row>
    <row r="4030" spans="3:18" hidden="1" x14ac:dyDescent="0.25">
      <c r="C4030" t="s">
        <v>45</v>
      </c>
      <c r="D4030" t="s">
        <v>50</v>
      </c>
      <c r="E4030" t="s">
        <v>50</v>
      </c>
      <c r="F4030" t="s">
        <v>41</v>
      </c>
      <c r="G4030" s="89">
        <v>7</v>
      </c>
      <c r="H4030" t="s">
        <v>79</v>
      </c>
      <c r="I4030" t="s">
        <v>133</v>
      </c>
      <c r="J4030" s="89">
        <v>175</v>
      </c>
      <c r="K4030" t="s">
        <v>144</v>
      </c>
      <c r="N4030">
        <v>1</v>
      </c>
      <c r="O4030" s="89">
        <v>0.35</v>
      </c>
      <c r="P4030" s="89">
        <v>5.46</v>
      </c>
      <c r="Q4030" t="s">
        <v>137</v>
      </c>
      <c r="R4030" t="s">
        <v>79</v>
      </c>
    </row>
    <row r="4031" spans="3:18" hidden="1" x14ac:dyDescent="0.25">
      <c r="C4031" t="s">
        <v>45</v>
      </c>
      <c r="D4031" t="s">
        <v>25</v>
      </c>
      <c r="E4031" t="s">
        <v>40</v>
      </c>
      <c r="F4031" t="s">
        <v>41</v>
      </c>
      <c r="G4031" s="89">
        <v>1273027</v>
      </c>
      <c r="H4031" t="s">
        <v>140</v>
      </c>
      <c r="I4031" t="s">
        <v>133</v>
      </c>
      <c r="J4031" s="89">
        <v>34371729</v>
      </c>
      <c r="K4031" t="s">
        <v>127</v>
      </c>
      <c r="L4031" t="s">
        <v>128</v>
      </c>
      <c r="N4031">
        <v>1</v>
      </c>
      <c r="O4031" s="89">
        <v>38190.81</v>
      </c>
      <c r="P4031" s="89">
        <v>649243.77</v>
      </c>
      <c r="Q4031" t="s">
        <v>142</v>
      </c>
      <c r="R4031" t="s">
        <v>131</v>
      </c>
    </row>
    <row r="4032" spans="3:18" hidden="1" x14ac:dyDescent="0.25">
      <c r="C4032" t="s">
        <v>45</v>
      </c>
      <c r="D4032" t="s">
        <v>22</v>
      </c>
      <c r="E4032" t="s">
        <v>43</v>
      </c>
      <c r="F4032" t="s">
        <v>41</v>
      </c>
      <c r="G4032" s="89">
        <v>11864409</v>
      </c>
      <c r="H4032" t="s">
        <v>146</v>
      </c>
      <c r="I4032" t="s">
        <v>133</v>
      </c>
      <c r="J4032" s="89">
        <v>320339043</v>
      </c>
      <c r="K4032" t="s">
        <v>127</v>
      </c>
      <c r="L4032" t="s">
        <v>128</v>
      </c>
      <c r="N4032">
        <v>1</v>
      </c>
      <c r="O4032" s="89">
        <v>355932.27</v>
      </c>
      <c r="P4032" s="89">
        <v>6050848.5899999999</v>
      </c>
      <c r="Q4032" t="s">
        <v>142</v>
      </c>
      <c r="R4032" t="s">
        <v>131</v>
      </c>
    </row>
    <row r="4033" spans="3:18" hidden="1" x14ac:dyDescent="0.25">
      <c r="C4033" t="s">
        <v>45</v>
      </c>
      <c r="D4033" t="s">
        <v>19</v>
      </c>
      <c r="E4033" t="s">
        <v>52</v>
      </c>
      <c r="F4033" t="s">
        <v>41</v>
      </c>
      <c r="G4033" s="89">
        <v>2767315</v>
      </c>
      <c r="H4033" t="s">
        <v>42</v>
      </c>
      <c r="I4033" t="s">
        <v>147</v>
      </c>
      <c r="J4033" s="89">
        <v>8301945</v>
      </c>
      <c r="K4033" t="s">
        <v>144</v>
      </c>
      <c r="N4033">
        <v>1</v>
      </c>
      <c r="O4033" s="89">
        <v>110692.6</v>
      </c>
      <c r="P4033" s="89">
        <v>470443.55</v>
      </c>
      <c r="Q4033" t="s">
        <v>130</v>
      </c>
      <c r="R4033" t="s">
        <v>42</v>
      </c>
    </row>
    <row r="4034" spans="3:18" hidden="1" x14ac:dyDescent="0.25">
      <c r="C4034" t="s">
        <v>45</v>
      </c>
      <c r="D4034" t="s">
        <v>24</v>
      </c>
      <c r="E4034" t="s">
        <v>48</v>
      </c>
      <c r="F4034" t="s">
        <v>41</v>
      </c>
      <c r="G4034" s="89">
        <v>24997</v>
      </c>
      <c r="H4034" t="s">
        <v>42</v>
      </c>
      <c r="I4034" t="s">
        <v>141</v>
      </c>
      <c r="J4034" s="89">
        <v>149982</v>
      </c>
      <c r="K4034" t="s">
        <v>144</v>
      </c>
      <c r="N4034">
        <v>1</v>
      </c>
      <c r="O4034" s="89">
        <v>749.91</v>
      </c>
      <c r="P4034" s="89">
        <v>16248.05</v>
      </c>
      <c r="Q4034" t="s">
        <v>137</v>
      </c>
      <c r="R4034" t="s">
        <v>131</v>
      </c>
    </row>
    <row r="4035" spans="3:18" hidden="1" x14ac:dyDescent="0.25">
      <c r="C4035" t="s">
        <v>45</v>
      </c>
      <c r="D4035" t="s">
        <v>24</v>
      </c>
      <c r="E4035" t="s">
        <v>43</v>
      </c>
      <c r="F4035" t="s">
        <v>41</v>
      </c>
      <c r="G4035" s="89">
        <v>272113</v>
      </c>
      <c r="H4035" t="s">
        <v>42</v>
      </c>
      <c r="I4035" t="s">
        <v>133</v>
      </c>
      <c r="J4035" s="89">
        <v>9523955</v>
      </c>
      <c r="K4035" t="s">
        <v>144</v>
      </c>
      <c r="N4035">
        <v>1</v>
      </c>
      <c r="O4035" s="89">
        <v>8163.39</v>
      </c>
      <c r="P4035" s="89">
        <v>152383.28</v>
      </c>
      <c r="Q4035" t="s">
        <v>142</v>
      </c>
      <c r="R4035" t="s">
        <v>131</v>
      </c>
    </row>
    <row r="4036" spans="3:18" hidden="1" x14ac:dyDescent="0.25">
      <c r="C4036" t="s">
        <v>45</v>
      </c>
      <c r="D4036" t="s">
        <v>21</v>
      </c>
      <c r="E4036" t="s">
        <v>40</v>
      </c>
      <c r="F4036" t="s">
        <v>41</v>
      </c>
      <c r="G4036" s="89">
        <v>507070</v>
      </c>
      <c r="H4036" t="s">
        <v>145</v>
      </c>
      <c r="I4036" t="s">
        <v>133</v>
      </c>
      <c r="J4036" s="89">
        <v>16226240</v>
      </c>
      <c r="K4036" t="s">
        <v>127</v>
      </c>
      <c r="L4036" t="s">
        <v>128</v>
      </c>
      <c r="N4036">
        <v>1</v>
      </c>
      <c r="O4036" s="89">
        <v>15212.1</v>
      </c>
      <c r="P4036" s="89">
        <v>420868.1</v>
      </c>
      <c r="Q4036" t="s">
        <v>135</v>
      </c>
      <c r="R4036" t="s">
        <v>131</v>
      </c>
    </row>
    <row r="4037" spans="3:18" hidden="1" x14ac:dyDescent="0.25">
      <c r="C4037" t="s">
        <v>45</v>
      </c>
      <c r="D4037" t="s">
        <v>22</v>
      </c>
      <c r="E4037" t="s">
        <v>43</v>
      </c>
      <c r="F4037" t="s">
        <v>41</v>
      </c>
      <c r="G4037" s="89">
        <v>3840421</v>
      </c>
      <c r="H4037" t="s">
        <v>146</v>
      </c>
      <c r="I4037" t="s">
        <v>141</v>
      </c>
      <c r="J4037" s="89">
        <v>26882947</v>
      </c>
      <c r="K4037" t="s">
        <v>127</v>
      </c>
      <c r="L4037" t="s">
        <v>128</v>
      </c>
      <c r="N4037">
        <v>1</v>
      </c>
      <c r="O4037" s="89">
        <v>115212.63</v>
      </c>
      <c r="P4037" s="89">
        <v>768084.2</v>
      </c>
      <c r="Q4037" t="s">
        <v>130</v>
      </c>
      <c r="R4037" t="s">
        <v>131</v>
      </c>
    </row>
    <row r="4038" spans="3:18" hidden="1" x14ac:dyDescent="0.25">
      <c r="C4038" t="s">
        <v>45</v>
      </c>
      <c r="D4038" t="s">
        <v>20</v>
      </c>
      <c r="E4038" t="s">
        <v>43</v>
      </c>
      <c r="F4038" t="s">
        <v>41</v>
      </c>
      <c r="G4038" s="89">
        <v>34260</v>
      </c>
      <c r="H4038" t="s">
        <v>140</v>
      </c>
      <c r="I4038" t="s">
        <v>126</v>
      </c>
      <c r="J4038" s="89">
        <v>582420</v>
      </c>
      <c r="K4038" t="s">
        <v>134</v>
      </c>
      <c r="L4038" t="s">
        <v>128</v>
      </c>
      <c r="N4038">
        <v>1</v>
      </c>
      <c r="O4038" s="89">
        <v>1027.8</v>
      </c>
      <c r="P4038" s="89">
        <v>19185.599999999999</v>
      </c>
      <c r="Q4038" t="s">
        <v>142</v>
      </c>
      <c r="R4038" t="s">
        <v>131</v>
      </c>
    </row>
    <row r="4039" spans="3:18" hidden="1" x14ac:dyDescent="0.25">
      <c r="C4039" t="s">
        <v>45</v>
      </c>
      <c r="D4039" t="s">
        <v>22</v>
      </c>
      <c r="E4039" t="s">
        <v>43</v>
      </c>
      <c r="F4039" t="s">
        <v>41</v>
      </c>
      <c r="G4039" s="89">
        <v>28473</v>
      </c>
      <c r="H4039" t="s">
        <v>42</v>
      </c>
      <c r="I4039" t="s">
        <v>147</v>
      </c>
      <c r="J4039" s="89">
        <v>28473</v>
      </c>
      <c r="K4039" t="s">
        <v>127</v>
      </c>
      <c r="L4039" t="s">
        <v>128</v>
      </c>
      <c r="M4039" t="s">
        <v>143</v>
      </c>
      <c r="N4039">
        <v>1</v>
      </c>
      <c r="O4039" s="89">
        <v>1423.65</v>
      </c>
      <c r="P4039" s="89">
        <v>1708.38</v>
      </c>
      <c r="Q4039" t="s">
        <v>130</v>
      </c>
      <c r="R4039" t="s">
        <v>42</v>
      </c>
    </row>
    <row r="4040" spans="3:18" hidden="1" x14ac:dyDescent="0.25">
      <c r="C4040" t="s">
        <v>45</v>
      </c>
      <c r="D4040" t="s">
        <v>21</v>
      </c>
      <c r="E4040" t="s">
        <v>40</v>
      </c>
      <c r="F4040" t="s">
        <v>41</v>
      </c>
      <c r="G4040" s="89">
        <v>221901</v>
      </c>
      <c r="H4040" t="s">
        <v>42</v>
      </c>
      <c r="I4040" t="s">
        <v>126</v>
      </c>
      <c r="J4040" s="89">
        <v>3994218</v>
      </c>
      <c r="K4040" t="s">
        <v>127</v>
      </c>
      <c r="L4040" t="s">
        <v>128</v>
      </c>
      <c r="M4040" t="s">
        <v>129</v>
      </c>
      <c r="N4040">
        <v>1</v>
      </c>
      <c r="O4040" s="89">
        <v>6657.03</v>
      </c>
      <c r="P4040" s="89">
        <v>177520.8</v>
      </c>
      <c r="Q4040" t="s">
        <v>135</v>
      </c>
      <c r="R4040" t="s">
        <v>131</v>
      </c>
    </row>
    <row r="4041" spans="3:18" hidden="1" x14ac:dyDescent="0.25">
      <c r="C4041" t="s">
        <v>45</v>
      </c>
      <c r="D4041" t="s">
        <v>138</v>
      </c>
      <c r="E4041" t="s">
        <v>48</v>
      </c>
      <c r="F4041" t="s">
        <v>41</v>
      </c>
      <c r="G4041" s="89">
        <v>134532</v>
      </c>
      <c r="H4041" t="s">
        <v>42</v>
      </c>
      <c r="I4041" t="s">
        <v>126</v>
      </c>
      <c r="J4041" s="89">
        <v>2152512</v>
      </c>
      <c r="K4041" t="s">
        <v>127</v>
      </c>
      <c r="L4041" t="s">
        <v>128</v>
      </c>
      <c r="M4041" t="s">
        <v>139</v>
      </c>
      <c r="N4041">
        <v>1</v>
      </c>
      <c r="O4041" s="89">
        <v>4035.96</v>
      </c>
      <c r="P4041" s="89">
        <v>61884.72</v>
      </c>
      <c r="Q4041" t="s">
        <v>142</v>
      </c>
      <c r="R4041" t="s">
        <v>42</v>
      </c>
    </row>
    <row r="4042" spans="3:18" x14ac:dyDescent="0.25">
      <c r="C4042" t="s">
        <v>47</v>
      </c>
      <c r="D4042" t="s">
        <v>21</v>
      </c>
      <c r="E4042" t="s">
        <v>43</v>
      </c>
      <c r="F4042" t="s">
        <v>41</v>
      </c>
      <c r="G4042" s="89">
        <v>619944</v>
      </c>
      <c r="H4042" t="s">
        <v>146</v>
      </c>
      <c r="I4042" t="s">
        <v>133</v>
      </c>
      <c r="J4042" s="89">
        <v>14878656</v>
      </c>
      <c r="K4042" t="s">
        <v>127</v>
      </c>
      <c r="L4042" t="s">
        <v>128</v>
      </c>
      <c r="N4042">
        <v>1</v>
      </c>
      <c r="O4042" s="89">
        <v>24797.759999999998</v>
      </c>
      <c r="P4042" s="89">
        <v>117789.36</v>
      </c>
      <c r="Q4042" t="s">
        <v>130</v>
      </c>
      <c r="R4042" t="s">
        <v>131</v>
      </c>
    </row>
    <row r="4043" spans="3:18" hidden="1" x14ac:dyDescent="0.25">
      <c r="C4043" t="s">
        <v>45</v>
      </c>
      <c r="D4043" t="s">
        <v>23</v>
      </c>
      <c r="E4043" t="s">
        <v>52</v>
      </c>
      <c r="F4043" t="s">
        <v>41</v>
      </c>
      <c r="G4043" s="89">
        <v>542527</v>
      </c>
      <c r="H4043" t="s">
        <v>42</v>
      </c>
      <c r="I4043" t="s">
        <v>126</v>
      </c>
      <c r="J4043" s="89">
        <v>8680432</v>
      </c>
      <c r="K4043" t="s">
        <v>144</v>
      </c>
      <c r="N4043">
        <v>1</v>
      </c>
      <c r="O4043" s="89">
        <v>16275.81</v>
      </c>
      <c r="P4043" s="89">
        <v>260412.96</v>
      </c>
      <c r="Q4043" t="s">
        <v>142</v>
      </c>
      <c r="R4043" t="s">
        <v>42</v>
      </c>
    </row>
    <row r="4044" spans="3:18" hidden="1" x14ac:dyDescent="0.25">
      <c r="C4044" t="s">
        <v>45</v>
      </c>
      <c r="D4044" t="s">
        <v>21</v>
      </c>
      <c r="E4044" t="s">
        <v>43</v>
      </c>
      <c r="F4044" t="s">
        <v>53</v>
      </c>
      <c r="G4044" s="89">
        <v>124692</v>
      </c>
      <c r="H4044" t="s">
        <v>132</v>
      </c>
      <c r="I4044" t="s">
        <v>126</v>
      </c>
      <c r="J4044" s="89">
        <v>2493840</v>
      </c>
      <c r="K4044" t="s">
        <v>144</v>
      </c>
      <c r="N4044">
        <v>1</v>
      </c>
      <c r="O4044" s="89">
        <v>3740.76</v>
      </c>
      <c r="P4044" s="89">
        <v>99753.600000000006</v>
      </c>
      <c r="Q4044" t="s">
        <v>137</v>
      </c>
      <c r="R4044" t="s">
        <v>131</v>
      </c>
    </row>
    <row r="4045" spans="3:18" hidden="1" x14ac:dyDescent="0.25">
      <c r="C4045" t="s">
        <v>45</v>
      </c>
      <c r="D4045" t="s">
        <v>24</v>
      </c>
      <c r="E4045" t="s">
        <v>46</v>
      </c>
      <c r="F4045" t="s">
        <v>41</v>
      </c>
      <c r="G4045" s="89">
        <v>15654</v>
      </c>
      <c r="H4045" t="s">
        <v>42</v>
      </c>
      <c r="I4045" t="s">
        <v>126</v>
      </c>
      <c r="J4045" s="89">
        <v>172194</v>
      </c>
      <c r="K4045" t="s">
        <v>127</v>
      </c>
      <c r="L4045" t="s">
        <v>128</v>
      </c>
      <c r="M4045" t="s">
        <v>148</v>
      </c>
      <c r="N4045">
        <v>1</v>
      </c>
      <c r="O4045" s="89">
        <v>469.62</v>
      </c>
      <c r="P4045" s="89">
        <v>23481</v>
      </c>
      <c r="Q4045" t="s">
        <v>150</v>
      </c>
      <c r="R4045" t="s">
        <v>42</v>
      </c>
    </row>
    <row r="4046" spans="3:18" hidden="1" x14ac:dyDescent="0.25">
      <c r="C4046" t="s">
        <v>45</v>
      </c>
      <c r="D4046" t="s">
        <v>20</v>
      </c>
      <c r="E4046" t="s">
        <v>43</v>
      </c>
      <c r="F4046" t="s">
        <v>53</v>
      </c>
      <c r="G4046" s="89">
        <v>272730</v>
      </c>
      <c r="H4046" t="s">
        <v>140</v>
      </c>
      <c r="I4046" t="s">
        <v>133</v>
      </c>
      <c r="J4046" s="89">
        <v>9818280</v>
      </c>
      <c r="K4046" t="s">
        <v>144</v>
      </c>
      <c r="N4046">
        <v>1</v>
      </c>
      <c r="O4046" s="89">
        <v>8181.9</v>
      </c>
      <c r="P4046" s="89">
        <v>229093.2</v>
      </c>
      <c r="Q4046" t="s">
        <v>135</v>
      </c>
      <c r="R4046" t="s">
        <v>131</v>
      </c>
    </row>
    <row r="4047" spans="3:18" hidden="1" x14ac:dyDescent="0.25">
      <c r="C4047" t="s">
        <v>45</v>
      </c>
      <c r="D4047" t="s">
        <v>22</v>
      </c>
      <c r="E4047" t="s">
        <v>43</v>
      </c>
      <c r="F4047" t="s">
        <v>41</v>
      </c>
      <c r="G4047" s="89">
        <v>7001724</v>
      </c>
      <c r="H4047" t="s">
        <v>145</v>
      </c>
      <c r="I4047" t="s">
        <v>133</v>
      </c>
      <c r="J4047" s="89">
        <v>175043100</v>
      </c>
      <c r="K4047" t="s">
        <v>127</v>
      </c>
      <c r="L4047" t="s">
        <v>128</v>
      </c>
      <c r="N4047">
        <v>1</v>
      </c>
      <c r="O4047" s="89">
        <v>210051.72</v>
      </c>
      <c r="P4047" s="89">
        <v>3640896.48</v>
      </c>
      <c r="Q4047" t="s">
        <v>142</v>
      </c>
      <c r="R4047" t="s">
        <v>131</v>
      </c>
    </row>
    <row r="4048" spans="3:18" x14ac:dyDescent="0.25">
      <c r="C4048" t="s">
        <v>47</v>
      </c>
      <c r="D4048" t="s">
        <v>22</v>
      </c>
      <c r="E4048" t="s">
        <v>43</v>
      </c>
      <c r="F4048" t="s">
        <v>41</v>
      </c>
      <c r="G4048" s="89">
        <v>34625</v>
      </c>
      <c r="H4048" t="s">
        <v>132</v>
      </c>
      <c r="I4048" t="s">
        <v>141</v>
      </c>
      <c r="J4048" s="89">
        <v>277000</v>
      </c>
      <c r="K4048" t="s">
        <v>127</v>
      </c>
      <c r="L4048" t="s">
        <v>128</v>
      </c>
      <c r="N4048">
        <v>1</v>
      </c>
      <c r="O4048" s="89">
        <v>1385</v>
      </c>
      <c r="P4048" s="89">
        <v>7617.5</v>
      </c>
      <c r="Q4048" t="s">
        <v>130</v>
      </c>
      <c r="R4048" t="s">
        <v>131</v>
      </c>
    </row>
    <row r="4049" spans="3:18" hidden="1" x14ac:dyDescent="0.25">
      <c r="C4049" t="s">
        <v>45</v>
      </c>
      <c r="D4049" t="s">
        <v>21</v>
      </c>
      <c r="E4049" t="s">
        <v>40</v>
      </c>
      <c r="F4049" t="s">
        <v>41</v>
      </c>
      <c r="G4049" s="89">
        <v>238592</v>
      </c>
      <c r="H4049" t="s">
        <v>42</v>
      </c>
      <c r="I4049" t="s">
        <v>133</v>
      </c>
      <c r="J4049" s="89">
        <v>9305088</v>
      </c>
      <c r="K4049" t="s">
        <v>134</v>
      </c>
      <c r="L4049" t="s">
        <v>128</v>
      </c>
      <c r="M4049" t="s">
        <v>129</v>
      </c>
      <c r="N4049">
        <v>1</v>
      </c>
      <c r="O4049" s="89">
        <v>7157.76</v>
      </c>
      <c r="P4049" s="89">
        <v>200417.28</v>
      </c>
      <c r="Q4049" t="s">
        <v>135</v>
      </c>
      <c r="R4049" t="s">
        <v>42</v>
      </c>
    </row>
    <row r="4050" spans="3:18" hidden="1" x14ac:dyDescent="0.25">
      <c r="C4050" t="s">
        <v>45</v>
      </c>
      <c r="D4050" t="s">
        <v>21</v>
      </c>
      <c r="E4050" t="s">
        <v>43</v>
      </c>
      <c r="F4050" t="s">
        <v>41</v>
      </c>
      <c r="G4050" s="89">
        <v>190360433</v>
      </c>
      <c r="H4050" t="s">
        <v>132</v>
      </c>
      <c r="I4050" t="s">
        <v>133</v>
      </c>
      <c r="J4050" s="89">
        <v>4949371258</v>
      </c>
      <c r="K4050" t="s">
        <v>127</v>
      </c>
      <c r="L4050" t="s">
        <v>128</v>
      </c>
      <c r="N4050">
        <v>1</v>
      </c>
      <c r="O4050" s="89">
        <v>5710812.9900000002</v>
      </c>
      <c r="P4050" s="89">
        <v>98987425.159999996</v>
      </c>
      <c r="Q4050" t="s">
        <v>142</v>
      </c>
      <c r="R4050" t="s">
        <v>131</v>
      </c>
    </row>
    <row r="4051" spans="3:18" hidden="1" x14ac:dyDescent="0.25">
      <c r="C4051" t="s">
        <v>45</v>
      </c>
      <c r="D4051" t="s">
        <v>23</v>
      </c>
      <c r="E4051" t="s">
        <v>52</v>
      </c>
      <c r="F4051" t="s">
        <v>41</v>
      </c>
      <c r="G4051" s="89">
        <v>203641</v>
      </c>
      <c r="H4051" t="s">
        <v>42</v>
      </c>
      <c r="I4051" t="s">
        <v>126</v>
      </c>
      <c r="J4051" s="89">
        <v>3258256</v>
      </c>
      <c r="K4051" t="s">
        <v>144</v>
      </c>
      <c r="N4051">
        <v>1</v>
      </c>
      <c r="O4051" s="89">
        <v>6109.23</v>
      </c>
      <c r="P4051" s="89">
        <v>61092.3</v>
      </c>
      <c r="Q4051" t="s">
        <v>130</v>
      </c>
      <c r="R4051" t="s">
        <v>42</v>
      </c>
    </row>
    <row r="4052" spans="3:18" hidden="1" x14ac:dyDescent="0.25">
      <c r="C4052" t="s">
        <v>45</v>
      </c>
      <c r="D4052" t="s">
        <v>22</v>
      </c>
      <c r="E4052" t="s">
        <v>48</v>
      </c>
      <c r="F4052" t="s">
        <v>41</v>
      </c>
      <c r="G4052" s="89">
        <v>1068083</v>
      </c>
      <c r="H4052" t="s">
        <v>140</v>
      </c>
      <c r="I4052" t="s">
        <v>133</v>
      </c>
      <c r="J4052" s="89">
        <v>37382905</v>
      </c>
      <c r="K4052" t="s">
        <v>144</v>
      </c>
      <c r="N4052">
        <v>1</v>
      </c>
      <c r="O4052" s="89">
        <v>32042.49</v>
      </c>
      <c r="P4052" s="89">
        <v>512679.84</v>
      </c>
      <c r="Q4052" t="s">
        <v>142</v>
      </c>
      <c r="R4052" t="s">
        <v>131</v>
      </c>
    </row>
    <row r="4053" spans="3:18" hidden="1" x14ac:dyDescent="0.25">
      <c r="C4053" t="s">
        <v>45</v>
      </c>
      <c r="D4053" t="s">
        <v>24</v>
      </c>
      <c r="E4053" t="s">
        <v>48</v>
      </c>
      <c r="F4053" t="s">
        <v>41</v>
      </c>
      <c r="G4053" s="89">
        <v>9362096</v>
      </c>
      <c r="H4053" t="s">
        <v>146</v>
      </c>
      <c r="I4053" t="s">
        <v>133</v>
      </c>
      <c r="J4053" s="89">
        <v>280862880</v>
      </c>
      <c r="K4053" t="s">
        <v>127</v>
      </c>
      <c r="L4053" t="s">
        <v>128</v>
      </c>
      <c r="N4053">
        <v>1</v>
      </c>
      <c r="O4053" s="89">
        <v>280862.88</v>
      </c>
      <c r="P4053" s="89">
        <v>6459846.2400000002</v>
      </c>
      <c r="Q4053" t="s">
        <v>137</v>
      </c>
      <c r="R4053" t="s">
        <v>131</v>
      </c>
    </row>
    <row r="4054" spans="3:18" x14ac:dyDescent="0.25">
      <c r="C4054" t="s">
        <v>47</v>
      </c>
      <c r="D4054" t="s">
        <v>24</v>
      </c>
      <c r="E4054" t="s">
        <v>48</v>
      </c>
      <c r="F4054" t="s">
        <v>41</v>
      </c>
      <c r="G4054" s="89">
        <v>157679</v>
      </c>
      <c r="H4054" t="s">
        <v>140</v>
      </c>
      <c r="I4054" t="s">
        <v>126</v>
      </c>
      <c r="J4054" s="89">
        <v>2207506</v>
      </c>
      <c r="K4054" t="s">
        <v>144</v>
      </c>
      <c r="N4054">
        <v>1</v>
      </c>
      <c r="O4054" s="89">
        <v>6307.16</v>
      </c>
      <c r="P4054" s="89">
        <v>127719.99</v>
      </c>
      <c r="Q4054" t="s">
        <v>135</v>
      </c>
      <c r="R4054" t="s">
        <v>131</v>
      </c>
    </row>
    <row r="4055" spans="3:18" x14ac:dyDescent="0.25">
      <c r="C4055" t="s">
        <v>47</v>
      </c>
      <c r="D4055" t="s">
        <v>25</v>
      </c>
      <c r="E4055" t="s">
        <v>40</v>
      </c>
      <c r="F4055" t="s">
        <v>41</v>
      </c>
      <c r="G4055" s="89">
        <v>41633</v>
      </c>
      <c r="H4055" t="s">
        <v>140</v>
      </c>
      <c r="I4055" t="s">
        <v>147</v>
      </c>
      <c r="J4055" s="89"/>
      <c r="K4055" t="s">
        <v>127</v>
      </c>
      <c r="L4055" t="s">
        <v>128</v>
      </c>
      <c r="N4055">
        <v>0</v>
      </c>
      <c r="O4055" s="89">
        <v>0</v>
      </c>
      <c r="P4055" s="89">
        <v>832.66</v>
      </c>
      <c r="Q4055" t="s">
        <v>130</v>
      </c>
      <c r="R4055" t="s">
        <v>131</v>
      </c>
    </row>
    <row r="4056" spans="3:18" x14ac:dyDescent="0.25">
      <c r="C4056" t="s">
        <v>47</v>
      </c>
      <c r="D4056" t="s">
        <v>21</v>
      </c>
      <c r="E4056" t="s">
        <v>43</v>
      </c>
      <c r="F4056" t="s">
        <v>41</v>
      </c>
      <c r="G4056" s="89">
        <v>1702034</v>
      </c>
      <c r="H4056" t="s">
        <v>132</v>
      </c>
      <c r="I4056" t="s">
        <v>147</v>
      </c>
      <c r="J4056" s="89">
        <v>5106102</v>
      </c>
      <c r="K4056" t="s">
        <v>127</v>
      </c>
      <c r="L4056" t="s">
        <v>128</v>
      </c>
      <c r="N4056">
        <v>1</v>
      </c>
      <c r="O4056" s="89">
        <v>85101.7</v>
      </c>
      <c r="P4056" s="89">
        <v>238284.76</v>
      </c>
      <c r="Q4056" t="s">
        <v>130</v>
      </c>
      <c r="R4056" t="s">
        <v>131</v>
      </c>
    </row>
    <row r="4057" spans="3:18" hidden="1" x14ac:dyDescent="0.25">
      <c r="C4057" t="s">
        <v>45</v>
      </c>
      <c r="D4057" t="s">
        <v>22</v>
      </c>
      <c r="E4057" t="s">
        <v>40</v>
      </c>
      <c r="F4057" t="s">
        <v>41</v>
      </c>
      <c r="G4057" s="89">
        <v>249935</v>
      </c>
      <c r="H4057" t="s">
        <v>140</v>
      </c>
      <c r="I4057" t="s">
        <v>141</v>
      </c>
      <c r="J4057" s="89">
        <v>1749545</v>
      </c>
      <c r="K4057" t="s">
        <v>134</v>
      </c>
      <c r="L4057" t="s">
        <v>128</v>
      </c>
      <c r="N4057">
        <v>1</v>
      </c>
      <c r="O4057" s="89">
        <v>7498.05</v>
      </c>
      <c r="P4057" s="89">
        <v>52486.35</v>
      </c>
      <c r="Q4057" t="s">
        <v>130</v>
      </c>
      <c r="R4057" t="s">
        <v>131</v>
      </c>
    </row>
    <row r="4058" spans="3:18" hidden="1" x14ac:dyDescent="0.25">
      <c r="C4058" t="s">
        <v>45</v>
      </c>
      <c r="D4058" t="s">
        <v>22</v>
      </c>
      <c r="E4058" t="s">
        <v>43</v>
      </c>
      <c r="F4058" t="s">
        <v>53</v>
      </c>
      <c r="G4058" s="89">
        <v>704369</v>
      </c>
      <c r="H4058" t="s">
        <v>42</v>
      </c>
      <c r="I4058" t="s">
        <v>133</v>
      </c>
      <c r="J4058" s="89">
        <v>21835439</v>
      </c>
      <c r="K4058" t="s">
        <v>144</v>
      </c>
      <c r="N4058">
        <v>1</v>
      </c>
      <c r="O4058" s="89">
        <v>21131.07</v>
      </c>
      <c r="P4058" s="89">
        <v>507145.68</v>
      </c>
      <c r="Q4058" t="s">
        <v>137</v>
      </c>
      <c r="R4058" t="s">
        <v>42</v>
      </c>
    </row>
    <row r="4059" spans="3:18" hidden="1" x14ac:dyDescent="0.25">
      <c r="C4059" t="s">
        <v>45</v>
      </c>
      <c r="D4059" t="s">
        <v>20</v>
      </c>
      <c r="E4059" t="s">
        <v>43</v>
      </c>
      <c r="F4059" t="s">
        <v>41</v>
      </c>
      <c r="G4059" s="89">
        <v>137610</v>
      </c>
      <c r="H4059" t="s">
        <v>145</v>
      </c>
      <c r="I4059" t="s">
        <v>126</v>
      </c>
      <c r="J4059" s="89">
        <v>2064150</v>
      </c>
      <c r="K4059" t="s">
        <v>144</v>
      </c>
      <c r="N4059">
        <v>1</v>
      </c>
      <c r="O4059" s="89">
        <v>4128.3</v>
      </c>
      <c r="P4059" s="89">
        <v>89446.5</v>
      </c>
      <c r="Q4059" t="s">
        <v>137</v>
      </c>
      <c r="R4059" t="s">
        <v>131</v>
      </c>
    </row>
    <row r="4060" spans="3:18" hidden="1" x14ac:dyDescent="0.25">
      <c r="C4060" t="s">
        <v>45</v>
      </c>
      <c r="D4060" t="s">
        <v>21</v>
      </c>
      <c r="E4060" t="s">
        <v>40</v>
      </c>
      <c r="F4060" t="s">
        <v>41</v>
      </c>
      <c r="G4060" s="89">
        <v>1516422</v>
      </c>
      <c r="H4060" t="s">
        <v>146</v>
      </c>
      <c r="I4060" t="s">
        <v>147</v>
      </c>
      <c r="J4060" s="89">
        <v>4549266</v>
      </c>
      <c r="K4060" t="s">
        <v>127</v>
      </c>
      <c r="L4060" t="s">
        <v>128</v>
      </c>
      <c r="N4060">
        <v>1</v>
      </c>
      <c r="O4060" s="89">
        <v>45492.66</v>
      </c>
      <c r="P4060" s="89">
        <v>151642.20000000001</v>
      </c>
      <c r="Q4060" t="s">
        <v>130</v>
      </c>
      <c r="R4060" t="s">
        <v>131</v>
      </c>
    </row>
    <row r="4061" spans="3:18" x14ac:dyDescent="0.25">
      <c r="C4061" t="s">
        <v>47</v>
      </c>
      <c r="D4061" t="s">
        <v>23</v>
      </c>
      <c r="E4061" t="s">
        <v>40</v>
      </c>
      <c r="F4061" t="s">
        <v>41</v>
      </c>
      <c r="G4061" s="89">
        <v>16812888</v>
      </c>
      <c r="H4061" t="s">
        <v>140</v>
      </c>
      <c r="I4061" t="s">
        <v>147</v>
      </c>
      <c r="J4061" s="89">
        <v>50438664</v>
      </c>
      <c r="K4061" t="s">
        <v>127</v>
      </c>
      <c r="L4061" t="s">
        <v>128</v>
      </c>
      <c r="N4061">
        <v>1</v>
      </c>
      <c r="O4061" s="89">
        <v>840644.4</v>
      </c>
      <c r="P4061" s="89">
        <v>2185675.44</v>
      </c>
      <c r="Q4061" t="s">
        <v>130</v>
      </c>
      <c r="R4061" t="s">
        <v>131</v>
      </c>
    </row>
    <row r="4062" spans="3:18" hidden="1" x14ac:dyDescent="0.25">
      <c r="C4062" t="s">
        <v>45</v>
      </c>
      <c r="D4062" t="s">
        <v>21</v>
      </c>
      <c r="E4062" t="s">
        <v>43</v>
      </c>
      <c r="F4062" t="s">
        <v>41</v>
      </c>
      <c r="G4062" s="89">
        <v>322912</v>
      </c>
      <c r="H4062" t="s">
        <v>132</v>
      </c>
      <c r="I4062" t="s">
        <v>126</v>
      </c>
      <c r="J4062" s="89">
        <v>4843680</v>
      </c>
      <c r="K4062" t="s">
        <v>134</v>
      </c>
      <c r="L4062" t="s">
        <v>128</v>
      </c>
      <c r="N4062">
        <v>1</v>
      </c>
      <c r="O4062" s="89">
        <v>9687.36</v>
      </c>
      <c r="P4062" s="89">
        <v>161456</v>
      </c>
      <c r="Q4062" t="s">
        <v>142</v>
      </c>
      <c r="R4062" t="s">
        <v>131</v>
      </c>
    </row>
    <row r="4063" spans="3:18" x14ac:dyDescent="0.25">
      <c r="C4063" t="s">
        <v>47</v>
      </c>
      <c r="D4063" t="s">
        <v>23</v>
      </c>
      <c r="E4063" t="s">
        <v>40</v>
      </c>
      <c r="F4063" t="s">
        <v>41</v>
      </c>
      <c r="G4063" s="89">
        <v>8176405</v>
      </c>
      <c r="H4063" t="s">
        <v>146</v>
      </c>
      <c r="I4063" t="s">
        <v>141</v>
      </c>
      <c r="J4063" s="89">
        <v>65411240</v>
      </c>
      <c r="K4063" t="s">
        <v>127</v>
      </c>
      <c r="L4063" t="s">
        <v>128</v>
      </c>
      <c r="N4063">
        <v>1</v>
      </c>
      <c r="O4063" s="89">
        <v>327056.2</v>
      </c>
      <c r="P4063" s="89">
        <v>4169966.55</v>
      </c>
      <c r="Q4063" t="s">
        <v>142</v>
      </c>
      <c r="R4063" t="s">
        <v>131</v>
      </c>
    </row>
    <row r="4064" spans="3:18" hidden="1" x14ac:dyDescent="0.25">
      <c r="C4064" t="s">
        <v>45</v>
      </c>
      <c r="D4064" t="s">
        <v>24</v>
      </c>
      <c r="E4064" t="s">
        <v>40</v>
      </c>
      <c r="F4064" t="s">
        <v>41</v>
      </c>
      <c r="G4064" s="89">
        <v>3250783</v>
      </c>
      <c r="H4064" t="s">
        <v>140</v>
      </c>
      <c r="I4064" t="s">
        <v>133</v>
      </c>
      <c r="J4064" s="89">
        <v>87771141</v>
      </c>
      <c r="K4064" t="s">
        <v>127</v>
      </c>
      <c r="L4064" t="s">
        <v>128</v>
      </c>
      <c r="N4064">
        <v>1</v>
      </c>
      <c r="O4064" s="89">
        <v>130031.32</v>
      </c>
      <c r="P4064" s="89">
        <v>2178024.61</v>
      </c>
      <c r="Q4064" t="s">
        <v>137</v>
      </c>
      <c r="R4064" t="s">
        <v>131</v>
      </c>
    </row>
    <row r="4065" spans="3:18" hidden="1" x14ac:dyDescent="0.25">
      <c r="C4065" t="s">
        <v>45</v>
      </c>
      <c r="D4065" t="s">
        <v>24</v>
      </c>
      <c r="E4065" t="s">
        <v>52</v>
      </c>
      <c r="F4065" t="s">
        <v>41</v>
      </c>
      <c r="G4065" s="89">
        <v>30483018</v>
      </c>
      <c r="H4065" t="s">
        <v>42</v>
      </c>
      <c r="I4065" t="s">
        <v>133</v>
      </c>
      <c r="J4065" s="89">
        <v>1036422612</v>
      </c>
      <c r="K4065" t="s">
        <v>144</v>
      </c>
      <c r="N4065">
        <v>1</v>
      </c>
      <c r="O4065" s="89">
        <v>914490.54</v>
      </c>
      <c r="P4065" s="89">
        <v>21642942.780000001</v>
      </c>
      <c r="Q4065" t="s">
        <v>137</v>
      </c>
      <c r="R4065" t="s">
        <v>42</v>
      </c>
    </row>
    <row r="4066" spans="3:18" hidden="1" x14ac:dyDescent="0.25">
      <c r="C4066" t="s">
        <v>45</v>
      </c>
      <c r="D4066" t="s">
        <v>21</v>
      </c>
      <c r="E4066" t="s">
        <v>48</v>
      </c>
      <c r="F4066" t="s">
        <v>41</v>
      </c>
      <c r="G4066" s="89">
        <v>360545</v>
      </c>
      <c r="H4066" t="s">
        <v>140</v>
      </c>
      <c r="I4066" t="s">
        <v>133</v>
      </c>
      <c r="J4066" s="89">
        <v>12619075</v>
      </c>
      <c r="K4066" t="s">
        <v>127</v>
      </c>
      <c r="L4066" t="s">
        <v>128</v>
      </c>
      <c r="N4066">
        <v>1</v>
      </c>
      <c r="O4066" s="89">
        <v>14421.8</v>
      </c>
      <c r="P4066" s="89">
        <v>281225.09999999998</v>
      </c>
      <c r="Q4066" t="s">
        <v>137</v>
      </c>
      <c r="R4066" t="s">
        <v>131</v>
      </c>
    </row>
    <row r="4067" spans="3:18" hidden="1" x14ac:dyDescent="0.25">
      <c r="C4067" t="s">
        <v>39</v>
      </c>
      <c r="D4067" t="s">
        <v>21</v>
      </c>
      <c r="E4067" t="s">
        <v>40</v>
      </c>
      <c r="F4067" t="s">
        <v>41</v>
      </c>
      <c r="G4067" s="89">
        <v>19453</v>
      </c>
      <c r="H4067" t="s">
        <v>132</v>
      </c>
      <c r="I4067" t="s">
        <v>133</v>
      </c>
      <c r="J4067" s="89"/>
      <c r="N4067">
        <v>0</v>
      </c>
      <c r="O4067" s="89"/>
      <c r="P4067" s="89"/>
      <c r="R4067" t="s">
        <v>131</v>
      </c>
    </row>
    <row r="4068" spans="3:18" hidden="1" x14ac:dyDescent="0.25">
      <c r="C4068" t="s">
        <v>45</v>
      </c>
      <c r="D4068" t="s">
        <v>23</v>
      </c>
      <c r="E4068" t="s">
        <v>48</v>
      </c>
      <c r="F4068" t="s">
        <v>41</v>
      </c>
      <c r="G4068" s="89">
        <v>70938</v>
      </c>
      <c r="H4068" t="s">
        <v>145</v>
      </c>
      <c r="I4068" t="s">
        <v>133</v>
      </c>
      <c r="J4068" s="89">
        <v>1773450</v>
      </c>
      <c r="K4068" t="s">
        <v>134</v>
      </c>
      <c r="L4068" t="s">
        <v>128</v>
      </c>
      <c r="N4068">
        <v>1</v>
      </c>
      <c r="O4068" s="89">
        <v>3546.9</v>
      </c>
      <c r="P4068" s="89">
        <v>54622.26</v>
      </c>
      <c r="Q4068" t="s">
        <v>137</v>
      </c>
      <c r="R4068" t="s">
        <v>131</v>
      </c>
    </row>
    <row r="4069" spans="3:18" x14ac:dyDescent="0.25">
      <c r="C4069" t="s">
        <v>47</v>
      </c>
      <c r="D4069" t="s">
        <v>23</v>
      </c>
      <c r="E4069" t="s">
        <v>48</v>
      </c>
      <c r="F4069" t="s">
        <v>41</v>
      </c>
      <c r="G4069" s="89">
        <v>6205245</v>
      </c>
      <c r="H4069" t="s">
        <v>140</v>
      </c>
      <c r="I4069" t="s">
        <v>141</v>
      </c>
      <c r="J4069" s="89">
        <v>43436715</v>
      </c>
      <c r="K4069" t="s">
        <v>127</v>
      </c>
      <c r="L4069" t="s">
        <v>128</v>
      </c>
      <c r="N4069">
        <v>1</v>
      </c>
      <c r="O4069" s="89">
        <v>186157.35</v>
      </c>
      <c r="P4069" s="89">
        <v>2854412.7</v>
      </c>
      <c r="Q4069" t="s">
        <v>142</v>
      </c>
      <c r="R4069" t="s">
        <v>131</v>
      </c>
    </row>
    <row r="4070" spans="3:18" hidden="1" x14ac:dyDescent="0.25">
      <c r="C4070" t="s">
        <v>45</v>
      </c>
      <c r="D4070" t="s">
        <v>24</v>
      </c>
      <c r="E4070" t="s">
        <v>48</v>
      </c>
      <c r="F4070" t="s">
        <v>41</v>
      </c>
      <c r="G4070" s="89">
        <v>43560</v>
      </c>
      <c r="H4070" t="s">
        <v>42</v>
      </c>
      <c r="I4070" t="s">
        <v>126</v>
      </c>
      <c r="J4070" s="89">
        <v>784080</v>
      </c>
      <c r="K4070" t="s">
        <v>144</v>
      </c>
      <c r="N4070">
        <v>1</v>
      </c>
      <c r="O4070" s="89">
        <v>871.2</v>
      </c>
      <c r="P4070" s="89">
        <v>35719.199999999997</v>
      </c>
      <c r="Q4070" t="s">
        <v>135</v>
      </c>
      <c r="R4070" t="s">
        <v>131</v>
      </c>
    </row>
    <row r="4071" spans="3:18" hidden="1" x14ac:dyDescent="0.25">
      <c r="C4071" t="s">
        <v>45</v>
      </c>
      <c r="D4071" t="s">
        <v>21</v>
      </c>
      <c r="E4071" t="s">
        <v>43</v>
      </c>
      <c r="F4071" t="s">
        <v>41</v>
      </c>
      <c r="G4071" s="89">
        <v>704853</v>
      </c>
      <c r="H4071" t="s">
        <v>42</v>
      </c>
      <c r="I4071" t="s">
        <v>133</v>
      </c>
      <c r="J4071" s="89">
        <v>18326178</v>
      </c>
      <c r="K4071" t="s">
        <v>127</v>
      </c>
      <c r="L4071" t="s">
        <v>128</v>
      </c>
      <c r="M4071" t="s">
        <v>152</v>
      </c>
      <c r="N4071">
        <v>1</v>
      </c>
      <c r="O4071" s="89">
        <v>21145.59</v>
      </c>
      <c r="P4071" s="89">
        <v>373572.09</v>
      </c>
      <c r="Q4071" t="s">
        <v>142</v>
      </c>
      <c r="R4071" t="s">
        <v>42</v>
      </c>
    </row>
    <row r="4072" spans="3:18" x14ac:dyDescent="0.25">
      <c r="C4072" t="s">
        <v>47</v>
      </c>
      <c r="D4072" t="s">
        <v>21</v>
      </c>
      <c r="E4072" t="s">
        <v>40</v>
      </c>
      <c r="F4072" t="s">
        <v>41</v>
      </c>
      <c r="G4072" s="89">
        <v>362435</v>
      </c>
      <c r="H4072" t="s">
        <v>140</v>
      </c>
      <c r="I4072" t="s">
        <v>147</v>
      </c>
      <c r="J4072" s="89">
        <v>724870</v>
      </c>
      <c r="K4072" t="s">
        <v>127</v>
      </c>
      <c r="L4072" t="s">
        <v>128</v>
      </c>
      <c r="N4072">
        <v>1</v>
      </c>
      <c r="O4072" s="89">
        <v>14497.4</v>
      </c>
      <c r="P4072" s="89">
        <v>333440.2</v>
      </c>
      <c r="Q4072" t="s">
        <v>135</v>
      </c>
      <c r="R4072" t="s">
        <v>131</v>
      </c>
    </row>
    <row r="4073" spans="3:18" hidden="1" x14ac:dyDescent="0.25">
      <c r="C4073" t="s">
        <v>45</v>
      </c>
      <c r="D4073" t="s">
        <v>23</v>
      </c>
      <c r="E4073" t="s">
        <v>40</v>
      </c>
      <c r="F4073" t="s">
        <v>41</v>
      </c>
      <c r="G4073" s="89">
        <v>179401</v>
      </c>
      <c r="H4073" t="s">
        <v>132</v>
      </c>
      <c r="I4073" t="s">
        <v>141</v>
      </c>
      <c r="J4073" s="89">
        <v>1435208</v>
      </c>
      <c r="K4073" t="s">
        <v>144</v>
      </c>
      <c r="N4073">
        <v>1</v>
      </c>
      <c r="O4073" s="89">
        <v>5382.03</v>
      </c>
      <c r="P4073" s="89">
        <v>32292.18</v>
      </c>
      <c r="Q4073" t="s">
        <v>130</v>
      </c>
      <c r="R4073" t="s">
        <v>131</v>
      </c>
    </row>
    <row r="4074" spans="3:18" x14ac:dyDescent="0.25">
      <c r="C4074" t="s">
        <v>47</v>
      </c>
      <c r="D4074" t="s">
        <v>23</v>
      </c>
      <c r="E4074" t="s">
        <v>43</v>
      </c>
      <c r="F4074" t="s">
        <v>41</v>
      </c>
      <c r="G4074" s="89">
        <v>31357</v>
      </c>
      <c r="H4074" t="s">
        <v>145</v>
      </c>
      <c r="I4074" t="s">
        <v>147</v>
      </c>
      <c r="J4074" s="89">
        <v>94071</v>
      </c>
      <c r="K4074" t="s">
        <v>127</v>
      </c>
      <c r="L4074" t="s">
        <v>128</v>
      </c>
      <c r="N4074">
        <v>1</v>
      </c>
      <c r="O4074" s="89">
        <v>1881.42</v>
      </c>
      <c r="P4074" s="89">
        <v>0</v>
      </c>
      <c r="Q4074" t="s">
        <v>130</v>
      </c>
      <c r="R4074" t="s">
        <v>131</v>
      </c>
    </row>
    <row r="4075" spans="3:18" hidden="1" x14ac:dyDescent="0.25">
      <c r="C4075" t="s">
        <v>45</v>
      </c>
      <c r="D4075" t="s">
        <v>20</v>
      </c>
      <c r="E4075" t="s">
        <v>43</v>
      </c>
      <c r="F4075" t="s">
        <v>53</v>
      </c>
      <c r="G4075" s="89">
        <v>133213</v>
      </c>
      <c r="H4075" t="s">
        <v>145</v>
      </c>
      <c r="I4075" t="s">
        <v>133</v>
      </c>
      <c r="J4075" s="89">
        <v>4529242</v>
      </c>
      <c r="K4075" t="s">
        <v>144</v>
      </c>
      <c r="N4075">
        <v>1</v>
      </c>
      <c r="O4075" s="89">
        <v>3996.39</v>
      </c>
      <c r="P4075" s="89">
        <v>51953.07</v>
      </c>
      <c r="Q4075" t="s">
        <v>130</v>
      </c>
      <c r="R4075" t="s">
        <v>131</v>
      </c>
    </row>
    <row r="4076" spans="3:18" hidden="1" x14ac:dyDescent="0.25">
      <c r="C4076" t="s">
        <v>45</v>
      </c>
      <c r="D4076" t="s">
        <v>21</v>
      </c>
      <c r="E4076" t="s">
        <v>40</v>
      </c>
      <c r="F4076" t="s">
        <v>53</v>
      </c>
      <c r="G4076" s="89">
        <v>90127</v>
      </c>
      <c r="H4076" t="s">
        <v>42</v>
      </c>
      <c r="I4076" t="s">
        <v>126</v>
      </c>
      <c r="J4076" s="89">
        <v>1442032</v>
      </c>
      <c r="K4076" t="s">
        <v>144</v>
      </c>
      <c r="N4076">
        <v>1</v>
      </c>
      <c r="O4076" s="89">
        <v>1802.54</v>
      </c>
      <c r="P4076" s="89">
        <v>28840.639999999999</v>
      </c>
      <c r="Q4076" t="s">
        <v>130</v>
      </c>
      <c r="R4076" t="s">
        <v>42</v>
      </c>
    </row>
    <row r="4077" spans="3:18" hidden="1" x14ac:dyDescent="0.25">
      <c r="C4077" t="s">
        <v>45</v>
      </c>
      <c r="D4077" t="s">
        <v>24</v>
      </c>
      <c r="E4077" t="s">
        <v>44</v>
      </c>
      <c r="F4077" t="s">
        <v>41</v>
      </c>
      <c r="G4077" s="89">
        <v>117061</v>
      </c>
      <c r="H4077" t="s">
        <v>132</v>
      </c>
      <c r="I4077" t="s">
        <v>133</v>
      </c>
      <c r="J4077" s="89">
        <v>3394769</v>
      </c>
      <c r="K4077" t="s">
        <v>144</v>
      </c>
      <c r="N4077">
        <v>1</v>
      </c>
      <c r="O4077" s="89">
        <v>3511.83</v>
      </c>
      <c r="P4077" s="89">
        <v>58530.5</v>
      </c>
      <c r="Q4077" t="s">
        <v>142</v>
      </c>
      <c r="R4077" t="s">
        <v>131</v>
      </c>
    </row>
    <row r="4078" spans="3:18" hidden="1" x14ac:dyDescent="0.25">
      <c r="C4078" t="s">
        <v>45</v>
      </c>
      <c r="D4078" t="s">
        <v>23</v>
      </c>
      <c r="E4078" t="s">
        <v>40</v>
      </c>
      <c r="F4078" t="s">
        <v>41</v>
      </c>
      <c r="G4078" s="89">
        <v>15578198</v>
      </c>
      <c r="H4078" t="s">
        <v>42</v>
      </c>
      <c r="I4078" t="s">
        <v>133</v>
      </c>
      <c r="J4078" s="89">
        <v>498502336</v>
      </c>
      <c r="K4078" t="s">
        <v>127</v>
      </c>
      <c r="L4078" t="s">
        <v>128</v>
      </c>
      <c r="M4078" t="s">
        <v>152</v>
      </c>
      <c r="N4078">
        <v>1</v>
      </c>
      <c r="O4078" s="89">
        <v>467345.94</v>
      </c>
      <c r="P4078" s="89">
        <v>11060520.58</v>
      </c>
      <c r="Q4078" t="s">
        <v>137</v>
      </c>
      <c r="R4078" t="s">
        <v>42</v>
      </c>
    </row>
    <row r="4079" spans="3:18" hidden="1" x14ac:dyDescent="0.25">
      <c r="C4079" t="s">
        <v>45</v>
      </c>
      <c r="D4079" t="s">
        <v>24</v>
      </c>
      <c r="E4079" t="s">
        <v>40</v>
      </c>
      <c r="F4079" t="s">
        <v>41</v>
      </c>
      <c r="G4079" s="89">
        <v>988776</v>
      </c>
      <c r="H4079" t="s">
        <v>42</v>
      </c>
      <c r="I4079" t="s">
        <v>133</v>
      </c>
      <c r="J4079" s="89">
        <v>23730624</v>
      </c>
      <c r="K4079" t="s">
        <v>127</v>
      </c>
      <c r="L4079" t="s">
        <v>128</v>
      </c>
      <c r="M4079" t="s">
        <v>148</v>
      </c>
      <c r="N4079">
        <v>1</v>
      </c>
      <c r="O4079" s="89">
        <v>29663.279999999999</v>
      </c>
      <c r="P4079" s="89">
        <v>247194</v>
      </c>
      <c r="Q4079" t="s">
        <v>130</v>
      </c>
      <c r="R4079" t="s">
        <v>42</v>
      </c>
    </row>
    <row r="4080" spans="3:18" hidden="1" x14ac:dyDescent="0.25">
      <c r="C4080" t="s">
        <v>45</v>
      </c>
      <c r="D4080" t="s">
        <v>20</v>
      </c>
      <c r="E4080" t="s">
        <v>40</v>
      </c>
      <c r="F4080" t="s">
        <v>41</v>
      </c>
      <c r="G4080" s="89">
        <v>41028</v>
      </c>
      <c r="H4080" t="s">
        <v>42</v>
      </c>
      <c r="I4080" t="s">
        <v>141</v>
      </c>
      <c r="J4080" s="89">
        <v>410280</v>
      </c>
      <c r="K4080" t="s">
        <v>144</v>
      </c>
      <c r="N4080">
        <v>1</v>
      </c>
      <c r="O4080" s="89">
        <v>1230.8399999999999</v>
      </c>
      <c r="P4080" s="89">
        <v>13949.52</v>
      </c>
      <c r="Q4080" t="s">
        <v>130</v>
      </c>
      <c r="R4080" t="s">
        <v>42</v>
      </c>
    </row>
    <row r="4081" spans="3:18" hidden="1" x14ac:dyDescent="0.25">
      <c r="C4081" t="s">
        <v>45</v>
      </c>
      <c r="D4081" t="s">
        <v>20</v>
      </c>
      <c r="E4081" t="s">
        <v>48</v>
      </c>
      <c r="F4081" t="s">
        <v>41</v>
      </c>
      <c r="G4081" s="89">
        <v>172618</v>
      </c>
      <c r="H4081" t="s">
        <v>42</v>
      </c>
      <c r="I4081" t="s">
        <v>133</v>
      </c>
      <c r="J4081" s="89">
        <v>5696394</v>
      </c>
      <c r="K4081" t="s">
        <v>127</v>
      </c>
      <c r="L4081" t="s">
        <v>128</v>
      </c>
      <c r="M4081" t="s">
        <v>139</v>
      </c>
      <c r="N4081">
        <v>1</v>
      </c>
      <c r="O4081" s="89">
        <v>5178.54</v>
      </c>
      <c r="P4081" s="89">
        <v>139820.57999999999</v>
      </c>
      <c r="Q4081" t="s">
        <v>135</v>
      </c>
      <c r="R4081" t="s">
        <v>42</v>
      </c>
    </row>
    <row r="4082" spans="3:18" x14ac:dyDescent="0.25">
      <c r="C4082" t="s">
        <v>47</v>
      </c>
      <c r="D4082" t="s">
        <v>23</v>
      </c>
      <c r="E4082" t="s">
        <v>48</v>
      </c>
      <c r="F4082" t="s">
        <v>41</v>
      </c>
      <c r="G4082" s="89">
        <v>626269</v>
      </c>
      <c r="H4082" t="s">
        <v>42</v>
      </c>
      <c r="I4082" t="s">
        <v>147</v>
      </c>
      <c r="J4082" s="89">
        <v>1878807</v>
      </c>
      <c r="K4082" t="s">
        <v>127</v>
      </c>
      <c r="L4082" t="s">
        <v>128</v>
      </c>
      <c r="M4082" t="s">
        <v>152</v>
      </c>
      <c r="N4082">
        <v>1</v>
      </c>
      <c r="O4082" s="89">
        <v>18788.07</v>
      </c>
      <c r="P4082" s="89">
        <v>162829.94</v>
      </c>
      <c r="Q4082" t="s">
        <v>130</v>
      </c>
      <c r="R4082" t="s">
        <v>131</v>
      </c>
    </row>
    <row r="4083" spans="3:18" hidden="1" x14ac:dyDescent="0.25">
      <c r="C4083" t="s">
        <v>45</v>
      </c>
      <c r="D4083" t="s">
        <v>24</v>
      </c>
      <c r="E4083" t="s">
        <v>44</v>
      </c>
      <c r="F4083" t="s">
        <v>41</v>
      </c>
      <c r="G4083" s="89">
        <v>32109</v>
      </c>
      <c r="H4083" t="s">
        <v>42</v>
      </c>
      <c r="I4083" t="s">
        <v>126</v>
      </c>
      <c r="J4083" s="89">
        <v>545853</v>
      </c>
      <c r="K4083" t="s">
        <v>134</v>
      </c>
      <c r="L4083" t="s">
        <v>128</v>
      </c>
      <c r="M4083" t="s">
        <v>148</v>
      </c>
      <c r="N4083">
        <v>1</v>
      </c>
      <c r="O4083" s="89">
        <v>1284.3599999999999</v>
      </c>
      <c r="P4083" s="89">
        <v>19586.490000000002</v>
      </c>
      <c r="Q4083" t="s">
        <v>137</v>
      </c>
      <c r="R4083" t="s">
        <v>131</v>
      </c>
    </row>
    <row r="4084" spans="3:18" hidden="1" x14ac:dyDescent="0.25">
      <c r="C4084" t="s">
        <v>45</v>
      </c>
      <c r="D4084" t="s">
        <v>24</v>
      </c>
      <c r="E4084" t="s">
        <v>43</v>
      </c>
      <c r="F4084" t="s">
        <v>41</v>
      </c>
      <c r="G4084" s="89">
        <v>193317</v>
      </c>
      <c r="H4084" t="s">
        <v>42</v>
      </c>
      <c r="I4084" t="s">
        <v>126</v>
      </c>
      <c r="J4084" s="89">
        <v>3286389</v>
      </c>
      <c r="K4084" t="s">
        <v>144</v>
      </c>
      <c r="N4084">
        <v>1</v>
      </c>
      <c r="O4084" s="89">
        <v>5799.51</v>
      </c>
      <c r="P4084" s="89">
        <v>94725.33</v>
      </c>
      <c r="Q4084" t="s">
        <v>142</v>
      </c>
      <c r="R4084" t="s">
        <v>42</v>
      </c>
    </row>
    <row r="4085" spans="3:18" hidden="1" x14ac:dyDescent="0.25">
      <c r="C4085" t="s">
        <v>45</v>
      </c>
      <c r="D4085" t="s">
        <v>22</v>
      </c>
      <c r="E4085" t="s">
        <v>40</v>
      </c>
      <c r="F4085" t="s">
        <v>41</v>
      </c>
      <c r="G4085" s="89">
        <v>133837</v>
      </c>
      <c r="H4085" t="s">
        <v>140</v>
      </c>
      <c r="I4085" t="s">
        <v>141</v>
      </c>
      <c r="J4085" s="89">
        <v>1204533</v>
      </c>
      <c r="K4085" t="s">
        <v>144</v>
      </c>
      <c r="N4085">
        <v>1</v>
      </c>
      <c r="O4085" s="89">
        <v>4015.11</v>
      </c>
      <c r="P4085" s="89">
        <v>58888.28</v>
      </c>
      <c r="Q4085" t="s">
        <v>142</v>
      </c>
      <c r="R4085" t="s">
        <v>131</v>
      </c>
    </row>
    <row r="4086" spans="3:18" hidden="1" x14ac:dyDescent="0.25">
      <c r="C4086" t="s">
        <v>45</v>
      </c>
      <c r="D4086" t="s">
        <v>138</v>
      </c>
      <c r="E4086" t="s">
        <v>40</v>
      </c>
      <c r="F4086" t="s">
        <v>41</v>
      </c>
      <c r="G4086" s="89">
        <v>237500</v>
      </c>
      <c r="H4086" t="s">
        <v>140</v>
      </c>
      <c r="I4086" t="s">
        <v>147</v>
      </c>
      <c r="J4086" s="89">
        <v>1187500</v>
      </c>
      <c r="K4086" t="s">
        <v>127</v>
      </c>
      <c r="L4086" t="s">
        <v>128</v>
      </c>
      <c r="N4086">
        <v>1</v>
      </c>
      <c r="O4086" s="89">
        <v>11875</v>
      </c>
      <c r="P4086" s="89">
        <v>102125</v>
      </c>
      <c r="Q4086" t="s">
        <v>142</v>
      </c>
      <c r="R4086" t="s">
        <v>131</v>
      </c>
    </row>
    <row r="4087" spans="3:18" hidden="1" x14ac:dyDescent="0.25">
      <c r="C4087" t="s">
        <v>45</v>
      </c>
      <c r="D4087" t="s">
        <v>24</v>
      </c>
      <c r="E4087" t="s">
        <v>44</v>
      </c>
      <c r="F4087" t="s">
        <v>41</v>
      </c>
      <c r="G4087" s="89">
        <v>90900</v>
      </c>
      <c r="H4087" t="s">
        <v>42</v>
      </c>
      <c r="I4087" t="s">
        <v>133</v>
      </c>
      <c r="J4087" s="89">
        <v>3090600</v>
      </c>
      <c r="K4087" t="s">
        <v>127</v>
      </c>
      <c r="L4087" t="s">
        <v>128</v>
      </c>
      <c r="M4087" t="s">
        <v>143</v>
      </c>
      <c r="N4087">
        <v>1</v>
      </c>
      <c r="O4087" s="89">
        <v>2727</v>
      </c>
      <c r="P4087" s="89">
        <v>53631</v>
      </c>
      <c r="Q4087" t="s">
        <v>142</v>
      </c>
      <c r="R4087" t="s">
        <v>131</v>
      </c>
    </row>
    <row r="4088" spans="3:18" x14ac:dyDescent="0.25">
      <c r="C4088" t="s">
        <v>47</v>
      </c>
      <c r="D4088" t="s">
        <v>138</v>
      </c>
      <c r="E4088" t="s">
        <v>40</v>
      </c>
      <c r="F4088" t="s">
        <v>41</v>
      </c>
      <c r="G4088" s="89">
        <v>55757</v>
      </c>
      <c r="H4088" t="s">
        <v>145</v>
      </c>
      <c r="I4088" t="s">
        <v>147</v>
      </c>
      <c r="J4088" s="89">
        <v>111514</v>
      </c>
      <c r="K4088" t="s">
        <v>134</v>
      </c>
      <c r="L4088" t="s">
        <v>128</v>
      </c>
      <c r="N4088">
        <v>1</v>
      </c>
      <c r="O4088" s="89">
        <v>2230.2800000000002</v>
      </c>
      <c r="P4088" s="89">
        <v>5575.7</v>
      </c>
      <c r="Q4088" t="s">
        <v>130</v>
      </c>
      <c r="R4088" t="s">
        <v>131</v>
      </c>
    </row>
    <row r="4089" spans="3:18" hidden="1" x14ac:dyDescent="0.25">
      <c r="C4089" t="s">
        <v>45</v>
      </c>
      <c r="D4089" t="s">
        <v>149</v>
      </c>
      <c r="E4089" t="s">
        <v>43</v>
      </c>
      <c r="F4089" t="s">
        <v>41</v>
      </c>
      <c r="G4089" s="89">
        <v>22878</v>
      </c>
      <c r="H4089" t="s">
        <v>42</v>
      </c>
      <c r="I4089" t="s">
        <v>147</v>
      </c>
      <c r="J4089" s="89">
        <v>68634</v>
      </c>
      <c r="K4089" t="s">
        <v>134</v>
      </c>
      <c r="L4089" t="s">
        <v>128</v>
      </c>
      <c r="M4089" t="s">
        <v>136</v>
      </c>
      <c r="N4089">
        <v>1</v>
      </c>
      <c r="O4089" s="89">
        <v>686.34</v>
      </c>
      <c r="P4089" s="89">
        <v>2287.8000000000002</v>
      </c>
      <c r="Q4089" t="s">
        <v>130</v>
      </c>
      <c r="R4089" t="s">
        <v>131</v>
      </c>
    </row>
    <row r="4090" spans="3:18" hidden="1" x14ac:dyDescent="0.25">
      <c r="C4090" t="s">
        <v>45</v>
      </c>
      <c r="D4090" t="s">
        <v>23</v>
      </c>
      <c r="E4090" t="s">
        <v>43</v>
      </c>
      <c r="F4090" t="s">
        <v>41</v>
      </c>
      <c r="G4090" s="89">
        <v>2836764</v>
      </c>
      <c r="H4090" t="s">
        <v>42</v>
      </c>
      <c r="I4090" t="s">
        <v>133</v>
      </c>
      <c r="J4090" s="89">
        <v>102123504</v>
      </c>
      <c r="K4090" t="s">
        <v>144</v>
      </c>
      <c r="N4090">
        <v>1</v>
      </c>
      <c r="O4090" s="89">
        <v>85102.92</v>
      </c>
      <c r="P4090" s="89">
        <v>2467984.6800000002</v>
      </c>
      <c r="Q4090" t="s">
        <v>135</v>
      </c>
      <c r="R4090" t="s">
        <v>131</v>
      </c>
    </row>
    <row r="4091" spans="3:18" hidden="1" x14ac:dyDescent="0.25">
      <c r="C4091" t="s">
        <v>45</v>
      </c>
      <c r="D4091" t="s">
        <v>21</v>
      </c>
      <c r="E4091" t="s">
        <v>43</v>
      </c>
      <c r="F4091" t="s">
        <v>41</v>
      </c>
      <c r="G4091" s="89">
        <v>279717</v>
      </c>
      <c r="H4091" t="s">
        <v>132</v>
      </c>
      <c r="I4091" t="s">
        <v>126</v>
      </c>
      <c r="J4091" s="89">
        <v>4755189</v>
      </c>
      <c r="K4091" t="s">
        <v>127</v>
      </c>
      <c r="L4091" t="s">
        <v>128</v>
      </c>
      <c r="N4091">
        <v>1</v>
      </c>
      <c r="O4091" s="89">
        <v>11188.68</v>
      </c>
      <c r="P4091" s="89">
        <v>318877.38</v>
      </c>
      <c r="Q4091" t="s">
        <v>150</v>
      </c>
      <c r="R4091" t="s">
        <v>131</v>
      </c>
    </row>
    <row r="4092" spans="3:18" hidden="1" x14ac:dyDescent="0.25">
      <c r="C4092" t="s">
        <v>45</v>
      </c>
      <c r="D4092" t="s">
        <v>22</v>
      </c>
      <c r="E4092" t="s">
        <v>40</v>
      </c>
      <c r="F4092" t="s">
        <v>41</v>
      </c>
      <c r="G4092" s="89">
        <v>222230</v>
      </c>
      <c r="H4092" t="s">
        <v>42</v>
      </c>
      <c r="I4092" t="s">
        <v>141</v>
      </c>
      <c r="J4092" s="89">
        <v>1777840</v>
      </c>
      <c r="K4092" t="s">
        <v>144</v>
      </c>
      <c r="N4092">
        <v>1</v>
      </c>
      <c r="O4092" s="89">
        <v>6666.9</v>
      </c>
      <c r="P4092" s="89">
        <v>66669</v>
      </c>
      <c r="Q4092" t="s">
        <v>130</v>
      </c>
      <c r="R4092" t="s">
        <v>131</v>
      </c>
    </row>
    <row r="4093" spans="3:18" hidden="1" x14ac:dyDescent="0.25">
      <c r="C4093" t="s">
        <v>45</v>
      </c>
      <c r="D4093" t="s">
        <v>138</v>
      </c>
      <c r="E4093" t="s">
        <v>43</v>
      </c>
      <c r="F4093" t="s">
        <v>41</v>
      </c>
      <c r="G4093" s="89">
        <v>248130</v>
      </c>
      <c r="H4093" t="s">
        <v>132</v>
      </c>
      <c r="I4093" t="s">
        <v>141</v>
      </c>
      <c r="J4093" s="89">
        <v>1736910</v>
      </c>
      <c r="K4093" t="s">
        <v>127</v>
      </c>
      <c r="L4093" t="s">
        <v>128</v>
      </c>
      <c r="N4093">
        <v>1</v>
      </c>
      <c r="O4093" s="89">
        <v>9925.2000000000007</v>
      </c>
      <c r="P4093" s="89">
        <v>158803.20000000001</v>
      </c>
      <c r="Q4093" t="s">
        <v>137</v>
      </c>
      <c r="R4093" t="s">
        <v>131</v>
      </c>
    </row>
    <row r="4094" spans="3:18" x14ac:dyDescent="0.25">
      <c r="C4094" t="s">
        <v>47</v>
      </c>
      <c r="D4094" t="s">
        <v>21</v>
      </c>
      <c r="E4094" t="s">
        <v>40</v>
      </c>
      <c r="F4094" t="s">
        <v>41</v>
      </c>
      <c r="G4094" s="89">
        <v>167468</v>
      </c>
      <c r="H4094" t="s">
        <v>140</v>
      </c>
      <c r="I4094" t="s">
        <v>147</v>
      </c>
      <c r="J4094" s="89"/>
      <c r="K4094" t="s">
        <v>127</v>
      </c>
      <c r="L4094" t="s">
        <v>128</v>
      </c>
      <c r="N4094">
        <v>0</v>
      </c>
      <c r="O4094" s="89">
        <v>6698.72</v>
      </c>
      <c r="P4094" s="89">
        <v>73685.919999999998</v>
      </c>
      <c r="Q4094" t="s">
        <v>142</v>
      </c>
      <c r="R4094" t="s">
        <v>131</v>
      </c>
    </row>
    <row r="4095" spans="3:18" hidden="1" x14ac:dyDescent="0.25">
      <c r="C4095" t="s">
        <v>45</v>
      </c>
      <c r="D4095" t="s">
        <v>24</v>
      </c>
      <c r="E4095" t="s">
        <v>48</v>
      </c>
      <c r="F4095" t="s">
        <v>41</v>
      </c>
      <c r="G4095" s="89">
        <v>177244</v>
      </c>
      <c r="H4095" t="s">
        <v>146</v>
      </c>
      <c r="I4095" t="s">
        <v>133</v>
      </c>
      <c r="J4095" s="89">
        <v>6026296</v>
      </c>
      <c r="K4095" t="s">
        <v>134</v>
      </c>
      <c r="L4095" t="s">
        <v>128</v>
      </c>
      <c r="N4095">
        <v>1</v>
      </c>
      <c r="O4095" s="89">
        <v>5317.32</v>
      </c>
      <c r="P4095" s="89">
        <v>163064.48000000001</v>
      </c>
      <c r="Q4095" t="s">
        <v>135</v>
      </c>
      <c r="R4095" t="s">
        <v>131</v>
      </c>
    </row>
    <row r="4096" spans="3:18" hidden="1" x14ac:dyDescent="0.25">
      <c r="C4096" t="s">
        <v>45</v>
      </c>
      <c r="D4096" t="s">
        <v>138</v>
      </c>
      <c r="E4096" t="s">
        <v>43</v>
      </c>
      <c r="F4096" t="s">
        <v>41</v>
      </c>
      <c r="G4096" s="89">
        <v>35475</v>
      </c>
      <c r="H4096" t="s">
        <v>42</v>
      </c>
      <c r="I4096" t="s">
        <v>133</v>
      </c>
      <c r="J4096" s="89">
        <v>1099725</v>
      </c>
      <c r="K4096" t="s">
        <v>127</v>
      </c>
      <c r="L4096" t="s">
        <v>151</v>
      </c>
      <c r="M4096" t="s">
        <v>156</v>
      </c>
      <c r="N4096">
        <v>1</v>
      </c>
      <c r="O4096" s="89">
        <v>1064.25</v>
      </c>
      <c r="P4096" s="89">
        <v>25542</v>
      </c>
      <c r="Q4096" t="s">
        <v>137</v>
      </c>
      <c r="R4096" t="s">
        <v>131</v>
      </c>
    </row>
    <row r="4097" spans="3:18" hidden="1" x14ac:dyDescent="0.25">
      <c r="C4097" t="s">
        <v>45</v>
      </c>
      <c r="D4097" t="s">
        <v>22</v>
      </c>
      <c r="E4097" t="s">
        <v>48</v>
      </c>
      <c r="F4097" t="s">
        <v>41</v>
      </c>
      <c r="G4097" s="89">
        <v>70083870</v>
      </c>
      <c r="H4097" t="s">
        <v>42</v>
      </c>
      <c r="I4097" t="s">
        <v>133</v>
      </c>
      <c r="J4097" s="89">
        <v>2242683840</v>
      </c>
      <c r="K4097" t="s">
        <v>127</v>
      </c>
      <c r="L4097" t="s">
        <v>128</v>
      </c>
      <c r="M4097" t="s">
        <v>143</v>
      </c>
      <c r="N4097">
        <v>1</v>
      </c>
      <c r="O4097" s="89">
        <v>2102516.1</v>
      </c>
      <c r="P4097" s="89">
        <v>49759547.700000003</v>
      </c>
      <c r="Q4097" t="s">
        <v>137</v>
      </c>
      <c r="R4097" t="s">
        <v>42</v>
      </c>
    </row>
    <row r="4098" spans="3:18" hidden="1" x14ac:dyDescent="0.25">
      <c r="C4098" t="s">
        <v>45</v>
      </c>
      <c r="D4098" t="s">
        <v>138</v>
      </c>
      <c r="E4098" t="s">
        <v>48</v>
      </c>
      <c r="F4098" t="s">
        <v>41</v>
      </c>
      <c r="G4098" s="89">
        <v>1323529</v>
      </c>
      <c r="H4098" t="s">
        <v>42</v>
      </c>
      <c r="I4098" t="s">
        <v>133</v>
      </c>
      <c r="J4098" s="89">
        <v>38382341</v>
      </c>
      <c r="K4098" t="s">
        <v>127</v>
      </c>
      <c r="L4098" t="s">
        <v>128</v>
      </c>
      <c r="M4098" t="s">
        <v>139</v>
      </c>
      <c r="N4098">
        <v>1</v>
      </c>
      <c r="O4098" s="89">
        <v>39705.870000000003</v>
      </c>
      <c r="P4098" s="89">
        <v>674999.79</v>
      </c>
      <c r="Q4098" t="s">
        <v>142</v>
      </c>
      <c r="R4098" t="s">
        <v>131</v>
      </c>
    </row>
    <row r="4099" spans="3:18" x14ac:dyDescent="0.25">
      <c r="C4099" t="s">
        <v>47</v>
      </c>
      <c r="D4099" t="s">
        <v>21</v>
      </c>
      <c r="E4099" t="s">
        <v>40</v>
      </c>
      <c r="F4099" t="s">
        <v>41</v>
      </c>
      <c r="G4099" s="89">
        <v>9000000</v>
      </c>
      <c r="H4099" t="s">
        <v>42</v>
      </c>
      <c r="I4099" t="s">
        <v>147</v>
      </c>
      <c r="J4099" s="89">
        <v>0</v>
      </c>
      <c r="K4099" t="s">
        <v>144</v>
      </c>
      <c r="N4099">
        <v>1</v>
      </c>
      <c r="O4099" s="89">
        <v>360000</v>
      </c>
      <c r="P4099" s="89">
        <v>5580000</v>
      </c>
      <c r="Q4099" t="s">
        <v>137</v>
      </c>
      <c r="R4099" t="s">
        <v>131</v>
      </c>
    </row>
    <row r="4100" spans="3:18" x14ac:dyDescent="0.25">
      <c r="C4100" t="s">
        <v>47</v>
      </c>
      <c r="D4100" t="s">
        <v>19</v>
      </c>
      <c r="E4100" t="s">
        <v>43</v>
      </c>
      <c r="F4100" t="s">
        <v>41</v>
      </c>
      <c r="G4100" s="89">
        <v>103585</v>
      </c>
      <c r="H4100" t="s">
        <v>145</v>
      </c>
      <c r="I4100" t="s">
        <v>126</v>
      </c>
      <c r="J4100" s="89">
        <v>1450190</v>
      </c>
      <c r="K4100" t="s">
        <v>127</v>
      </c>
      <c r="L4100" t="s">
        <v>128</v>
      </c>
      <c r="N4100">
        <v>1</v>
      </c>
      <c r="O4100" s="89">
        <v>4143.3999999999996</v>
      </c>
      <c r="P4100" s="89">
        <v>64222.7</v>
      </c>
      <c r="Q4100" t="s">
        <v>137</v>
      </c>
      <c r="R4100" t="s">
        <v>131</v>
      </c>
    </row>
    <row r="4101" spans="3:18" hidden="1" x14ac:dyDescent="0.25">
      <c r="C4101" t="s">
        <v>45</v>
      </c>
      <c r="D4101" t="s">
        <v>23</v>
      </c>
      <c r="E4101" t="s">
        <v>40</v>
      </c>
      <c r="F4101" t="s">
        <v>41</v>
      </c>
      <c r="G4101" s="89">
        <v>71460</v>
      </c>
      <c r="H4101" t="s">
        <v>140</v>
      </c>
      <c r="I4101" t="s">
        <v>126</v>
      </c>
      <c r="J4101" s="89">
        <v>786060</v>
      </c>
      <c r="K4101" t="s">
        <v>127</v>
      </c>
      <c r="L4101" t="s">
        <v>151</v>
      </c>
      <c r="N4101">
        <v>1</v>
      </c>
      <c r="O4101" s="89">
        <v>0</v>
      </c>
      <c r="P4101" s="89">
        <v>17865</v>
      </c>
      <c r="Q4101" t="s">
        <v>130</v>
      </c>
      <c r="R4101" t="s">
        <v>131</v>
      </c>
    </row>
    <row r="4102" spans="3:18" hidden="1" x14ac:dyDescent="0.25">
      <c r="C4102" t="s">
        <v>45</v>
      </c>
      <c r="D4102" t="s">
        <v>24</v>
      </c>
      <c r="E4102" t="s">
        <v>48</v>
      </c>
      <c r="F4102" t="s">
        <v>41</v>
      </c>
      <c r="G4102" s="89">
        <v>108684</v>
      </c>
      <c r="H4102" t="s">
        <v>42</v>
      </c>
      <c r="I4102" t="s">
        <v>133</v>
      </c>
      <c r="J4102" s="89">
        <v>3912624</v>
      </c>
      <c r="K4102" t="s">
        <v>127</v>
      </c>
      <c r="L4102" t="s">
        <v>128</v>
      </c>
      <c r="M4102" t="s">
        <v>152</v>
      </c>
      <c r="N4102">
        <v>1</v>
      </c>
      <c r="O4102" s="89">
        <v>3260.52</v>
      </c>
      <c r="P4102" s="89">
        <v>66297.240000000005</v>
      </c>
      <c r="Q4102" t="s">
        <v>137</v>
      </c>
      <c r="R4102" t="s">
        <v>131</v>
      </c>
    </row>
    <row r="4103" spans="3:18" hidden="1" x14ac:dyDescent="0.25">
      <c r="C4103" t="s">
        <v>45</v>
      </c>
      <c r="D4103" t="s">
        <v>23</v>
      </c>
      <c r="E4103" t="s">
        <v>40</v>
      </c>
      <c r="F4103" t="s">
        <v>41</v>
      </c>
      <c r="G4103" s="89">
        <v>549175</v>
      </c>
      <c r="H4103" t="s">
        <v>146</v>
      </c>
      <c r="I4103" t="s">
        <v>133</v>
      </c>
      <c r="J4103" s="89">
        <v>15926075</v>
      </c>
      <c r="K4103" t="s">
        <v>134</v>
      </c>
      <c r="L4103" t="s">
        <v>128</v>
      </c>
      <c r="N4103">
        <v>1</v>
      </c>
      <c r="O4103" s="89">
        <v>16475.25</v>
      </c>
      <c r="P4103" s="89">
        <v>378930.75</v>
      </c>
      <c r="Q4103" t="s">
        <v>137</v>
      </c>
      <c r="R4103" t="s">
        <v>131</v>
      </c>
    </row>
    <row r="4104" spans="3:18" hidden="1" x14ac:dyDescent="0.25">
      <c r="C4104" t="s">
        <v>45</v>
      </c>
      <c r="D4104" t="s">
        <v>21</v>
      </c>
      <c r="E4104" t="s">
        <v>40</v>
      </c>
      <c r="F4104" t="s">
        <v>41</v>
      </c>
      <c r="G4104" s="89">
        <v>97400</v>
      </c>
      <c r="H4104" t="s">
        <v>42</v>
      </c>
      <c r="I4104" t="s">
        <v>133</v>
      </c>
      <c r="J4104" s="89">
        <v>3701200</v>
      </c>
      <c r="K4104" t="s">
        <v>134</v>
      </c>
      <c r="L4104" t="s">
        <v>128</v>
      </c>
      <c r="M4104" t="s">
        <v>129</v>
      </c>
      <c r="N4104">
        <v>1</v>
      </c>
      <c r="O4104" s="89">
        <v>2922</v>
      </c>
      <c r="P4104" s="89">
        <v>33116</v>
      </c>
      <c r="Q4104" t="s">
        <v>130</v>
      </c>
      <c r="R4104" t="s">
        <v>42</v>
      </c>
    </row>
    <row r="4105" spans="3:18" x14ac:dyDescent="0.25">
      <c r="C4105" t="s">
        <v>47</v>
      </c>
      <c r="D4105" t="s">
        <v>20</v>
      </c>
      <c r="E4105" t="s">
        <v>43</v>
      </c>
      <c r="F4105" t="s">
        <v>41</v>
      </c>
      <c r="G4105" s="89">
        <v>187438</v>
      </c>
      <c r="H4105" t="s">
        <v>132</v>
      </c>
      <c r="I4105" t="s">
        <v>141</v>
      </c>
      <c r="J4105" s="89">
        <v>1499504</v>
      </c>
      <c r="K4105" t="s">
        <v>127</v>
      </c>
      <c r="L4105" t="s">
        <v>128</v>
      </c>
      <c r="N4105">
        <v>1</v>
      </c>
      <c r="O4105" s="89">
        <v>7497.52</v>
      </c>
      <c r="P4105" s="89">
        <v>50608.26</v>
      </c>
      <c r="Q4105" t="s">
        <v>130</v>
      </c>
      <c r="R4105" t="s">
        <v>131</v>
      </c>
    </row>
    <row r="4106" spans="3:18" hidden="1" x14ac:dyDescent="0.25">
      <c r="C4106" t="s">
        <v>45</v>
      </c>
      <c r="D4106" t="s">
        <v>149</v>
      </c>
      <c r="E4106" t="s">
        <v>48</v>
      </c>
      <c r="F4106" t="s">
        <v>41</v>
      </c>
      <c r="G4106" s="89">
        <v>102950</v>
      </c>
      <c r="H4106" t="s">
        <v>42</v>
      </c>
      <c r="I4106" t="s">
        <v>126</v>
      </c>
      <c r="J4106" s="89">
        <v>1750150</v>
      </c>
      <c r="K4106" t="s">
        <v>127</v>
      </c>
      <c r="L4106" t="s">
        <v>128</v>
      </c>
      <c r="M4106" t="s">
        <v>136</v>
      </c>
      <c r="N4106">
        <v>1</v>
      </c>
      <c r="O4106" s="89">
        <v>3088.5</v>
      </c>
      <c r="P4106" s="89">
        <v>62799.5</v>
      </c>
      <c r="Q4106" t="s">
        <v>137</v>
      </c>
      <c r="R4106" t="s">
        <v>131</v>
      </c>
    </row>
    <row r="4107" spans="3:18" hidden="1" x14ac:dyDescent="0.25">
      <c r="C4107" t="s">
        <v>45</v>
      </c>
      <c r="D4107" t="s">
        <v>138</v>
      </c>
      <c r="E4107" t="s">
        <v>40</v>
      </c>
      <c r="F4107" t="s">
        <v>41</v>
      </c>
      <c r="G4107" s="89">
        <v>94306</v>
      </c>
      <c r="H4107" t="s">
        <v>132</v>
      </c>
      <c r="I4107" t="s">
        <v>133</v>
      </c>
      <c r="J4107" s="89">
        <v>2451956</v>
      </c>
      <c r="K4107" t="s">
        <v>127</v>
      </c>
      <c r="L4107" t="s">
        <v>128</v>
      </c>
      <c r="N4107">
        <v>1</v>
      </c>
      <c r="O4107" s="89">
        <v>2829.18</v>
      </c>
      <c r="P4107" s="89">
        <v>41494.639999999999</v>
      </c>
      <c r="Q4107" t="s">
        <v>142</v>
      </c>
      <c r="R4107" t="s">
        <v>131</v>
      </c>
    </row>
    <row r="4108" spans="3:18" x14ac:dyDescent="0.25">
      <c r="C4108" t="s">
        <v>47</v>
      </c>
      <c r="D4108" t="s">
        <v>50</v>
      </c>
      <c r="E4108" t="s">
        <v>50</v>
      </c>
      <c r="F4108" t="s">
        <v>41</v>
      </c>
      <c r="G4108" s="89">
        <v>2088007</v>
      </c>
      <c r="H4108" t="s">
        <v>79</v>
      </c>
      <c r="I4108" t="s">
        <v>141</v>
      </c>
      <c r="J4108" s="89">
        <v>14616049</v>
      </c>
      <c r="K4108" t="s">
        <v>127</v>
      </c>
      <c r="N4108">
        <v>1</v>
      </c>
      <c r="O4108" s="89">
        <v>125280.42</v>
      </c>
      <c r="P4108" s="89">
        <v>0</v>
      </c>
      <c r="Q4108" t="s">
        <v>130</v>
      </c>
      <c r="R4108" t="s">
        <v>79</v>
      </c>
    </row>
    <row r="4109" spans="3:18" hidden="1" x14ac:dyDescent="0.25">
      <c r="C4109" t="s">
        <v>45</v>
      </c>
      <c r="D4109" t="s">
        <v>23</v>
      </c>
      <c r="E4109" t="s">
        <v>52</v>
      </c>
      <c r="F4109" t="s">
        <v>41</v>
      </c>
      <c r="G4109" s="89">
        <v>233112</v>
      </c>
      <c r="H4109" t="s">
        <v>42</v>
      </c>
      <c r="I4109" t="s">
        <v>126</v>
      </c>
      <c r="J4109" s="89">
        <v>4429128</v>
      </c>
      <c r="K4109" t="s">
        <v>144</v>
      </c>
      <c r="N4109">
        <v>1</v>
      </c>
      <c r="O4109" s="89">
        <v>6993.36</v>
      </c>
      <c r="P4109" s="89">
        <v>195814.08</v>
      </c>
      <c r="Q4109" t="s">
        <v>135</v>
      </c>
      <c r="R4109" t="s">
        <v>42</v>
      </c>
    </row>
    <row r="4110" spans="3:18" hidden="1" x14ac:dyDescent="0.25">
      <c r="C4110" t="s">
        <v>45</v>
      </c>
      <c r="D4110" t="s">
        <v>25</v>
      </c>
      <c r="E4110" t="s">
        <v>48</v>
      </c>
      <c r="F4110" t="s">
        <v>41</v>
      </c>
      <c r="G4110" s="89">
        <v>42847</v>
      </c>
      <c r="H4110" t="s">
        <v>42</v>
      </c>
      <c r="I4110" t="s">
        <v>147</v>
      </c>
      <c r="J4110" s="89">
        <v>128541</v>
      </c>
      <c r="K4110" t="s">
        <v>127</v>
      </c>
      <c r="L4110" t="s">
        <v>128</v>
      </c>
      <c r="M4110" t="s">
        <v>155</v>
      </c>
      <c r="N4110">
        <v>1</v>
      </c>
      <c r="O4110" s="89">
        <v>856.94</v>
      </c>
      <c r="P4110" s="89">
        <v>3856.23</v>
      </c>
      <c r="Q4110" t="s">
        <v>130</v>
      </c>
      <c r="R4110" t="s">
        <v>131</v>
      </c>
    </row>
    <row r="4111" spans="3:18" x14ac:dyDescent="0.25">
      <c r="C4111" t="s">
        <v>47</v>
      </c>
      <c r="D4111" t="s">
        <v>21</v>
      </c>
      <c r="E4111" t="s">
        <v>43</v>
      </c>
      <c r="F4111" t="s">
        <v>41</v>
      </c>
      <c r="G4111" s="89">
        <v>126530</v>
      </c>
      <c r="H4111" t="s">
        <v>42</v>
      </c>
      <c r="I4111" t="s">
        <v>126</v>
      </c>
      <c r="J4111" s="89">
        <v>2151010</v>
      </c>
      <c r="K4111" t="s">
        <v>127</v>
      </c>
      <c r="L4111" t="s">
        <v>128</v>
      </c>
      <c r="M4111" t="s">
        <v>129</v>
      </c>
      <c r="N4111">
        <v>1</v>
      </c>
      <c r="O4111" s="89">
        <v>3795.9</v>
      </c>
      <c r="P4111" s="89">
        <v>31632.5</v>
      </c>
      <c r="Q4111" t="s">
        <v>130</v>
      </c>
      <c r="R4111" t="s">
        <v>131</v>
      </c>
    </row>
    <row r="4112" spans="3:18" hidden="1" x14ac:dyDescent="0.25">
      <c r="C4112" t="s">
        <v>45</v>
      </c>
      <c r="D4112" t="s">
        <v>138</v>
      </c>
      <c r="E4112" t="s">
        <v>43</v>
      </c>
      <c r="F4112" t="s">
        <v>41</v>
      </c>
      <c r="G4112" s="89">
        <v>4051119</v>
      </c>
      <c r="H4112" t="s">
        <v>145</v>
      </c>
      <c r="I4112" t="s">
        <v>133</v>
      </c>
      <c r="J4112" s="89">
        <v>121533570</v>
      </c>
      <c r="K4112" t="s">
        <v>127</v>
      </c>
      <c r="L4112" t="s">
        <v>128</v>
      </c>
      <c r="N4112">
        <v>1</v>
      </c>
      <c r="O4112" s="89">
        <v>121533.57</v>
      </c>
      <c r="P4112" s="89">
        <v>3443451.15</v>
      </c>
      <c r="Q4112" t="s">
        <v>135</v>
      </c>
      <c r="R4112" t="s">
        <v>131</v>
      </c>
    </row>
    <row r="4113" spans="3:18" hidden="1" x14ac:dyDescent="0.25">
      <c r="C4113" t="s">
        <v>45</v>
      </c>
      <c r="D4113" t="s">
        <v>19</v>
      </c>
      <c r="E4113" t="s">
        <v>43</v>
      </c>
      <c r="F4113" t="s">
        <v>41</v>
      </c>
      <c r="G4113" s="89">
        <v>606438</v>
      </c>
      <c r="H4113" t="s">
        <v>42</v>
      </c>
      <c r="I4113" t="s">
        <v>147</v>
      </c>
      <c r="J4113" s="89">
        <v>606438</v>
      </c>
      <c r="K4113" t="s">
        <v>127</v>
      </c>
      <c r="L4113" t="s">
        <v>128</v>
      </c>
      <c r="M4113" t="s">
        <v>136</v>
      </c>
      <c r="N4113">
        <v>1</v>
      </c>
      <c r="O4113" s="89">
        <v>24257.52</v>
      </c>
      <c r="P4113" s="89">
        <v>327476.52</v>
      </c>
      <c r="Q4113" t="s">
        <v>142</v>
      </c>
      <c r="R4113" t="s">
        <v>42</v>
      </c>
    </row>
    <row r="4114" spans="3:18" hidden="1" x14ac:dyDescent="0.25">
      <c r="C4114" t="s">
        <v>45</v>
      </c>
      <c r="D4114" t="s">
        <v>20</v>
      </c>
      <c r="E4114" t="s">
        <v>43</v>
      </c>
      <c r="F4114" t="s">
        <v>41</v>
      </c>
      <c r="G4114" s="89">
        <v>185145</v>
      </c>
      <c r="H4114" t="s">
        <v>140</v>
      </c>
      <c r="I4114" t="s">
        <v>126</v>
      </c>
      <c r="J4114" s="89">
        <v>2962320</v>
      </c>
      <c r="K4114" t="s">
        <v>127</v>
      </c>
      <c r="L4114" t="s">
        <v>128</v>
      </c>
      <c r="N4114">
        <v>1</v>
      </c>
      <c r="O4114" s="89">
        <v>5554.35</v>
      </c>
      <c r="P4114" s="89">
        <v>203659.5</v>
      </c>
      <c r="Q4114" t="s">
        <v>150</v>
      </c>
      <c r="R4114" t="s">
        <v>131</v>
      </c>
    </row>
    <row r="4115" spans="3:18" x14ac:dyDescent="0.25">
      <c r="C4115" t="s">
        <v>47</v>
      </c>
      <c r="D4115" t="s">
        <v>22</v>
      </c>
      <c r="E4115" t="s">
        <v>48</v>
      </c>
      <c r="F4115" t="s">
        <v>41</v>
      </c>
      <c r="G4115" s="89">
        <v>50620</v>
      </c>
      <c r="H4115" t="s">
        <v>140</v>
      </c>
      <c r="I4115" t="s">
        <v>141</v>
      </c>
      <c r="J4115" s="89">
        <v>253100</v>
      </c>
      <c r="K4115" t="s">
        <v>127</v>
      </c>
      <c r="L4115" t="s">
        <v>128</v>
      </c>
      <c r="N4115">
        <v>1</v>
      </c>
      <c r="O4115" s="89">
        <v>2024.8</v>
      </c>
      <c r="P4115" s="89">
        <v>18223.2</v>
      </c>
      <c r="Q4115" t="s">
        <v>130</v>
      </c>
      <c r="R4115" t="s">
        <v>131</v>
      </c>
    </row>
    <row r="4116" spans="3:18" hidden="1" x14ac:dyDescent="0.25">
      <c r="C4116" t="s">
        <v>45</v>
      </c>
      <c r="D4116" t="s">
        <v>21</v>
      </c>
      <c r="E4116" t="s">
        <v>43</v>
      </c>
      <c r="F4116" t="s">
        <v>53</v>
      </c>
      <c r="G4116" s="89">
        <v>276095</v>
      </c>
      <c r="H4116" t="s">
        <v>42</v>
      </c>
      <c r="I4116" t="s">
        <v>133</v>
      </c>
      <c r="J4116" s="89">
        <v>5797995</v>
      </c>
      <c r="K4116" t="s">
        <v>144</v>
      </c>
      <c r="N4116">
        <v>1</v>
      </c>
      <c r="O4116" s="89">
        <v>8282.85</v>
      </c>
      <c r="P4116" s="89">
        <v>102155.15</v>
      </c>
      <c r="Q4116" t="s">
        <v>130</v>
      </c>
      <c r="R4116" t="s">
        <v>42</v>
      </c>
    </row>
    <row r="4117" spans="3:18" hidden="1" x14ac:dyDescent="0.25">
      <c r="C4117" t="s">
        <v>45</v>
      </c>
      <c r="D4117" t="s">
        <v>21</v>
      </c>
      <c r="E4117" t="s">
        <v>43</v>
      </c>
      <c r="F4117" t="s">
        <v>41</v>
      </c>
      <c r="G4117" s="89">
        <v>5278596</v>
      </c>
      <c r="H4117" t="s">
        <v>146</v>
      </c>
      <c r="I4117" t="s">
        <v>133</v>
      </c>
      <c r="J4117" s="89">
        <v>153079284</v>
      </c>
      <c r="K4117" t="s">
        <v>144</v>
      </c>
      <c r="N4117">
        <v>1</v>
      </c>
      <c r="O4117" s="89">
        <v>158357.88</v>
      </c>
      <c r="P4117" s="89">
        <v>2639298</v>
      </c>
      <c r="Q4117" t="s">
        <v>142</v>
      </c>
      <c r="R4117" t="s">
        <v>131</v>
      </c>
    </row>
    <row r="4118" spans="3:18" hidden="1" x14ac:dyDescent="0.25">
      <c r="C4118" t="s">
        <v>45</v>
      </c>
      <c r="D4118" t="s">
        <v>23</v>
      </c>
      <c r="E4118" t="s">
        <v>40</v>
      </c>
      <c r="F4118" t="s">
        <v>41</v>
      </c>
      <c r="G4118" s="89">
        <v>21914</v>
      </c>
      <c r="H4118" t="s">
        <v>140</v>
      </c>
      <c r="I4118" t="s">
        <v>147</v>
      </c>
      <c r="J4118" s="89">
        <v>87656</v>
      </c>
      <c r="K4118" t="s">
        <v>127</v>
      </c>
      <c r="L4118" t="s">
        <v>128</v>
      </c>
      <c r="N4118">
        <v>1</v>
      </c>
      <c r="O4118" s="89">
        <v>657.42</v>
      </c>
      <c r="P4118" s="89">
        <v>15120.66</v>
      </c>
      <c r="Q4118" t="s">
        <v>137</v>
      </c>
      <c r="R4118" t="s">
        <v>131</v>
      </c>
    </row>
    <row r="4119" spans="3:18" x14ac:dyDescent="0.25">
      <c r="C4119" t="s">
        <v>47</v>
      </c>
      <c r="D4119" t="s">
        <v>22</v>
      </c>
      <c r="E4119" t="s">
        <v>48</v>
      </c>
      <c r="F4119" t="s">
        <v>41</v>
      </c>
      <c r="G4119" s="89">
        <v>59463</v>
      </c>
      <c r="H4119" t="s">
        <v>146</v>
      </c>
      <c r="I4119" t="s">
        <v>147</v>
      </c>
      <c r="J4119" s="89"/>
      <c r="K4119" t="s">
        <v>127</v>
      </c>
      <c r="L4119" t="s">
        <v>128</v>
      </c>
      <c r="N4119">
        <v>0</v>
      </c>
      <c r="O4119" s="89">
        <v>2973.15</v>
      </c>
      <c r="P4119" s="89">
        <v>0</v>
      </c>
      <c r="Q4119" t="s">
        <v>130</v>
      </c>
      <c r="R4119" t="s">
        <v>131</v>
      </c>
    </row>
    <row r="4120" spans="3:18" hidden="1" x14ac:dyDescent="0.25">
      <c r="C4120" t="s">
        <v>45</v>
      </c>
      <c r="D4120" t="s">
        <v>24</v>
      </c>
      <c r="E4120" t="s">
        <v>48</v>
      </c>
      <c r="F4120" t="s">
        <v>41</v>
      </c>
      <c r="G4120" s="89">
        <v>12009</v>
      </c>
      <c r="H4120" t="s">
        <v>42</v>
      </c>
      <c r="I4120" t="s">
        <v>147</v>
      </c>
      <c r="J4120" s="89">
        <v>48036</v>
      </c>
      <c r="K4120" t="s">
        <v>134</v>
      </c>
      <c r="L4120" t="s">
        <v>128</v>
      </c>
      <c r="M4120" t="s">
        <v>148</v>
      </c>
      <c r="N4120">
        <v>1</v>
      </c>
      <c r="O4120" s="89">
        <v>480.36</v>
      </c>
      <c r="P4120" s="89">
        <v>2521.89</v>
      </c>
      <c r="Q4120" t="s">
        <v>130</v>
      </c>
      <c r="R4120" t="s">
        <v>131</v>
      </c>
    </row>
    <row r="4121" spans="3:18" hidden="1" x14ac:dyDescent="0.25">
      <c r="C4121" t="s">
        <v>45</v>
      </c>
      <c r="D4121" t="s">
        <v>149</v>
      </c>
      <c r="E4121" t="s">
        <v>43</v>
      </c>
      <c r="F4121" t="s">
        <v>41</v>
      </c>
      <c r="G4121" s="89">
        <v>58485</v>
      </c>
      <c r="H4121" t="s">
        <v>42</v>
      </c>
      <c r="I4121" t="s">
        <v>133</v>
      </c>
      <c r="J4121" s="89">
        <v>1813035</v>
      </c>
      <c r="K4121" t="s">
        <v>134</v>
      </c>
      <c r="L4121" t="s">
        <v>128</v>
      </c>
      <c r="M4121" t="s">
        <v>148</v>
      </c>
      <c r="N4121">
        <v>1</v>
      </c>
      <c r="O4121" s="89">
        <v>1754.55</v>
      </c>
      <c r="P4121" s="89">
        <v>42694.05</v>
      </c>
      <c r="Q4121" t="s">
        <v>137</v>
      </c>
      <c r="R4121" t="s">
        <v>131</v>
      </c>
    </row>
    <row r="4122" spans="3:18" hidden="1" x14ac:dyDescent="0.25">
      <c r="C4122" t="s">
        <v>45</v>
      </c>
      <c r="D4122" t="s">
        <v>22</v>
      </c>
      <c r="E4122" t="s">
        <v>40</v>
      </c>
      <c r="F4122" t="s">
        <v>41</v>
      </c>
      <c r="G4122" s="89">
        <v>5043050</v>
      </c>
      <c r="H4122" t="s">
        <v>132</v>
      </c>
      <c r="I4122" t="s">
        <v>133</v>
      </c>
      <c r="J4122" s="89">
        <v>136162350</v>
      </c>
      <c r="K4122" t="s">
        <v>144</v>
      </c>
      <c r="N4122">
        <v>1</v>
      </c>
      <c r="O4122" s="89">
        <v>151291.5</v>
      </c>
      <c r="P4122" s="89">
        <v>1412054</v>
      </c>
      <c r="Q4122" t="s">
        <v>130</v>
      </c>
      <c r="R4122" t="s">
        <v>131</v>
      </c>
    </row>
    <row r="4123" spans="3:18" hidden="1" x14ac:dyDescent="0.25">
      <c r="C4123" t="s">
        <v>45</v>
      </c>
      <c r="D4123" t="s">
        <v>50</v>
      </c>
      <c r="E4123" t="s">
        <v>50</v>
      </c>
      <c r="F4123" t="s">
        <v>41</v>
      </c>
      <c r="G4123" s="89">
        <v>3697</v>
      </c>
      <c r="H4123" t="s">
        <v>79</v>
      </c>
      <c r="I4123" t="s">
        <v>133</v>
      </c>
      <c r="J4123" s="89">
        <v>140486</v>
      </c>
      <c r="K4123" t="s">
        <v>144</v>
      </c>
      <c r="N4123">
        <v>1</v>
      </c>
      <c r="O4123" s="89">
        <v>110.91</v>
      </c>
      <c r="P4123" s="89">
        <v>3697</v>
      </c>
      <c r="Q4123" t="s">
        <v>135</v>
      </c>
      <c r="R4123" t="s">
        <v>79</v>
      </c>
    </row>
    <row r="4124" spans="3:18" hidden="1" x14ac:dyDescent="0.25">
      <c r="C4124" t="s">
        <v>45</v>
      </c>
      <c r="D4124" t="s">
        <v>149</v>
      </c>
      <c r="E4124" t="s">
        <v>43</v>
      </c>
      <c r="F4124" t="s">
        <v>41</v>
      </c>
      <c r="G4124" s="89">
        <v>32638</v>
      </c>
      <c r="H4124" t="s">
        <v>42</v>
      </c>
      <c r="I4124" t="s">
        <v>126</v>
      </c>
      <c r="J4124" s="89">
        <v>391656</v>
      </c>
      <c r="K4124" t="s">
        <v>127</v>
      </c>
      <c r="L4124" t="s">
        <v>128</v>
      </c>
      <c r="M4124" t="s">
        <v>129</v>
      </c>
      <c r="N4124">
        <v>1</v>
      </c>
      <c r="O4124" s="89">
        <v>979.14</v>
      </c>
      <c r="P4124" s="89">
        <v>2611.04</v>
      </c>
      <c r="Q4124" t="s">
        <v>130</v>
      </c>
      <c r="R4124" t="s">
        <v>131</v>
      </c>
    </row>
    <row r="4125" spans="3:18" hidden="1" x14ac:dyDescent="0.25">
      <c r="C4125" t="s">
        <v>45</v>
      </c>
      <c r="D4125" t="s">
        <v>138</v>
      </c>
      <c r="E4125" t="s">
        <v>43</v>
      </c>
      <c r="F4125" t="s">
        <v>41</v>
      </c>
      <c r="G4125" s="89">
        <v>72702</v>
      </c>
      <c r="H4125" t="s">
        <v>42</v>
      </c>
      <c r="I4125" t="s">
        <v>147</v>
      </c>
      <c r="J4125" s="89">
        <v>290808</v>
      </c>
      <c r="K4125" t="s">
        <v>134</v>
      </c>
      <c r="L4125" t="s">
        <v>128</v>
      </c>
      <c r="M4125" t="s">
        <v>139</v>
      </c>
      <c r="N4125">
        <v>1</v>
      </c>
      <c r="O4125" s="89">
        <v>2181.06</v>
      </c>
      <c r="P4125" s="89">
        <v>38532.06</v>
      </c>
      <c r="Q4125" t="s">
        <v>142</v>
      </c>
      <c r="R4125" t="s">
        <v>131</v>
      </c>
    </row>
    <row r="4126" spans="3:18" hidden="1" x14ac:dyDescent="0.25">
      <c r="C4126" t="s">
        <v>45</v>
      </c>
      <c r="D4126" t="s">
        <v>138</v>
      </c>
      <c r="E4126" t="s">
        <v>43</v>
      </c>
      <c r="F4126" t="s">
        <v>41</v>
      </c>
      <c r="G4126" s="89">
        <v>111514</v>
      </c>
      <c r="H4126" t="s">
        <v>42</v>
      </c>
      <c r="I4126" t="s">
        <v>147</v>
      </c>
      <c r="J4126" s="89">
        <v>334542</v>
      </c>
      <c r="K4126" t="s">
        <v>127</v>
      </c>
      <c r="L4126" t="s">
        <v>128</v>
      </c>
      <c r="M4126" t="s">
        <v>139</v>
      </c>
      <c r="N4126">
        <v>1</v>
      </c>
      <c r="O4126" s="89">
        <v>3345.42</v>
      </c>
      <c r="P4126" s="89">
        <v>20072.52</v>
      </c>
      <c r="Q4126" t="s">
        <v>130</v>
      </c>
      <c r="R4126" t="s">
        <v>42</v>
      </c>
    </row>
    <row r="4127" spans="3:18" hidden="1" x14ac:dyDescent="0.25">
      <c r="C4127" t="s">
        <v>45</v>
      </c>
      <c r="D4127" t="s">
        <v>23</v>
      </c>
      <c r="E4127" t="s">
        <v>40</v>
      </c>
      <c r="F4127" t="s">
        <v>41</v>
      </c>
      <c r="G4127" s="89">
        <v>64208</v>
      </c>
      <c r="H4127" t="s">
        <v>132</v>
      </c>
      <c r="I4127" t="s">
        <v>141</v>
      </c>
      <c r="J4127" s="89">
        <v>449456</v>
      </c>
      <c r="K4127" t="s">
        <v>134</v>
      </c>
      <c r="L4127" t="s">
        <v>128</v>
      </c>
      <c r="N4127">
        <v>1</v>
      </c>
      <c r="O4127" s="89">
        <v>3210.4</v>
      </c>
      <c r="P4127" s="89">
        <v>19262.400000000001</v>
      </c>
      <c r="Q4127" t="s">
        <v>130</v>
      </c>
      <c r="R4127" t="s">
        <v>131</v>
      </c>
    </row>
    <row r="4128" spans="3:18" hidden="1" x14ac:dyDescent="0.25">
      <c r="C4128" t="s">
        <v>45</v>
      </c>
      <c r="D4128" t="s">
        <v>22</v>
      </c>
      <c r="E4128" t="s">
        <v>43</v>
      </c>
      <c r="F4128" t="s">
        <v>41</v>
      </c>
      <c r="G4128" s="89">
        <v>93762575</v>
      </c>
      <c r="H4128" t="s">
        <v>42</v>
      </c>
      <c r="I4128" t="s">
        <v>133</v>
      </c>
      <c r="J4128" s="89">
        <v>2719114675</v>
      </c>
      <c r="K4128" t="s">
        <v>127</v>
      </c>
      <c r="L4128" t="s">
        <v>128</v>
      </c>
      <c r="M4128" t="s">
        <v>143</v>
      </c>
      <c r="N4128">
        <v>1</v>
      </c>
      <c r="O4128" s="89">
        <v>2812877.25</v>
      </c>
      <c r="P4128" s="89">
        <v>47818913.25</v>
      </c>
      <c r="Q4128" t="s">
        <v>142</v>
      </c>
      <c r="R4128" t="s">
        <v>131</v>
      </c>
    </row>
    <row r="4129" spans="3:18" hidden="1" x14ac:dyDescent="0.25">
      <c r="C4129" t="s">
        <v>45</v>
      </c>
      <c r="D4129" t="s">
        <v>22</v>
      </c>
      <c r="E4129" t="s">
        <v>52</v>
      </c>
      <c r="F4129" t="s">
        <v>41</v>
      </c>
      <c r="G4129" s="89">
        <v>69075</v>
      </c>
      <c r="H4129" t="s">
        <v>42</v>
      </c>
      <c r="I4129" t="s">
        <v>133</v>
      </c>
      <c r="J4129" s="89">
        <v>1795950</v>
      </c>
      <c r="K4129" t="s">
        <v>127</v>
      </c>
      <c r="L4129" t="s">
        <v>128</v>
      </c>
      <c r="M4129" t="s">
        <v>143</v>
      </c>
      <c r="N4129">
        <v>1</v>
      </c>
      <c r="O4129" s="89">
        <v>2763</v>
      </c>
      <c r="P4129" s="89">
        <v>15887.25</v>
      </c>
      <c r="Q4129" t="s">
        <v>130</v>
      </c>
      <c r="R4129" t="s">
        <v>42</v>
      </c>
    </row>
    <row r="4130" spans="3:18" hidden="1" x14ac:dyDescent="0.25">
      <c r="C4130" t="s">
        <v>45</v>
      </c>
      <c r="D4130" t="s">
        <v>23</v>
      </c>
      <c r="E4130" t="s">
        <v>43</v>
      </c>
      <c r="F4130" t="s">
        <v>41</v>
      </c>
      <c r="G4130" s="89">
        <v>235995</v>
      </c>
      <c r="H4130" t="s">
        <v>146</v>
      </c>
      <c r="I4130" t="s">
        <v>133</v>
      </c>
      <c r="J4130" s="89">
        <v>7551840</v>
      </c>
      <c r="K4130" t="s">
        <v>127</v>
      </c>
      <c r="L4130" t="s">
        <v>128</v>
      </c>
      <c r="N4130">
        <v>1</v>
      </c>
      <c r="O4130" s="89">
        <v>7079.85</v>
      </c>
      <c r="P4130" s="89">
        <v>202955.7</v>
      </c>
      <c r="Q4130" t="s">
        <v>135</v>
      </c>
      <c r="R4130" t="s">
        <v>131</v>
      </c>
    </row>
    <row r="4131" spans="3:18" hidden="1" x14ac:dyDescent="0.25">
      <c r="C4131" t="s">
        <v>45</v>
      </c>
      <c r="D4131" t="s">
        <v>21</v>
      </c>
      <c r="E4131" t="s">
        <v>43</v>
      </c>
      <c r="F4131" t="s">
        <v>53</v>
      </c>
      <c r="G4131" s="89">
        <v>78099</v>
      </c>
      <c r="H4131" t="s">
        <v>140</v>
      </c>
      <c r="I4131" t="s">
        <v>126</v>
      </c>
      <c r="J4131" s="89">
        <v>1405782</v>
      </c>
      <c r="K4131" t="s">
        <v>127</v>
      </c>
      <c r="L4131" t="s">
        <v>128</v>
      </c>
      <c r="N4131">
        <v>1</v>
      </c>
      <c r="O4131" s="89">
        <v>2342.9699999999998</v>
      </c>
      <c r="P4131" s="89">
        <v>24210.69</v>
      </c>
      <c r="Q4131" t="s">
        <v>130</v>
      </c>
      <c r="R4131" t="s">
        <v>131</v>
      </c>
    </row>
    <row r="4132" spans="3:18" hidden="1" x14ac:dyDescent="0.25">
      <c r="C4132" t="s">
        <v>45</v>
      </c>
      <c r="D4132" t="s">
        <v>23</v>
      </c>
      <c r="E4132" t="s">
        <v>48</v>
      </c>
      <c r="F4132" t="s">
        <v>41</v>
      </c>
      <c r="G4132" s="89">
        <v>77845</v>
      </c>
      <c r="H4132" t="s">
        <v>140</v>
      </c>
      <c r="I4132" t="s">
        <v>133</v>
      </c>
      <c r="J4132" s="89">
        <v>2491040</v>
      </c>
      <c r="K4132" t="s">
        <v>127</v>
      </c>
      <c r="L4132" t="s">
        <v>151</v>
      </c>
      <c r="N4132">
        <v>1</v>
      </c>
      <c r="O4132" s="89">
        <v>2335.35</v>
      </c>
      <c r="P4132" s="89">
        <v>62276</v>
      </c>
      <c r="Q4132" t="s">
        <v>137</v>
      </c>
      <c r="R4132" t="s">
        <v>131</v>
      </c>
    </row>
    <row r="4133" spans="3:18" hidden="1" x14ac:dyDescent="0.25">
      <c r="C4133" t="s">
        <v>45</v>
      </c>
      <c r="D4133" t="s">
        <v>20</v>
      </c>
      <c r="E4133" t="s">
        <v>43</v>
      </c>
      <c r="F4133" t="s">
        <v>41</v>
      </c>
      <c r="G4133" s="89">
        <v>605545</v>
      </c>
      <c r="H4133" t="s">
        <v>42</v>
      </c>
      <c r="I4133" t="s">
        <v>126</v>
      </c>
      <c r="J4133" s="89">
        <v>8477630</v>
      </c>
      <c r="K4133" t="s">
        <v>144</v>
      </c>
      <c r="N4133">
        <v>1</v>
      </c>
      <c r="O4133" s="89">
        <v>18166.349999999999</v>
      </c>
      <c r="P4133" s="89">
        <v>290661.59999999998</v>
      </c>
      <c r="Q4133" t="s">
        <v>142</v>
      </c>
      <c r="R4133" t="s">
        <v>131</v>
      </c>
    </row>
    <row r="4134" spans="3:18" hidden="1" x14ac:dyDescent="0.25">
      <c r="C4134" t="s">
        <v>45</v>
      </c>
      <c r="D4134" t="s">
        <v>24</v>
      </c>
      <c r="E4134" t="s">
        <v>40</v>
      </c>
      <c r="F4134" t="s">
        <v>41</v>
      </c>
      <c r="G4134" s="89">
        <v>119638</v>
      </c>
      <c r="H4134" t="s">
        <v>145</v>
      </c>
      <c r="I4134" t="s">
        <v>133</v>
      </c>
      <c r="J4134" s="89">
        <v>3828416</v>
      </c>
      <c r="K4134" t="s">
        <v>144</v>
      </c>
      <c r="N4134">
        <v>1</v>
      </c>
      <c r="O4134" s="89">
        <v>3589.14</v>
      </c>
      <c r="P4134" s="89">
        <v>98103.16</v>
      </c>
      <c r="Q4134" t="s">
        <v>135</v>
      </c>
      <c r="R4134" t="s">
        <v>131</v>
      </c>
    </row>
    <row r="4135" spans="3:18" x14ac:dyDescent="0.25">
      <c r="C4135" t="s">
        <v>47</v>
      </c>
      <c r="D4135" t="s">
        <v>138</v>
      </c>
      <c r="E4135" t="s">
        <v>48</v>
      </c>
      <c r="F4135" t="s">
        <v>41</v>
      </c>
      <c r="G4135" s="89">
        <v>48</v>
      </c>
      <c r="H4135" t="s">
        <v>145</v>
      </c>
      <c r="I4135" t="s">
        <v>147</v>
      </c>
      <c r="J4135" s="89"/>
      <c r="K4135" t="s">
        <v>127</v>
      </c>
      <c r="L4135" t="s">
        <v>128</v>
      </c>
      <c r="N4135">
        <v>0</v>
      </c>
      <c r="O4135" s="89">
        <v>0</v>
      </c>
      <c r="P4135" s="89">
        <v>0</v>
      </c>
      <c r="Q4135" t="s">
        <v>130</v>
      </c>
      <c r="R4135" t="s">
        <v>131</v>
      </c>
    </row>
    <row r="4136" spans="3:18" hidden="1" x14ac:dyDescent="0.25">
      <c r="C4136" t="s">
        <v>45</v>
      </c>
      <c r="D4136" t="s">
        <v>22</v>
      </c>
      <c r="E4136" t="s">
        <v>40</v>
      </c>
      <c r="F4136" t="s">
        <v>41</v>
      </c>
      <c r="G4136" s="89">
        <v>1232156</v>
      </c>
      <c r="H4136" t="s">
        <v>145</v>
      </c>
      <c r="I4136" t="s">
        <v>133</v>
      </c>
      <c r="J4136" s="89">
        <v>33268212</v>
      </c>
      <c r="K4136" t="s">
        <v>127</v>
      </c>
      <c r="L4136" t="s">
        <v>128</v>
      </c>
      <c r="N4136">
        <v>1</v>
      </c>
      <c r="O4136" s="89">
        <v>36964.68</v>
      </c>
      <c r="P4136" s="89">
        <v>1441622.52</v>
      </c>
      <c r="Q4136" t="s">
        <v>150</v>
      </c>
      <c r="R4136" t="s">
        <v>131</v>
      </c>
    </row>
    <row r="4137" spans="3:18" hidden="1" x14ac:dyDescent="0.25">
      <c r="C4137" t="s">
        <v>45</v>
      </c>
      <c r="D4137" t="s">
        <v>24</v>
      </c>
      <c r="E4137" t="s">
        <v>44</v>
      </c>
      <c r="F4137" t="s">
        <v>53</v>
      </c>
      <c r="G4137" s="89">
        <v>99804</v>
      </c>
      <c r="H4137" t="s">
        <v>42</v>
      </c>
      <c r="I4137" t="s">
        <v>133</v>
      </c>
      <c r="J4137" s="89">
        <v>2395296</v>
      </c>
      <c r="K4137" t="s">
        <v>127</v>
      </c>
      <c r="L4137" t="s">
        <v>128</v>
      </c>
      <c r="M4137" t="s">
        <v>148</v>
      </c>
      <c r="N4137">
        <v>1</v>
      </c>
      <c r="O4137" s="89">
        <v>3992.16</v>
      </c>
      <c r="P4137" s="89">
        <v>54892.2</v>
      </c>
      <c r="Q4137" t="s">
        <v>142</v>
      </c>
      <c r="R4137" t="s">
        <v>131</v>
      </c>
    </row>
    <row r="4138" spans="3:18" hidden="1" x14ac:dyDescent="0.25">
      <c r="C4138" t="s">
        <v>45</v>
      </c>
      <c r="D4138" t="s">
        <v>24</v>
      </c>
      <c r="E4138" t="s">
        <v>43</v>
      </c>
      <c r="F4138" t="s">
        <v>41</v>
      </c>
      <c r="G4138" s="89">
        <v>32070</v>
      </c>
      <c r="H4138" t="s">
        <v>42</v>
      </c>
      <c r="I4138" t="s">
        <v>126</v>
      </c>
      <c r="J4138" s="89">
        <v>416910</v>
      </c>
      <c r="K4138" t="s">
        <v>144</v>
      </c>
      <c r="N4138">
        <v>1</v>
      </c>
      <c r="O4138" s="89">
        <v>962.1</v>
      </c>
      <c r="P4138" s="89">
        <v>32711.4</v>
      </c>
      <c r="Q4138" t="s">
        <v>150</v>
      </c>
      <c r="R4138" t="s">
        <v>42</v>
      </c>
    </row>
    <row r="4139" spans="3:18" x14ac:dyDescent="0.25">
      <c r="C4139" t="s">
        <v>47</v>
      </c>
      <c r="D4139" t="s">
        <v>19</v>
      </c>
      <c r="E4139" t="s">
        <v>43</v>
      </c>
      <c r="F4139" t="s">
        <v>41</v>
      </c>
      <c r="G4139" s="89">
        <v>43918</v>
      </c>
      <c r="H4139" t="s">
        <v>42</v>
      </c>
      <c r="I4139" t="s">
        <v>126</v>
      </c>
      <c r="J4139" s="89">
        <v>483098</v>
      </c>
      <c r="K4139" t="s">
        <v>127</v>
      </c>
      <c r="L4139" t="s">
        <v>128</v>
      </c>
      <c r="M4139" t="s">
        <v>136</v>
      </c>
      <c r="N4139">
        <v>1</v>
      </c>
      <c r="O4139" s="89">
        <v>2195.9</v>
      </c>
      <c r="P4139" s="89">
        <v>21519.82</v>
      </c>
      <c r="Q4139" t="s">
        <v>142</v>
      </c>
      <c r="R4139" t="s">
        <v>131</v>
      </c>
    </row>
    <row r="4140" spans="3:18" hidden="1" x14ac:dyDescent="0.25">
      <c r="C4140" t="s">
        <v>45</v>
      </c>
      <c r="D4140" t="s">
        <v>21</v>
      </c>
      <c r="E4140" t="s">
        <v>43</v>
      </c>
      <c r="F4140" t="s">
        <v>41</v>
      </c>
      <c r="G4140" s="89">
        <v>705798</v>
      </c>
      <c r="H4140" t="s">
        <v>132</v>
      </c>
      <c r="I4140" t="s">
        <v>147</v>
      </c>
      <c r="J4140" s="89">
        <v>2823192</v>
      </c>
      <c r="K4140" t="s">
        <v>144</v>
      </c>
      <c r="N4140">
        <v>1</v>
      </c>
      <c r="O4140" s="89">
        <v>21173.94</v>
      </c>
      <c r="P4140" s="89">
        <v>409362.84</v>
      </c>
      <c r="Q4140" t="s">
        <v>142</v>
      </c>
      <c r="R4140" t="s">
        <v>131</v>
      </c>
    </row>
    <row r="4141" spans="3:18" x14ac:dyDescent="0.25">
      <c r="C4141" t="s">
        <v>47</v>
      </c>
      <c r="D4141" t="s">
        <v>21</v>
      </c>
      <c r="E4141" t="s">
        <v>40</v>
      </c>
      <c r="F4141" t="s">
        <v>41</v>
      </c>
      <c r="G4141" s="89">
        <v>33960</v>
      </c>
      <c r="H4141" t="s">
        <v>145</v>
      </c>
      <c r="I4141" t="s">
        <v>141</v>
      </c>
      <c r="J4141" s="89">
        <v>203760</v>
      </c>
      <c r="K4141" t="s">
        <v>127</v>
      </c>
      <c r="L4141" t="s">
        <v>128</v>
      </c>
      <c r="N4141">
        <v>1</v>
      </c>
      <c r="O4141" s="89">
        <v>2037.6</v>
      </c>
      <c r="P4141" s="89">
        <v>27847.200000000001</v>
      </c>
      <c r="Q4141" t="s">
        <v>135</v>
      </c>
      <c r="R4141" t="s">
        <v>131</v>
      </c>
    </row>
    <row r="4142" spans="3:18" hidden="1" x14ac:dyDescent="0.25">
      <c r="C4142" t="s">
        <v>45</v>
      </c>
      <c r="D4142" t="s">
        <v>19</v>
      </c>
      <c r="E4142" t="s">
        <v>43</v>
      </c>
      <c r="F4142" t="s">
        <v>41</v>
      </c>
      <c r="G4142" s="89">
        <v>16037564</v>
      </c>
      <c r="H4142" t="s">
        <v>140</v>
      </c>
      <c r="I4142" t="s">
        <v>141</v>
      </c>
      <c r="J4142" s="89">
        <v>112262948</v>
      </c>
      <c r="K4142" t="s">
        <v>127</v>
      </c>
      <c r="L4142" t="s">
        <v>128</v>
      </c>
      <c r="N4142">
        <v>1</v>
      </c>
      <c r="O4142" s="89">
        <v>481126.92</v>
      </c>
      <c r="P4142" s="89">
        <v>3367888.44</v>
      </c>
      <c r="Q4142" t="s">
        <v>130</v>
      </c>
      <c r="R4142" t="s">
        <v>131</v>
      </c>
    </row>
    <row r="4143" spans="3:18" x14ac:dyDescent="0.25">
      <c r="C4143" t="s">
        <v>47</v>
      </c>
      <c r="D4143" t="s">
        <v>25</v>
      </c>
      <c r="E4143" t="s">
        <v>48</v>
      </c>
      <c r="F4143" t="s">
        <v>41</v>
      </c>
      <c r="G4143" s="89">
        <v>84567</v>
      </c>
      <c r="H4143" t="s">
        <v>145</v>
      </c>
      <c r="I4143" t="s">
        <v>141</v>
      </c>
      <c r="J4143" s="89">
        <v>591969</v>
      </c>
      <c r="K4143" t="s">
        <v>127</v>
      </c>
      <c r="L4143" t="s">
        <v>128</v>
      </c>
      <c r="N4143">
        <v>1</v>
      </c>
      <c r="O4143" s="89">
        <v>3382.68</v>
      </c>
      <c r="P4143" s="89">
        <v>36363.81</v>
      </c>
      <c r="Q4143" t="s">
        <v>142</v>
      </c>
      <c r="R4143" t="s">
        <v>131</v>
      </c>
    </row>
    <row r="4144" spans="3:18" hidden="1" x14ac:dyDescent="0.25">
      <c r="C4144" t="s">
        <v>45</v>
      </c>
      <c r="D4144" t="s">
        <v>19</v>
      </c>
      <c r="E4144" t="s">
        <v>43</v>
      </c>
      <c r="F4144" t="s">
        <v>41</v>
      </c>
      <c r="G4144" s="89">
        <v>78385844</v>
      </c>
      <c r="H4144" t="s">
        <v>140</v>
      </c>
      <c r="I4144" t="s">
        <v>133</v>
      </c>
      <c r="J4144" s="89">
        <v>2038031944</v>
      </c>
      <c r="K4144" t="s">
        <v>127</v>
      </c>
      <c r="L4144" t="s">
        <v>128</v>
      </c>
      <c r="N4144">
        <v>1</v>
      </c>
      <c r="O4144" s="89">
        <v>2351575.3199999998</v>
      </c>
      <c r="P4144" s="89">
        <v>39976780.439999998</v>
      </c>
      <c r="Q4144" t="s">
        <v>142</v>
      </c>
      <c r="R4144" t="s">
        <v>131</v>
      </c>
    </row>
    <row r="4145" spans="3:18" x14ac:dyDescent="0.25">
      <c r="C4145" t="s">
        <v>47</v>
      </c>
      <c r="D4145" t="s">
        <v>23</v>
      </c>
      <c r="E4145" t="s">
        <v>48</v>
      </c>
      <c r="F4145" t="s">
        <v>41</v>
      </c>
      <c r="G4145" s="89">
        <v>3100049</v>
      </c>
      <c r="H4145" t="s">
        <v>146</v>
      </c>
      <c r="I4145" t="s">
        <v>141</v>
      </c>
      <c r="J4145" s="89">
        <v>18600294</v>
      </c>
      <c r="K4145" t="s">
        <v>127</v>
      </c>
      <c r="L4145" t="s">
        <v>128</v>
      </c>
      <c r="N4145">
        <v>1</v>
      </c>
      <c r="O4145" s="89">
        <v>124001.96</v>
      </c>
      <c r="P4145" s="89">
        <v>713011.27</v>
      </c>
      <c r="Q4145" t="s">
        <v>130</v>
      </c>
      <c r="R4145" t="s">
        <v>131</v>
      </c>
    </row>
    <row r="4146" spans="3:18" hidden="1" x14ac:dyDescent="0.25">
      <c r="C4146" t="s">
        <v>45</v>
      </c>
      <c r="D4146" t="s">
        <v>25</v>
      </c>
      <c r="E4146" t="s">
        <v>40</v>
      </c>
      <c r="F4146" t="s">
        <v>41</v>
      </c>
      <c r="G4146" s="89">
        <v>261043</v>
      </c>
      <c r="H4146" t="s">
        <v>145</v>
      </c>
      <c r="I4146" t="s">
        <v>126</v>
      </c>
      <c r="J4146" s="89">
        <v>3915645</v>
      </c>
      <c r="K4146" t="s">
        <v>127</v>
      </c>
      <c r="L4146" t="s">
        <v>128</v>
      </c>
      <c r="N4146">
        <v>1</v>
      </c>
      <c r="O4146" s="89">
        <v>7831.29</v>
      </c>
      <c r="P4146" s="89">
        <v>73092.039999999994</v>
      </c>
      <c r="Q4146" t="s">
        <v>130</v>
      </c>
      <c r="R4146" t="s">
        <v>131</v>
      </c>
    </row>
    <row r="4147" spans="3:18" hidden="1" x14ac:dyDescent="0.25">
      <c r="C4147" t="s">
        <v>39</v>
      </c>
      <c r="D4147" t="s">
        <v>50</v>
      </c>
      <c r="E4147" t="s">
        <v>50</v>
      </c>
      <c r="F4147" t="s">
        <v>41</v>
      </c>
      <c r="G4147" s="89">
        <v>2824813</v>
      </c>
      <c r="H4147" t="s">
        <v>51</v>
      </c>
      <c r="I4147" t="s">
        <v>133</v>
      </c>
      <c r="J4147" s="89"/>
      <c r="N4147">
        <v>0</v>
      </c>
      <c r="O4147" s="89"/>
      <c r="P4147" s="89"/>
    </row>
    <row r="4148" spans="3:18" hidden="1" x14ac:dyDescent="0.25">
      <c r="C4148" t="s">
        <v>45</v>
      </c>
      <c r="D4148" t="s">
        <v>21</v>
      </c>
      <c r="E4148" t="s">
        <v>43</v>
      </c>
      <c r="F4148" t="s">
        <v>41</v>
      </c>
      <c r="G4148" s="89">
        <v>776108</v>
      </c>
      <c r="H4148" t="s">
        <v>42</v>
      </c>
      <c r="I4148" t="s">
        <v>126</v>
      </c>
      <c r="J4148" s="89">
        <v>14746052</v>
      </c>
      <c r="K4148" t="s">
        <v>144</v>
      </c>
      <c r="N4148">
        <v>1</v>
      </c>
      <c r="O4148" s="89">
        <v>15522.16</v>
      </c>
      <c r="P4148" s="89">
        <v>644169.64</v>
      </c>
      <c r="Q4148" t="s">
        <v>135</v>
      </c>
      <c r="R4148" t="s">
        <v>42</v>
      </c>
    </row>
    <row r="4149" spans="3:18" hidden="1" x14ac:dyDescent="0.25">
      <c r="C4149" t="s">
        <v>45</v>
      </c>
      <c r="D4149" t="s">
        <v>19</v>
      </c>
      <c r="E4149" t="s">
        <v>43</v>
      </c>
      <c r="F4149" t="s">
        <v>41</v>
      </c>
      <c r="G4149" s="89">
        <v>558905</v>
      </c>
      <c r="H4149" t="s">
        <v>146</v>
      </c>
      <c r="I4149" t="s">
        <v>126</v>
      </c>
      <c r="J4149" s="89">
        <v>7824670</v>
      </c>
      <c r="K4149" t="s">
        <v>144</v>
      </c>
      <c r="N4149">
        <v>1</v>
      </c>
      <c r="O4149" s="89">
        <v>16767.150000000001</v>
      </c>
      <c r="P4149" s="89">
        <v>128548.15</v>
      </c>
      <c r="Q4149" t="s">
        <v>130</v>
      </c>
      <c r="R4149" t="s">
        <v>131</v>
      </c>
    </row>
    <row r="4150" spans="3:18" x14ac:dyDescent="0.25">
      <c r="C4150" t="s">
        <v>47</v>
      </c>
      <c r="D4150" t="s">
        <v>21</v>
      </c>
      <c r="E4150" t="s">
        <v>48</v>
      </c>
      <c r="F4150" t="s">
        <v>41</v>
      </c>
      <c r="G4150" s="89">
        <v>142289</v>
      </c>
      <c r="H4150" t="s">
        <v>140</v>
      </c>
      <c r="I4150" t="s">
        <v>153</v>
      </c>
      <c r="J4150" s="89"/>
      <c r="K4150" t="s">
        <v>127</v>
      </c>
      <c r="L4150" t="s">
        <v>128</v>
      </c>
      <c r="N4150">
        <v>0</v>
      </c>
      <c r="O4150" s="89">
        <v>5691.56</v>
      </c>
      <c r="P4150" s="89">
        <v>98179.41</v>
      </c>
      <c r="Q4150" t="s">
        <v>137</v>
      </c>
      <c r="R4150" t="s">
        <v>131</v>
      </c>
    </row>
    <row r="4151" spans="3:18" hidden="1" x14ac:dyDescent="0.25">
      <c r="C4151" t="s">
        <v>45</v>
      </c>
      <c r="D4151" t="s">
        <v>21</v>
      </c>
      <c r="E4151" t="s">
        <v>40</v>
      </c>
      <c r="F4151" t="s">
        <v>41</v>
      </c>
      <c r="G4151" s="89">
        <v>212684</v>
      </c>
      <c r="H4151" t="s">
        <v>42</v>
      </c>
      <c r="I4151" t="s">
        <v>133</v>
      </c>
      <c r="J4151" s="89">
        <v>5529784</v>
      </c>
      <c r="K4151" t="s">
        <v>127</v>
      </c>
      <c r="L4151" t="s">
        <v>128</v>
      </c>
      <c r="M4151" t="s">
        <v>148</v>
      </c>
      <c r="N4151">
        <v>1</v>
      </c>
      <c r="O4151" s="89">
        <v>4253.68</v>
      </c>
      <c r="P4151" s="89">
        <v>146751.96</v>
      </c>
      <c r="Q4151" t="s">
        <v>137</v>
      </c>
      <c r="R4151" t="s">
        <v>42</v>
      </c>
    </row>
    <row r="4152" spans="3:18" hidden="1" x14ac:dyDescent="0.25">
      <c r="C4152" t="s">
        <v>45</v>
      </c>
      <c r="D4152" t="s">
        <v>23</v>
      </c>
      <c r="E4152" t="s">
        <v>40</v>
      </c>
      <c r="F4152" t="s">
        <v>41</v>
      </c>
      <c r="G4152" s="89">
        <v>5627058</v>
      </c>
      <c r="H4152" t="s">
        <v>42</v>
      </c>
      <c r="I4152" t="s">
        <v>133</v>
      </c>
      <c r="J4152" s="89">
        <v>168811740</v>
      </c>
      <c r="K4152" t="s">
        <v>127</v>
      </c>
      <c r="L4152" t="s">
        <v>128</v>
      </c>
      <c r="M4152" t="s">
        <v>152</v>
      </c>
      <c r="N4152">
        <v>1</v>
      </c>
      <c r="O4152" s="89">
        <v>168811.74</v>
      </c>
      <c r="P4152" s="89">
        <v>2869799.58</v>
      </c>
      <c r="Q4152" t="s">
        <v>142</v>
      </c>
      <c r="R4152" t="s">
        <v>42</v>
      </c>
    </row>
    <row r="4153" spans="3:18" hidden="1" x14ac:dyDescent="0.25">
      <c r="C4153" t="s">
        <v>45</v>
      </c>
      <c r="D4153" t="s">
        <v>21</v>
      </c>
      <c r="E4153" t="s">
        <v>43</v>
      </c>
      <c r="F4153" t="s">
        <v>41</v>
      </c>
      <c r="G4153" s="89">
        <v>526597</v>
      </c>
      <c r="H4153" t="s">
        <v>146</v>
      </c>
      <c r="I4153" t="s">
        <v>126</v>
      </c>
      <c r="J4153" s="89">
        <v>7898955</v>
      </c>
      <c r="K4153" t="s">
        <v>134</v>
      </c>
      <c r="L4153" t="s">
        <v>128</v>
      </c>
      <c r="N4153">
        <v>1</v>
      </c>
      <c r="O4153" s="89">
        <v>15797.91</v>
      </c>
      <c r="P4153" s="89">
        <v>121117.31</v>
      </c>
      <c r="Q4153" t="s">
        <v>130</v>
      </c>
      <c r="R4153" t="s">
        <v>131</v>
      </c>
    </row>
    <row r="4154" spans="3:18" x14ac:dyDescent="0.25">
      <c r="C4154" t="s">
        <v>47</v>
      </c>
      <c r="D4154" t="s">
        <v>138</v>
      </c>
      <c r="E4154" t="s">
        <v>40</v>
      </c>
      <c r="F4154" t="s">
        <v>41</v>
      </c>
      <c r="G4154" s="89">
        <v>1957294</v>
      </c>
      <c r="H4154" t="s">
        <v>140</v>
      </c>
      <c r="I4154" t="s">
        <v>141</v>
      </c>
      <c r="J4154" s="89">
        <v>19572940</v>
      </c>
      <c r="K4154" t="s">
        <v>144</v>
      </c>
      <c r="N4154">
        <v>1</v>
      </c>
      <c r="O4154" s="89">
        <v>78291.759999999995</v>
      </c>
      <c r="P4154" s="89">
        <v>1096084.6399999999</v>
      </c>
      <c r="Q4154" t="s">
        <v>142</v>
      </c>
      <c r="R4154" t="s">
        <v>131</v>
      </c>
    </row>
    <row r="4155" spans="3:18" hidden="1" x14ac:dyDescent="0.25">
      <c r="C4155" t="s">
        <v>45</v>
      </c>
      <c r="D4155" t="s">
        <v>149</v>
      </c>
      <c r="E4155" t="s">
        <v>43</v>
      </c>
      <c r="F4155" t="s">
        <v>41</v>
      </c>
      <c r="G4155" s="89">
        <v>310235</v>
      </c>
      <c r="H4155" t="s">
        <v>140</v>
      </c>
      <c r="I4155" t="s">
        <v>141</v>
      </c>
      <c r="J4155" s="89">
        <v>2792115</v>
      </c>
      <c r="K4155" t="s">
        <v>144</v>
      </c>
      <c r="N4155">
        <v>1</v>
      </c>
      <c r="O4155" s="89">
        <v>9307.0499999999993</v>
      </c>
      <c r="P4155" s="89">
        <v>65149.35</v>
      </c>
      <c r="Q4155" t="s">
        <v>130</v>
      </c>
      <c r="R4155" t="s">
        <v>131</v>
      </c>
    </row>
    <row r="4156" spans="3:18" hidden="1" x14ac:dyDescent="0.25">
      <c r="C4156" t="s">
        <v>45</v>
      </c>
      <c r="D4156" t="s">
        <v>24</v>
      </c>
      <c r="E4156" t="s">
        <v>43</v>
      </c>
      <c r="F4156" t="s">
        <v>41</v>
      </c>
      <c r="G4156" s="89">
        <v>1180848</v>
      </c>
      <c r="H4156" t="s">
        <v>42</v>
      </c>
      <c r="I4156" t="s">
        <v>126</v>
      </c>
      <c r="J4156" s="89">
        <v>21255264</v>
      </c>
      <c r="K4156" t="s">
        <v>127</v>
      </c>
      <c r="L4156" t="s">
        <v>128</v>
      </c>
      <c r="M4156" t="s">
        <v>148</v>
      </c>
      <c r="N4156">
        <v>1</v>
      </c>
      <c r="O4156" s="89">
        <v>35425.440000000002</v>
      </c>
      <c r="P4156" s="89">
        <v>791168.16</v>
      </c>
      <c r="Q4156" t="s">
        <v>137</v>
      </c>
      <c r="R4156" t="s">
        <v>131</v>
      </c>
    </row>
    <row r="4157" spans="3:18" hidden="1" x14ac:dyDescent="0.25">
      <c r="C4157" t="s">
        <v>45</v>
      </c>
      <c r="D4157" t="s">
        <v>22</v>
      </c>
      <c r="E4157" t="s">
        <v>48</v>
      </c>
      <c r="F4157" t="s">
        <v>41</v>
      </c>
      <c r="G4157" s="89">
        <v>84178885</v>
      </c>
      <c r="H4157" t="s">
        <v>42</v>
      </c>
      <c r="I4157" t="s">
        <v>133</v>
      </c>
      <c r="J4157" s="89">
        <v>2862082090</v>
      </c>
      <c r="K4157" t="s">
        <v>144</v>
      </c>
      <c r="N4157">
        <v>1</v>
      </c>
      <c r="O4157" s="89">
        <v>2525366.5499999998</v>
      </c>
      <c r="P4157" s="89">
        <v>60608797.200000003</v>
      </c>
      <c r="Q4157" t="s">
        <v>137</v>
      </c>
      <c r="R4157" t="s">
        <v>42</v>
      </c>
    </row>
    <row r="4158" spans="3:18" hidden="1" x14ac:dyDescent="0.25">
      <c r="C4158" t="s">
        <v>45</v>
      </c>
      <c r="D4158" t="s">
        <v>25</v>
      </c>
      <c r="E4158" t="s">
        <v>40</v>
      </c>
      <c r="F4158" t="s">
        <v>41</v>
      </c>
      <c r="G4158" s="89">
        <v>57495</v>
      </c>
      <c r="H4158" t="s">
        <v>145</v>
      </c>
      <c r="I4158" t="s">
        <v>141</v>
      </c>
      <c r="J4158" s="89">
        <v>574950</v>
      </c>
      <c r="K4158" t="s">
        <v>127</v>
      </c>
      <c r="L4158" t="s">
        <v>128</v>
      </c>
      <c r="N4158">
        <v>1</v>
      </c>
      <c r="O4158" s="89">
        <v>1724.85</v>
      </c>
      <c r="P4158" s="89">
        <v>33922.050000000003</v>
      </c>
      <c r="Q4158" t="s">
        <v>142</v>
      </c>
      <c r="R4158" t="s">
        <v>131</v>
      </c>
    </row>
    <row r="4159" spans="3:18" hidden="1" x14ac:dyDescent="0.25">
      <c r="C4159" t="s">
        <v>45</v>
      </c>
      <c r="D4159" t="s">
        <v>23</v>
      </c>
      <c r="E4159" t="s">
        <v>40</v>
      </c>
      <c r="F4159" t="s">
        <v>41</v>
      </c>
      <c r="G4159" s="89">
        <v>14740</v>
      </c>
      <c r="H4159" t="s">
        <v>146</v>
      </c>
      <c r="I4159" t="s">
        <v>147</v>
      </c>
      <c r="J4159" s="89">
        <v>29480</v>
      </c>
      <c r="K4159" t="s">
        <v>134</v>
      </c>
      <c r="L4159" t="s">
        <v>128</v>
      </c>
      <c r="N4159">
        <v>1</v>
      </c>
      <c r="O4159" s="89">
        <v>884.4</v>
      </c>
      <c r="P4159" s="89">
        <v>737</v>
      </c>
      <c r="Q4159" t="s">
        <v>130</v>
      </c>
      <c r="R4159" t="s">
        <v>131</v>
      </c>
    </row>
    <row r="4160" spans="3:18" hidden="1" x14ac:dyDescent="0.25">
      <c r="C4160" t="s">
        <v>45</v>
      </c>
      <c r="D4160" t="s">
        <v>21</v>
      </c>
      <c r="E4160" t="s">
        <v>40</v>
      </c>
      <c r="F4160" t="s">
        <v>41</v>
      </c>
      <c r="G4160" s="89">
        <v>90526</v>
      </c>
      <c r="H4160" t="s">
        <v>42</v>
      </c>
      <c r="I4160" t="s">
        <v>133</v>
      </c>
      <c r="J4160" s="89">
        <v>2172624</v>
      </c>
      <c r="K4160" t="s">
        <v>127</v>
      </c>
      <c r="L4160" t="s">
        <v>128</v>
      </c>
      <c r="M4160" t="s">
        <v>143</v>
      </c>
      <c r="N4160">
        <v>1</v>
      </c>
      <c r="O4160" s="89">
        <v>2715.78</v>
      </c>
      <c r="P4160" s="89">
        <v>37115.660000000003</v>
      </c>
      <c r="Q4160" t="s">
        <v>142</v>
      </c>
      <c r="R4160" t="s">
        <v>131</v>
      </c>
    </row>
    <row r="4161" spans="3:18" x14ac:dyDescent="0.25">
      <c r="C4161" t="s">
        <v>47</v>
      </c>
      <c r="D4161" t="s">
        <v>21</v>
      </c>
      <c r="E4161" t="s">
        <v>43</v>
      </c>
      <c r="F4161" t="s">
        <v>41</v>
      </c>
      <c r="G4161" s="89">
        <v>33993</v>
      </c>
      <c r="H4161" t="s">
        <v>146</v>
      </c>
      <c r="I4161" t="s">
        <v>126</v>
      </c>
      <c r="J4161" s="89">
        <v>441909</v>
      </c>
      <c r="K4161" t="s">
        <v>127</v>
      </c>
      <c r="L4161" t="s">
        <v>128</v>
      </c>
      <c r="N4161">
        <v>1</v>
      </c>
      <c r="O4161" s="89">
        <v>1019.79</v>
      </c>
      <c r="P4161" s="89">
        <v>32293.35</v>
      </c>
      <c r="Q4161" t="s">
        <v>135</v>
      </c>
      <c r="R4161" t="s">
        <v>131</v>
      </c>
    </row>
    <row r="4162" spans="3:18" hidden="1" x14ac:dyDescent="0.25">
      <c r="C4162" t="s">
        <v>45</v>
      </c>
      <c r="D4162" t="s">
        <v>24</v>
      </c>
      <c r="E4162" t="s">
        <v>44</v>
      </c>
      <c r="F4162" t="s">
        <v>41</v>
      </c>
      <c r="G4162" s="89">
        <v>4736216</v>
      </c>
      <c r="H4162" t="s">
        <v>140</v>
      </c>
      <c r="I4162" t="s">
        <v>133</v>
      </c>
      <c r="J4162" s="89">
        <v>146822696</v>
      </c>
      <c r="K4162" t="s">
        <v>127</v>
      </c>
      <c r="L4162" t="s">
        <v>128</v>
      </c>
      <c r="N4162">
        <v>1</v>
      </c>
      <c r="O4162" s="89">
        <v>142086.48000000001</v>
      </c>
      <c r="P4162" s="89">
        <v>4073145.76</v>
      </c>
      <c r="Q4162" t="s">
        <v>135</v>
      </c>
      <c r="R4162" t="s">
        <v>131</v>
      </c>
    </row>
    <row r="4163" spans="3:18" hidden="1" x14ac:dyDescent="0.25">
      <c r="C4163" t="s">
        <v>45</v>
      </c>
      <c r="D4163" t="s">
        <v>22</v>
      </c>
      <c r="E4163" t="s">
        <v>43</v>
      </c>
      <c r="F4163" t="s">
        <v>41</v>
      </c>
      <c r="G4163" s="89">
        <v>473394</v>
      </c>
      <c r="H4163" t="s">
        <v>42</v>
      </c>
      <c r="I4163" t="s">
        <v>126</v>
      </c>
      <c r="J4163" s="89">
        <v>8047698</v>
      </c>
      <c r="K4163" t="s">
        <v>144</v>
      </c>
      <c r="N4163">
        <v>1</v>
      </c>
      <c r="O4163" s="89">
        <v>14201.82</v>
      </c>
      <c r="P4163" s="89">
        <v>340843.68</v>
      </c>
      <c r="Q4163" t="s">
        <v>137</v>
      </c>
      <c r="R4163" t="s">
        <v>131</v>
      </c>
    </row>
    <row r="4164" spans="3:18" hidden="1" x14ac:dyDescent="0.25">
      <c r="C4164" t="s">
        <v>45</v>
      </c>
      <c r="D4164" t="s">
        <v>22</v>
      </c>
      <c r="E4164" t="s">
        <v>40</v>
      </c>
      <c r="F4164" t="s">
        <v>41</v>
      </c>
      <c r="G4164" s="89">
        <v>505881</v>
      </c>
      <c r="H4164" t="s">
        <v>42</v>
      </c>
      <c r="I4164" t="s">
        <v>133</v>
      </c>
      <c r="J4164" s="89">
        <v>15176430</v>
      </c>
      <c r="K4164" t="s">
        <v>127</v>
      </c>
      <c r="L4164" t="s">
        <v>128</v>
      </c>
      <c r="M4164" t="s">
        <v>129</v>
      </c>
      <c r="N4164">
        <v>1</v>
      </c>
      <c r="O4164" s="89">
        <v>15176.43</v>
      </c>
      <c r="P4164" s="89">
        <v>349057.89</v>
      </c>
      <c r="Q4164" t="s">
        <v>137</v>
      </c>
      <c r="R4164" t="s">
        <v>42</v>
      </c>
    </row>
    <row r="4165" spans="3:18" hidden="1" x14ac:dyDescent="0.25">
      <c r="C4165" t="s">
        <v>45</v>
      </c>
      <c r="D4165" t="s">
        <v>24</v>
      </c>
      <c r="E4165" t="s">
        <v>48</v>
      </c>
      <c r="F4165" t="s">
        <v>41</v>
      </c>
      <c r="G4165" s="89">
        <v>1038907</v>
      </c>
      <c r="H4165" t="s">
        <v>42</v>
      </c>
      <c r="I4165" t="s">
        <v>133</v>
      </c>
      <c r="J4165" s="89">
        <v>33245024</v>
      </c>
      <c r="K4165" t="s">
        <v>134</v>
      </c>
      <c r="L4165" t="s">
        <v>128</v>
      </c>
      <c r="M4165" t="s">
        <v>148</v>
      </c>
      <c r="N4165">
        <v>1</v>
      </c>
      <c r="O4165" s="89">
        <v>31167.21</v>
      </c>
      <c r="P4165" s="89">
        <v>529842.56999999995</v>
      </c>
      <c r="Q4165" t="s">
        <v>142</v>
      </c>
      <c r="R4165" t="s">
        <v>131</v>
      </c>
    </row>
    <row r="4166" spans="3:18" hidden="1" x14ac:dyDescent="0.25">
      <c r="C4166" t="s">
        <v>45</v>
      </c>
      <c r="D4166" t="s">
        <v>23</v>
      </c>
      <c r="E4166" t="s">
        <v>40</v>
      </c>
      <c r="F4166" t="s">
        <v>41</v>
      </c>
      <c r="G4166" s="89">
        <v>13442653</v>
      </c>
      <c r="H4166" t="s">
        <v>132</v>
      </c>
      <c r="I4166" t="s">
        <v>141</v>
      </c>
      <c r="J4166" s="89">
        <v>94098571</v>
      </c>
      <c r="K4166" t="s">
        <v>127</v>
      </c>
      <c r="L4166" t="s">
        <v>128</v>
      </c>
      <c r="N4166">
        <v>1</v>
      </c>
      <c r="O4166" s="89">
        <v>403279.59</v>
      </c>
      <c r="P4166" s="89">
        <v>3091810.19</v>
      </c>
      <c r="Q4166" t="s">
        <v>130</v>
      </c>
      <c r="R4166" t="s">
        <v>131</v>
      </c>
    </row>
    <row r="4167" spans="3:18" hidden="1" x14ac:dyDescent="0.25">
      <c r="C4167" t="s">
        <v>45</v>
      </c>
      <c r="D4167" t="s">
        <v>149</v>
      </c>
      <c r="E4167" t="s">
        <v>43</v>
      </c>
      <c r="F4167" t="s">
        <v>53</v>
      </c>
      <c r="G4167" s="89">
        <v>793001</v>
      </c>
      <c r="H4167" t="s">
        <v>42</v>
      </c>
      <c r="I4167" t="s">
        <v>133</v>
      </c>
      <c r="J4167" s="89">
        <v>29341037</v>
      </c>
      <c r="K4167" t="s">
        <v>144</v>
      </c>
      <c r="N4167">
        <v>1</v>
      </c>
      <c r="O4167" s="89">
        <v>15860.02</v>
      </c>
      <c r="P4167" s="89">
        <v>666120.84</v>
      </c>
      <c r="Q4167" t="s">
        <v>135</v>
      </c>
      <c r="R4167" t="s">
        <v>42</v>
      </c>
    </row>
    <row r="4168" spans="3:18" hidden="1" x14ac:dyDescent="0.25">
      <c r="C4168" t="s">
        <v>45</v>
      </c>
      <c r="D4168" t="s">
        <v>24</v>
      </c>
      <c r="E4168" t="s">
        <v>48</v>
      </c>
      <c r="F4168" t="s">
        <v>41</v>
      </c>
      <c r="G4168" s="89">
        <v>2593751</v>
      </c>
      <c r="H4168" t="s">
        <v>42</v>
      </c>
      <c r="I4168" t="s">
        <v>141</v>
      </c>
      <c r="J4168" s="89">
        <v>18156257</v>
      </c>
      <c r="K4168" t="s">
        <v>127</v>
      </c>
      <c r="L4168" t="s">
        <v>128</v>
      </c>
      <c r="M4168" t="s">
        <v>148</v>
      </c>
      <c r="N4168">
        <v>1</v>
      </c>
      <c r="O4168" s="89">
        <v>103750.04</v>
      </c>
      <c r="P4168" s="89">
        <v>570625.22</v>
      </c>
      <c r="Q4168" t="s">
        <v>130</v>
      </c>
      <c r="R4168" t="s">
        <v>131</v>
      </c>
    </row>
    <row r="4169" spans="3:18" hidden="1" x14ac:dyDescent="0.25">
      <c r="C4169" t="s">
        <v>45</v>
      </c>
      <c r="D4169" t="s">
        <v>149</v>
      </c>
      <c r="E4169" t="s">
        <v>44</v>
      </c>
      <c r="F4169" t="s">
        <v>41</v>
      </c>
      <c r="G4169" s="89">
        <v>380720</v>
      </c>
      <c r="H4169" t="s">
        <v>42</v>
      </c>
      <c r="I4169" t="s">
        <v>133</v>
      </c>
      <c r="J4169" s="89">
        <v>11421600</v>
      </c>
      <c r="K4169" t="s">
        <v>127</v>
      </c>
      <c r="L4169" t="s">
        <v>128</v>
      </c>
      <c r="M4169" t="s">
        <v>136</v>
      </c>
      <c r="N4169">
        <v>1</v>
      </c>
      <c r="O4169" s="89">
        <v>11421.6</v>
      </c>
      <c r="P4169" s="89">
        <v>270311.2</v>
      </c>
      <c r="Q4169" t="s">
        <v>137</v>
      </c>
      <c r="R4169" t="s">
        <v>42</v>
      </c>
    </row>
    <row r="4170" spans="3:18" hidden="1" x14ac:dyDescent="0.25">
      <c r="C4170" t="s">
        <v>45</v>
      </c>
      <c r="D4170" t="s">
        <v>24</v>
      </c>
      <c r="E4170" t="s">
        <v>48</v>
      </c>
      <c r="F4170" t="s">
        <v>53</v>
      </c>
      <c r="G4170" s="89">
        <v>124824</v>
      </c>
      <c r="H4170" t="s">
        <v>42</v>
      </c>
      <c r="I4170" t="s">
        <v>133</v>
      </c>
      <c r="J4170" s="89">
        <v>3744720</v>
      </c>
      <c r="K4170" t="s">
        <v>144</v>
      </c>
      <c r="N4170">
        <v>1</v>
      </c>
      <c r="O4170" s="89">
        <v>3744.72</v>
      </c>
      <c r="P4170" s="89">
        <v>54922.559999999998</v>
      </c>
      <c r="Q4170" t="s">
        <v>142</v>
      </c>
      <c r="R4170" t="s">
        <v>131</v>
      </c>
    </row>
    <row r="4171" spans="3:18" hidden="1" x14ac:dyDescent="0.25">
      <c r="C4171" t="s">
        <v>45</v>
      </c>
      <c r="D4171" t="s">
        <v>22</v>
      </c>
      <c r="E4171" t="s">
        <v>48</v>
      </c>
      <c r="F4171" t="s">
        <v>41</v>
      </c>
      <c r="G4171" s="89">
        <v>868846</v>
      </c>
      <c r="H4171" t="s">
        <v>42</v>
      </c>
      <c r="I4171" t="s">
        <v>126</v>
      </c>
      <c r="J4171" s="89">
        <v>14770382</v>
      </c>
      <c r="K4171" t="s">
        <v>144</v>
      </c>
      <c r="N4171">
        <v>1</v>
      </c>
      <c r="O4171" s="89">
        <v>26065.38</v>
      </c>
      <c r="P4171" s="89">
        <v>729830.64</v>
      </c>
      <c r="Q4171" t="s">
        <v>135</v>
      </c>
      <c r="R4171" t="s">
        <v>42</v>
      </c>
    </row>
    <row r="4172" spans="3:18" hidden="1" x14ac:dyDescent="0.25">
      <c r="C4172" t="s">
        <v>45</v>
      </c>
      <c r="D4172" t="s">
        <v>149</v>
      </c>
      <c r="E4172" t="s">
        <v>43</v>
      </c>
      <c r="F4172" t="s">
        <v>41</v>
      </c>
      <c r="G4172" s="89">
        <v>50177</v>
      </c>
      <c r="H4172" t="s">
        <v>132</v>
      </c>
      <c r="I4172" t="s">
        <v>147</v>
      </c>
      <c r="J4172" s="89">
        <v>250885</v>
      </c>
      <c r="K4172" t="s">
        <v>127</v>
      </c>
      <c r="L4172" t="s">
        <v>151</v>
      </c>
      <c r="N4172">
        <v>1</v>
      </c>
      <c r="O4172" s="89">
        <v>2007.08</v>
      </c>
      <c r="P4172" s="89">
        <v>13547.79</v>
      </c>
      <c r="Q4172" t="s">
        <v>130</v>
      </c>
      <c r="R4172" t="s">
        <v>131</v>
      </c>
    </row>
    <row r="4173" spans="3:18" hidden="1" x14ac:dyDescent="0.25">
      <c r="C4173" t="s">
        <v>45</v>
      </c>
      <c r="D4173" t="s">
        <v>22</v>
      </c>
      <c r="E4173" t="s">
        <v>40</v>
      </c>
      <c r="F4173" t="s">
        <v>41</v>
      </c>
      <c r="G4173" s="89">
        <v>146735</v>
      </c>
      <c r="H4173" t="s">
        <v>140</v>
      </c>
      <c r="I4173" t="s">
        <v>141</v>
      </c>
      <c r="J4173" s="89">
        <v>1320615</v>
      </c>
      <c r="K4173" t="s">
        <v>127</v>
      </c>
      <c r="L4173" t="s">
        <v>128</v>
      </c>
      <c r="N4173">
        <v>1</v>
      </c>
      <c r="O4173" s="89">
        <v>4402.05</v>
      </c>
      <c r="P4173" s="89">
        <v>136463.54999999999</v>
      </c>
      <c r="Q4173" t="s">
        <v>135</v>
      </c>
      <c r="R4173" t="s">
        <v>131</v>
      </c>
    </row>
    <row r="4174" spans="3:18" hidden="1" x14ac:dyDescent="0.25">
      <c r="C4174" t="s">
        <v>45</v>
      </c>
      <c r="D4174" t="s">
        <v>21</v>
      </c>
      <c r="E4174" t="s">
        <v>43</v>
      </c>
      <c r="F4174" t="s">
        <v>53</v>
      </c>
      <c r="G4174" s="89">
        <v>1515758</v>
      </c>
      <c r="H4174" t="s">
        <v>146</v>
      </c>
      <c r="I4174" t="s">
        <v>133</v>
      </c>
      <c r="J4174" s="89">
        <v>42441224</v>
      </c>
      <c r="K4174" t="s">
        <v>144</v>
      </c>
      <c r="N4174">
        <v>1</v>
      </c>
      <c r="O4174" s="89">
        <v>45472.74</v>
      </c>
      <c r="P4174" s="89">
        <v>1030715.44</v>
      </c>
      <c r="Q4174" t="s">
        <v>137</v>
      </c>
      <c r="R4174" t="s">
        <v>131</v>
      </c>
    </row>
    <row r="4175" spans="3:18" hidden="1" x14ac:dyDescent="0.25">
      <c r="C4175" t="s">
        <v>45</v>
      </c>
      <c r="D4175" t="s">
        <v>24</v>
      </c>
      <c r="E4175" t="s">
        <v>44</v>
      </c>
      <c r="F4175" t="s">
        <v>41</v>
      </c>
      <c r="G4175" s="89">
        <v>80195</v>
      </c>
      <c r="H4175" t="s">
        <v>132</v>
      </c>
      <c r="I4175" t="s">
        <v>141</v>
      </c>
      <c r="J4175" s="89">
        <v>721755</v>
      </c>
      <c r="K4175" t="s">
        <v>127</v>
      </c>
      <c r="L4175" t="s">
        <v>128</v>
      </c>
      <c r="N4175">
        <v>1</v>
      </c>
      <c r="O4175" s="89">
        <v>2405.85</v>
      </c>
      <c r="P4175" s="89">
        <v>44909.2</v>
      </c>
      <c r="Q4175" t="s">
        <v>142</v>
      </c>
      <c r="R4175" t="s">
        <v>131</v>
      </c>
    </row>
    <row r="4176" spans="3:18" hidden="1" x14ac:dyDescent="0.25">
      <c r="C4176" t="s">
        <v>45</v>
      </c>
      <c r="D4176" t="s">
        <v>149</v>
      </c>
      <c r="E4176" t="s">
        <v>43</v>
      </c>
      <c r="F4176" t="s">
        <v>41</v>
      </c>
      <c r="G4176" s="89">
        <v>69520</v>
      </c>
      <c r="H4176" t="s">
        <v>42</v>
      </c>
      <c r="I4176" t="s">
        <v>133</v>
      </c>
      <c r="J4176" s="89">
        <v>2294160</v>
      </c>
      <c r="K4176" t="s">
        <v>127</v>
      </c>
      <c r="L4176" t="s">
        <v>128</v>
      </c>
      <c r="M4176" t="s">
        <v>129</v>
      </c>
      <c r="N4176">
        <v>1</v>
      </c>
      <c r="O4176" s="89">
        <v>2085.6</v>
      </c>
      <c r="P4176" s="89">
        <v>20160.8</v>
      </c>
      <c r="Q4176" t="s">
        <v>130</v>
      </c>
      <c r="R4176" t="s">
        <v>131</v>
      </c>
    </row>
    <row r="4177" spans="3:18" hidden="1" x14ac:dyDescent="0.25">
      <c r="C4177" t="s">
        <v>45</v>
      </c>
      <c r="D4177" t="s">
        <v>21</v>
      </c>
      <c r="E4177" t="s">
        <v>43</v>
      </c>
      <c r="F4177" t="s">
        <v>41</v>
      </c>
      <c r="G4177" s="89">
        <v>316585</v>
      </c>
      <c r="H4177" t="s">
        <v>146</v>
      </c>
      <c r="I4177" t="s">
        <v>147</v>
      </c>
      <c r="J4177" s="89">
        <v>0</v>
      </c>
      <c r="K4177" t="s">
        <v>134</v>
      </c>
      <c r="L4177" t="s">
        <v>128</v>
      </c>
      <c r="N4177">
        <v>1</v>
      </c>
      <c r="O4177" s="89">
        <v>12663.4</v>
      </c>
      <c r="P4177" s="89">
        <v>53819.45</v>
      </c>
      <c r="Q4177" t="s">
        <v>130</v>
      </c>
      <c r="R4177" t="s">
        <v>131</v>
      </c>
    </row>
    <row r="4178" spans="3:18" hidden="1" x14ac:dyDescent="0.25">
      <c r="C4178" t="s">
        <v>45</v>
      </c>
      <c r="D4178" t="s">
        <v>23</v>
      </c>
      <c r="E4178" t="s">
        <v>40</v>
      </c>
      <c r="F4178" t="s">
        <v>41</v>
      </c>
      <c r="G4178" s="89">
        <v>1193000</v>
      </c>
      <c r="H4178" t="s">
        <v>42</v>
      </c>
      <c r="I4178" t="s">
        <v>133</v>
      </c>
      <c r="J4178" s="89">
        <v>46527000</v>
      </c>
      <c r="K4178" t="s">
        <v>144</v>
      </c>
      <c r="N4178">
        <v>1</v>
      </c>
      <c r="O4178" s="89">
        <v>35790</v>
      </c>
      <c r="P4178" s="89">
        <v>1193000</v>
      </c>
      <c r="Q4178" t="s">
        <v>150</v>
      </c>
      <c r="R4178" t="s">
        <v>42</v>
      </c>
    </row>
    <row r="4179" spans="3:18" hidden="1" x14ac:dyDescent="0.25">
      <c r="C4179" t="s">
        <v>45</v>
      </c>
      <c r="D4179" t="s">
        <v>19</v>
      </c>
      <c r="E4179" t="s">
        <v>43</v>
      </c>
      <c r="F4179" t="s">
        <v>41</v>
      </c>
      <c r="G4179" s="89">
        <v>173718</v>
      </c>
      <c r="H4179" t="s">
        <v>42</v>
      </c>
      <c r="I4179" t="s">
        <v>126</v>
      </c>
      <c r="J4179" s="89">
        <v>3126924</v>
      </c>
      <c r="K4179" t="s">
        <v>134</v>
      </c>
      <c r="L4179" t="s">
        <v>128</v>
      </c>
      <c r="M4179" t="s">
        <v>152</v>
      </c>
      <c r="N4179">
        <v>1</v>
      </c>
      <c r="O4179" s="89">
        <v>5211.54</v>
      </c>
      <c r="P4179" s="89">
        <v>126814.14</v>
      </c>
      <c r="Q4179" t="s">
        <v>137</v>
      </c>
      <c r="R4179" t="s">
        <v>131</v>
      </c>
    </row>
    <row r="4180" spans="3:18" hidden="1" x14ac:dyDescent="0.25">
      <c r="C4180" t="s">
        <v>45</v>
      </c>
      <c r="D4180" t="s">
        <v>138</v>
      </c>
      <c r="E4180" t="s">
        <v>43</v>
      </c>
      <c r="F4180" t="s">
        <v>41</v>
      </c>
      <c r="G4180" s="89">
        <v>203014</v>
      </c>
      <c r="H4180" t="s">
        <v>140</v>
      </c>
      <c r="I4180" t="s">
        <v>133</v>
      </c>
      <c r="J4180" s="89">
        <v>6496448</v>
      </c>
      <c r="K4180" t="s">
        <v>134</v>
      </c>
      <c r="L4180" t="s">
        <v>128</v>
      </c>
      <c r="N4180">
        <v>1</v>
      </c>
      <c r="O4180" s="89">
        <v>6090.42</v>
      </c>
      <c r="P4180" s="89">
        <v>257827.78</v>
      </c>
      <c r="Q4180" t="s">
        <v>150</v>
      </c>
      <c r="R4180" t="s">
        <v>131</v>
      </c>
    </row>
    <row r="4181" spans="3:18" hidden="1" x14ac:dyDescent="0.25">
      <c r="C4181" t="s">
        <v>45</v>
      </c>
      <c r="D4181" t="s">
        <v>21</v>
      </c>
      <c r="E4181" t="s">
        <v>43</v>
      </c>
      <c r="F4181" t="s">
        <v>53</v>
      </c>
      <c r="G4181" s="89">
        <v>40100</v>
      </c>
      <c r="H4181" t="s">
        <v>140</v>
      </c>
      <c r="I4181" t="s">
        <v>133</v>
      </c>
      <c r="J4181" s="89">
        <v>1162900</v>
      </c>
      <c r="K4181" t="s">
        <v>127</v>
      </c>
      <c r="L4181" t="s">
        <v>128</v>
      </c>
      <c r="N4181">
        <v>1</v>
      </c>
      <c r="O4181" s="89">
        <v>1203</v>
      </c>
      <c r="P4181" s="89">
        <v>8020</v>
      </c>
      <c r="Q4181" t="s">
        <v>130</v>
      </c>
      <c r="R4181" t="s">
        <v>131</v>
      </c>
    </row>
    <row r="4182" spans="3:18" hidden="1" x14ac:dyDescent="0.25">
      <c r="C4182" t="s">
        <v>45</v>
      </c>
      <c r="D4182" t="s">
        <v>24</v>
      </c>
      <c r="E4182" t="s">
        <v>48</v>
      </c>
      <c r="F4182" t="s">
        <v>41</v>
      </c>
      <c r="G4182" s="89">
        <v>123087</v>
      </c>
      <c r="H4182" t="s">
        <v>145</v>
      </c>
      <c r="I4182" t="s">
        <v>133</v>
      </c>
      <c r="J4182" s="89">
        <v>2954088</v>
      </c>
      <c r="K4182" t="s">
        <v>134</v>
      </c>
      <c r="L4182" t="s">
        <v>128</v>
      </c>
      <c r="N4182">
        <v>1</v>
      </c>
      <c r="O4182" s="89">
        <v>3692.61</v>
      </c>
      <c r="P4182" s="89">
        <v>57850.89</v>
      </c>
      <c r="Q4182" t="s">
        <v>142</v>
      </c>
      <c r="R4182" t="s">
        <v>131</v>
      </c>
    </row>
    <row r="4183" spans="3:18" hidden="1" x14ac:dyDescent="0.25">
      <c r="C4183" t="s">
        <v>45</v>
      </c>
      <c r="D4183" t="s">
        <v>22</v>
      </c>
      <c r="E4183" t="s">
        <v>40</v>
      </c>
      <c r="F4183" t="s">
        <v>41</v>
      </c>
      <c r="G4183" s="89">
        <v>13085805</v>
      </c>
      <c r="H4183" t="s">
        <v>140</v>
      </c>
      <c r="I4183" t="s">
        <v>147</v>
      </c>
      <c r="J4183" s="89">
        <v>39257415</v>
      </c>
      <c r="K4183" t="s">
        <v>144</v>
      </c>
      <c r="N4183">
        <v>1</v>
      </c>
      <c r="O4183" s="89">
        <v>523432.2</v>
      </c>
      <c r="P4183" s="89">
        <v>2617161</v>
      </c>
      <c r="Q4183" t="s">
        <v>130</v>
      </c>
      <c r="R4183" t="s">
        <v>131</v>
      </c>
    </row>
    <row r="4184" spans="3:18" x14ac:dyDescent="0.25">
      <c r="C4184" t="s">
        <v>47</v>
      </c>
      <c r="D4184" t="s">
        <v>23</v>
      </c>
      <c r="E4184" t="s">
        <v>40</v>
      </c>
      <c r="F4184" t="s">
        <v>41</v>
      </c>
      <c r="G4184" s="89">
        <v>313335</v>
      </c>
      <c r="H4184" t="s">
        <v>132</v>
      </c>
      <c r="I4184" t="s">
        <v>147</v>
      </c>
      <c r="J4184" s="89">
        <v>626670</v>
      </c>
      <c r="K4184" t="s">
        <v>127</v>
      </c>
      <c r="L4184" t="s">
        <v>128</v>
      </c>
      <c r="N4184">
        <v>1</v>
      </c>
      <c r="O4184" s="89">
        <v>15666.75</v>
      </c>
      <c r="P4184" s="89">
        <v>43866.9</v>
      </c>
      <c r="Q4184" t="s">
        <v>130</v>
      </c>
      <c r="R4184" t="s">
        <v>131</v>
      </c>
    </row>
    <row r="4185" spans="3:18" hidden="1" x14ac:dyDescent="0.25">
      <c r="C4185" t="s">
        <v>45</v>
      </c>
      <c r="D4185" t="s">
        <v>20</v>
      </c>
      <c r="E4185" t="s">
        <v>44</v>
      </c>
      <c r="F4185" t="s">
        <v>41</v>
      </c>
      <c r="G4185" s="89">
        <v>66845</v>
      </c>
      <c r="H4185" t="s">
        <v>42</v>
      </c>
      <c r="I4185" t="s">
        <v>133</v>
      </c>
      <c r="J4185" s="89">
        <v>1737970</v>
      </c>
      <c r="K4185" t="s">
        <v>127</v>
      </c>
      <c r="L4185" t="s">
        <v>128</v>
      </c>
      <c r="M4185" t="s">
        <v>139</v>
      </c>
      <c r="N4185">
        <v>1</v>
      </c>
      <c r="O4185" s="89">
        <v>2005.35</v>
      </c>
      <c r="P4185" s="89">
        <v>30080.25</v>
      </c>
      <c r="Q4185" t="s">
        <v>142</v>
      </c>
      <c r="R4185" t="s">
        <v>131</v>
      </c>
    </row>
    <row r="4186" spans="3:18" hidden="1" x14ac:dyDescent="0.25">
      <c r="C4186" t="s">
        <v>45</v>
      </c>
      <c r="D4186" t="s">
        <v>149</v>
      </c>
      <c r="E4186" t="s">
        <v>43</v>
      </c>
      <c r="F4186" t="s">
        <v>41</v>
      </c>
      <c r="G4186" s="89">
        <v>42058</v>
      </c>
      <c r="H4186" t="s">
        <v>132</v>
      </c>
      <c r="I4186" t="s">
        <v>147</v>
      </c>
      <c r="J4186" s="89">
        <v>126174</v>
      </c>
      <c r="K4186" t="s">
        <v>127</v>
      </c>
      <c r="L4186" t="s">
        <v>128</v>
      </c>
      <c r="N4186">
        <v>1</v>
      </c>
      <c r="O4186" s="89">
        <v>2102.9</v>
      </c>
      <c r="P4186" s="89">
        <v>5467.54</v>
      </c>
      <c r="Q4186" t="s">
        <v>130</v>
      </c>
      <c r="R4186" t="s">
        <v>131</v>
      </c>
    </row>
    <row r="4187" spans="3:18" hidden="1" x14ac:dyDescent="0.25">
      <c r="C4187" t="s">
        <v>45</v>
      </c>
      <c r="D4187" t="s">
        <v>24</v>
      </c>
      <c r="E4187" t="s">
        <v>48</v>
      </c>
      <c r="F4187" t="s">
        <v>41</v>
      </c>
      <c r="G4187" s="89">
        <v>1136593</v>
      </c>
      <c r="H4187" t="s">
        <v>132</v>
      </c>
      <c r="I4187" t="s">
        <v>133</v>
      </c>
      <c r="J4187" s="89">
        <v>32961197</v>
      </c>
      <c r="K4187" t="s">
        <v>127</v>
      </c>
      <c r="L4187" t="s">
        <v>128</v>
      </c>
      <c r="N4187">
        <v>1</v>
      </c>
      <c r="O4187" s="89">
        <v>34097.79</v>
      </c>
      <c r="P4187" s="89">
        <v>977469.98</v>
      </c>
      <c r="Q4187" t="s">
        <v>135</v>
      </c>
      <c r="R4187" t="s">
        <v>131</v>
      </c>
    </row>
    <row r="4188" spans="3:18" hidden="1" x14ac:dyDescent="0.25">
      <c r="C4188" t="s">
        <v>45</v>
      </c>
      <c r="D4188" t="s">
        <v>21</v>
      </c>
      <c r="E4188" t="s">
        <v>44</v>
      </c>
      <c r="F4188" t="s">
        <v>41</v>
      </c>
      <c r="G4188" s="89">
        <v>246227</v>
      </c>
      <c r="H4188" t="s">
        <v>42</v>
      </c>
      <c r="I4188" t="s">
        <v>126</v>
      </c>
      <c r="J4188" s="89">
        <v>3693405</v>
      </c>
      <c r="K4188" t="s">
        <v>127</v>
      </c>
      <c r="L4188" t="s">
        <v>128</v>
      </c>
      <c r="M4188" t="s">
        <v>129</v>
      </c>
      <c r="N4188">
        <v>1</v>
      </c>
      <c r="O4188" s="89">
        <v>7386.81</v>
      </c>
      <c r="P4188" s="89">
        <v>113264.42</v>
      </c>
      <c r="Q4188" t="s">
        <v>142</v>
      </c>
      <c r="R4188" t="s">
        <v>42</v>
      </c>
    </row>
    <row r="4189" spans="3:18" hidden="1" x14ac:dyDescent="0.25">
      <c r="C4189" t="s">
        <v>45</v>
      </c>
      <c r="D4189" t="s">
        <v>149</v>
      </c>
      <c r="E4189" t="s">
        <v>52</v>
      </c>
      <c r="F4189" t="s">
        <v>41</v>
      </c>
      <c r="G4189" s="89">
        <v>145911</v>
      </c>
      <c r="H4189" t="s">
        <v>42</v>
      </c>
      <c r="I4189" t="s">
        <v>133</v>
      </c>
      <c r="J4189" s="89">
        <v>5252796</v>
      </c>
      <c r="K4189" t="s">
        <v>127</v>
      </c>
      <c r="L4189" t="s">
        <v>128</v>
      </c>
      <c r="M4189" t="s">
        <v>136</v>
      </c>
      <c r="N4189">
        <v>1</v>
      </c>
      <c r="O4189" s="89">
        <v>5836.44</v>
      </c>
      <c r="P4189" s="89">
        <v>118187.91</v>
      </c>
      <c r="Q4189" t="s">
        <v>135</v>
      </c>
      <c r="R4189" t="s">
        <v>42</v>
      </c>
    </row>
    <row r="4190" spans="3:18" x14ac:dyDescent="0.25">
      <c r="C4190" t="s">
        <v>47</v>
      </c>
      <c r="D4190" t="s">
        <v>19</v>
      </c>
      <c r="E4190" t="s">
        <v>43</v>
      </c>
      <c r="F4190" t="s">
        <v>41</v>
      </c>
      <c r="G4190" s="89">
        <v>89395</v>
      </c>
      <c r="H4190" t="s">
        <v>145</v>
      </c>
      <c r="I4190" t="s">
        <v>126</v>
      </c>
      <c r="J4190" s="89">
        <v>1251530</v>
      </c>
      <c r="K4190" t="s">
        <v>144</v>
      </c>
      <c r="N4190">
        <v>1</v>
      </c>
      <c r="O4190" s="89">
        <v>4469.75</v>
      </c>
      <c r="P4190" s="89">
        <v>23242.7</v>
      </c>
      <c r="Q4190" t="s">
        <v>130</v>
      </c>
      <c r="R4190" t="s">
        <v>131</v>
      </c>
    </row>
    <row r="4191" spans="3:18" hidden="1" x14ac:dyDescent="0.25">
      <c r="C4191" t="s">
        <v>45</v>
      </c>
      <c r="D4191" t="s">
        <v>21</v>
      </c>
      <c r="E4191" t="s">
        <v>46</v>
      </c>
      <c r="F4191" t="s">
        <v>41</v>
      </c>
      <c r="G4191" s="89">
        <v>313762</v>
      </c>
      <c r="H4191" t="s">
        <v>42</v>
      </c>
      <c r="I4191" t="s">
        <v>133</v>
      </c>
      <c r="J4191" s="89">
        <v>10981670</v>
      </c>
      <c r="K4191" t="s">
        <v>144</v>
      </c>
      <c r="N4191">
        <v>1</v>
      </c>
      <c r="O4191" s="89">
        <v>9412.86</v>
      </c>
      <c r="P4191" s="89">
        <v>260422.46</v>
      </c>
      <c r="Q4191" t="s">
        <v>135</v>
      </c>
      <c r="R4191" t="s">
        <v>42</v>
      </c>
    </row>
    <row r="4192" spans="3:18" hidden="1" x14ac:dyDescent="0.25">
      <c r="C4192" t="s">
        <v>45</v>
      </c>
      <c r="D4192" t="s">
        <v>21</v>
      </c>
      <c r="E4192" t="s">
        <v>43</v>
      </c>
      <c r="F4192" t="s">
        <v>41</v>
      </c>
      <c r="G4192" s="89">
        <v>1</v>
      </c>
      <c r="H4192" t="s">
        <v>145</v>
      </c>
      <c r="I4192" t="s">
        <v>141</v>
      </c>
      <c r="J4192" s="89">
        <v>6</v>
      </c>
      <c r="K4192" t="s">
        <v>127</v>
      </c>
      <c r="L4192" t="s">
        <v>128</v>
      </c>
      <c r="N4192">
        <v>1</v>
      </c>
      <c r="O4192" s="89">
        <v>0.04</v>
      </c>
      <c r="P4192" s="89">
        <v>1.5</v>
      </c>
      <c r="Q4192" t="s">
        <v>150</v>
      </c>
      <c r="R4192" t="s">
        <v>131</v>
      </c>
    </row>
    <row r="4193" spans="3:18" hidden="1" x14ac:dyDescent="0.25">
      <c r="C4193" t="s">
        <v>45</v>
      </c>
      <c r="D4193" t="s">
        <v>23</v>
      </c>
      <c r="E4193" t="s">
        <v>40</v>
      </c>
      <c r="F4193" t="s">
        <v>41</v>
      </c>
      <c r="G4193" s="89">
        <v>221922</v>
      </c>
      <c r="H4193" t="s">
        <v>42</v>
      </c>
      <c r="I4193" t="s">
        <v>126</v>
      </c>
      <c r="J4193" s="89">
        <v>3550752</v>
      </c>
      <c r="K4193" t="s">
        <v>144</v>
      </c>
      <c r="N4193">
        <v>1</v>
      </c>
      <c r="O4193" s="89">
        <v>4438.4399999999996</v>
      </c>
      <c r="P4193" s="89">
        <v>99864.9</v>
      </c>
      <c r="Q4193" t="s">
        <v>142</v>
      </c>
      <c r="R4193" t="s">
        <v>42</v>
      </c>
    </row>
    <row r="4194" spans="3:18" hidden="1" x14ac:dyDescent="0.25">
      <c r="C4194" t="s">
        <v>45</v>
      </c>
      <c r="D4194" t="s">
        <v>25</v>
      </c>
      <c r="E4194" t="s">
        <v>48</v>
      </c>
      <c r="F4194" t="s">
        <v>41</v>
      </c>
      <c r="G4194" s="89">
        <v>154377</v>
      </c>
      <c r="H4194" t="s">
        <v>145</v>
      </c>
      <c r="I4194" t="s">
        <v>141</v>
      </c>
      <c r="J4194" s="89">
        <v>1080639</v>
      </c>
      <c r="K4194" t="s">
        <v>127</v>
      </c>
      <c r="L4194" t="s">
        <v>128</v>
      </c>
      <c r="N4194">
        <v>1</v>
      </c>
      <c r="O4194" s="89">
        <v>4631.3100000000004</v>
      </c>
      <c r="P4194" s="89">
        <v>35506.71</v>
      </c>
      <c r="Q4194" t="s">
        <v>130</v>
      </c>
      <c r="R4194" t="s">
        <v>131</v>
      </c>
    </row>
    <row r="4195" spans="3:18" hidden="1" x14ac:dyDescent="0.25">
      <c r="C4195" t="s">
        <v>45</v>
      </c>
      <c r="D4195" t="s">
        <v>138</v>
      </c>
      <c r="E4195" t="s">
        <v>43</v>
      </c>
      <c r="F4195" t="s">
        <v>41</v>
      </c>
      <c r="G4195" s="89">
        <v>1252673</v>
      </c>
      <c r="H4195" t="s">
        <v>132</v>
      </c>
      <c r="I4195" t="s">
        <v>147</v>
      </c>
      <c r="J4195" s="89">
        <v>5010692</v>
      </c>
      <c r="K4195" t="s">
        <v>127</v>
      </c>
      <c r="L4195" t="s">
        <v>128</v>
      </c>
      <c r="N4195">
        <v>1</v>
      </c>
      <c r="O4195" s="89">
        <v>50106.92</v>
      </c>
      <c r="P4195" s="89">
        <v>538649.39</v>
      </c>
      <c r="Q4195" t="s">
        <v>142</v>
      </c>
      <c r="R4195" t="s">
        <v>131</v>
      </c>
    </row>
    <row r="4196" spans="3:18" hidden="1" x14ac:dyDescent="0.25">
      <c r="C4196" t="s">
        <v>45</v>
      </c>
      <c r="D4196" t="s">
        <v>22</v>
      </c>
      <c r="E4196" t="s">
        <v>40</v>
      </c>
      <c r="F4196" t="s">
        <v>41</v>
      </c>
      <c r="G4196" s="89">
        <v>166435</v>
      </c>
      <c r="H4196" t="s">
        <v>132</v>
      </c>
      <c r="I4196" t="s">
        <v>153</v>
      </c>
      <c r="J4196" s="89"/>
      <c r="K4196" t="s">
        <v>127</v>
      </c>
      <c r="L4196" t="s">
        <v>128</v>
      </c>
      <c r="N4196">
        <v>0</v>
      </c>
      <c r="O4196" s="89">
        <v>3328.7</v>
      </c>
      <c r="P4196" s="89">
        <v>9986.1</v>
      </c>
      <c r="Q4196" t="s">
        <v>130</v>
      </c>
      <c r="R4196" t="s">
        <v>131</v>
      </c>
    </row>
    <row r="4197" spans="3:18" hidden="1" x14ac:dyDescent="0.25">
      <c r="C4197" t="s">
        <v>45</v>
      </c>
      <c r="D4197" t="s">
        <v>23</v>
      </c>
      <c r="E4197" t="s">
        <v>43</v>
      </c>
      <c r="F4197" t="s">
        <v>41</v>
      </c>
      <c r="G4197" s="89">
        <v>78428</v>
      </c>
      <c r="H4197" t="s">
        <v>140</v>
      </c>
      <c r="I4197" t="s">
        <v>126</v>
      </c>
      <c r="J4197" s="89">
        <v>1333276</v>
      </c>
      <c r="K4197" t="s">
        <v>144</v>
      </c>
      <c r="N4197">
        <v>1</v>
      </c>
      <c r="O4197" s="89">
        <v>2352.84</v>
      </c>
      <c r="P4197" s="89">
        <v>42351.12</v>
      </c>
      <c r="Q4197" t="s">
        <v>142</v>
      </c>
      <c r="R4197" t="s">
        <v>131</v>
      </c>
    </row>
    <row r="4198" spans="3:18" hidden="1" x14ac:dyDescent="0.25">
      <c r="C4198" t="s">
        <v>45</v>
      </c>
      <c r="D4198" t="s">
        <v>23</v>
      </c>
      <c r="E4198" t="s">
        <v>40</v>
      </c>
      <c r="F4198" t="s">
        <v>41</v>
      </c>
      <c r="G4198" s="89">
        <v>100978</v>
      </c>
      <c r="H4198" t="s">
        <v>132</v>
      </c>
      <c r="I4198" t="s">
        <v>147</v>
      </c>
      <c r="J4198" s="89">
        <v>403912</v>
      </c>
      <c r="K4198" t="s">
        <v>127</v>
      </c>
      <c r="L4198" t="s">
        <v>128</v>
      </c>
      <c r="N4198">
        <v>1</v>
      </c>
      <c r="O4198" s="89">
        <v>4039.12</v>
      </c>
      <c r="P4198" s="89">
        <v>46449.88</v>
      </c>
      <c r="Q4198" t="s">
        <v>142</v>
      </c>
      <c r="R4198" t="s">
        <v>131</v>
      </c>
    </row>
    <row r="4199" spans="3:18" hidden="1" x14ac:dyDescent="0.25">
      <c r="C4199" t="s">
        <v>45</v>
      </c>
      <c r="D4199" t="s">
        <v>20</v>
      </c>
      <c r="E4199" t="s">
        <v>48</v>
      </c>
      <c r="F4199" t="s">
        <v>41</v>
      </c>
      <c r="G4199" s="89">
        <v>22526</v>
      </c>
      <c r="H4199" t="s">
        <v>42</v>
      </c>
      <c r="I4199" t="s">
        <v>126</v>
      </c>
      <c r="J4199" s="89">
        <v>270312</v>
      </c>
      <c r="K4199" t="s">
        <v>127</v>
      </c>
      <c r="L4199" t="s">
        <v>128</v>
      </c>
      <c r="M4199" t="s">
        <v>139</v>
      </c>
      <c r="N4199">
        <v>1</v>
      </c>
      <c r="O4199" s="89">
        <v>225.26</v>
      </c>
      <c r="P4199" s="89">
        <v>1351.56</v>
      </c>
      <c r="Q4199" t="s">
        <v>130</v>
      </c>
      <c r="R4199" t="s">
        <v>131</v>
      </c>
    </row>
    <row r="4200" spans="3:18" hidden="1" x14ac:dyDescent="0.25">
      <c r="C4200" t="s">
        <v>45</v>
      </c>
      <c r="D4200" t="s">
        <v>20</v>
      </c>
      <c r="E4200" t="s">
        <v>43</v>
      </c>
      <c r="F4200" t="s">
        <v>41</v>
      </c>
      <c r="G4200" s="89">
        <v>23646498</v>
      </c>
      <c r="H4200" t="s">
        <v>132</v>
      </c>
      <c r="I4200" t="s">
        <v>133</v>
      </c>
      <c r="J4200" s="89">
        <v>685748442</v>
      </c>
      <c r="K4200" t="s">
        <v>127</v>
      </c>
      <c r="L4200" t="s">
        <v>128</v>
      </c>
      <c r="N4200">
        <v>1</v>
      </c>
      <c r="O4200" s="89">
        <v>709394.94</v>
      </c>
      <c r="P4200" s="89">
        <v>16316083.619999999</v>
      </c>
      <c r="Q4200" t="s">
        <v>137</v>
      </c>
      <c r="R4200" t="s">
        <v>131</v>
      </c>
    </row>
    <row r="4201" spans="3:18" hidden="1" x14ac:dyDescent="0.25">
      <c r="C4201" t="s">
        <v>45</v>
      </c>
      <c r="D4201" t="s">
        <v>22</v>
      </c>
      <c r="E4201" t="s">
        <v>40</v>
      </c>
      <c r="F4201" t="s">
        <v>41</v>
      </c>
      <c r="G4201" s="89">
        <v>489505</v>
      </c>
      <c r="H4201" t="s">
        <v>42</v>
      </c>
      <c r="I4201" t="s">
        <v>147</v>
      </c>
      <c r="J4201" s="89">
        <v>1958020</v>
      </c>
      <c r="K4201" t="s">
        <v>127</v>
      </c>
      <c r="L4201" t="s">
        <v>128</v>
      </c>
      <c r="M4201" t="s">
        <v>143</v>
      </c>
      <c r="N4201">
        <v>1</v>
      </c>
      <c r="O4201" s="89">
        <v>19580.2</v>
      </c>
      <c r="P4201" s="89">
        <v>220277.25</v>
      </c>
      <c r="Q4201" t="s">
        <v>142</v>
      </c>
      <c r="R4201" t="s">
        <v>131</v>
      </c>
    </row>
    <row r="4202" spans="3:18" hidden="1" x14ac:dyDescent="0.25">
      <c r="C4202" t="s">
        <v>45</v>
      </c>
      <c r="D4202" t="s">
        <v>22</v>
      </c>
      <c r="E4202" t="s">
        <v>40</v>
      </c>
      <c r="F4202" t="s">
        <v>41</v>
      </c>
      <c r="G4202" s="89">
        <v>130371</v>
      </c>
      <c r="H4202" t="s">
        <v>146</v>
      </c>
      <c r="I4202" t="s">
        <v>153</v>
      </c>
      <c r="J4202" s="89"/>
      <c r="K4202" t="s">
        <v>127</v>
      </c>
      <c r="L4202" t="s">
        <v>128</v>
      </c>
      <c r="N4202">
        <v>0</v>
      </c>
      <c r="O4202" s="89">
        <v>5214.84</v>
      </c>
      <c r="P4202" s="89">
        <v>83437.440000000002</v>
      </c>
      <c r="Q4202" t="s">
        <v>137</v>
      </c>
      <c r="R4202" t="s">
        <v>131</v>
      </c>
    </row>
    <row r="4203" spans="3:18" x14ac:dyDescent="0.25">
      <c r="C4203" t="s">
        <v>47</v>
      </c>
      <c r="D4203" t="s">
        <v>19</v>
      </c>
      <c r="E4203" t="s">
        <v>43</v>
      </c>
      <c r="F4203" t="s">
        <v>41</v>
      </c>
      <c r="G4203" s="89">
        <v>15921</v>
      </c>
      <c r="H4203" t="s">
        <v>42</v>
      </c>
      <c r="I4203" t="s">
        <v>147</v>
      </c>
      <c r="J4203" s="89">
        <v>47763</v>
      </c>
      <c r="K4203" t="s">
        <v>127</v>
      </c>
      <c r="L4203" t="s">
        <v>128</v>
      </c>
      <c r="M4203" t="s">
        <v>136</v>
      </c>
      <c r="N4203">
        <v>1</v>
      </c>
      <c r="O4203" s="89">
        <v>955.26</v>
      </c>
      <c r="P4203" s="89">
        <v>5253.93</v>
      </c>
      <c r="Q4203" t="s">
        <v>130</v>
      </c>
      <c r="R4203" t="s">
        <v>131</v>
      </c>
    </row>
    <row r="4204" spans="3:18" x14ac:dyDescent="0.25">
      <c r="C4204" t="s">
        <v>47</v>
      </c>
      <c r="D4204" t="s">
        <v>21</v>
      </c>
      <c r="E4204" t="s">
        <v>40</v>
      </c>
      <c r="F4204" t="s">
        <v>41</v>
      </c>
      <c r="G4204" s="89">
        <v>36517094</v>
      </c>
      <c r="H4204" t="s">
        <v>146</v>
      </c>
      <c r="I4204" t="s">
        <v>141</v>
      </c>
      <c r="J4204" s="89">
        <v>292136752</v>
      </c>
      <c r="K4204" t="s">
        <v>127</v>
      </c>
      <c r="L4204" t="s">
        <v>128</v>
      </c>
      <c r="N4204">
        <v>1</v>
      </c>
      <c r="O4204" s="89">
        <v>1460683.76</v>
      </c>
      <c r="P4204" s="89">
        <v>17893376.059999999</v>
      </c>
      <c r="Q4204" t="s">
        <v>142</v>
      </c>
      <c r="R4204" t="s">
        <v>131</v>
      </c>
    </row>
    <row r="4205" spans="3:18" hidden="1" x14ac:dyDescent="0.25">
      <c r="C4205" t="s">
        <v>45</v>
      </c>
      <c r="D4205" t="s">
        <v>24</v>
      </c>
      <c r="E4205" t="s">
        <v>48</v>
      </c>
      <c r="F4205" t="s">
        <v>41</v>
      </c>
      <c r="G4205" s="89">
        <v>26701</v>
      </c>
      <c r="H4205" t="s">
        <v>145</v>
      </c>
      <c r="I4205" t="s">
        <v>147</v>
      </c>
      <c r="J4205" s="89">
        <v>80103</v>
      </c>
      <c r="K4205" t="s">
        <v>127</v>
      </c>
      <c r="L4205" t="s">
        <v>128</v>
      </c>
      <c r="N4205">
        <v>1</v>
      </c>
      <c r="O4205" s="89">
        <v>801.03</v>
      </c>
      <c r="P4205" s="89">
        <v>13617.51</v>
      </c>
      <c r="Q4205" t="s">
        <v>142</v>
      </c>
      <c r="R4205" t="s">
        <v>131</v>
      </c>
    </row>
    <row r="4206" spans="3:18" x14ac:dyDescent="0.25">
      <c r="C4206" t="s">
        <v>47</v>
      </c>
      <c r="D4206" t="s">
        <v>21</v>
      </c>
      <c r="E4206" t="s">
        <v>40</v>
      </c>
      <c r="F4206" t="s">
        <v>41</v>
      </c>
      <c r="G4206" s="89">
        <v>91615817</v>
      </c>
      <c r="H4206" t="s">
        <v>140</v>
      </c>
      <c r="I4206" t="s">
        <v>147</v>
      </c>
      <c r="J4206" s="89">
        <v>183231634</v>
      </c>
      <c r="K4206" t="s">
        <v>127</v>
      </c>
      <c r="L4206" t="s">
        <v>128</v>
      </c>
      <c r="N4206">
        <v>1</v>
      </c>
      <c r="O4206" s="89">
        <v>4580790.8499999996</v>
      </c>
      <c r="P4206" s="89">
        <v>15574688.890000001</v>
      </c>
      <c r="Q4206" t="s">
        <v>130</v>
      </c>
      <c r="R4206" t="s">
        <v>131</v>
      </c>
    </row>
    <row r="4207" spans="3:18" x14ac:dyDescent="0.25">
      <c r="C4207" t="s">
        <v>47</v>
      </c>
      <c r="D4207" t="s">
        <v>21</v>
      </c>
      <c r="E4207" t="s">
        <v>40</v>
      </c>
      <c r="F4207" t="s">
        <v>41</v>
      </c>
      <c r="G4207" s="89">
        <v>14044350</v>
      </c>
      <c r="H4207" t="s">
        <v>154</v>
      </c>
      <c r="I4207" t="s">
        <v>141</v>
      </c>
      <c r="J4207" s="89">
        <v>98310450</v>
      </c>
      <c r="K4207" t="s">
        <v>127</v>
      </c>
      <c r="L4207" t="s">
        <v>128</v>
      </c>
      <c r="N4207">
        <v>1</v>
      </c>
      <c r="O4207" s="89">
        <v>561774</v>
      </c>
      <c r="P4207" s="89">
        <v>1685322</v>
      </c>
      <c r="Q4207" t="s">
        <v>130</v>
      </c>
      <c r="R4207" t="s">
        <v>131</v>
      </c>
    </row>
    <row r="4208" spans="3:18" hidden="1" x14ac:dyDescent="0.25">
      <c r="C4208" t="s">
        <v>45</v>
      </c>
      <c r="D4208" t="s">
        <v>25</v>
      </c>
      <c r="E4208" t="s">
        <v>48</v>
      </c>
      <c r="F4208" t="s">
        <v>41</v>
      </c>
      <c r="G4208" s="89">
        <v>583174</v>
      </c>
      <c r="H4208" t="s">
        <v>145</v>
      </c>
      <c r="I4208" t="s">
        <v>126</v>
      </c>
      <c r="J4208" s="89">
        <v>9330784</v>
      </c>
      <c r="K4208" t="s">
        <v>127</v>
      </c>
      <c r="L4208" t="s">
        <v>128</v>
      </c>
      <c r="N4208">
        <v>1</v>
      </c>
      <c r="O4208" s="89">
        <v>17495.22</v>
      </c>
      <c r="P4208" s="89">
        <v>279923.52</v>
      </c>
      <c r="Q4208" t="s">
        <v>142</v>
      </c>
      <c r="R4208" t="s">
        <v>131</v>
      </c>
    </row>
    <row r="4209" spans="3:18" x14ac:dyDescent="0.25">
      <c r="C4209" t="s">
        <v>47</v>
      </c>
      <c r="D4209" t="s">
        <v>21</v>
      </c>
      <c r="E4209" t="s">
        <v>40</v>
      </c>
      <c r="F4209" t="s">
        <v>41</v>
      </c>
      <c r="G4209" s="89">
        <v>253000</v>
      </c>
      <c r="H4209" t="s">
        <v>132</v>
      </c>
      <c r="I4209" t="s">
        <v>141</v>
      </c>
      <c r="J4209" s="89">
        <v>2024000</v>
      </c>
      <c r="K4209" t="s">
        <v>127</v>
      </c>
      <c r="L4209" t="s">
        <v>128</v>
      </c>
      <c r="N4209">
        <v>1</v>
      </c>
      <c r="O4209" s="89">
        <v>15180</v>
      </c>
      <c r="P4209" s="89">
        <v>278300</v>
      </c>
      <c r="Q4209" t="s">
        <v>150</v>
      </c>
      <c r="R4209" t="s">
        <v>131</v>
      </c>
    </row>
    <row r="4210" spans="3:18" hidden="1" x14ac:dyDescent="0.25">
      <c r="C4210" t="s">
        <v>45</v>
      </c>
      <c r="D4210" t="s">
        <v>20</v>
      </c>
      <c r="E4210" t="s">
        <v>48</v>
      </c>
      <c r="F4210" t="s">
        <v>41</v>
      </c>
      <c r="G4210" s="89">
        <v>428037</v>
      </c>
      <c r="H4210" t="s">
        <v>42</v>
      </c>
      <c r="I4210" t="s">
        <v>133</v>
      </c>
      <c r="J4210" s="89">
        <v>11985036</v>
      </c>
      <c r="K4210" t="s">
        <v>127</v>
      </c>
      <c r="L4210" t="s">
        <v>128</v>
      </c>
      <c r="M4210" t="s">
        <v>139</v>
      </c>
      <c r="N4210">
        <v>1</v>
      </c>
      <c r="O4210" s="89">
        <v>12841.11</v>
      </c>
      <c r="P4210" s="89">
        <v>128411.1</v>
      </c>
      <c r="Q4210" t="s">
        <v>130</v>
      </c>
      <c r="R4210" t="s">
        <v>131</v>
      </c>
    </row>
    <row r="4211" spans="3:18" x14ac:dyDescent="0.25">
      <c r="C4211" t="s">
        <v>47</v>
      </c>
      <c r="D4211" t="s">
        <v>23</v>
      </c>
      <c r="E4211" t="s">
        <v>43</v>
      </c>
      <c r="F4211" t="s">
        <v>41</v>
      </c>
      <c r="G4211" s="89">
        <v>868441</v>
      </c>
      <c r="H4211" t="s">
        <v>146</v>
      </c>
      <c r="I4211" t="s">
        <v>147</v>
      </c>
      <c r="J4211" s="89">
        <v>2605323</v>
      </c>
      <c r="K4211" t="s">
        <v>127</v>
      </c>
      <c r="L4211" t="s">
        <v>128</v>
      </c>
      <c r="N4211">
        <v>1</v>
      </c>
      <c r="O4211" s="89">
        <v>43422.05</v>
      </c>
      <c r="P4211" s="89">
        <v>34737.64</v>
      </c>
      <c r="Q4211" t="s">
        <v>130</v>
      </c>
      <c r="R4211" t="s">
        <v>131</v>
      </c>
    </row>
    <row r="4212" spans="3:18" hidden="1" x14ac:dyDescent="0.25">
      <c r="C4212" t="s">
        <v>45</v>
      </c>
      <c r="D4212" t="s">
        <v>21</v>
      </c>
      <c r="E4212" t="s">
        <v>43</v>
      </c>
      <c r="F4212" t="s">
        <v>41</v>
      </c>
      <c r="G4212" s="89">
        <v>61697029</v>
      </c>
      <c r="H4212" t="s">
        <v>146</v>
      </c>
      <c r="I4212" t="s">
        <v>133</v>
      </c>
      <c r="J4212" s="89">
        <v>1542425725</v>
      </c>
      <c r="K4212" t="s">
        <v>127</v>
      </c>
      <c r="L4212" t="s">
        <v>128</v>
      </c>
      <c r="N4212">
        <v>1</v>
      </c>
      <c r="O4212" s="89">
        <v>1850910.87</v>
      </c>
      <c r="P4212" s="89">
        <v>15424257.25</v>
      </c>
      <c r="Q4212" t="s">
        <v>130</v>
      </c>
      <c r="R4212" t="s">
        <v>131</v>
      </c>
    </row>
    <row r="4213" spans="3:18" hidden="1" x14ac:dyDescent="0.25">
      <c r="C4213" t="s">
        <v>45</v>
      </c>
      <c r="D4213" t="s">
        <v>22</v>
      </c>
      <c r="E4213" t="s">
        <v>52</v>
      </c>
      <c r="F4213" t="s">
        <v>41</v>
      </c>
      <c r="G4213" s="89">
        <v>790174</v>
      </c>
      <c r="H4213" t="s">
        <v>42</v>
      </c>
      <c r="I4213" t="s">
        <v>133</v>
      </c>
      <c r="J4213" s="89">
        <v>23705220</v>
      </c>
      <c r="K4213" t="s">
        <v>127</v>
      </c>
      <c r="L4213" t="s">
        <v>128</v>
      </c>
      <c r="M4213" t="s">
        <v>143</v>
      </c>
      <c r="N4213">
        <v>1</v>
      </c>
      <c r="O4213" s="89">
        <v>31606.959999999999</v>
      </c>
      <c r="P4213" s="89">
        <v>442497.44</v>
      </c>
      <c r="Q4213" t="s">
        <v>142</v>
      </c>
      <c r="R4213" t="s">
        <v>42</v>
      </c>
    </row>
    <row r="4214" spans="3:18" hidden="1" x14ac:dyDescent="0.25">
      <c r="C4214" t="s">
        <v>45</v>
      </c>
      <c r="D4214" t="s">
        <v>24</v>
      </c>
      <c r="E4214" t="s">
        <v>48</v>
      </c>
      <c r="F4214" t="s">
        <v>41</v>
      </c>
      <c r="G4214" s="89">
        <v>300912</v>
      </c>
      <c r="H4214" t="s">
        <v>42</v>
      </c>
      <c r="I4214" t="s">
        <v>126</v>
      </c>
      <c r="J4214" s="89">
        <v>4513680</v>
      </c>
      <c r="K4214" t="s">
        <v>144</v>
      </c>
      <c r="N4214">
        <v>1</v>
      </c>
      <c r="O4214" s="89">
        <v>9027.36</v>
      </c>
      <c r="P4214" s="89">
        <v>60182.400000000001</v>
      </c>
      <c r="Q4214" t="s">
        <v>130</v>
      </c>
      <c r="R4214" t="s">
        <v>131</v>
      </c>
    </row>
    <row r="4215" spans="3:18" hidden="1" x14ac:dyDescent="0.25">
      <c r="C4215" t="s">
        <v>45</v>
      </c>
      <c r="D4215" t="s">
        <v>21</v>
      </c>
      <c r="E4215" t="s">
        <v>40</v>
      </c>
      <c r="F4215" t="s">
        <v>41</v>
      </c>
      <c r="G4215" s="89">
        <v>142298</v>
      </c>
      <c r="H4215" t="s">
        <v>132</v>
      </c>
      <c r="I4215" t="s">
        <v>133</v>
      </c>
      <c r="J4215" s="89">
        <v>3699748</v>
      </c>
      <c r="K4215" t="s">
        <v>127</v>
      </c>
      <c r="L4215" t="s">
        <v>128</v>
      </c>
      <c r="N4215">
        <v>1</v>
      </c>
      <c r="O4215" s="89">
        <v>4268.9399999999996</v>
      </c>
      <c r="P4215" s="89">
        <v>162219.72</v>
      </c>
      <c r="Q4215" t="s">
        <v>150</v>
      </c>
      <c r="R4215" t="s">
        <v>131</v>
      </c>
    </row>
    <row r="4216" spans="3:18" hidden="1" x14ac:dyDescent="0.25">
      <c r="C4216" t="s">
        <v>45</v>
      </c>
      <c r="D4216" t="s">
        <v>50</v>
      </c>
      <c r="E4216" t="s">
        <v>50</v>
      </c>
      <c r="F4216" t="s">
        <v>53</v>
      </c>
      <c r="G4216" s="89">
        <v>1417641</v>
      </c>
      <c r="H4216" t="s">
        <v>79</v>
      </c>
      <c r="I4216" t="s">
        <v>133</v>
      </c>
      <c r="J4216" s="89">
        <v>42529230</v>
      </c>
      <c r="K4216" t="s">
        <v>127</v>
      </c>
      <c r="N4216">
        <v>1</v>
      </c>
      <c r="O4216" s="89">
        <v>42529.23</v>
      </c>
      <c r="P4216" s="89">
        <v>1701169.2</v>
      </c>
      <c r="Q4216" t="s">
        <v>150</v>
      </c>
      <c r="R4216" t="s">
        <v>79</v>
      </c>
    </row>
    <row r="4217" spans="3:18" x14ac:dyDescent="0.25">
      <c r="C4217" t="s">
        <v>47</v>
      </c>
      <c r="D4217" t="s">
        <v>138</v>
      </c>
      <c r="E4217" t="s">
        <v>40</v>
      </c>
      <c r="F4217" t="s">
        <v>41</v>
      </c>
      <c r="G4217" s="89">
        <v>188000</v>
      </c>
      <c r="H4217" t="s">
        <v>145</v>
      </c>
      <c r="I4217" t="s">
        <v>147</v>
      </c>
      <c r="J4217" s="89">
        <v>564000</v>
      </c>
      <c r="K4217" t="s">
        <v>127</v>
      </c>
      <c r="L4217" t="s">
        <v>128</v>
      </c>
      <c r="N4217">
        <v>1</v>
      </c>
      <c r="O4217" s="89">
        <v>13160</v>
      </c>
      <c r="P4217" s="89">
        <v>148520</v>
      </c>
      <c r="Q4217" t="s">
        <v>137</v>
      </c>
      <c r="R4217" t="s">
        <v>131</v>
      </c>
    </row>
    <row r="4218" spans="3:18" hidden="1" x14ac:dyDescent="0.25">
      <c r="C4218" t="s">
        <v>45</v>
      </c>
      <c r="D4218" t="s">
        <v>23</v>
      </c>
      <c r="E4218" t="s">
        <v>48</v>
      </c>
      <c r="F4218" t="s">
        <v>41</v>
      </c>
      <c r="G4218" s="89">
        <v>1745584</v>
      </c>
      <c r="H4218" t="s">
        <v>140</v>
      </c>
      <c r="I4218" t="s">
        <v>126</v>
      </c>
      <c r="J4218" s="89">
        <v>26183760</v>
      </c>
      <c r="K4218" t="s">
        <v>144</v>
      </c>
      <c r="N4218">
        <v>1</v>
      </c>
      <c r="O4218" s="89">
        <v>52367.519999999997</v>
      </c>
      <c r="P4218" s="89">
        <v>436396</v>
      </c>
      <c r="Q4218" t="s">
        <v>130</v>
      </c>
      <c r="R4218" t="s">
        <v>131</v>
      </c>
    </row>
    <row r="4219" spans="3:18" hidden="1" x14ac:dyDescent="0.25">
      <c r="C4219" t="s">
        <v>45</v>
      </c>
      <c r="D4219" t="s">
        <v>24</v>
      </c>
      <c r="E4219" t="s">
        <v>40</v>
      </c>
      <c r="F4219" t="s">
        <v>41</v>
      </c>
      <c r="G4219" s="89">
        <v>2385476</v>
      </c>
      <c r="H4219" t="s">
        <v>145</v>
      </c>
      <c r="I4219" t="s">
        <v>133</v>
      </c>
      <c r="J4219" s="89">
        <v>64407852</v>
      </c>
      <c r="K4219" t="s">
        <v>127</v>
      </c>
      <c r="L4219" t="s">
        <v>128</v>
      </c>
      <c r="N4219">
        <v>1</v>
      </c>
      <c r="O4219" s="89">
        <v>71564.28</v>
      </c>
      <c r="P4219" s="89">
        <v>715642.8</v>
      </c>
      <c r="Q4219" t="s">
        <v>130</v>
      </c>
      <c r="R4219" t="s">
        <v>131</v>
      </c>
    </row>
    <row r="4220" spans="3:18" hidden="1" x14ac:dyDescent="0.25">
      <c r="C4220" t="s">
        <v>45</v>
      </c>
      <c r="D4220" t="s">
        <v>24</v>
      </c>
      <c r="E4220" t="s">
        <v>48</v>
      </c>
      <c r="F4220" t="s">
        <v>41</v>
      </c>
      <c r="G4220" s="89">
        <v>115528</v>
      </c>
      <c r="H4220" t="s">
        <v>132</v>
      </c>
      <c r="I4220" t="s">
        <v>126</v>
      </c>
      <c r="J4220" s="89">
        <v>1963976</v>
      </c>
      <c r="K4220" t="s">
        <v>127</v>
      </c>
      <c r="L4220" t="s">
        <v>128</v>
      </c>
      <c r="N4220">
        <v>1</v>
      </c>
      <c r="O4220" s="89">
        <v>4621.12</v>
      </c>
      <c r="P4220" s="89">
        <v>97043.520000000004</v>
      </c>
      <c r="Q4220" t="s">
        <v>135</v>
      </c>
      <c r="R4220" t="s">
        <v>131</v>
      </c>
    </row>
    <row r="4221" spans="3:18" hidden="1" x14ac:dyDescent="0.25">
      <c r="C4221" t="s">
        <v>45</v>
      </c>
      <c r="D4221" t="s">
        <v>20</v>
      </c>
      <c r="E4221" t="s">
        <v>44</v>
      </c>
      <c r="F4221" t="s">
        <v>41</v>
      </c>
      <c r="G4221" s="89">
        <v>87916</v>
      </c>
      <c r="H4221" t="s">
        <v>42</v>
      </c>
      <c r="I4221" t="s">
        <v>126</v>
      </c>
      <c r="J4221" s="89">
        <v>1142908</v>
      </c>
      <c r="K4221" t="s">
        <v>127</v>
      </c>
      <c r="L4221" t="s">
        <v>128</v>
      </c>
      <c r="M4221" t="s">
        <v>139</v>
      </c>
      <c r="N4221">
        <v>1</v>
      </c>
      <c r="O4221" s="89">
        <v>4395.8</v>
      </c>
      <c r="P4221" s="89">
        <v>41320.519999999997</v>
      </c>
      <c r="Q4221" t="s">
        <v>142</v>
      </c>
      <c r="R4221" t="s">
        <v>131</v>
      </c>
    </row>
    <row r="4222" spans="3:18" hidden="1" x14ac:dyDescent="0.25">
      <c r="C4222" t="s">
        <v>45</v>
      </c>
      <c r="D4222" t="s">
        <v>23</v>
      </c>
      <c r="E4222" t="s">
        <v>44</v>
      </c>
      <c r="F4222" t="s">
        <v>41</v>
      </c>
      <c r="G4222" s="89">
        <v>59927</v>
      </c>
      <c r="H4222" t="s">
        <v>42</v>
      </c>
      <c r="I4222" t="s">
        <v>141</v>
      </c>
      <c r="J4222" s="89">
        <v>479416</v>
      </c>
      <c r="K4222" t="s">
        <v>144</v>
      </c>
      <c r="N4222">
        <v>1</v>
      </c>
      <c r="O4222" s="89">
        <v>1797.81</v>
      </c>
      <c r="P4222" s="89">
        <v>13783.21</v>
      </c>
      <c r="Q4222" t="s">
        <v>130</v>
      </c>
      <c r="R4222" t="s">
        <v>42</v>
      </c>
    </row>
    <row r="4223" spans="3:18" hidden="1" x14ac:dyDescent="0.25">
      <c r="C4223" t="s">
        <v>45</v>
      </c>
      <c r="D4223" t="s">
        <v>50</v>
      </c>
      <c r="E4223" t="s">
        <v>50</v>
      </c>
      <c r="F4223" t="s">
        <v>41</v>
      </c>
      <c r="G4223" s="89">
        <v>2358991</v>
      </c>
      <c r="H4223" t="s">
        <v>79</v>
      </c>
      <c r="I4223" t="s">
        <v>141</v>
      </c>
      <c r="J4223" s="89">
        <v>16512937</v>
      </c>
      <c r="K4223" t="s">
        <v>127</v>
      </c>
      <c r="N4223">
        <v>1</v>
      </c>
      <c r="O4223" s="89">
        <v>70769.73</v>
      </c>
      <c r="P4223" s="89">
        <v>3043098.39</v>
      </c>
      <c r="Q4223" t="s">
        <v>150</v>
      </c>
      <c r="R4223" t="s">
        <v>79</v>
      </c>
    </row>
    <row r="4224" spans="3:18" hidden="1" x14ac:dyDescent="0.25">
      <c r="C4224" t="s">
        <v>45</v>
      </c>
      <c r="D4224" t="s">
        <v>149</v>
      </c>
      <c r="E4224" t="s">
        <v>48</v>
      </c>
      <c r="F4224" t="s">
        <v>41</v>
      </c>
      <c r="G4224" s="89">
        <v>1168365</v>
      </c>
      <c r="H4224" t="s">
        <v>42</v>
      </c>
      <c r="I4224" t="s">
        <v>133</v>
      </c>
      <c r="J4224" s="89">
        <v>35050950</v>
      </c>
      <c r="K4224" t="s">
        <v>127</v>
      </c>
      <c r="L4224" t="s">
        <v>128</v>
      </c>
      <c r="M4224" t="s">
        <v>136</v>
      </c>
      <c r="N4224">
        <v>1</v>
      </c>
      <c r="O4224" s="89">
        <v>46734.6</v>
      </c>
      <c r="P4224" s="89">
        <v>303774.90000000002</v>
      </c>
      <c r="Q4224" t="s">
        <v>130</v>
      </c>
      <c r="R4224" t="s">
        <v>131</v>
      </c>
    </row>
    <row r="4225" spans="3:18" hidden="1" x14ac:dyDescent="0.25">
      <c r="C4225" t="s">
        <v>45</v>
      </c>
      <c r="D4225" t="s">
        <v>21</v>
      </c>
      <c r="E4225" t="s">
        <v>40</v>
      </c>
      <c r="F4225" t="s">
        <v>41</v>
      </c>
      <c r="G4225" s="89">
        <v>116194</v>
      </c>
      <c r="H4225" t="s">
        <v>146</v>
      </c>
      <c r="I4225" t="s">
        <v>126</v>
      </c>
      <c r="J4225" s="89">
        <v>2323880</v>
      </c>
      <c r="K4225" t="s">
        <v>144</v>
      </c>
      <c r="N4225">
        <v>1</v>
      </c>
      <c r="O4225" s="89">
        <v>3485.82</v>
      </c>
      <c r="P4225" s="89">
        <v>12781.34</v>
      </c>
      <c r="Q4225" t="s">
        <v>130</v>
      </c>
      <c r="R4225" t="s">
        <v>131</v>
      </c>
    </row>
    <row r="4226" spans="3:18" hidden="1" x14ac:dyDescent="0.25">
      <c r="C4226" t="s">
        <v>45</v>
      </c>
      <c r="D4226" t="s">
        <v>24</v>
      </c>
      <c r="E4226" t="s">
        <v>40</v>
      </c>
      <c r="F4226" t="s">
        <v>41</v>
      </c>
      <c r="G4226" s="89">
        <v>75742</v>
      </c>
      <c r="H4226" t="s">
        <v>145</v>
      </c>
      <c r="I4226" t="s">
        <v>141</v>
      </c>
      <c r="J4226" s="89">
        <v>605936</v>
      </c>
      <c r="K4226" t="s">
        <v>127</v>
      </c>
      <c r="L4226" t="s">
        <v>128</v>
      </c>
      <c r="N4226">
        <v>1</v>
      </c>
      <c r="O4226" s="89">
        <v>2272.2600000000002</v>
      </c>
      <c r="P4226" s="89">
        <v>40900.68</v>
      </c>
      <c r="Q4226" t="s">
        <v>142</v>
      </c>
      <c r="R4226" t="s">
        <v>131</v>
      </c>
    </row>
    <row r="4227" spans="3:18" hidden="1" x14ac:dyDescent="0.25">
      <c r="C4227" t="s">
        <v>45</v>
      </c>
      <c r="D4227" t="s">
        <v>23</v>
      </c>
      <c r="E4227" t="s">
        <v>40</v>
      </c>
      <c r="F4227" t="s">
        <v>41</v>
      </c>
      <c r="G4227" s="89">
        <v>27245450</v>
      </c>
      <c r="H4227" t="s">
        <v>132</v>
      </c>
      <c r="I4227" t="s">
        <v>126</v>
      </c>
      <c r="J4227" s="89">
        <v>435927200</v>
      </c>
      <c r="K4227" t="s">
        <v>127</v>
      </c>
      <c r="L4227" t="s">
        <v>128</v>
      </c>
      <c r="N4227">
        <v>1</v>
      </c>
      <c r="O4227" s="89">
        <v>817363.5</v>
      </c>
      <c r="P4227" s="89">
        <v>13350270.5</v>
      </c>
      <c r="Q4227" t="s">
        <v>142</v>
      </c>
      <c r="R4227" t="s">
        <v>131</v>
      </c>
    </row>
    <row r="4228" spans="3:18" hidden="1" x14ac:dyDescent="0.25">
      <c r="C4228" t="s">
        <v>45</v>
      </c>
      <c r="D4228" t="s">
        <v>21</v>
      </c>
      <c r="E4228" t="s">
        <v>43</v>
      </c>
      <c r="F4228" t="s">
        <v>41</v>
      </c>
      <c r="G4228" s="89">
        <v>30459234</v>
      </c>
      <c r="H4228" t="s">
        <v>146</v>
      </c>
      <c r="I4228" t="s">
        <v>147</v>
      </c>
      <c r="J4228" s="89">
        <v>91377702</v>
      </c>
      <c r="K4228" t="s">
        <v>127</v>
      </c>
      <c r="L4228" t="s">
        <v>128</v>
      </c>
      <c r="N4228">
        <v>1</v>
      </c>
      <c r="O4228" s="89">
        <v>913777.02</v>
      </c>
      <c r="P4228" s="89">
        <v>3350515.74</v>
      </c>
      <c r="Q4228" t="s">
        <v>130</v>
      </c>
      <c r="R4228" t="s">
        <v>131</v>
      </c>
    </row>
    <row r="4229" spans="3:18" x14ac:dyDescent="0.25">
      <c r="C4229" t="s">
        <v>47</v>
      </c>
      <c r="D4229" t="s">
        <v>25</v>
      </c>
      <c r="E4229" t="s">
        <v>46</v>
      </c>
      <c r="F4229" t="s">
        <v>41</v>
      </c>
      <c r="G4229" s="89">
        <v>10</v>
      </c>
      <c r="H4229" t="s">
        <v>145</v>
      </c>
      <c r="I4229" t="s">
        <v>147</v>
      </c>
      <c r="J4229" s="89"/>
      <c r="K4229" t="s">
        <v>127</v>
      </c>
      <c r="L4229" t="s">
        <v>128</v>
      </c>
      <c r="N4229">
        <v>0</v>
      </c>
      <c r="O4229" s="89">
        <v>0</v>
      </c>
      <c r="P4229" s="89">
        <v>0</v>
      </c>
      <c r="Q4229" t="s">
        <v>130</v>
      </c>
      <c r="R4229" t="s">
        <v>131</v>
      </c>
    </row>
    <row r="4230" spans="3:18" hidden="1" x14ac:dyDescent="0.25">
      <c r="C4230" t="s">
        <v>45</v>
      </c>
      <c r="D4230" t="s">
        <v>20</v>
      </c>
      <c r="E4230" t="s">
        <v>43</v>
      </c>
      <c r="F4230" t="s">
        <v>53</v>
      </c>
      <c r="G4230" s="89">
        <v>234893</v>
      </c>
      <c r="H4230" t="s">
        <v>140</v>
      </c>
      <c r="I4230" t="s">
        <v>133</v>
      </c>
      <c r="J4230" s="89">
        <v>6577004</v>
      </c>
      <c r="K4230" t="s">
        <v>144</v>
      </c>
      <c r="N4230">
        <v>1</v>
      </c>
      <c r="O4230" s="89">
        <v>7046.79</v>
      </c>
      <c r="P4230" s="89">
        <v>42280.74</v>
      </c>
      <c r="Q4230" t="s">
        <v>130</v>
      </c>
      <c r="R4230" t="s">
        <v>131</v>
      </c>
    </row>
    <row r="4231" spans="3:18" hidden="1" x14ac:dyDescent="0.25">
      <c r="C4231" t="s">
        <v>45</v>
      </c>
      <c r="D4231" t="s">
        <v>21</v>
      </c>
      <c r="E4231" t="s">
        <v>40</v>
      </c>
      <c r="F4231" t="s">
        <v>41</v>
      </c>
      <c r="G4231" s="89">
        <v>121052</v>
      </c>
      <c r="H4231" t="s">
        <v>42</v>
      </c>
      <c r="I4231" t="s">
        <v>133</v>
      </c>
      <c r="J4231" s="89">
        <v>4236820</v>
      </c>
      <c r="K4231" t="s">
        <v>127</v>
      </c>
      <c r="L4231" t="s">
        <v>128</v>
      </c>
      <c r="M4231" t="s">
        <v>143</v>
      </c>
      <c r="N4231">
        <v>1</v>
      </c>
      <c r="O4231" s="89">
        <v>4842.08</v>
      </c>
      <c r="P4231" s="89">
        <v>56894.44</v>
      </c>
      <c r="Q4231" t="s">
        <v>142</v>
      </c>
      <c r="R4231" t="s">
        <v>42</v>
      </c>
    </row>
    <row r="4232" spans="3:18" hidden="1" x14ac:dyDescent="0.25">
      <c r="C4232" t="s">
        <v>45</v>
      </c>
      <c r="D4232" t="s">
        <v>21</v>
      </c>
      <c r="E4232" t="s">
        <v>43</v>
      </c>
      <c r="F4232" t="s">
        <v>41</v>
      </c>
      <c r="G4232" s="89">
        <v>3794647</v>
      </c>
      <c r="H4232" t="s">
        <v>42</v>
      </c>
      <c r="I4232" t="s">
        <v>126</v>
      </c>
      <c r="J4232" s="89">
        <v>60714352</v>
      </c>
      <c r="K4232" t="s">
        <v>144</v>
      </c>
      <c r="N4232">
        <v>1</v>
      </c>
      <c r="O4232" s="89">
        <v>113839.41</v>
      </c>
      <c r="P4232" s="89">
        <v>2580359.96</v>
      </c>
      <c r="Q4232" t="s">
        <v>137</v>
      </c>
      <c r="R4232" t="s">
        <v>131</v>
      </c>
    </row>
    <row r="4233" spans="3:18" hidden="1" x14ac:dyDescent="0.25">
      <c r="C4233" t="s">
        <v>45</v>
      </c>
      <c r="D4233" t="s">
        <v>20</v>
      </c>
      <c r="E4233" t="s">
        <v>48</v>
      </c>
      <c r="F4233" t="s">
        <v>41</v>
      </c>
      <c r="G4233" s="89">
        <v>207153</v>
      </c>
      <c r="H4233" t="s">
        <v>42</v>
      </c>
      <c r="I4233" t="s">
        <v>133</v>
      </c>
      <c r="J4233" s="89">
        <v>7664661</v>
      </c>
      <c r="K4233" t="s">
        <v>127</v>
      </c>
      <c r="L4233" t="s">
        <v>128</v>
      </c>
      <c r="M4233" t="s">
        <v>139</v>
      </c>
      <c r="N4233">
        <v>1</v>
      </c>
      <c r="O4233" s="89">
        <v>6214.59</v>
      </c>
      <c r="P4233" s="89">
        <v>142935.57</v>
      </c>
      <c r="Q4233" t="s">
        <v>137</v>
      </c>
      <c r="R4233" t="s">
        <v>42</v>
      </c>
    </row>
    <row r="4234" spans="3:18" hidden="1" x14ac:dyDescent="0.25">
      <c r="C4234" t="s">
        <v>45</v>
      </c>
      <c r="D4234" t="s">
        <v>24</v>
      </c>
      <c r="E4234" t="s">
        <v>44</v>
      </c>
      <c r="F4234" t="s">
        <v>41</v>
      </c>
      <c r="G4234" s="89">
        <v>130460</v>
      </c>
      <c r="H4234" t="s">
        <v>132</v>
      </c>
      <c r="I4234" t="s">
        <v>126</v>
      </c>
      <c r="J4234" s="89">
        <v>1565520</v>
      </c>
      <c r="K4234" t="s">
        <v>127</v>
      </c>
      <c r="L4234" t="s">
        <v>128</v>
      </c>
      <c r="N4234">
        <v>1</v>
      </c>
      <c r="O4234" s="89">
        <v>3913.8</v>
      </c>
      <c r="P4234" s="89">
        <v>36528.800000000003</v>
      </c>
      <c r="Q4234" t="s">
        <v>130</v>
      </c>
      <c r="R4234" t="s">
        <v>131</v>
      </c>
    </row>
    <row r="4235" spans="3:18" hidden="1" x14ac:dyDescent="0.25">
      <c r="C4235" t="s">
        <v>45</v>
      </c>
      <c r="D4235" t="s">
        <v>19</v>
      </c>
      <c r="E4235" t="s">
        <v>43</v>
      </c>
      <c r="F4235" t="s">
        <v>41</v>
      </c>
      <c r="G4235" s="89">
        <v>394165754</v>
      </c>
      <c r="H4235" t="s">
        <v>42</v>
      </c>
      <c r="I4235" t="s">
        <v>133</v>
      </c>
      <c r="J4235" s="89">
        <v>12613304128</v>
      </c>
      <c r="K4235" t="s">
        <v>127</v>
      </c>
      <c r="L4235" t="s">
        <v>128</v>
      </c>
      <c r="M4235" t="s">
        <v>136</v>
      </c>
      <c r="N4235">
        <v>1</v>
      </c>
      <c r="O4235" s="89">
        <v>11824972.619999999</v>
      </c>
      <c r="P4235" s="89">
        <v>279857685.33999997</v>
      </c>
      <c r="Q4235" t="s">
        <v>137</v>
      </c>
      <c r="R4235" t="s">
        <v>131</v>
      </c>
    </row>
    <row r="4236" spans="3:18" hidden="1" x14ac:dyDescent="0.25">
      <c r="C4236" t="s">
        <v>45</v>
      </c>
      <c r="D4236" t="s">
        <v>23</v>
      </c>
      <c r="E4236" t="s">
        <v>40</v>
      </c>
      <c r="F4236" t="s">
        <v>41</v>
      </c>
      <c r="G4236" s="89">
        <v>87768920</v>
      </c>
      <c r="H4236" t="s">
        <v>140</v>
      </c>
      <c r="I4236" t="s">
        <v>133</v>
      </c>
      <c r="J4236" s="89">
        <v>2457529760</v>
      </c>
      <c r="K4236" t="s">
        <v>127</v>
      </c>
      <c r="L4236" t="s">
        <v>128</v>
      </c>
      <c r="N4236">
        <v>1</v>
      </c>
      <c r="O4236" s="89">
        <v>2633067.6</v>
      </c>
      <c r="P4236" s="89">
        <v>59682865.600000001</v>
      </c>
      <c r="Q4236" t="s">
        <v>137</v>
      </c>
      <c r="R4236" t="s">
        <v>131</v>
      </c>
    </row>
    <row r="4237" spans="3:18" hidden="1" x14ac:dyDescent="0.25">
      <c r="C4237" t="s">
        <v>45</v>
      </c>
      <c r="D4237" t="s">
        <v>24</v>
      </c>
      <c r="E4237" t="s">
        <v>52</v>
      </c>
      <c r="F4237" t="s">
        <v>41</v>
      </c>
      <c r="G4237" s="89">
        <v>3298501</v>
      </c>
      <c r="H4237" t="s">
        <v>42</v>
      </c>
      <c r="I4237" t="s">
        <v>133</v>
      </c>
      <c r="J4237" s="89">
        <v>105552032</v>
      </c>
      <c r="K4237" t="s">
        <v>144</v>
      </c>
      <c r="N4237">
        <v>1</v>
      </c>
      <c r="O4237" s="89">
        <v>98955.03</v>
      </c>
      <c r="P4237" s="89">
        <v>824625.25</v>
      </c>
      <c r="Q4237" t="s">
        <v>130</v>
      </c>
      <c r="R4237" t="s">
        <v>42</v>
      </c>
    </row>
    <row r="4238" spans="3:18" hidden="1" x14ac:dyDescent="0.25">
      <c r="C4238" t="s">
        <v>45</v>
      </c>
      <c r="D4238" t="s">
        <v>22</v>
      </c>
      <c r="E4238" t="s">
        <v>48</v>
      </c>
      <c r="F4238" t="s">
        <v>41</v>
      </c>
      <c r="G4238" s="89">
        <v>28037253</v>
      </c>
      <c r="H4238" t="s">
        <v>42</v>
      </c>
      <c r="I4238" t="s">
        <v>133</v>
      </c>
      <c r="J4238" s="89">
        <v>981303855</v>
      </c>
      <c r="K4238" t="s">
        <v>127</v>
      </c>
      <c r="L4238" t="s">
        <v>128</v>
      </c>
      <c r="M4238" t="s">
        <v>143</v>
      </c>
      <c r="N4238">
        <v>1</v>
      </c>
      <c r="O4238" s="89">
        <v>841117.59</v>
      </c>
      <c r="P4238" s="89">
        <v>23270919.989999998</v>
      </c>
      <c r="Q4238" t="s">
        <v>135</v>
      </c>
      <c r="R4238" t="s">
        <v>42</v>
      </c>
    </row>
    <row r="4239" spans="3:18" hidden="1" x14ac:dyDescent="0.25">
      <c r="C4239" t="s">
        <v>45</v>
      </c>
      <c r="D4239" t="s">
        <v>23</v>
      </c>
      <c r="E4239" t="s">
        <v>46</v>
      </c>
      <c r="F4239" t="s">
        <v>41</v>
      </c>
      <c r="G4239" s="89">
        <v>18155796</v>
      </c>
      <c r="H4239" t="s">
        <v>42</v>
      </c>
      <c r="I4239" t="s">
        <v>133</v>
      </c>
      <c r="J4239" s="89">
        <v>580985472</v>
      </c>
      <c r="K4239" t="s">
        <v>127</v>
      </c>
      <c r="L4239" t="s">
        <v>128</v>
      </c>
      <c r="M4239" t="s">
        <v>152</v>
      </c>
      <c r="N4239">
        <v>1</v>
      </c>
      <c r="O4239" s="89">
        <v>544673.88</v>
      </c>
      <c r="P4239" s="89">
        <v>12890615.16</v>
      </c>
      <c r="Q4239" t="s">
        <v>137</v>
      </c>
      <c r="R4239" t="s">
        <v>42</v>
      </c>
    </row>
    <row r="4240" spans="3:18" hidden="1" x14ac:dyDescent="0.25">
      <c r="C4240" t="s">
        <v>45</v>
      </c>
      <c r="D4240" t="s">
        <v>24</v>
      </c>
      <c r="E4240" t="s">
        <v>44</v>
      </c>
      <c r="F4240" t="s">
        <v>41</v>
      </c>
      <c r="G4240" s="89">
        <v>166852</v>
      </c>
      <c r="H4240" t="s">
        <v>42</v>
      </c>
      <c r="I4240" t="s">
        <v>141</v>
      </c>
      <c r="J4240" s="89">
        <v>1501668</v>
      </c>
      <c r="K4240" t="s">
        <v>127</v>
      </c>
      <c r="L4240" t="s">
        <v>128</v>
      </c>
      <c r="M4240" t="s">
        <v>148</v>
      </c>
      <c r="N4240">
        <v>1</v>
      </c>
      <c r="O4240" s="89">
        <v>5005.5600000000004</v>
      </c>
      <c r="P4240" s="89">
        <v>76751.92</v>
      </c>
      <c r="Q4240" t="s">
        <v>142</v>
      </c>
      <c r="R4240" t="s">
        <v>131</v>
      </c>
    </row>
    <row r="4241" spans="3:18" hidden="1" x14ac:dyDescent="0.25">
      <c r="C4241" t="s">
        <v>45</v>
      </c>
      <c r="D4241" t="s">
        <v>24</v>
      </c>
      <c r="E4241" t="s">
        <v>43</v>
      </c>
      <c r="F4241" t="s">
        <v>41</v>
      </c>
      <c r="G4241" s="89">
        <v>123193</v>
      </c>
      <c r="H4241" t="s">
        <v>42</v>
      </c>
      <c r="I4241" t="s">
        <v>141</v>
      </c>
      <c r="J4241" s="89">
        <v>1108737</v>
      </c>
      <c r="K4241" t="s">
        <v>127</v>
      </c>
      <c r="L4241" t="s">
        <v>128</v>
      </c>
      <c r="M4241" t="s">
        <v>148</v>
      </c>
      <c r="N4241">
        <v>1</v>
      </c>
      <c r="O4241" s="89">
        <v>4927.72</v>
      </c>
      <c r="P4241" s="89">
        <v>72683.87</v>
      </c>
      <c r="Q4241" t="s">
        <v>142</v>
      </c>
      <c r="R4241" t="s">
        <v>42</v>
      </c>
    </row>
    <row r="4242" spans="3:18" hidden="1" x14ac:dyDescent="0.25">
      <c r="C4242" t="s">
        <v>45</v>
      </c>
      <c r="D4242" t="s">
        <v>24</v>
      </c>
      <c r="E4242" t="s">
        <v>43</v>
      </c>
      <c r="F4242" t="s">
        <v>41</v>
      </c>
      <c r="G4242" s="89">
        <v>1302069</v>
      </c>
      <c r="H4242" t="s">
        <v>42</v>
      </c>
      <c r="I4242" t="s">
        <v>133</v>
      </c>
      <c r="J4242" s="89">
        <v>44270346</v>
      </c>
      <c r="K4242" t="s">
        <v>144</v>
      </c>
      <c r="N4242">
        <v>1</v>
      </c>
      <c r="O4242" s="89">
        <v>39062.07</v>
      </c>
      <c r="P4242" s="89">
        <v>716137.95</v>
      </c>
      <c r="Q4242" t="s">
        <v>142</v>
      </c>
      <c r="R4242" t="s">
        <v>42</v>
      </c>
    </row>
    <row r="4243" spans="3:18" hidden="1" x14ac:dyDescent="0.25">
      <c r="C4243" t="s">
        <v>45</v>
      </c>
      <c r="D4243" t="s">
        <v>23</v>
      </c>
      <c r="E4243" t="s">
        <v>48</v>
      </c>
      <c r="F4243" t="s">
        <v>41</v>
      </c>
      <c r="G4243" s="89">
        <v>1580333</v>
      </c>
      <c r="H4243" t="s">
        <v>132</v>
      </c>
      <c r="I4243" t="s">
        <v>141</v>
      </c>
      <c r="J4243" s="89">
        <v>11062331</v>
      </c>
      <c r="K4243" t="s">
        <v>127</v>
      </c>
      <c r="L4243" t="s">
        <v>128</v>
      </c>
      <c r="N4243">
        <v>1</v>
      </c>
      <c r="O4243" s="89">
        <v>47409.99</v>
      </c>
      <c r="P4243" s="89">
        <v>426689.91</v>
      </c>
      <c r="Q4243" t="s">
        <v>130</v>
      </c>
      <c r="R4243" t="s">
        <v>131</v>
      </c>
    </row>
    <row r="4244" spans="3:18" hidden="1" x14ac:dyDescent="0.25">
      <c r="C4244" t="s">
        <v>45</v>
      </c>
      <c r="D4244" t="s">
        <v>149</v>
      </c>
      <c r="E4244" t="s">
        <v>43</v>
      </c>
      <c r="F4244" t="s">
        <v>41</v>
      </c>
      <c r="G4244" s="89">
        <v>424183</v>
      </c>
      <c r="H4244" t="s">
        <v>132</v>
      </c>
      <c r="I4244" t="s">
        <v>126</v>
      </c>
      <c r="J4244" s="89">
        <v>6786928</v>
      </c>
      <c r="K4244" t="s">
        <v>127</v>
      </c>
      <c r="L4244" t="s">
        <v>128</v>
      </c>
      <c r="N4244">
        <v>1</v>
      </c>
      <c r="O4244" s="89">
        <v>16967.32</v>
      </c>
      <c r="P4244" s="89">
        <v>89078.43</v>
      </c>
      <c r="Q4244" t="s">
        <v>130</v>
      </c>
      <c r="R4244" t="s">
        <v>131</v>
      </c>
    </row>
    <row r="4245" spans="3:18" hidden="1" x14ac:dyDescent="0.25">
      <c r="C4245" t="s">
        <v>45</v>
      </c>
      <c r="D4245" t="s">
        <v>21</v>
      </c>
      <c r="E4245" t="s">
        <v>40</v>
      </c>
      <c r="F4245" t="s">
        <v>53</v>
      </c>
      <c r="G4245" s="89">
        <v>5068384</v>
      </c>
      <c r="H4245" t="s">
        <v>42</v>
      </c>
      <c r="I4245" t="s">
        <v>133</v>
      </c>
      <c r="J4245" s="89">
        <v>177393440</v>
      </c>
      <c r="K4245" t="s">
        <v>144</v>
      </c>
      <c r="N4245">
        <v>1</v>
      </c>
      <c r="O4245" s="89">
        <v>152051.51999999999</v>
      </c>
      <c r="P4245" s="89">
        <v>4257442.5599999996</v>
      </c>
      <c r="Q4245" t="s">
        <v>135</v>
      </c>
      <c r="R4245" t="s">
        <v>42</v>
      </c>
    </row>
    <row r="4246" spans="3:18" hidden="1" x14ac:dyDescent="0.25">
      <c r="C4246" t="s">
        <v>45</v>
      </c>
      <c r="D4246" t="s">
        <v>21</v>
      </c>
      <c r="E4246" t="s">
        <v>43</v>
      </c>
      <c r="F4246" t="s">
        <v>41</v>
      </c>
      <c r="G4246" s="89">
        <v>100615</v>
      </c>
      <c r="H4246" t="s">
        <v>140</v>
      </c>
      <c r="I4246" t="s">
        <v>126</v>
      </c>
      <c r="J4246" s="89">
        <v>2012300</v>
      </c>
      <c r="K4246" t="s">
        <v>127</v>
      </c>
      <c r="L4246" t="s">
        <v>151</v>
      </c>
      <c r="N4246">
        <v>1</v>
      </c>
      <c r="O4246" s="89">
        <v>3018.45</v>
      </c>
      <c r="P4246" s="89">
        <v>67412.05</v>
      </c>
      <c r="Q4246" t="s">
        <v>137</v>
      </c>
      <c r="R4246" t="s">
        <v>131</v>
      </c>
    </row>
    <row r="4247" spans="3:18" hidden="1" x14ac:dyDescent="0.25">
      <c r="C4247" t="s">
        <v>45</v>
      </c>
      <c r="D4247" t="s">
        <v>21</v>
      </c>
      <c r="E4247" t="s">
        <v>40</v>
      </c>
      <c r="F4247" t="s">
        <v>41</v>
      </c>
      <c r="G4247" s="89">
        <v>5843855</v>
      </c>
      <c r="H4247" t="s">
        <v>42</v>
      </c>
      <c r="I4247" t="s">
        <v>126</v>
      </c>
      <c r="J4247" s="89">
        <v>87657825</v>
      </c>
      <c r="K4247" t="s">
        <v>127</v>
      </c>
      <c r="L4247" t="s">
        <v>128</v>
      </c>
      <c r="M4247" t="s">
        <v>129</v>
      </c>
      <c r="N4247">
        <v>1</v>
      </c>
      <c r="O4247" s="89">
        <v>175315.65</v>
      </c>
      <c r="P4247" s="89">
        <v>1636279.4</v>
      </c>
      <c r="Q4247" t="s">
        <v>130</v>
      </c>
      <c r="R4247" t="s">
        <v>131</v>
      </c>
    </row>
    <row r="4248" spans="3:18" hidden="1" x14ac:dyDescent="0.25">
      <c r="C4248" t="s">
        <v>45</v>
      </c>
      <c r="D4248" t="s">
        <v>24</v>
      </c>
      <c r="E4248" t="s">
        <v>48</v>
      </c>
      <c r="F4248" t="s">
        <v>41</v>
      </c>
      <c r="G4248" s="89">
        <v>2308018</v>
      </c>
      <c r="H4248" t="s">
        <v>140</v>
      </c>
      <c r="I4248" t="s">
        <v>126</v>
      </c>
      <c r="J4248" s="89">
        <v>39236306</v>
      </c>
      <c r="K4248" t="s">
        <v>144</v>
      </c>
      <c r="N4248">
        <v>1</v>
      </c>
      <c r="O4248" s="89">
        <v>69240.539999999994</v>
      </c>
      <c r="P4248" s="89">
        <v>1592532.42</v>
      </c>
      <c r="Q4248" t="s">
        <v>137</v>
      </c>
      <c r="R4248" t="s">
        <v>131</v>
      </c>
    </row>
    <row r="4249" spans="3:18" hidden="1" x14ac:dyDescent="0.25">
      <c r="C4249" t="s">
        <v>45</v>
      </c>
      <c r="D4249" t="s">
        <v>23</v>
      </c>
      <c r="E4249" t="s">
        <v>52</v>
      </c>
      <c r="F4249" t="s">
        <v>53</v>
      </c>
      <c r="G4249" s="89">
        <v>59770</v>
      </c>
      <c r="H4249" t="s">
        <v>42</v>
      </c>
      <c r="I4249" t="s">
        <v>133</v>
      </c>
      <c r="J4249" s="89">
        <v>1793100</v>
      </c>
      <c r="K4249" t="s">
        <v>144</v>
      </c>
      <c r="N4249">
        <v>1</v>
      </c>
      <c r="O4249" s="89">
        <v>1793.1</v>
      </c>
      <c r="P4249" s="89">
        <v>18528.7</v>
      </c>
      <c r="Q4249" t="s">
        <v>130</v>
      </c>
      <c r="R4249" t="s">
        <v>42</v>
      </c>
    </row>
    <row r="4250" spans="3:18" hidden="1" x14ac:dyDescent="0.25">
      <c r="C4250" t="s">
        <v>45</v>
      </c>
      <c r="D4250" t="s">
        <v>25</v>
      </c>
      <c r="E4250" t="s">
        <v>40</v>
      </c>
      <c r="F4250" t="s">
        <v>41</v>
      </c>
      <c r="G4250" s="89">
        <v>93287</v>
      </c>
      <c r="H4250" t="s">
        <v>140</v>
      </c>
      <c r="I4250" t="s">
        <v>133</v>
      </c>
      <c r="J4250" s="89">
        <v>3078471</v>
      </c>
      <c r="K4250" t="s">
        <v>134</v>
      </c>
      <c r="L4250" t="s">
        <v>128</v>
      </c>
      <c r="N4250">
        <v>1</v>
      </c>
      <c r="O4250" s="89">
        <v>3731.48</v>
      </c>
      <c r="P4250" s="89">
        <v>55972.2</v>
      </c>
      <c r="Q4250" t="s">
        <v>142</v>
      </c>
      <c r="R4250" t="s">
        <v>131</v>
      </c>
    </row>
    <row r="4251" spans="3:18" x14ac:dyDescent="0.25">
      <c r="C4251" t="s">
        <v>47</v>
      </c>
      <c r="D4251" t="s">
        <v>21</v>
      </c>
      <c r="E4251" t="s">
        <v>43</v>
      </c>
      <c r="F4251" t="s">
        <v>41</v>
      </c>
      <c r="G4251" s="89">
        <v>11684832</v>
      </c>
      <c r="H4251" t="s">
        <v>146</v>
      </c>
      <c r="I4251" t="s">
        <v>126</v>
      </c>
      <c r="J4251" s="89">
        <v>151902816</v>
      </c>
      <c r="K4251" t="s">
        <v>144</v>
      </c>
      <c r="N4251">
        <v>1</v>
      </c>
      <c r="O4251" s="89">
        <v>467393.28000000003</v>
      </c>
      <c r="P4251" s="89">
        <v>6543505.9199999999</v>
      </c>
      <c r="Q4251" t="s">
        <v>142</v>
      </c>
      <c r="R4251" t="s">
        <v>131</v>
      </c>
    </row>
    <row r="4252" spans="3:18" hidden="1" x14ac:dyDescent="0.25">
      <c r="C4252" t="s">
        <v>45</v>
      </c>
      <c r="D4252" t="s">
        <v>50</v>
      </c>
      <c r="E4252" t="s">
        <v>50</v>
      </c>
      <c r="F4252" t="s">
        <v>41</v>
      </c>
      <c r="G4252" s="89">
        <v>19782</v>
      </c>
      <c r="H4252" t="s">
        <v>79</v>
      </c>
      <c r="I4252" t="s">
        <v>153</v>
      </c>
      <c r="J4252" s="89"/>
      <c r="K4252" t="s">
        <v>127</v>
      </c>
      <c r="N4252">
        <v>0</v>
      </c>
      <c r="O4252" s="89">
        <v>791.28</v>
      </c>
      <c r="P4252" s="89">
        <v>21166.74</v>
      </c>
      <c r="Q4252" t="s">
        <v>150</v>
      </c>
      <c r="R4252" t="s">
        <v>79</v>
      </c>
    </row>
    <row r="4253" spans="3:18" hidden="1" x14ac:dyDescent="0.25">
      <c r="C4253" t="s">
        <v>45</v>
      </c>
      <c r="D4253" t="s">
        <v>22</v>
      </c>
      <c r="E4253" t="s">
        <v>40</v>
      </c>
      <c r="F4253" t="s">
        <v>41</v>
      </c>
      <c r="G4253" s="89">
        <v>3383596</v>
      </c>
      <c r="H4253" t="s">
        <v>140</v>
      </c>
      <c r="I4253" t="s">
        <v>126</v>
      </c>
      <c r="J4253" s="89">
        <v>57521132</v>
      </c>
      <c r="K4253" t="s">
        <v>144</v>
      </c>
      <c r="N4253">
        <v>1</v>
      </c>
      <c r="O4253" s="89">
        <v>101507.88</v>
      </c>
      <c r="P4253" s="89">
        <v>1624126.08</v>
      </c>
      <c r="Q4253" t="s">
        <v>142</v>
      </c>
      <c r="R4253" t="s">
        <v>131</v>
      </c>
    </row>
    <row r="4254" spans="3:18" hidden="1" x14ac:dyDescent="0.25">
      <c r="C4254" t="s">
        <v>45</v>
      </c>
      <c r="D4254" t="s">
        <v>20</v>
      </c>
      <c r="E4254" t="s">
        <v>43</v>
      </c>
      <c r="F4254" t="s">
        <v>41</v>
      </c>
      <c r="G4254" s="89">
        <v>450694</v>
      </c>
      <c r="H4254" t="s">
        <v>132</v>
      </c>
      <c r="I4254" t="s">
        <v>133</v>
      </c>
      <c r="J4254" s="89">
        <v>15323596</v>
      </c>
      <c r="K4254" t="s">
        <v>134</v>
      </c>
      <c r="L4254" t="s">
        <v>128</v>
      </c>
      <c r="N4254">
        <v>1</v>
      </c>
      <c r="O4254" s="89">
        <v>13520.82</v>
      </c>
      <c r="P4254" s="89">
        <v>283937.21999999997</v>
      </c>
      <c r="Q4254" t="s">
        <v>137</v>
      </c>
      <c r="R4254" t="s">
        <v>131</v>
      </c>
    </row>
    <row r="4255" spans="3:18" hidden="1" x14ac:dyDescent="0.25">
      <c r="C4255" t="s">
        <v>45</v>
      </c>
      <c r="D4255" t="s">
        <v>24</v>
      </c>
      <c r="E4255" t="s">
        <v>48</v>
      </c>
      <c r="F4255" t="s">
        <v>41</v>
      </c>
      <c r="G4255" s="89">
        <v>1298138</v>
      </c>
      <c r="H4255" t="s">
        <v>132</v>
      </c>
      <c r="I4255" t="s">
        <v>141</v>
      </c>
      <c r="J4255" s="89">
        <v>9086966</v>
      </c>
      <c r="K4255" t="s">
        <v>127</v>
      </c>
      <c r="L4255" t="s">
        <v>128</v>
      </c>
      <c r="N4255">
        <v>1</v>
      </c>
      <c r="O4255" s="89">
        <v>38944.14</v>
      </c>
      <c r="P4255" s="89">
        <v>298571.74</v>
      </c>
      <c r="Q4255" t="s">
        <v>130</v>
      </c>
      <c r="R4255" t="s">
        <v>131</v>
      </c>
    </row>
    <row r="4256" spans="3:18" x14ac:dyDescent="0.25">
      <c r="C4256" t="s">
        <v>47</v>
      </c>
      <c r="D4256" t="s">
        <v>25</v>
      </c>
      <c r="E4256" t="s">
        <v>48</v>
      </c>
      <c r="F4256" t="s">
        <v>41</v>
      </c>
      <c r="G4256" s="89">
        <v>599296</v>
      </c>
      <c r="H4256" t="s">
        <v>146</v>
      </c>
      <c r="I4256" t="s">
        <v>147</v>
      </c>
      <c r="J4256" s="89">
        <v>2996480</v>
      </c>
      <c r="K4256" t="s">
        <v>127</v>
      </c>
      <c r="L4256" t="s">
        <v>128</v>
      </c>
      <c r="N4256">
        <v>1</v>
      </c>
      <c r="O4256" s="89">
        <v>23971.84</v>
      </c>
      <c r="P4256" s="89">
        <v>359577.59999999998</v>
      </c>
      <c r="Q4256" t="s">
        <v>137</v>
      </c>
      <c r="R4256" t="s">
        <v>131</v>
      </c>
    </row>
    <row r="4257" spans="3:18" x14ac:dyDescent="0.25">
      <c r="C4257" t="s">
        <v>47</v>
      </c>
      <c r="D4257" t="s">
        <v>21</v>
      </c>
      <c r="E4257" t="s">
        <v>40</v>
      </c>
      <c r="F4257" t="s">
        <v>41</v>
      </c>
      <c r="G4257" s="89">
        <v>71641</v>
      </c>
      <c r="H4257" t="s">
        <v>42</v>
      </c>
      <c r="I4257" t="s">
        <v>133</v>
      </c>
      <c r="J4257" s="89">
        <v>2865640</v>
      </c>
      <c r="K4257" t="s">
        <v>144</v>
      </c>
      <c r="N4257">
        <v>1</v>
      </c>
      <c r="O4257" s="89">
        <v>2149.23</v>
      </c>
      <c r="P4257" s="89">
        <v>12895.38</v>
      </c>
      <c r="Q4257" t="s">
        <v>130</v>
      </c>
      <c r="R4257" t="s">
        <v>42</v>
      </c>
    </row>
    <row r="4258" spans="3:18" hidden="1" x14ac:dyDescent="0.25">
      <c r="C4258" t="s">
        <v>45</v>
      </c>
      <c r="D4258" t="s">
        <v>149</v>
      </c>
      <c r="E4258" t="s">
        <v>43</v>
      </c>
      <c r="F4258" t="s">
        <v>41</v>
      </c>
      <c r="G4258" s="89">
        <v>5447740</v>
      </c>
      <c r="H4258" t="s">
        <v>42</v>
      </c>
      <c r="I4258" t="s">
        <v>133</v>
      </c>
      <c r="J4258" s="89">
        <v>152536720</v>
      </c>
      <c r="K4258" t="s">
        <v>127</v>
      </c>
      <c r="L4258" t="s">
        <v>128</v>
      </c>
      <c r="M4258" t="s">
        <v>136</v>
      </c>
      <c r="N4258">
        <v>1</v>
      </c>
      <c r="O4258" s="89">
        <v>163432.20000000001</v>
      </c>
      <c r="P4258" s="89">
        <v>1579844.6</v>
      </c>
      <c r="Q4258" t="s">
        <v>130</v>
      </c>
      <c r="R4258" t="s">
        <v>42</v>
      </c>
    </row>
    <row r="4259" spans="3:18" hidden="1" x14ac:dyDescent="0.25">
      <c r="C4259" t="s">
        <v>45</v>
      </c>
      <c r="D4259" t="s">
        <v>23</v>
      </c>
      <c r="E4259" t="s">
        <v>46</v>
      </c>
      <c r="F4259" t="s">
        <v>41</v>
      </c>
      <c r="G4259" s="89">
        <v>195020</v>
      </c>
      <c r="H4259" t="s">
        <v>42</v>
      </c>
      <c r="I4259" t="s">
        <v>141</v>
      </c>
      <c r="J4259" s="89">
        <v>1755180</v>
      </c>
      <c r="K4259" t="s">
        <v>127</v>
      </c>
      <c r="L4259" t="s">
        <v>128</v>
      </c>
      <c r="M4259" t="s">
        <v>152</v>
      </c>
      <c r="N4259">
        <v>1</v>
      </c>
      <c r="O4259" s="89">
        <v>7800.8</v>
      </c>
      <c r="P4259" s="89">
        <v>105310.8</v>
      </c>
      <c r="Q4259" t="s">
        <v>142</v>
      </c>
      <c r="R4259" t="s">
        <v>42</v>
      </c>
    </row>
    <row r="4260" spans="3:18" hidden="1" x14ac:dyDescent="0.25">
      <c r="C4260" t="s">
        <v>45</v>
      </c>
      <c r="D4260" t="s">
        <v>23</v>
      </c>
      <c r="E4260" t="s">
        <v>43</v>
      </c>
      <c r="F4260" t="s">
        <v>41</v>
      </c>
      <c r="G4260" s="89">
        <v>172130</v>
      </c>
      <c r="H4260" t="s">
        <v>42</v>
      </c>
      <c r="I4260" t="s">
        <v>133</v>
      </c>
      <c r="J4260" s="89">
        <v>4819640</v>
      </c>
      <c r="K4260" t="s">
        <v>127</v>
      </c>
      <c r="L4260" t="s">
        <v>128</v>
      </c>
      <c r="M4260" t="s">
        <v>152</v>
      </c>
      <c r="N4260">
        <v>1</v>
      </c>
      <c r="O4260" s="89">
        <v>6885.2</v>
      </c>
      <c r="P4260" s="89">
        <v>51639</v>
      </c>
      <c r="Q4260" t="s">
        <v>130</v>
      </c>
      <c r="R4260" t="s">
        <v>42</v>
      </c>
    </row>
    <row r="4261" spans="3:18" hidden="1" x14ac:dyDescent="0.25">
      <c r="C4261" t="s">
        <v>45</v>
      </c>
      <c r="D4261" t="s">
        <v>22</v>
      </c>
      <c r="E4261" t="s">
        <v>40</v>
      </c>
      <c r="F4261" t="s">
        <v>41</v>
      </c>
      <c r="G4261" s="89">
        <v>2842063</v>
      </c>
      <c r="H4261" t="s">
        <v>140</v>
      </c>
      <c r="I4261" t="s">
        <v>126</v>
      </c>
      <c r="J4261" s="89">
        <v>39788882</v>
      </c>
      <c r="K4261" t="s">
        <v>134</v>
      </c>
      <c r="L4261" t="s">
        <v>128</v>
      </c>
      <c r="N4261">
        <v>1</v>
      </c>
      <c r="O4261" s="89">
        <v>113682.52</v>
      </c>
      <c r="P4261" s="89">
        <v>881039.53</v>
      </c>
      <c r="Q4261" t="s">
        <v>130</v>
      </c>
      <c r="R4261" t="s">
        <v>131</v>
      </c>
    </row>
    <row r="4262" spans="3:18" hidden="1" x14ac:dyDescent="0.25">
      <c r="C4262" t="s">
        <v>45</v>
      </c>
      <c r="D4262" t="s">
        <v>22</v>
      </c>
      <c r="E4262" t="s">
        <v>40</v>
      </c>
      <c r="F4262" t="s">
        <v>41</v>
      </c>
      <c r="G4262" s="89">
        <v>631785</v>
      </c>
      <c r="H4262" t="s">
        <v>145</v>
      </c>
      <c r="I4262" t="s">
        <v>141</v>
      </c>
      <c r="J4262" s="89">
        <v>5054280</v>
      </c>
      <c r="K4262" t="s">
        <v>144</v>
      </c>
      <c r="N4262">
        <v>1</v>
      </c>
      <c r="O4262" s="89">
        <v>18953.55</v>
      </c>
      <c r="P4262" s="89">
        <v>151628.4</v>
      </c>
      <c r="Q4262" t="s">
        <v>130</v>
      </c>
      <c r="R4262" t="s">
        <v>131</v>
      </c>
    </row>
    <row r="4263" spans="3:18" x14ac:dyDescent="0.25">
      <c r="C4263" t="s">
        <v>47</v>
      </c>
      <c r="D4263" t="s">
        <v>23</v>
      </c>
      <c r="E4263" t="s">
        <v>48</v>
      </c>
      <c r="F4263" t="s">
        <v>41</v>
      </c>
      <c r="G4263" s="89">
        <v>1444</v>
      </c>
      <c r="H4263" t="s">
        <v>146</v>
      </c>
      <c r="I4263" t="s">
        <v>147</v>
      </c>
      <c r="J4263" s="89"/>
      <c r="K4263" t="s">
        <v>127</v>
      </c>
      <c r="L4263" t="s">
        <v>128</v>
      </c>
      <c r="N4263">
        <v>0</v>
      </c>
      <c r="O4263" s="89">
        <v>14.44</v>
      </c>
      <c r="P4263" s="89">
        <v>0</v>
      </c>
      <c r="Q4263" t="s">
        <v>130</v>
      </c>
      <c r="R4263" t="s">
        <v>131</v>
      </c>
    </row>
    <row r="4264" spans="3:18" x14ac:dyDescent="0.25">
      <c r="C4264" t="s">
        <v>47</v>
      </c>
      <c r="D4264" t="s">
        <v>21</v>
      </c>
      <c r="E4264" t="s">
        <v>48</v>
      </c>
      <c r="F4264" t="s">
        <v>41</v>
      </c>
      <c r="G4264" s="89">
        <v>243003</v>
      </c>
      <c r="H4264" t="s">
        <v>145</v>
      </c>
      <c r="I4264" t="s">
        <v>126</v>
      </c>
      <c r="J4264" s="89">
        <v>2916036</v>
      </c>
      <c r="K4264" t="s">
        <v>127</v>
      </c>
      <c r="L4264" t="s">
        <v>128</v>
      </c>
      <c r="N4264">
        <v>1</v>
      </c>
      <c r="O4264" s="89">
        <v>12150.15</v>
      </c>
      <c r="P4264" s="89">
        <v>109351.35</v>
      </c>
      <c r="Q4264" t="s">
        <v>142</v>
      </c>
      <c r="R4264" t="s">
        <v>131</v>
      </c>
    </row>
    <row r="4265" spans="3:18" x14ac:dyDescent="0.25">
      <c r="C4265" t="s">
        <v>47</v>
      </c>
      <c r="D4265" t="s">
        <v>138</v>
      </c>
      <c r="E4265" t="s">
        <v>48</v>
      </c>
      <c r="F4265" t="s">
        <v>41</v>
      </c>
      <c r="G4265" s="89">
        <v>36556</v>
      </c>
      <c r="H4265" t="s">
        <v>140</v>
      </c>
      <c r="I4265" t="s">
        <v>141</v>
      </c>
      <c r="J4265" s="89">
        <v>219336</v>
      </c>
      <c r="K4265" t="s">
        <v>127</v>
      </c>
      <c r="L4265" t="s">
        <v>128</v>
      </c>
      <c r="N4265">
        <v>1</v>
      </c>
      <c r="O4265" s="89">
        <v>2193.36</v>
      </c>
      <c r="P4265" s="89">
        <v>9870.1200000000008</v>
      </c>
      <c r="Q4265" t="s">
        <v>130</v>
      </c>
      <c r="R4265" t="s">
        <v>131</v>
      </c>
    </row>
    <row r="4266" spans="3:18" hidden="1" x14ac:dyDescent="0.25">
      <c r="C4266" t="s">
        <v>45</v>
      </c>
      <c r="D4266" t="s">
        <v>22</v>
      </c>
      <c r="E4266" t="s">
        <v>40</v>
      </c>
      <c r="F4266" t="s">
        <v>41</v>
      </c>
      <c r="G4266" s="89">
        <v>6478737</v>
      </c>
      <c r="H4266" t="s">
        <v>42</v>
      </c>
      <c r="I4266" t="s">
        <v>141</v>
      </c>
      <c r="J4266" s="89">
        <v>51829896</v>
      </c>
      <c r="K4266" t="s">
        <v>127</v>
      </c>
      <c r="L4266" t="s">
        <v>128</v>
      </c>
      <c r="M4266" t="s">
        <v>143</v>
      </c>
      <c r="N4266">
        <v>1</v>
      </c>
      <c r="O4266" s="89">
        <v>259149.48</v>
      </c>
      <c r="P4266" s="89">
        <v>3109793.76</v>
      </c>
      <c r="Q4266" t="s">
        <v>142</v>
      </c>
      <c r="R4266" t="s">
        <v>131</v>
      </c>
    </row>
    <row r="4267" spans="3:18" x14ac:dyDescent="0.25">
      <c r="C4267" t="s">
        <v>47</v>
      </c>
      <c r="D4267" t="s">
        <v>21</v>
      </c>
      <c r="E4267" t="s">
        <v>48</v>
      </c>
      <c r="F4267" t="s">
        <v>41</v>
      </c>
      <c r="G4267" s="89">
        <v>16679</v>
      </c>
      <c r="H4267" t="s">
        <v>42</v>
      </c>
      <c r="I4267" t="s">
        <v>147</v>
      </c>
      <c r="J4267" s="89"/>
      <c r="K4267" t="s">
        <v>127</v>
      </c>
      <c r="L4267" t="s">
        <v>128</v>
      </c>
      <c r="M4267" t="s">
        <v>129</v>
      </c>
      <c r="N4267">
        <v>0</v>
      </c>
      <c r="O4267" s="89">
        <v>500.37</v>
      </c>
      <c r="P4267" s="89">
        <v>0</v>
      </c>
      <c r="Q4267" t="s">
        <v>130</v>
      </c>
      <c r="R4267" t="s">
        <v>131</v>
      </c>
    </row>
    <row r="4268" spans="3:18" hidden="1" x14ac:dyDescent="0.25">
      <c r="C4268" t="s">
        <v>45</v>
      </c>
      <c r="D4268" t="s">
        <v>22</v>
      </c>
      <c r="E4268" t="s">
        <v>43</v>
      </c>
      <c r="F4268" t="s">
        <v>41</v>
      </c>
      <c r="G4268" s="89">
        <v>282393</v>
      </c>
      <c r="H4268" t="s">
        <v>146</v>
      </c>
      <c r="I4268" t="s">
        <v>126</v>
      </c>
      <c r="J4268" s="89">
        <v>3106323</v>
      </c>
      <c r="K4268" t="s">
        <v>144</v>
      </c>
      <c r="N4268">
        <v>1</v>
      </c>
      <c r="O4268" s="89">
        <v>11295.72</v>
      </c>
      <c r="P4268" s="89">
        <v>186379.38</v>
      </c>
      <c r="Q4268" t="s">
        <v>137</v>
      </c>
      <c r="R4268" t="s">
        <v>131</v>
      </c>
    </row>
    <row r="4269" spans="3:18" hidden="1" x14ac:dyDescent="0.25">
      <c r="C4269" t="s">
        <v>45</v>
      </c>
      <c r="D4269" t="s">
        <v>24</v>
      </c>
      <c r="E4269" t="s">
        <v>44</v>
      </c>
      <c r="F4269" t="s">
        <v>41</v>
      </c>
      <c r="G4269" s="89">
        <v>377125</v>
      </c>
      <c r="H4269" t="s">
        <v>42</v>
      </c>
      <c r="I4269" t="s">
        <v>133</v>
      </c>
      <c r="J4269" s="89">
        <v>10936625</v>
      </c>
      <c r="K4269" t="s">
        <v>144</v>
      </c>
      <c r="N4269">
        <v>1</v>
      </c>
      <c r="O4269" s="89">
        <v>11313.75</v>
      </c>
      <c r="P4269" s="89">
        <v>116908.75</v>
      </c>
      <c r="Q4269" t="s">
        <v>130</v>
      </c>
      <c r="R4269" t="s">
        <v>131</v>
      </c>
    </row>
    <row r="4270" spans="3:18" x14ac:dyDescent="0.25">
      <c r="C4270" t="s">
        <v>47</v>
      </c>
      <c r="D4270" t="s">
        <v>20</v>
      </c>
      <c r="E4270" t="s">
        <v>40</v>
      </c>
      <c r="F4270" t="s">
        <v>41</v>
      </c>
      <c r="G4270" s="89">
        <v>8230100</v>
      </c>
      <c r="H4270" t="s">
        <v>145</v>
      </c>
      <c r="I4270" t="s">
        <v>141</v>
      </c>
      <c r="J4270" s="89">
        <v>65840800</v>
      </c>
      <c r="K4270" t="s">
        <v>127</v>
      </c>
      <c r="L4270" t="s">
        <v>128</v>
      </c>
      <c r="N4270">
        <v>1</v>
      </c>
      <c r="O4270" s="89">
        <v>329204</v>
      </c>
      <c r="P4270" s="89">
        <v>4197351</v>
      </c>
      <c r="Q4270" t="s">
        <v>142</v>
      </c>
      <c r="R4270" t="s">
        <v>131</v>
      </c>
    </row>
    <row r="4271" spans="3:18" hidden="1" x14ac:dyDescent="0.25">
      <c r="C4271" t="s">
        <v>45</v>
      </c>
      <c r="D4271" t="s">
        <v>19</v>
      </c>
      <c r="E4271" t="s">
        <v>43</v>
      </c>
      <c r="F4271" t="s">
        <v>41</v>
      </c>
      <c r="G4271" s="89">
        <v>39496</v>
      </c>
      <c r="H4271" t="s">
        <v>42</v>
      </c>
      <c r="I4271" t="s">
        <v>141</v>
      </c>
      <c r="J4271" s="89">
        <v>394960</v>
      </c>
      <c r="K4271" t="s">
        <v>144</v>
      </c>
      <c r="N4271">
        <v>1</v>
      </c>
      <c r="O4271" s="89">
        <v>1184.8800000000001</v>
      </c>
      <c r="P4271" s="89">
        <v>19748</v>
      </c>
      <c r="Q4271" t="s">
        <v>142</v>
      </c>
      <c r="R4271" t="s">
        <v>131</v>
      </c>
    </row>
    <row r="4272" spans="3:18" hidden="1" x14ac:dyDescent="0.25">
      <c r="C4272" t="s">
        <v>45</v>
      </c>
      <c r="D4272" t="s">
        <v>149</v>
      </c>
      <c r="E4272" t="s">
        <v>40</v>
      </c>
      <c r="F4272" t="s">
        <v>41</v>
      </c>
      <c r="G4272" s="89">
        <v>34704</v>
      </c>
      <c r="H4272" t="s">
        <v>42</v>
      </c>
      <c r="I4272" t="s">
        <v>133</v>
      </c>
      <c r="J4272" s="89">
        <v>902304</v>
      </c>
      <c r="K4272" t="s">
        <v>144</v>
      </c>
      <c r="N4272">
        <v>1</v>
      </c>
      <c r="O4272" s="89">
        <v>1041.1199999999999</v>
      </c>
      <c r="P4272" s="89">
        <v>9370.08</v>
      </c>
      <c r="Q4272" t="s">
        <v>130</v>
      </c>
      <c r="R4272" t="s">
        <v>131</v>
      </c>
    </row>
    <row r="4273" spans="3:18" hidden="1" x14ac:dyDescent="0.25">
      <c r="C4273" t="s">
        <v>45</v>
      </c>
      <c r="D4273" t="s">
        <v>149</v>
      </c>
      <c r="E4273" t="s">
        <v>43</v>
      </c>
      <c r="F4273" t="s">
        <v>41</v>
      </c>
      <c r="G4273" s="89">
        <v>13060282</v>
      </c>
      <c r="H4273" t="s">
        <v>42</v>
      </c>
      <c r="I4273" t="s">
        <v>133</v>
      </c>
      <c r="J4273" s="89">
        <v>391808460</v>
      </c>
      <c r="K4273" t="s">
        <v>127</v>
      </c>
      <c r="L4273" t="s">
        <v>128</v>
      </c>
      <c r="M4273" t="s">
        <v>136</v>
      </c>
      <c r="N4273">
        <v>1</v>
      </c>
      <c r="O4273" s="89">
        <v>391808.46</v>
      </c>
      <c r="P4273" s="89">
        <v>6530141</v>
      </c>
      <c r="Q4273" t="s">
        <v>142</v>
      </c>
      <c r="R4273" t="s">
        <v>42</v>
      </c>
    </row>
    <row r="4274" spans="3:18" hidden="1" x14ac:dyDescent="0.25">
      <c r="C4274" t="s">
        <v>45</v>
      </c>
      <c r="D4274" t="s">
        <v>24</v>
      </c>
      <c r="E4274" t="s">
        <v>44</v>
      </c>
      <c r="F4274" t="s">
        <v>41</v>
      </c>
      <c r="G4274" s="89">
        <v>10431542</v>
      </c>
      <c r="H4274" t="s">
        <v>42</v>
      </c>
      <c r="I4274" t="s">
        <v>133</v>
      </c>
      <c r="J4274" s="89">
        <v>354672428</v>
      </c>
      <c r="K4274" t="s">
        <v>144</v>
      </c>
      <c r="N4274">
        <v>1</v>
      </c>
      <c r="O4274" s="89">
        <v>312946.26</v>
      </c>
      <c r="P4274" s="89">
        <v>7406394.8200000003</v>
      </c>
      <c r="Q4274" t="s">
        <v>137</v>
      </c>
      <c r="R4274" t="s">
        <v>42</v>
      </c>
    </row>
    <row r="4275" spans="3:18" x14ac:dyDescent="0.25">
      <c r="C4275" t="s">
        <v>47</v>
      </c>
      <c r="D4275" t="s">
        <v>138</v>
      </c>
      <c r="E4275" t="s">
        <v>40</v>
      </c>
      <c r="F4275" t="s">
        <v>41</v>
      </c>
      <c r="G4275" s="89">
        <v>1017482</v>
      </c>
      <c r="H4275" t="s">
        <v>140</v>
      </c>
      <c r="I4275" t="s">
        <v>147</v>
      </c>
      <c r="J4275" s="89">
        <v>4069928</v>
      </c>
      <c r="K4275" t="s">
        <v>127</v>
      </c>
      <c r="L4275" t="s">
        <v>128</v>
      </c>
      <c r="N4275">
        <v>1</v>
      </c>
      <c r="O4275" s="89">
        <v>40699.279999999999</v>
      </c>
      <c r="P4275" s="89">
        <v>437517.26</v>
      </c>
      <c r="Q4275" t="s">
        <v>142</v>
      </c>
      <c r="R4275" t="s">
        <v>131</v>
      </c>
    </row>
    <row r="4276" spans="3:18" hidden="1" x14ac:dyDescent="0.25">
      <c r="C4276" t="s">
        <v>45</v>
      </c>
      <c r="D4276" t="s">
        <v>22</v>
      </c>
      <c r="E4276" t="s">
        <v>46</v>
      </c>
      <c r="F4276" t="s">
        <v>41</v>
      </c>
      <c r="G4276" s="89">
        <v>8261836</v>
      </c>
      <c r="H4276" t="s">
        <v>42</v>
      </c>
      <c r="I4276" t="s">
        <v>133</v>
      </c>
      <c r="J4276" s="89">
        <v>272640588</v>
      </c>
      <c r="K4276" t="s">
        <v>144</v>
      </c>
      <c r="N4276">
        <v>1</v>
      </c>
      <c r="O4276" s="89">
        <v>247855.08</v>
      </c>
      <c r="P4276" s="89">
        <v>5865903.5599999996</v>
      </c>
      <c r="Q4276" t="s">
        <v>137</v>
      </c>
      <c r="R4276" t="s">
        <v>42</v>
      </c>
    </row>
    <row r="4277" spans="3:18" hidden="1" x14ac:dyDescent="0.25">
      <c r="C4277" t="s">
        <v>45</v>
      </c>
      <c r="D4277" t="s">
        <v>20</v>
      </c>
      <c r="E4277" t="s">
        <v>40</v>
      </c>
      <c r="F4277" t="s">
        <v>41</v>
      </c>
      <c r="G4277" s="89">
        <v>734659</v>
      </c>
      <c r="H4277" t="s">
        <v>42</v>
      </c>
      <c r="I4277" t="s">
        <v>133</v>
      </c>
      <c r="J4277" s="89">
        <v>21305111</v>
      </c>
      <c r="K4277" t="s">
        <v>144</v>
      </c>
      <c r="N4277">
        <v>1</v>
      </c>
      <c r="O4277" s="89">
        <v>22039.77</v>
      </c>
      <c r="P4277" s="89">
        <v>227744.29</v>
      </c>
      <c r="Q4277" t="s">
        <v>130</v>
      </c>
      <c r="R4277" t="s">
        <v>42</v>
      </c>
    </row>
    <row r="4278" spans="3:18" hidden="1" x14ac:dyDescent="0.25">
      <c r="C4278" t="s">
        <v>45</v>
      </c>
      <c r="D4278" t="s">
        <v>21</v>
      </c>
      <c r="E4278" t="s">
        <v>40</v>
      </c>
      <c r="F4278" t="s">
        <v>53</v>
      </c>
      <c r="G4278" s="89">
        <v>88465</v>
      </c>
      <c r="H4278" t="s">
        <v>42</v>
      </c>
      <c r="I4278" t="s">
        <v>133</v>
      </c>
      <c r="J4278" s="89">
        <v>2653950</v>
      </c>
      <c r="K4278" t="s">
        <v>144</v>
      </c>
      <c r="N4278">
        <v>1</v>
      </c>
      <c r="O4278" s="89">
        <v>2653.95</v>
      </c>
      <c r="P4278" s="89">
        <v>32732.05</v>
      </c>
      <c r="Q4278" t="s">
        <v>130</v>
      </c>
      <c r="R4278" t="s">
        <v>131</v>
      </c>
    </row>
    <row r="4279" spans="3:18" hidden="1" x14ac:dyDescent="0.25">
      <c r="C4279" t="s">
        <v>45</v>
      </c>
      <c r="D4279" t="s">
        <v>21</v>
      </c>
      <c r="E4279" t="s">
        <v>43</v>
      </c>
      <c r="F4279" t="s">
        <v>53</v>
      </c>
      <c r="G4279" s="89">
        <v>788581</v>
      </c>
      <c r="H4279" t="s">
        <v>146</v>
      </c>
      <c r="I4279" t="s">
        <v>126</v>
      </c>
      <c r="J4279" s="89">
        <v>14194458</v>
      </c>
      <c r="K4279" t="s">
        <v>144</v>
      </c>
      <c r="N4279">
        <v>1</v>
      </c>
      <c r="O4279" s="89">
        <v>23657.43</v>
      </c>
      <c r="P4279" s="89">
        <v>228688.49</v>
      </c>
      <c r="Q4279" t="s">
        <v>130</v>
      </c>
      <c r="R4279" t="s">
        <v>131</v>
      </c>
    </row>
    <row r="4280" spans="3:18" x14ac:dyDescent="0.25">
      <c r="C4280" t="s">
        <v>47</v>
      </c>
      <c r="D4280" t="s">
        <v>21</v>
      </c>
      <c r="E4280" t="s">
        <v>40</v>
      </c>
      <c r="F4280" t="s">
        <v>41</v>
      </c>
      <c r="G4280" s="89">
        <v>63794</v>
      </c>
      <c r="H4280" t="s">
        <v>154</v>
      </c>
      <c r="I4280" t="s">
        <v>153</v>
      </c>
      <c r="J4280" s="89"/>
      <c r="K4280" t="s">
        <v>127</v>
      </c>
      <c r="L4280" t="s">
        <v>128</v>
      </c>
      <c r="N4280">
        <v>0</v>
      </c>
      <c r="O4280" s="89">
        <v>2551.7600000000002</v>
      </c>
      <c r="P4280" s="89">
        <v>44017.86</v>
      </c>
      <c r="Q4280" t="s">
        <v>137</v>
      </c>
      <c r="R4280" t="s">
        <v>131</v>
      </c>
    </row>
    <row r="4281" spans="3:18" hidden="1" x14ac:dyDescent="0.25">
      <c r="C4281" t="s">
        <v>45</v>
      </c>
      <c r="D4281" t="s">
        <v>22</v>
      </c>
      <c r="E4281" t="s">
        <v>40</v>
      </c>
      <c r="F4281" t="s">
        <v>41</v>
      </c>
      <c r="G4281" s="89">
        <v>33460</v>
      </c>
      <c r="H4281" t="s">
        <v>140</v>
      </c>
      <c r="I4281" t="s">
        <v>147</v>
      </c>
      <c r="J4281" s="89">
        <v>100380</v>
      </c>
      <c r="K4281" t="s">
        <v>127</v>
      </c>
      <c r="L4281" t="s">
        <v>151</v>
      </c>
      <c r="N4281">
        <v>1</v>
      </c>
      <c r="O4281" s="89">
        <v>1003.8</v>
      </c>
      <c r="P4281" s="89">
        <v>4684.3999999999996</v>
      </c>
      <c r="Q4281" t="s">
        <v>130</v>
      </c>
      <c r="R4281" t="s">
        <v>131</v>
      </c>
    </row>
    <row r="4282" spans="3:18" hidden="1" x14ac:dyDescent="0.25">
      <c r="C4282" t="s">
        <v>45</v>
      </c>
      <c r="D4282" t="s">
        <v>22</v>
      </c>
      <c r="E4282" t="s">
        <v>43</v>
      </c>
      <c r="F4282" t="s">
        <v>41</v>
      </c>
      <c r="G4282" s="89">
        <v>6782017</v>
      </c>
      <c r="H4282" t="s">
        <v>132</v>
      </c>
      <c r="I4282" t="s">
        <v>126</v>
      </c>
      <c r="J4282" s="89">
        <v>115294289</v>
      </c>
      <c r="K4282" t="s">
        <v>127</v>
      </c>
      <c r="L4282" t="s">
        <v>128</v>
      </c>
      <c r="N4282">
        <v>1</v>
      </c>
      <c r="O4282" s="89">
        <v>203460.51</v>
      </c>
      <c r="P4282" s="89">
        <v>3323188.33</v>
      </c>
      <c r="Q4282" t="s">
        <v>142</v>
      </c>
      <c r="R4282" t="s">
        <v>131</v>
      </c>
    </row>
    <row r="4283" spans="3:18" hidden="1" x14ac:dyDescent="0.25">
      <c r="C4283" t="s">
        <v>45</v>
      </c>
      <c r="D4283" t="s">
        <v>24</v>
      </c>
      <c r="E4283" t="s">
        <v>40</v>
      </c>
      <c r="F4283" t="s">
        <v>41</v>
      </c>
      <c r="G4283" s="89">
        <v>207788</v>
      </c>
      <c r="H4283" t="s">
        <v>132</v>
      </c>
      <c r="I4283" t="s">
        <v>133</v>
      </c>
      <c r="J4283" s="89">
        <v>7064792</v>
      </c>
      <c r="K4283" t="s">
        <v>134</v>
      </c>
      <c r="L4283" t="s">
        <v>128</v>
      </c>
      <c r="N4283">
        <v>1</v>
      </c>
      <c r="O4283" s="89">
        <v>6233.64</v>
      </c>
      <c r="P4283" s="89">
        <v>85193.08</v>
      </c>
      <c r="Q4283" t="s">
        <v>142</v>
      </c>
      <c r="R4283" t="s">
        <v>131</v>
      </c>
    </row>
    <row r="4284" spans="3:18" hidden="1" x14ac:dyDescent="0.25">
      <c r="C4284" t="s">
        <v>45</v>
      </c>
      <c r="D4284" t="s">
        <v>22</v>
      </c>
      <c r="E4284" t="s">
        <v>40</v>
      </c>
      <c r="F4284" t="s">
        <v>41</v>
      </c>
      <c r="G4284" s="89">
        <v>17384265</v>
      </c>
      <c r="H4284" t="s">
        <v>146</v>
      </c>
      <c r="I4284" t="s">
        <v>133</v>
      </c>
      <c r="J4284" s="89">
        <v>434606625</v>
      </c>
      <c r="K4284" t="s">
        <v>127</v>
      </c>
      <c r="L4284" t="s">
        <v>128</v>
      </c>
      <c r="N4284">
        <v>1</v>
      </c>
      <c r="O4284" s="89">
        <v>521527.95</v>
      </c>
      <c r="P4284" s="89">
        <v>4867594.2</v>
      </c>
      <c r="Q4284" t="s">
        <v>130</v>
      </c>
      <c r="R4284" t="s">
        <v>131</v>
      </c>
    </row>
    <row r="4285" spans="3:18" hidden="1" x14ac:dyDescent="0.25">
      <c r="C4285" t="s">
        <v>45</v>
      </c>
      <c r="D4285" t="s">
        <v>19</v>
      </c>
      <c r="E4285" t="s">
        <v>40</v>
      </c>
      <c r="F4285" t="s">
        <v>41</v>
      </c>
      <c r="G4285" s="89">
        <v>981528</v>
      </c>
      <c r="H4285" t="s">
        <v>42</v>
      </c>
      <c r="I4285" t="s">
        <v>133</v>
      </c>
      <c r="J4285" s="89">
        <v>36316536</v>
      </c>
      <c r="K4285" t="s">
        <v>144</v>
      </c>
      <c r="N4285">
        <v>1</v>
      </c>
      <c r="O4285" s="89">
        <v>29445.84</v>
      </c>
      <c r="P4285" s="89">
        <v>883375.2</v>
      </c>
      <c r="Q4285" t="s">
        <v>135</v>
      </c>
      <c r="R4285" t="s">
        <v>42</v>
      </c>
    </row>
    <row r="4286" spans="3:18" hidden="1" x14ac:dyDescent="0.25">
      <c r="C4286" t="s">
        <v>45</v>
      </c>
      <c r="D4286" t="s">
        <v>149</v>
      </c>
      <c r="E4286" t="s">
        <v>43</v>
      </c>
      <c r="F4286" t="s">
        <v>41</v>
      </c>
      <c r="G4286" s="89">
        <v>284095</v>
      </c>
      <c r="H4286" t="s">
        <v>145</v>
      </c>
      <c r="I4286" t="s">
        <v>141</v>
      </c>
      <c r="J4286" s="89">
        <v>2272760</v>
      </c>
      <c r="K4286" t="s">
        <v>144</v>
      </c>
      <c r="N4286">
        <v>1</v>
      </c>
      <c r="O4286" s="89">
        <v>11363.8</v>
      </c>
      <c r="P4286" s="89">
        <v>102274.2</v>
      </c>
      <c r="Q4286" t="s">
        <v>130</v>
      </c>
      <c r="R4286" t="s">
        <v>131</v>
      </c>
    </row>
    <row r="4287" spans="3:18" hidden="1" x14ac:dyDescent="0.25">
      <c r="C4287" t="s">
        <v>45</v>
      </c>
      <c r="D4287" t="s">
        <v>24</v>
      </c>
      <c r="E4287" t="s">
        <v>48</v>
      </c>
      <c r="F4287" t="s">
        <v>41</v>
      </c>
      <c r="G4287" s="89">
        <v>396798</v>
      </c>
      <c r="H4287" t="s">
        <v>42</v>
      </c>
      <c r="I4287" t="s">
        <v>126</v>
      </c>
      <c r="J4287" s="89">
        <v>5951970</v>
      </c>
      <c r="K4287" t="s">
        <v>144</v>
      </c>
      <c r="N4287">
        <v>1</v>
      </c>
      <c r="O4287" s="89">
        <v>11903.94</v>
      </c>
      <c r="P4287" s="89">
        <v>194431.02</v>
      </c>
      <c r="Q4287" t="s">
        <v>142</v>
      </c>
      <c r="R4287" t="s">
        <v>42</v>
      </c>
    </row>
    <row r="4288" spans="3:18" hidden="1" x14ac:dyDescent="0.25">
      <c r="C4288" t="s">
        <v>45</v>
      </c>
      <c r="D4288" t="s">
        <v>21</v>
      </c>
      <c r="E4288" t="s">
        <v>48</v>
      </c>
      <c r="F4288" t="s">
        <v>41</v>
      </c>
      <c r="G4288" s="89">
        <v>426746</v>
      </c>
      <c r="H4288" t="s">
        <v>42</v>
      </c>
      <c r="I4288" t="s">
        <v>126</v>
      </c>
      <c r="J4288" s="89">
        <v>7681428</v>
      </c>
      <c r="K4288" t="s">
        <v>127</v>
      </c>
      <c r="L4288" t="s">
        <v>128</v>
      </c>
      <c r="M4288" t="s">
        <v>129</v>
      </c>
      <c r="N4288">
        <v>1</v>
      </c>
      <c r="O4288" s="89">
        <v>12802.38</v>
      </c>
      <c r="P4288" s="89">
        <v>281652.36</v>
      </c>
      <c r="Q4288" t="s">
        <v>137</v>
      </c>
      <c r="R4288" t="s">
        <v>131</v>
      </c>
    </row>
    <row r="4289" spans="3:18" hidden="1" x14ac:dyDescent="0.25">
      <c r="C4289" t="s">
        <v>45</v>
      </c>
      <c r="D4289" t="s">
        <v>25</v>
      </c>
      <c r="E4289" t="s">
        <v>40</v>
      </c>
      <c r="F4289" t="s">
        <v>41</v>
      </c>
      <c r="G4289" s="89">
        <v>66615</v>
      </c>
      <c r="H4289" t="s">
        <v>42</v>
      </c>
      <c r="I4289" t="s">
        <v>133</v>
      </c>
      <c r="J4289" s="89">
        <v>1998450</v>
      </c>
      <c r="K4289" t="s">
        <v>127</v>
      </c>
      <c r="L4289" t="s">
        <v>128</v>
      </c>
      <c r="M4289" t="s">
        <v>155</v>
      </c>
      <c r="N4289">
        <v>1</v>
      </c>
      <c r="O4289" s="89">
        <v>2664.6</v>
      </c>
      <c r="P4289" s="89">
        <v>32641.35</v>
      </c>
      <c r="Q4289" t="s">
        <v>142</v>
      </c>
      <c r="R4289" t="s">
        <v>131</v>
      </c>
    </row>
    <row r="4290" spans="3:18" hidden="1" x14ac:dyDescent="0.25">
      <c r="C4290" t="s">
        <v>45</v>
      </c>
      <c r="D4290" t="s">
        <v>138</v>
      </c>
      <c r="E4290" t="s">
        <v>43</v>
      </c>
      <c r="F4290" t="s">
        <v>41</v>
      </c>
      <c r="G4290" s="89">
        <v>5247</v>
      </c>
      <c r="H4290" t="s">
        <v>42</v>
      </c>
      <c r="I4290" t="s">
        <v>147</v>
      </c>
      <c r="J4290" s="89">
        <v>15741</v>
      </c>
      <c r="K4290" t="s">
        <v>127</v>
      </c>
      <c r="L4290" t="s">
        <v>128</v>
      </c>
      <c r="M4290" t="s">
        <v>139</v>
      </c>
      <c r="N4290">
        <v>1</v>
      </c>
      <c r="O4290" s="89">
        <v>157.41</v>
      </c>
      <c r="P4290" s="89">
        <v>2256.21</v>
      </c>
      <c r="Q4290" t="s">
        <v>142</v>
      </c>
      <c r="R4290" t="s">
        <v>131</v>
      </c>
    </row>
    <row r="4291" spans="3:18" hidden="1" x14ac:dyDescent="0.25">
      <c r="C4291" t="s">
        <v>45</v>
      </c>
      <c r="D4291" t="s">
        <v>23</v>
      </c>
      <c r="E4291" t="s">
        <v>44</v>
      </c>
      <c r="F4291" t="s">
        <v>41</v>
      </c>
      <c r="G4291" s="89">
        <v>788371</v>
      </c>
      <c r="H4291" t="s">
        <v>42</v>
      </c>
      <c r="I4291" t="s">
        <v>126</v>
      </c>
      <c r="J4291" s="89">
        <v>13402307</v>
      </c>
      <c r="K4291" t="s">
        <v>144</v>
      </c>
      <c r="N4291">
        <v>1</v>
      </c>
      <c r="O4291" s="89">
        <v>23651.13</v>
      </c>
      <c r="P4291" s="89">
        <v>181325.33</v>
      </c>
      <c r="Q4291" t="s">
        <v>130</v>
      </c>
      <c r="R4291" t="s">
        <v>42</v>
      </c>
    </row>
    <row r="4292" spans="3:18" hidden="1" x14ac:dyDescent="0.25">
      <c r="C4292" t="s">
        <v>45</v>
      </c>
      <c r="D4292" t="s">
        <v>23</v>
      </c>
      <c r="E4292" t="s">
        <v>40</v>
      </c>
      <c r="F4292" t="s">
        <v>41</v>
      </c>
      <c r="G4292" s="89">
        <v>6107948</v>
      </c>
      <c r="H4292" t="s">
        <v>132</v>
      </c>
      <c r="I4292" t="s">
        <v>133</v>
      </c>
      <c r="J4292" s="89">
        <v>177130492</v>
      </c>
      <c r="K4292" t="s">
        <v>127</v>
      </c>
      <c r="L4292" t="s">
        <v>128</v>
      </c>
      <c r="N4292">
        <v>1</v>
      </c>
      <c r="O4292" s="89">
        <v>183238.44</v>
      </c>
      <c r="P4292" s="89">
        <v>5191755.8</v>
      </c>
      <c r="Q4292" t="s">
        <v>135</v>
      </c>
      <c r="R4292" t="s">
        <v>131</v>
      </c>
    </row>
    <row r="4293" spans="3:18" hidden="1" x14ac:dyDescent="0.25">
      <c r="C4293" t="s">
        <v>45</v>
      </c>
      <c r="D4293" t="s">
        <v>23</v>
      </c>
      <c r="E4293" t="s">
        <v>48</v>
      </c>
      <c r="F4293" t="s">
        <v>53</v>
      </c>
      <c r="G4293" s="89">
        <v>391789</v>
      </c>
      <c r="H4293" t="s">
        <v>140</v>
      </c>
      <c r="I4293" t="s">
        <v>133</v>
      </c>
      <c r="J4293" s="89">
        <v>10186514</v>
      </c>
      <c r="K4293" t="s">
        <v>144</v>
      </c>
      <c r="N4293">
        <v>1</v>
      </c>
      <c r="O4293" s="89">
        <v>11753.67</v>
      </c>
      <c r="P4293" s="89">
        <v>262498.63</v>
      </c>
      <c r="Q4293" t="s">
        <v>137</v>
      </c>
      <c r="R4293" t="s">
        <v>131</v>
      </c>
    </row>
    <row r="4294" spans="3:18" hidden="1" x14ac:dyDescent="0.25">
      <c r="C4294" t="s">
        <v>45</v>
      </c>
      <c r="D4294" t="s">
        <v>21</v>
      </c>
      <c r="E4294" t="s">
        <v>50</v>
      </c>
      <c r="F4294" t="s">
        <v>41</v>
      </c>
      <c r="G4294" s="89">
        <v>145742</v>
      </c>
      <c r="H4294" t="s">
        <v>42</v>
      </c>
      <c r="I4294" t="s">
        <v>133</v>
      </c>
      <c r="J4294" s="89">
        <v>4809486</v>
      </c>
      <c r="K4294" t="s">
        <v>127</v>
      </c>
      <c r="M4294" t="s">
        <v>129</v>
      </c>
      <c r="N4294">
        <v>1</v>
      </c>
      <c r="O4294" s="89">
        <v>4372.26</v>
      </c>
      <c r="P4294" s="89">
        <v>88902.62</v>
      </c>
      <c r="Q4294" t="s">
        <v>137</v>
      </c>
    </row>
    <row r="4295" spans="3:18" hidden="1" x14ac:dyDescent="0.25">
      <c r="C4295" t="s">
        <v>45</v>
      </c>
      <c r="D4295" t="s">
        <v>22</v>
      </c>
      <c r="E4295" t="s">
        <v>40</v>
      </c>
      <c r="F4295" t="s">
        <v>41</v>
      </c>
      <c r="G4295" s="89">
        <v>139679574</v>
      </c>
      <c r="H4295" t="s">
        <v>140</v>
      </c>
      <c r="I4295" t="s">
        <v>126</v>
      </c>
      <c r="J4295" s="89">
        <v>2095193610</v>
      </c>
      <c r="K4295" t="s">
        <v>127</v>
      </c>
      <c r="L4295" t="s">
        <v>128</v>
      </c>
      <c r="N4295">
        <v>1</v>
      </c>
      <c r="O4295" s="89">
        <v>4190387.22</v>
      </c>
      <c r="P4295" s="89">
        <v>37713484.979999997</v>
      </c>
      <c r="Q4295" t="s">
        <v>130</v>
      </c>
      <c r="R4295" t="s">
        <v>131</v>
      </c>
    </row>
    <row r="4296" spans="3:18" hidden="1" x14ac:dyDescent="0.25">
      <c r="C4296" t="s">
        <v>45</v>
      </c>
      <c r="D4296" t="s">
        <v>20</v>
      </c>
      <c r="E4296" t="s">
        <v>43</v>
      </c>
      <c r="F4296" t="s">
        <v>41</v>
      </c>
      <c r="G4296" s="89">
        <v>19455</v>
      </c>
      <c r="H4296" t="s">
        <v>145</v>
      </c>
      <c r="I4296" t="s">
        <v>141</v>
      </c>
      <c r="J4296" s="89">
        <v>136185</v>
      </c>
      <c r="K4296" t="s">
        <v>127</v>
      </c>
      <c r="L4296" t="s">
        <v>128</v>
      </c>
      <c r="N4296">
        <v>1</v>
      </c>
      <c r="O4296" s="89">
        <v>778.2</v>
      </c>
      <c r="P4296" s="89">
        <v>13034.85</v>
      </c>
      <c r="Q4296" t="s">
        <v>137</v>
      </c>
      <c r="R4296" t="s">
        <v>131</v>
      </c>
    </row>
    <row r="4297" spans="3:18" hidden="1" x14ac:dyDescent="0.25">
      <c r="C4297" t="s">
        <v>45</v>
      </c>
      <c r="D4297" t="s">
        <v>138</v>
      </c>
      <c r="E4297" t="s">
        <v>43</v>
      </c>
      <c r="F4297" t="s">
        <v>41</v>
      </c>
      <c r="G4297" s="89">
        <v>77162</v>
      </c>
      <c r="H4297" t="s">
        <v>42</v>
      </c>
      <c r="I4297" t="s">
        <v>147</v>
      </c>
      <c r="J4297" s="89">
        <v>308648</v>
      </c>
      <c r="K4297" t="s">
        <v>144</v>
      </c>
      <c r="N4297">
        <v>1</v>
      </c>
      <c r="O4297" s="89">
        <v>2314.86</v>
      </c>
      <c r="P4297" s="89">
        <v>20833.740000000002</v>
      </c>
      <c r="Q4297" t="s">
        <v>130</v>
      </c>
      <c r="R4297" t="s">
        <v>42</v>
      </c>
    </row>
    <row r="4298" spans="3:18" hidden="1" x14ac:dyDescent="0.25">
      <c r="C4298" t="s">
        <v>45</v>
      </c>
      <c r="D4298" t="s">
        <v>23</v>
      </c>
      <c r="E4298" t="s">
        <v>40</v>
      </c>
      <c r="F4298" t="s">
        <v>41</v>
      </c>
      <c r="G4298" s="89">
        <v>296627</v>
      </c>
      <c r="H4298" t="s">
        <v>132</v>
      </c>
      <c r="I4298" t="s">
        <v>126</v>
      </c>
      <c r="J4298" s="89">
        <v>5339286</v>
      </c>
      <c r="K4298" t="s">
        <v>127</v>
      </c>
      <c r="L4298" t="s">
        <v>128</v>
      </c>
      <c r="N4298">
        <v>1</v>
      </c>
      <c r="O4298" s="89">
        <v>11865.08</v>
      </c>
      <c r="P4298" s="89">
        <v>249166.68</v>
      </c>
      <c r="Q4298" t="s">
        <v>135</v>
      </c>
      <c r="R4298" t="s">
        <v>131</v>
      </c>
    </row>
    <row r="4299" spans="3:18" hidden="1" x14ac:dyDescent="0.25">
      <c r="C4299" t="s">
        <v>45</v>
      </c>
      <c r="D4299" t="s">
        <v>22</v>
      </c>
      <c r="E4299" t="s">
        <v>43</v>
      </c>
      <c r="F4299" t="s">
        <v>41</v>
      </c>
      <c r="G4299" s="89">
        <v>13604394</v>
      </c>
      <c r="H4299" t="s">
        <v>42</v>
      </c>
      <c r="I4299" t="s">
        <v>133</v>
      </c>
      <c r="J4299" s="89">
        <v>489758184</v>
      </c>
      <c r="K4299" t="s">
        <v>144</v>
      </c>
      <c r="N4299">
        <v>1</v>
      </c>
      <c r="O4299" s="89">
        <v>408131.82</v>
      </c>
      <c r="P4299" s="89">
        <v>11971866.720000001</v>
      </c>
      <c r="Q4299" t="s">
        <v>135</v>
      </c>
      <c r="R4299" t="s">
        <v>42</v>
      </c>
    </row>
    <row r="4300" spans="3:18" hidden="1" x14ac:dyDescent="0.25">
      <c r="C4300" t="s">
        <v>45</v>
      </c>
      <c r="D4300" t="s">
        <v>23</v>
      </c>
      <c r="E4300" t="s">
        <v>48</v>
      </c>
      <c r="F4300" t="s">
        <v>41</v>
      </c>
      <c r="G4300" s="89">
        <v>35685</v>
      </c>
      <c r="H4300" t="s">
        <v>146</v>
      </c>
      <c r="I4300" t="s">
        <v>126</v>
      </c>
      <c r="J4300" s="89">
        <v>606645</v>
      </c>
      <c r="K4300" t="s">
        <v>134</v>
      </c>
      <c r="L4300" t="s">
        <v>128</v>
      </c>
      <c r="N4300">
        <v>1</v>
      </c>
      <c r="O4300" s="89">
        <v>1427.4</v>
      </c>
      <c r="P4300" s="89">
        <v>9991.7999999999993</v>
      </c>
      <c r="Q4300" t="s">
        <v>130</v>
      </c>
      <c r="R4300" t="s">
        <v>131</v>
      </c>
    </row>
    <row r="4301" spans="3:18" hidden="1" x14ac:dyDescent="0.25">
      <c r="C4301" t="s">
        <v>45</v>
      </c>
      <c r="D4301" t="s">
        <v>22</v>
      </c>
      <c r="E4301" t="s">
        <v>48</v>
      </c>
      <c r="F4301" t="s">
        <v>41</v>
      </c>
      <c r="G4301" s="89">
        <v>3181010</v>
      </c>
      <c r="H4301" t="s">
        <v>140</v>
      </c>
      <c r="I4301" t="s">
        <v>133</v>
      </c>
      <c r="J4301" s="89">
        <v>101792320</v>
      </c>
      <c r="K4301" t="s">
        <v>144</v>
      </c>
      <c r="N4301">
        <v>1</v>
      </c>
      <c r="O4301" s="89">
        <v>95430.3</v>
      </c>
      <c r="P4301" s="89">
        <v>477151.5</v>
      </c>
      <c r="Q4301" t="s">
        <v>130</v>
      </c>
      <c r="R4301" t="s">
        <v>131</v>
      </c>
    </row>
    <row r="4302" spans="3:18" hidden="1" x14ac:dyDescent="0.25">
      <c r="C4302" t="s">
        <v>45</v>
      </c>
      <c r="D4302" t="s">
        <v>22</v>
      </c>
      <c r="E4302" t="s">
        <v>43</v>
      </c>
      <c r="F4302" t="s">
        <v>41</v>
      </c>
      <c r="G4302" s="89">
        <v>173208</v>
      </c>
      <c r="H4302" t="s">
        <v>42</v>
      </c>
      <c r="I4302" t="s">
        <v>126</v>
      </c>
      <c r="J4302" s="89">
        <v>2771328</v>
      </c>
      <c r="K4302" t="s">
        <v>134</v>
      </c>
      <c r="L4302" t="s">
        <v>128</v>
      </c>
      <c r="M4302" t="s">
        <v>143</v>
      </c>
      <c r="N4302">
        <v>1</v>
      </c>
      <c r="O4302" s="89">
        <v>5196.24</v>
      </c>
      <c r="P4302" s="89">
        <v>90068.160000000003</v>
      </c>
      <c r="Q4302" t="s">
        <v>142</v>
      </c>
      <c r="R4302" t="s">
        <v>131</v>
      </c>
    </row>
    <row r="4303" spans="3:18" hidden="1" x14ac:dyDescent="0.25">
      <c r="C4303" t="s">
        <v>45</v>
      </c>
      <c r="D4303" t="s">
        <v>19</v>
      </c>
      <c r="E4303" t="s">
        <v>43</v>
      </c>
      <c r="F4303" t="s">
        <v>41</v>
      </c>
      <c r="G4303" s="89">
        <v>5901780</v>
      </c>
      <c r="H4303" t="s">
        <v>146</v>
      </c>
      <c r="I4303" t="s">
        <v>133</v>
      </c>
      <c r="J4303" s="89">
        <v>182955180</v>
      </c>
      <c r="K4303" t="s">
        <v>144</v>
      </c>
      <c r="N4303">
        <v>1</v>
      </c>
      <c r="O4303" s="89">
        <v>177053.4</v>
      </c>
      <c r="P4303" s="89">
        <v>4131246</v>
      </c>
      <c r="Q4303" t="s">
        <v>137</v>
      </c>
      <c r="R4303" t="s">
        <v>131</v>
      </c>
    </row>
    <row r="4304" spans="3:18" x14ac:dyDescent="0.25">
      <c r="C4304" t="s">
        <v>47</v>
      </c>
      <c r="D4304" t="s">
        <v>22</v>
      </c>
      <c r="E4304" t="s">
        <v>48</v>
      </c>
      <c r="F4304" t="s">
        <v>41</v>
      </c>
      <c r="G4304" s="89">
        <v>63302</v>
      </c>
      <c r="H4304" t="s">
        <v>146</v>
      </c>
      <c r="I4304" t="s">
        <v>126</v>
      </c>
      <c r="J4304" s="89">
        <v>759624</v>
      </c>
      <c r="K4304" t="s">
        <v>127</v>
      </c>
      <c r="L4304" t="s">
        <v>128</v>
      </c>
      <c r="N4304">
        <v>1</v>
      </c>
      <c r="O4304" s="89">
        <v>2532.08</v>
      </c>
      <c r="P4304" s="89">
        <v>25953.82</v>
      </c>
      <c r="Q4304" t="s">
        <v>142</v>
      </c>
      <c r="R4304" t="s">
        <v>131</v>
      </c>
    </row>
    <row r="4305" spans="3:18" hidden="1" x14ac:dyDescent="0.25">
      <c r="C4305" t="s">
        <v>45</v>
      </c>
      <c r="D4305" t="s">
        <v>24</v>
      </c>
      <c r="E4305" t="s">
        <v>48</v>
      </c>
      <c r="F4305" t="s">
        <v>41</v>
      </c>
      <c r="G4305" s="89">
        <v>270091</v>
      </c>
      <c r="H4305" t="s">
        <v>140</v>
      </c>
      <c r="I4305" t="s">
        <v>141</v>
      </c>
      <c r="J4305" s="89">
        <v>2160728</v>
      </c>
      <c r="K4305" t="s">
        <v>127</v>
      </c>
      <c r="L4305" t="s">
        <v>128</v>
      </c>
      <c r="N4305">
        <v>1</v>
      </c>
      <c r="O4305" s="89">
        <v>10803.64</v>
      </c>
      <c r="P4305" s="89">
        <v>183661.88</v>
      </c>
      <c r="Q4305" t="s">
        <v>137</v>
      </c>
      <c r="R4305" t="s">
        <v>131</v>
      </c>
    </row>
    <row r="4306" spans="3:18" hidden="1" x14ac:dyDescent="0.25">
      <c r="C4306" t="s">
        <v>45</v>
      </c>
      <c r="D4306" t="s">
        <v>21</v>
      </c>
      <c r="E4306" t="s">
        <v>40</v>
      </c>
      <c r="F4306" t="s">
        <v>41</v>
      </c>
      <c r="G4306" s="89">
        <v>6220220</v>
      </c>
      <c r="H4306" t="s">
        <v>146</v>
      </c>
      <c r="I4306" t="s">
        <v>141</v>
      </c>
      <c r="J4306" s="89">
        <v>43541540</v>
      </c>
      <c r="K4306" t="s">
        <v>127</v>
      </c>
      <c r="L4306" t="s">
        <v>128</v>
      </c>
      <c r="N4306">
        <v>1</v>
      </c>
      <c r="O4306" s="89">
        <v>186606.6</v>
      </c>
      <c r="P4306" s="89">
        <v>1306246.2</v>
      </c>
      <c r="Q4306" t="s">
        <v>130</v>
      </c>
      <c r="R4306" t="s">
        <v>131</v>
      </c>
    </row>
    <row r="4307" spans="3:18" hidden="1" x14ac:dyDescent="0.25">
      <c r="C4307" t="s">
        <v>45</v>
      </c>
      <c r="D4307" t="s">
        <v>22</v>
      </c>
      <c r="E4307" t="s">
        <v>48</v>
      </c>
      <c r="F4307" t="s">
        <v>41</v>
      </c>
      <c r="G4307" s="89">
        <v>1107154</v>
      </c>
      <c r="H4307" t="s">
        <v>42</v>
      </c>
      <c r="I4307" t="s">
        <v>126</v>
      </c>
      <c r="J4307" s="89">
        <v>18821618</v>
      </c>
      <c r="K4307" t="s">
        <v>127</v>
      </c>
      <c r="L4307" t="s">
        <v>128</v>
      </c>
      <c r="M4307" t="s">
        <v>143</v>
      </c>
      <c r="N4307">
        <v>1</v>
      </c>
      <c r="O4307" s="89">
        <v>33214.620000000003</v>
      </c>
      <c r="P4307" s="89">
        <v>730721.64</v>
      </c>
      <c r="Q4307" t="s">
        <v>137</v>
      </c>
      <c r="R4307" t="s">
        <v>131</v>
      </c>
    </row>
    <row r="4308" spans="3:18" hidden="1" x14ac:dyDescent="0.25">
      <c r="C4308" t="s">
        <v>45</v>
      </c>
      <c r="D4308" t="s">
        <v>20</v>
      </c>
      <c r="E4308" t="s">
        <v>43</v>
      </c>
      <c r="F4308" t="s">
        <v>41</v>
      </c>
      <c r="G4308" s="89">
        <v>98364</v>
      </c>
      <c r="H4308" t="s">
        <v>140</v>
      </c>
      <c r="I4308" t="s">
        <v>126</v>
      </c>
      <c r="J4308" s="89">
        <v>1377096</v>
      </c>
      <c r="K4308" t="s">
        <v>134</v>
      </c>
      <c r="L4308" t="s">
        <v>128</v>
      </c>
      <c r="N4308">
        <v>1</v>
      </c>
      <c r="O4308" s="89">
        <v>1967.28</v>
      </c>
      <c r="P4308" s="89">
        <v>22623.72</v>
      </c>
      <c r="Q4308" t="s">
        <v>130</v>
      </c>
      <c r="R4308" t="s">
        <v>131</v>
      </c>
    </row>
    <row r="4309" spans="3:18" x14ac:dyDescent="0.25">
      <c r="C4309" t="s">
        <v>47</v>
      </c>
      <c r="D4309" t="s">
        <v>21</v>
      </c>
      <c r="E4309" t="s">
        <v>48</v>
      </c>
      <c r="F4309" t="s">
        <v>41</v>
      </c>
      <c r="G4309" s="89">
        <v>21647</v>
      </c>
      <c r="H4309" t="s">
        <v>146</v>
      </c>
      <c r="I4309" t="s">
        <v>141</v>
      </c>
      <c r="J4309" s="89">
        <v>129882</v>
      </c>
      <c r="K4309" t="s">
        <v>127</v>
      </c>
      <c r="L4309" t="s">
        <v>128</v>
      </c>
      <c r="N4309">
        <v>1</v>
      </c>
      <c r="O4309" s="89">
        <v>1082.3499999999999</v>
      </c>
      <c r="P4309" s="89">
        <v>11689.38</v>
      </c>
      <c r="Q4309" t="s">
        <v>142</v>
      </c>
      <c r="R4309" t="s">
        <v>131</v>
      </c>
    </row>
    <row r="4310" spans="3:18" hidden="1" x14ac:dyDescent="0.25">
      <c r="C4310" t="s">
        <v>45</v>
      </c>
      <c r="D4310" t="s">
        <v>23</v>
      </c>
      <c r="E4310" t="s">
        <v>40</v>
      </c>
      <c r="F4310" t="s">
        <v>53</v>
      </c>
      <c r="G4310" s="89">
        <v>744994</v>
      </c>
      <c r="H4310" t="s">
        <v>42</v>
      </c>
      <c r="I4310" t="s">
        <v>133</v>
      </c>
      <c r="J4310" s="89">
        <v>23094814</v>
      </c>
      <c r="K4310" t="s">
        <v>144</v>
      </c>
      <c r="N4310">
        <v>1</v>
      </c>
      <c r="O4310" s="89">
        <v>22349.82</v>
      </c>
      <c r="P4310" s="89">
        <v>625794.96</v>
      </c>
      <c r="Q4310" t="s">
        <v>135</v>
      </c>
      <c r="R4310" t="s">
        <v>42</v>
      </c>
    </row>
    <row r="4311" spans="3:18" x14ac:dyDescent="0.25">
      <c r="C4311" t="s">
        <v>47</v>
      </c>
      <c r="D4311" t="s">
        <v>21</v>
      </c>
      <c r="E4311" t="s">
        <v>40</v>
      </c>
      <c r="F4311" t="s">
        <v>41</v>
      </c>
      <c r="G4311" s="89">
        <v>2207552</v>
      </c>
      <c r="H4311" t="s">
        <v>146</v>
      </c>
      <c r="I4311" t="s">
        <v>126</v>
      </c>
      <c r="J4311" s="89">
        <v>28698176</v>
      </c>
      <c r="K4311" t="s">
        <v>144</v>
      </c>
      <c r="N4311">
        <v>1</v>
      </c>
      <c r="O4311" s="89">
        <v>88302.080000000002</v>
      </c>
      <c r="P4311" s="89">
        <v>1501135.36</v>
      </c>
      <c r="Q4311" t="s">
        <v>137</v>
      </c>
      <c r="R4311" t="s">
        <v>131</v>
      </c>
    </row>
    <row r="4312" spans="3:18" x14ac:dyDescent="0.25">
      <c r="C4312" t="s">
        <v>47</v>
      </c>
      <c r="D4312" t="s">
        <v>21</v>
      </c>
      <c r="E4312" t="s">
        <v>43</v>
      </c>
      <c r="F4312" t="s">
        <v>41</v>
      </c>
      <c r="G4312" s="89">
        <v>231118</v>
      </c>
      <c r="H4312" t="s">
        <v>146</v>
      </c>
      <c r="I4312" t="s">
        <v>133</v>
      </c>
      <c r="J4312" s="89">
        <v>6933540</v>
      </c>
      <c r="K4312" t="s">
        <v>127</v>
      </c>
      <c r="L4312" t="s">
        <v>128</v>
      </c>
      <c r="N4312">
        <v>1</v>
      </c>
      <c r="O4312" s="89">
        <v>11555.9</v>
      </c>
      <c r="P4312" s="89">
        <v>124803.72</v>
      </c>
      <c r="Q4312" t="s">
        <v>142</v>
      </c>
      <c r="R4312" t="s">
        <v>131</v>
      </c>
    </row>
    <row r="4313" spans="3:18" hidden="1" x14ac:dyDescent="0.25">
      <c r="C4313" t="s">
        <v>45</v>
      </c>
      <c r="D4313" t="s">
        <v>21</v>
      </c>
      <c r="E4313" t="s">
        <v>43</v>
      </c>
      <c r="F4313" t="s">
        <v>41</v>
      </c>
      <c r="G4313" s="89">
        <v>13694</v>
      </c>
      <c r="H4313" t="s">
        <v>145</v>
      </c>
      <c r="I4313" t="s">
        <v>141</v>
      </c>
      <c r="J4313" s="89">
        <v>123246</v>
      </c>
      <c r="K4313" t="s">
        <v>134</v>
      </c>
      <c r="L4313" t="s">
        <v>128</v>
      </c>
      <c r="N4313">
        <v>1</v>
      </c>
      <c r="O4313" s="89">
        <v>410.82</v>
      </c>
      <c r="P4313" s="89">
        <v>9448.86</v>
      </c>
      <c r="Q4313" t="s">
        <v>137</v>
      </c>
      <c r="R4313" t="s">
        <v>131</v>
      </c>
    </row>
    <row r="4314" spans="3:18" hidden="1" x14ac:dyDescent="0.25">
      <c r="C4314" t="s">
        <v>45</v>
      </c>
      <c r="D4314" t="s">
        <v>19</v>
      </c>
      <c r="E4314" t="s">
        <v>43</v>
      </c>
      <c r="F4314" t="s">
        <v>41</v>
      </c>
      <c r="G4314" s="89">
        <v>5664705</v>
      </c>
      <c r="H4314" t="s">
        <v>42</v>
      </c>
      <c r="I4314" t="s">
        <v>126</v>
      </c>
      <c r="J4314" s="89">
        <v>90635280</v>
      </c>
      <c r="K4314" t="s">
        <v>144</v>
      </c>
      <c r="N4314">
        <v>1</v>
      </c>
      <c r="O4314" s="89">
        <v>169941.15</v>
      </c>
      <c r="P4314" s="89">
        <v>1472823.3</v>
      </c>
      <c r="Q4314" t="s">
        <v>130</v>
      </c>
      <c r="R4314" t="s">
        <v>42</v>
      </c>
    </row>
    <row r="4315" spans="3:18" hidden="1" x14ac:dyDescent="0.25">
      <c r="C4315" t="s">
        <v>45</v>
      </c>
      <c r="D4315" t="s">
        <v>21</v>
      </c>
      <c r="E4315" t="s">
        <v>43</v>
      </c>
      <c r="F4315" t="s">
        <v>53</v>
      </c>
      <c r="G4315" s="89">
        <v>1841714</v>
      </c>
      <c r="H4315" t="s">
        <v>140</v>
      </c>
      <c r="I4315" t="s">
        <v>141</v>
      </c>
      <c r="J4315" s="89">
        <v>12891998</v>
      </c>
      <c r="K4315" t="s">
        <v>144</v>
      </c>
      <c r="N4315">
        <v>1</v>
      </c>
      <c r="O4315" s="89">
        <v>55251.42</v>
      </c>
      <c r="P4315" s="89">
        <v>699851.32</v>
      </c>
      <c r="Q4315" t="s">
        <v>130</v>
      </c>
      <c r="R4315" t="s">
        <v>131</v>
      </c>
    </row>
    <row r="4316" spans="3:18" hidden="1" x14ac:dyDescent="0.25">
      <c r="C4316" t="s">
        <v>45</v>
      </c>
      <c r="D4316" t="s">
        <v>23</v>
      </c>
      <c r="E4316" t="s">
        <v>40</v>
      </c>
      <c r="F4316" t="s">
        <v>41</v>
      </c>
      <c r="G4316" s="89">
        <v>10478369</v>
      </c>
      <c r="H4316" t="s">
        <v>145</v>
      </c>
      <c r="I4316" t="s">
        <v>126</v>
      </c>
      <c r="J4316" s="89">
        <v>178132273</v>
      </c>
      <c r="K4316" t="s">
        <v>127</v>
      </c>
      <c r="L4316" t="s">
        <v>128</v>
      </c>
      <c r="N4316">
        <v>1</v>
      </c>
      <c r="O4316" s="89">
        <v>314351.07</v>
      </c>
      <c r="P4316" s="89">
        <v>7020507.2300000004</v>
      </c>
      <c r="Q4316" t="s">
        <v>137</v>
      </c>
      <c r="R4316" t="s">
        <v>131</v>
      </c>
    </row>
    <row r="4317" spans="3:18" hidden="1" x14ac:dyDescent="0.25">
      <c r="C4317" t="s">
        <v>45</v>
      </c>
      <c r="D4317" t="s">
        <v>24</v>
      </c>
      <c r="E4317" t="s">
        <v>44</v>
      </c>
      <c r="F4317" t="s">
        <v>41</v>
      </c>
      <c r="G4317" s="89">
        <v>95302</v>
      </c>
      <c r="H4317" t="s">
        <v>140</v>
      </c>
      <c r="I4317" t="s">
        <v>133</v>
      </c>
      <c r="J4317" s="89">
        <v>2191946</v>
      </c>
      <c r="K4317" t="s">
        <v>134</v>
      </c>
      <c r="L4317" t="s">
        <v>128</v>
      </c>
      <c r="N4317">
        <v>1</v>
      </c>
      <c r="O4317" s="89">
        <v>2859.06</v>
      </c>
      <c r="P4317" s="89">
        <v>48604.02</v>
      </c>
      <c r="Q4317" t="s">
        <v>142</v>
      </c>
      <c r="R4317" t="s">
        <v>131</v>
      </c>
    </row>
    <row r="4318" spans="3:18" hidden="1" x14ac:dyDescent="0.25">
      <c r="C4318" t="s">
        <v>45</v>
      </c>
      <c r="D4318" t="s">
        <v>23</v>
      </c>
      <c r="E4318" t="s">
        <v>40</v>
      </c>
      <c r="F4318" t="s">
        <v>53</v>
      </c>
      <c r="G4318" s="89">
        <v>153042</v>
      </c>
      <c r="H4318" t="s">
        <v>140</v>
      </c>
      <c r="I4318" t="s">
        <v>126</v>
      </c>
      <c r="J4318" s="89">
        <v>2907798</v>
      </c>
      <c r="K4318" t="s">
        <v>144</v>
      </c>
      <c r="N4318">
        <v>1</v>
      </c>
      <c r="O4318" s="89">
        <v>4591.26</v>
      </c>
      <c r="P4318" s="89">
        <v>26017.14</v>
      </c>
      <c r="Q4318" t="s">
        <v>130</v>
      </c>
      <c r="R4318" t="s">
        <v>131</v>
      </c>
    </row>
    <row r="4319" spans="3:18" x14ac:dyDescent="0.25">
      <c r="C4319" t="s">
        <v>47</v>
      </c>
      <c r="D4319" t="s">
        <v>24</v>
      </c>
      <c r="E4319" t="s">
        <v>52</v>
      </c>
      <c r="F4319" t="s">
        <v>41</v>
      </c>
      <c r="G4319" s="89">
        <v>86850</v>
      </c>
      <c r="H4319" t="s">
        <v>42</v>
      </c>
      <c r="I4319" t="s">
        <v>126</v>
      </c>
      <c r="J4319" s="89">
        <v>1129050</v>
      </c>
      <c r="K4319" t="s">
        <v>127</v>
      </c>
      <c r="L4319" t="s">
        <v>128</v>
      </c>
      <c r="M4319" t="s">
        <v>148</v>
      </c>
      <c r="N4319">
        <v>1</v>
      </c>
      <c r="O4319" s="89">
        <v>3474</v>
      </c>
      <c r="P4319" s="89">
        <v>41688</v>
      </c>
      <c r="Q4319" t="s">
        <v>142</v>
      </c>
      <c r="R4319" t="s">
        <v>42</v>
      </c>
    </row>
    <row r="4320" spans="3:18" hidden="1" x14ac:dyDescent="0.25">
      <c r="C4320" t="s">
        <v>45</v>
      </c>
      <c r="D4320" t="s">
        <v>24</v>
      </c>
      <c r="E4320" t="s">
        <v>44</v>
      </c>
      <c r="F4320" t="s">
        <v>41</v>
      </c>
      <c r="G4320" s="89">
        <v>51257</v>
      </c>
      <c r="H4320" t="s">
        <v>140</v>
      </c>
      <c r="I4320" t="s">
        <v>141</v>
      </c>
      <c r="J4320" s="89">
        <v>410056</v>
      </c>
      <c r="K4320" t="s">
        <v>134</v>
      </c>
      <c r="L4320" t="s">
        <v>128</v>
      </c>
      <c r="N4320">
        <v>1</v>
      </c>
      <c r="O4320" s="89">
        <v>2050.2800000000002</v>
      </c>
      <c r="P4320" s="89">
        <v>13326.82</v>
      </c>
      <c r="Q4320" t="s">
        <v>130</v>
      </c>
      <c r="R4320" t="s">
        <v>131</v>
      </c>
    </row>
    <row r="4321" spans="3:18" hidden="1" x14ac:dyDescent="0.25">
      <c r="C4321" t="s">
        <v>45</v>
      </c>
      <c r="D4321" t="s">
        <v>21</v>
      </c>
      <c r="E4321" t="s">
        <v>40</v>
      </c>
      <c r="F4321" t="s">
        <v>41</v>
      </c>
      <c r="G4321" s="89">
        <v>1288249</v>
      </c>
      <c r="H4321" t="s">
        <v>146</v>
      </c>
      <c r="I4321" t="s">
        <v>133</v>
      </c>
      <c r="J4321" s="89">
        <v>41223968</v>
      </c>
      <c r="K4321" t="s">
        <v>144</v>
      </c>
      <c r="N4321">
        <v>1</v>
      </c>
      <c r="O4321" s="89">
        <v>38647.47</v>
      </c>
      <c r="P4321" s="89">
        <v>888891.81</v>
      </c>
      <c r="Q4321" t="s">
        <v>137</v>
      </c>
      <c r="R4321" t="s">
        <v>131</v>
      </c>
    </row>
    <row r="4322" spans="3:18" hidden="1" x14ac:dyDescent="0.25">
      <c r="C4322" t="s">
        <v>45</v>
      </c>
      <c r="D4322" t="s">
        <v>138</v>
      </c>
      <c r="E4322" t="s">
        <v>43</v>
      </c>
      <c r="F4322" t="s">
        <v>41</v>
      </c>
      <c r="G4322" s="89">
        <v>11490</v>
      </c>
      <c r="H4322" t="s">
        <v>42</v>
      </c>
      <c r="I4322" t="s">
        <v>141</v>
      </c>
      <c r="J4322" s="89">
        <v>103410</v>
      </c>
      <c r="K4322" t="s">
        <v>134</v>
      </c>
      <c r="L4322" t="s">
        <v>128</v>
      </c>
      <c r="M4322" t="s">
        <v>139</v>
      </c>
      <c r="N4322">
        <v>1</v>
      </c>
      <c r="O4322" s="89">
        <v>344.7</v>
      </c>
      <c r="P4322" s="89">
        <v>4596</v>
      </c>
      <c r="Q4322" t="s">
        <v>142</v>
      </c>
      <c r="R4322" t="s">
        <v>131</v>
      </c>
    </row>
    <row r="4323" spans="3:18" x14ac:dyDescent="0.25">
      <c r="C4323" t="s">
        <v>47</v>
      </c>
      <c r="D4323" t="s">
        <v>22</v>
      </c>
      <c r="E4323" t="s">
        <v>40</v>
      </c>
      <c r="F4323" t="s">
        <v>41</v>
      </c>
      <c r="G4323" s="89">
        <v>80365</v>
      </c>
      <c r="H4323" t="s">
        <v>146</v>
      </c>
      <c r="I4323" t="s">
        <v>147</v>
      </c>
      <c r="J4323" s="89">
        <v>401825</v>
      </c>
      <c r="K4323" t="s">
        <v>144</v>
      </c>
      <c r="N4323">
        <v>1</v>
      </c>
      <c r="O4323" s="89">
        <v>2410.9499999999998</v>
      </c>
      <c r="P4323" s="89">
        <v>60273.75</v>
      </c>
      <c r="Q4323" t="s">
        <v>137</v>
      </c>
      <c r="R4323" t="s">
        <v>131</v>
      </c>
    </row>
    <row r="4324" spans="3:18" hidden="1" x14ac:dyDescent="0.25">
      <c r="C4324" t="s">
        <v>45</v>
      </c>
      <c r="D4324" t="s">
        <v>22</v>
      </c>
      <c r="E4324" t="s">
        <v>43</v>
      </c>
      <c r="F4324" t="s">
        <v>41</v>
      </c>
      <c r="G4324" s="89">
        <v>59049</v>
      </c>
      <c r="H4324" t="s">
        <v>132</v>
      </c>
      <c r="I4324" t="s">
        <v>126</v>
      </c>
      <c r="J4324" s="89">
        <v>1180980</v>
      </c>
      <c r="K4324" t="s">
        <v>134</v>
      </c>
      <c r="L4324" t="s">
        <v>128</v>
      </c>
      <c r="N4324">
        <v>1</v>
      </c>
      <c r="O4324" s="89">
        <v>1771.47</v>
      </c>
      <c r="P4324" s="89">
        <v>34248.42</v>
      </c>
      <c r="Q4324" t="s">
        <v>142</v>
      </c>
      <c r="R4324" t="s">
        <v>131</v>
      </c>
    </row>
    <row r="4325" spans="3:18" hidden="1" x14ac:dyDescent="0.25">
      <c r="C4325" t="s">
        <v>45</v>
      </c>
      <c r="D4325" t="s">
        <v>19</v>
      </c>
      <c r="E4325" t="s">
        <v>48</v>
      </c>
      <c r="F4325" t="s">
        <v>41</v>
      </c>
      <c r="G4325" s="89">
        <v>938862</v>
      </c>
      <c r="H4325" t="s">
        <v>42</v>
      </c>
      <c r="I4325" t="s">
        <v>126</v>
      </c>
      <c r="J4325" s="89">
        <v>15960654</v>
      </c>
      <c r="K4325" t="s">
        <v>127</v>
      </c>
      <c r="L4325" t="s">
        <v>128</v>
      </c>
      <c r="M4325" t="s">
        <v>136</v>
      </c>
      <c r="N4325">
        <v>1</v>
      </c>
      <c r="O4325" s="89">
        <v>28165.86</v>
      </c>
      <c r="P4325" s="89">
        <v>431876.52</v>
      </c>
      <c r="Q4325" t="s">
        <v>142</v>
      </c>
      <c r="R4325" t="s">
        <v>131</v>
      </c>
    </row>
    <row r="4326" spans="3:18" hidden="1" x14ac:dyDescent="0.25">
      <c r="C4326" t="s">
        <v>45</v>
      </c>
      <c r="D4326" t="s">
        <v>20</v>
      </c>
      <c r="E4326" t="s">
        <v>43</v>
      </c>
      <c r="F4326" t="s">
        <v>41</v>
      </c>
      <c r="G4326" s="89">
        <v>4274728</v>
      </c>
      <c r="H4326" t="s">
        <v>140</v>
      </c>
      <c r="I4326" t="s">
        <v>141</v>
      </c>
      <c r="J4326" s="89">
        <v>34197824</v>
      </c>
      <c r="K4326" t="s">
        <v>127</v>
      </c>
      <c r="L4326" t="s">
        <v>128</v>
      </c>
      <c r="N4326">
        <v>1</v>
      </c>
      <c r="O4326" s="89">
        <v>128241.84</v>
      </c>
      <c r="P4326" s="89">
        <v>1966374.88</v>
      </c>
      <c r="Q4326" t="s">
        <v>142</v>
      </c>
      <c r="R4326" t="s">
        <v>131</v>
      </c>
    </row>
    <row r="4327" spans="3:18" hidden="1" x14ac:dyDescent="0.25">
      <c r="C4327" t="s">
        <v>45</v>
      </c>
      <c r="D4327" t="s">
        <v>22</v>
      </c>
      <c r="E4327" t="s">
        <v>40</v>
      </c>
      <c r="F4327" t="s">
        <v>53</v>
      </c>
      <c r="G4327" s="89">
        <v>662892</v>
      </c>
      <c r="H4327" t="s">
        <v>42</v>
      </c>
      <c r="I4327" t="s">
        <v>133</v>
      </c>
      <c r="J4327" s="89">
        <v>21875436</v>
      </c>
      <c r="K4327" t="s">
        <v>144</v>
      </c>
      <c r="N4327">
        <v>1</v>
      </c>
      <c r="O4327" s="89">
        <v>19886.759999999998</v>
      </c>
      <c r="P4327" s="89">
        <v>550200.36</v>
      </c>
      <c r="Q4327" t="s">
        <v>135</v>
      </c>
      <c r="R4327" t="s">
        <v>131</v>
      </c>
    </row>
    <row r="4328" spans="3:18" hidden="1" x14ac:dyDescent="0.25">
      <c r="C4328" t="s">
        <v>45</v>
      </c>
      <c r="D4328" t="s">
        <v>20</v>
      </c>
      <c r="E4328" t="s">
        <v>43</v>
      </c>
      <c r="F4328" t="s">
        <v>41</v>
      </c>
      <c r="G4328" s="89">
        <v>29942926</v>
      </c>
      <c r="H4328" t="s">
        <v>42</v>
      </c>
      <c r="I4328" t="s">
        <v>133</v>
      </c>
      <c r="J4328" s="89">
        <v>928230706</v>
      </c>
      <c r="K4328" t="s">
        <v>127</v>
      </c>
      <c r="L4328" t="s">
        <v>128</v>
      </c>
      <c r="M4328" t="s">
        <v>139</v>
      </c>
      <c r="N4328">
        <v>1</v>
      </c>
      <c r="O4328" s="89">
        <v>898287.78</v>
      </c>
      <c r="P4328" s="89">
        <v>20960048.199999999</v>
      </c>
      <c r="Q4328" t="s">
        <v>137</v>
      </c>
      <c r="R4328" t="s">
        <v>42</v>
      </c>
    </row>
    <row r="4329" spans="3:18" hidden="1" x14ac:dyDescent="0.25">
      <c r="C4329" t="s">
        <v>45</v>
      </c>
      <c r="D4329" t="s">
        <v>21</v>
      </c>
      <c r="E4329" t="s">
        <v>40</v>
      </c>
      <c r="F4329" t="s">
        <v>41</v>
      </c>
      <c r="G4329" s="89">
        <v>11431</v>
      </c>
      <c r="H4329" t="s">
        <v>42</v>
      </c>
      <c r="I4329" t="s">
        <v>147</v>
      </c>
      <c r="J4329" s="89">
        <v>45724</v>
      </c>
      <c r="K4329" t="s">
        <v>134</v>
      </c>
      <c r="L4329" t="s">
        <v>128</v>
      </c>
      <c r="M4329" t="s">
        <v>129</v>
      </c>
      <c r="N4329">
        <v>1</v>
      </c>
      <c r="O4329" s="89">
        <v>342.93</v>
      </c>
      <c r="P4329" s="89">
        <v>2629.13</v>
      </c>
      <c r="Q4329" t="s">
        <v>130</v>
      </c>
      <c r="R4329" t="s">
        <v>42</v>
      </c>
    </row>
    <row r="4330" spans="3:18" hidden="1" x14ac:dyDescent="0.25">
      <c r="C4330" t="s">
        <v>45</v>
      </c>
      <c r="D4330" t="s">
        <v>23</v>
      </c>
      <c r="E4330" t="s">
        <v>48</v>
      </c>
      <c r="F4330" t="s">
        <v>41</v>
      </c>
      <c r="G4330" s="89">
        <v>4125</v>
      </c>
      <c r="H4330" t="s">
        <v>146</v>
      </c>
      <c r="I4330" t="s">
        <v>147</v>
      </c>
      <c r="J4330" s="89">
        <v>8250</v>
      </c>
      <c r="K4330" t="s">
        <v>127</v>
      </c>
      <c r="L4330" t="s">
        <v>151</v>
      </c>
      <c r="N4330">
        <v>1</v>
      </c>
      <c r="O4330" s="89">
        <v>123.75</v>
      </c>
      <c r="P4330" s="89">
        <v>453.75</v>
      </c>
      <c r="Q4330" t="s">
        <v>130</v>
      </c>
      <c r="R4330" t="s">
        <v>131</v>
      </c>
    </row>
    <row r="4331" spans="3:18" hidden="1" x14ac:dyDescent="0.25">
      <c r="C4331" t="s">
        <v>45</v>
      </c>
      <c r="D4331" t="s">
        <v>22</v>
      </c>
      <c r="E4331" t="s">
        <v>40</v>
      </c>
      <c r="F4331" t="s">
        <v>41</v>
      </c>
      <c r="G4331" s="89">
        <v>88553</v>
      </c>
      <c r="H4331" t="s">
        <v>42</v>
      </c>
      <c r="I4331" t="s">
        <v>133</v>
      </c>
      <c r="J4331" s="89">
        <v>1859613</v>
      </c>
      <c r="K4331" t="s">
        <v>127</v>
      </c>
      <c r="L4331" t="s">
        <v>128</v>
      </c>
      <c r="M4331" t="s">
        <v>139</v>
      </c>
      <c r="N4331">
        <v>1</v>
      </c>
      <c r="O4331" s="89">
        <v>3542.12</v>
      </c>
      <c r="P4331" s="89">
        <v>38963.32</v>
      </c>
      <c r="Q4331" t="s">
        <v>142</v>
      </c>
      <c r="R4331" t="s">
        <v>42</v>
      </c>
    </row>
    <row r="4332" spans="3:18" hidden="1" x14ac:dyDescent="0.25">
      <c r="C4332" t="s">
        <v>45</v>
      </c>
      <c r="D4332" t="s">
        <v>23</v>
      </c>
      <c r="E4332" t="s">
        <v>43</v>
      </c>
      <c r="F4332" t="s">
        <v>41</v>
      </c>
      <c r="G4332" s="89">
        <v>1041808</v>
      </c>
      <c r="H4332" t="s">
        <v>146</v>
      </c>
      <c r="I4332" t="s">
        <v>141</v>
      </c>
      <c r="J4332" s="89">
        <v>8334464</v>
      </c>
      <c r="K4332" t="s">
        <v>127</v>
      </c>
      <c r="L4332" t="s">
        <v>128</v>
      </c>
      <c r="N4332">
        <v>1</v>
      </c>
      <c r="O4332" s="89">
        <v>31254.240000000002</v>
      </c>
      <c r="P4332" s="89">
        <v>197943.52</v>
      </c>
      <c r="Q4332" t="s">
        <v>130</v>
      </c>
      <c r="R4332" t="s">
        <v>131</v>
      </c>
    </row>
    <row r="4333" spans="3:18" hidden="1" x14ac:dyDescent="0.25">
      <c r="C4333" t="s">
        <v>45</v>
      </c>
      <c r="D4333" t="s">
        <v>22</v>
      </c>
      <c r="E4333" t="s">
        <v>43</v>
      </c>
      <c r="F4333" t="s">
        <v>41</v>
      </c>
      <c r="G4333" s="89">
        <v>34844891</v>
      </c>
      <c r="H4333" t="s">
        <v>42</v>
      </c>
      <c r="I4333" t="s">
        <v>133</v>
      </c>
      <c r="J4333" s="89">
        <v>1184726294</v>
      </c>
      <c r="K4333" t="s">
        <v>127</v>
      </c>
      <c r="L4333" t="s">
        <v>128</v>
      </c>
      <c r="M4333" t="s">
        <v>143</v>
      </c>
      <c r="N4333">
        <v>1</v>
      </c>
      <c r="O4333" s="89">
        <v>1045346.73</v>
      </c>
      <c r="P4333" s="89">
        <v>28572810.620000001</v>
      </c>
      <c r="Q4333" t="s">
        <v>135</v>
      </c>
      <c r="R4333" t="s">
        <v>131</v>
      </c>
    </row>
    <row r="4334" spans="3:18" x14ac:dyDescent="0.25">
      <c r="C4334" t="s">
        <v>47</v>
      </c>
      <c r="D4334" t="s">
        <v>20</v>
      </c>
      <c r="E4334" t="s">
        <v>43</v>
      </c>
      <c r="F4334" t="s">
        <v>41</v>
      </c>
      <c r="G4334" s="89">
        <v>26762</v>
      </c>
      <c r="H4334" t="s">
        <v>146</v>
      </c>
      <c r="I4334" t="s">
        <v>147</v>
      </c>
      <c r="J4334" s="89"/>
      <c r="K4334" t="s">
        <v>127</v>
      </c>
      <c r="L4334" t="s">
        <v>128</v>
      </c>
      <c r="N4334">
        <v>0</v>
      </c>
      <c r="O4334" s="89">
        <v>802.86</v>
      </c>
      <c r="P4334" s="89">
        <v>0</v>
      </c>
      <c r="Q4334" t="s">
        <v>130</v>
      </c>
      <c r="R4334" t="s">
        <v>131</v>
      </c>
    </row>
    <row r="4335" spans="3:18" hidden="1" x14ac:dyDescent="0.25">
      <c r="C4335" t="s">
        <v>45</v>
      </c>
      <c r="D4335" t="s">
        <v>21</v>
      </c>
      <c r="E4335" t="s">
        <v>48</v>
      </c>
      <c r="F4335" t="s">
        <v>41</v>
      </c>
      <c r="G4335" s="89">
        <v>57915</v>
      </c>
      <c r="H4335" t="s">
        <v>42</v>
      </c>
      <c r="I4335" t="s">
        <v>133</v>
      </c>
      <c r="J4335" s="89">
        <v>1969110</v>
      </c>
      <c r="K4335" t="s">
        <v>127</v>
      </c>
      <c r="L4335" t="s">
        <v>128</v>
      </c>
      <c r="M4335" t="s">
        <v>152</v>
      </c>
      <c r="N4335">
        <v>1</v>
      </c>
      <c r="O4335" s="89">
        <v>2316.6</v>
      </c>
      <c r="P4335" s="89">
        <v>39382.199999999997</v>
      </c>
      <c r="Q4335" t="s">
        <v>137</v>
      </c>
      <c r="R4335" t="s">
        <v>42</v>
      </c>
    </row>
    <row r="4336" spans="3:18" hidden="1" x14ac:dyDescent="0.25">
      <c r="C4336" t="s">
        <v>45</v>
      </c>
      <c r="D4336" t="s">
        <v>24</v>
      </c>
      <c r="E4336" t="s">
        <v>48</v>
      </c>
      <c r="F4336" t="s">
        <v>41</v>
      </c>
      <c r="G4336" s="89">
        <v>5596149</v>
      </c>
      <c r="H4336" t="s">
        <v>42</v>
      </c>
      <c r="I4336" t="s">
        <v>133</v>
      </c>
      <c r="J4336" s="89">
        <v>179076768</v>
      </c>
      <c r="K4336" t="s">
        <v>144</v>
      </c>
      <c r="N4336">
        <v>1</v>
      </c>
      <c r="O4336" s="89">
        <v>167884.47</v>
      </c>
      <c r="P4336" s="89">
        <v>3973265.79</v>
      </c>
      <c r="Q4336" t="s">
        <v>137</v>
      </c>
      <c r="R4336" t="s">
        <v>131</v>
      </c>
    </row>
    <row r="4337" spans="3:18" hidden="1" x14ac:dyDescent="0.25">
      <c r="C4337" t="s">
        <v>45</v>
      </c>
      <c r="D4337" t="s">
        <v>23</v>
      </c>
      <c r="E4337" t="s">
        <v>48</v>
      </c>
      <c r="F4337" t="s">
        <v>41</v>
      </c>
      <c r="G4337" s="89">
        <v>3009</v>
      </c>
      <c r="H4337" t="s">
        <v>132</v>
      </c>
      <c r="I4337" t="s">
        <v>147</v>
      </c>
      <c r="J4337" s="89">
        <v>9027</v>
      </c>
      <c r="K4337" t="s">
        <v>127</v>
      </c>
      <c r="L4337" t="s">
        <v>128</v>
      </c>
      <c r="N4337">
        <v>1</v>
      </c>
      <c r="O4337" s="89">
        <v>150.44999999999999</v>
      </c>
      <c r="P4337" s="89">
        <v>2407.1999999999998</v>
      </c>
      <c r="Q4337" t="s">
        <v>135</v>
      </c>
      <c r="R4337" t="s">
        <v>131</v>
      </c>
    </row>
    <row r="4338" spans="3:18" hidden="1" x14ac:dyDescent="0.25">
      <c r="C4338" t="s">
        <v>45</v>
      </c>
      <c r="D4338" t="s">
        <v>138</v>
      </c>
      <c r="E4338" t="s">
        <v>40</v>
      </c>
      <c r="F4338" t="s">
        <v>41</v>
      </c>
      <c r="G4338" s="89">
        <v>200481</v>
      </c>
      <c r="H4338" t="s">
        <v>42</v>
      </c>
      <c r="I4338" t="s">
        <v>133</v>
      </c>
      <c r="J4338" s="89">
        <v>5613468</v>
      </c>
      <c r="K4338" t="s">
        <v>127</v>
      </c>
      <c r="L4338" t="s">
        <v>128</v>
      </c>
      <c r="M4338" t="s">
        <v>129</v>
      </c>
      <c r="N4338">
        <v>1</v>
      </c>
      <c r="O4338" s="89">
        <v>8019.24</v>
      </c>
      <c r="P4338" s="89">
        <v>164394.42000000001</v>
      </c>
      <c r="Q4338" t="s">
        <v>135</v>
      </c>
      <c r="R4338" t="s">
        <v>42</v>
      </c>
    </row>
    <row r="4339" spans="3:18" hidden="1" x14ac:dyDescent="0.25">
      <c r="C4339" t="s">
        <v>45</v>
      </c>
      <c r="D4339" t="s">
        <v>24</v>
      </c>
      <c r="E4339" t="s">
        <v>48</v>
      </c>
      <c r="F4339" t="s">
        <v>41</v>
      </c>
      <c r="G4339" s="89">
        <v>45232</v>
      </c>
      <c r="H4339" t="s">
        <v>42</v>
      </c>
      <c r="I4339" t="s">
        <v>141</v>
      </c>
      <c r="J4339" s="89">
        <v>316624</v>
      </c>
      <c r="K4339" t="s">
        <v>127</v>
      </c>
      <c r="L4339" t="s">
        <v>128</v>
      </c>
      <c r="M4339" t="s">
        <v>148</v>
      </c>
      <c r="N4339">
        <v>1</v>
      </c>
      <c r="O4339" s="89">
        <v>1809.28</v>
      </c>
      <c r="P4339" s="89">
        <v>20806.72</v>
      </c>
      <c r="Q4339" t="s">
        <v>142</v>
      </c>
      <c r="R4339" t="s">
        <v>42</v>
      </c>
    </row>
    <row r="4340" spans="3:18" x14ac:dyDescent="0.25">
      <c r="C4340" t="s">
        <v>47</v>
      </c>
      <c r="D4340" t="s">
        <v>21</v>
      </c>
      <c r="E4340" t="s">
        <v>43</v>
      </c>
      <c r="F4340" t="s">
        <v>41</v>
      </c>
      <c r="G4340" s="89">
        <v>13969667</v>
      </c>
      <c r="H4340" t="s">
        <v>140</v>
      </c>
      <c r="I4340" t="s">
        <v>126</v>
      </c>
      <c r="J4340" s="89">
        <v>167636004</v>
      </c>
      <c r="K4340" t="s">
        <v>127</v>
      </c>
      <c r="L4340" t="s">
        <v>128</v>
      </c>
      <c r="N4340">
        <v>1</v>
      </c>
      <c r="O4340" s="89">
        <v>558786.68000000005</v>
      </c>
      <c r="P4340" s="89">
        <v>7543620.1799999997</v>
      </c>
      <c r="Q4340" t="s">
        <v>142</v>
      </c>
      <c r="R4340" t="s">
        <v>131</v>
      </c>
    </row>
    <row r="4341" spans="3:18" x14ac:dyDescent="0.25">
      <c r="C4341" t="s">
        <v>47</v>
      </c>
      <c r="D4341" t="s">
        <v>21</v>
      </c>
      <c r="E4341" t="s">
        <v>40</v>
      </c>
      <c r="F4341" t="s">
        <v>41</v>
      </c>
      <c r="G4341" s="89">
        <v>1542573</v>
      </c>
      <c r="H4341" t="s">
        <v>146</v>
      </c>
      <c r="I4341" t="s">
        <v>153</v>
      </c>
      <c r="J4341" s="89"/>
      <c r="K4341" t="s">
        <v>127</v>
      </c>
      <c r="L4341" t="s">
        <v>128</v>
      </c>
      <c r="N4341">
        <v>0</v>
      </c>
      <c r="O4341" s="89">
        <v>30851.46</v>
      </c>
      <c r="P4341" s="89">
        <v>46277.19</v>
      </c>
      <c r="Q4341" t="s">
        <v>130</v>
      </c>
      <c r="R4341" t="s">
        <v>131</v>
      </c>
    </row>
    <row r="4342" spans="3:18" x14ac:dyDescent="0.25">
      <c r="C4342" t="s">
        <v>47</v>
      </c>
      <c r="D4342" t="s">
        <v>23</v>
      </c>
      <c r="E4342" t="s">
        <v>40</v>
      </c>
      <c r="F4342" t="s">
        <v>41</v>
      </c>
      <c r="G4342" s="89">
        <v>2474558</v>
      </c>
      <c r="H4342" t="s">
        <v>146</v>
      </c>
      <c r="I4342" t="s">
        <v>141</v>
      </c>
      <c r="J4342" s="89">
        <v>17321906</v>
      </c>
      <c r="K4342" t="s">
        <v>127</v>
      </c>
      <c r="L4342" t="s">
        <v>128</v>
      </c>
      <c r="N4342">
        <v>1</v>
      </c>
      <c r="O4342" s="89">
        <v>98982.32</v>
      </c>
      <c r="P4342" s="89">
        <v>593893.92000000004</v>
      </c>
      <c r="Q4342" t="s">
        <v>130</v>
      </c>
      <c r="R4342" t="s">
        <v>131</v>
      </c>
    </row>
    <row r="4343" spans="3:18" hidden="1" x14ac:dyDescent="0.25">
      <c r="C4343" t="s">
        <v>45</v>
      </c>
      <c r="D4343" t="s">
        <v>19</v>
      </c>
      <c r="E4343" t="s">
        <v>43</v>
      </c>
      <c r="F4343" t="s">
        <v>41</v>
      </c>
      <c r="G4343" s="89">
        <v>151089</v>
      </c>
      <c r="H4343" t="s">
        <v>132</v>
      </c>
      <c r="I4343" t="s">
        <v>126</v>
      </c>
      <c r="J4343" s="89">
        <v>2870691</v>
      </c>
      <c r="K4343" t="s">
        <v>134</v>
      </c>
      <c r="L4343" t="s">
        <v>128</v>
      </c>
      <c r="N4343">
        <v>1</v>
      </c>
      <c r="O4343" s="89">
        <v>4532.67</v>
      </c>
      <c r="P4343" s="89">
        <v>92164.29</v>
      </c>
      <c r="Q4343" t="s">
        <v>137</v>
      </c>
      <c r="R4343" t="s">
        <v>131</v>
      </c>
    </row>
    <row r="4344" spans="3:18" hidden="1" x14ac:dyDescent="0.25">
      <c r="C4344" t="s">
        <v>45</v>
      </c>
      <c r="D4344" t="s">
        <v>21</v>
      </c>
      <c r="E4344" t="s">
        <v>48</v>
      </c>
      <c r="F4344" t="s">
        <v>41</v>
      </c>
      <c r="G4344" s="89">
        <v>12759614</v>
      </c>
      <c r="H4344" t="s">
        <v>42</v>
      </c>
      <c r="I4344" t="s">
        <v>133</v>
      </c>
      <c r="J4344" s="89">
        <v>408307648</v>
      </c>
      <c r="K4344" t="s">
        <v>127</v>
      </c>
      <c r="L4344" t="s">
        <v>128</v>
      </c>
      <c r="M4344" t="s">
        <v>129</v>
      </c>
      <c r="N4344">
        <v>1</v>
      </c>
      <c r="O4344" s="89">
        <v>382788.42</v>
      </c>
      <c r="P4344" s="89">
        <v>9186922.0800000001</v>
      </c>
      <c r="Q4344" t="s">
        <v>137</v>
      </c>
      <c r="R4344" t="s">
        <v>131</v>
      </c>
    </row>
    <row r="4345" spans="3:18" hidden="1" x14ac:dyDescent="0.25">
      <c r="C4345" t="s">
        <v>45</v>
      </c>
      <c r="D4345" t="s">
        <v>24</v>
      </c>
      <c r="E4345" t="s">
        <v>48</v>
      </c>
      <c r="F4345" t="s">
        <v>41</v>
      </c>
      <c r="G4345" s="89">
        <v>9544041</v>
      </c>
      <c r="H4345" t="s">
        <v>140</v>
      </c>
      <c r="I4345" t="s">
        <v>133</v>
      </c>
      <c r="J4345" s="89">
        <v>286321230</v>
      </c>
      <c r="K4345" t="s">
        <v>144</v>
      </c>
      <c r="N4345">
        <v>1</v>
      </c>
      <c r="O4345" s="89">
        <v>286321.23</v>
      </c>
      <c r="P4345" s="89">
        <v>2290569.84</v>
      </c>
      <c r="Q4345" t="s">
        <v>130</v>
      </c>
      <c r="R4345" t="s">
        <v>131</v>
      </c>
    </row>
    <row r="4346" spans="3:18" hidden="1" x14ac:dyDescent="0.25">
      <c r="C4346" t="s">
        <v>45</v>
      </c>
      <c r="D4346" t="s">
        <v>21</v>
      </c>
      <c r="E4346" t="s">
        <v>40</v>
      </c>
      <c r="F4346" t="s">
        <v>41</v>
      </c>
      <c r="G4346" s="89">
        <v>25273</v>
      </c>
      <c r="H4346" t="s">
        <v>42</v>
      </c>
      <c r="I4346" t="s">
        <v>147</v>
      </c>
      <c r="J4346" s="89">
        <v>75819</v>
      </c>
      <c r="K4346" t="s">
        <v>127</v>
      </c>
      <c r="L4346" t="s">
        <v>128</v>
      </c>
      <c r="M4346" t="s">
        <v>129</v>
      </c>
      <c r="N4346">
        <v>1</v>
      </c>
      <c r="O4346" s="89">
        <v>1010.92</v>
      </c>
      <c r="P4346" s="89">
        <v>10614.66</v>
      </c>
      <c r="Q4346" t="s">
        <v>142</v>
      </c>
      <c r="R4346" t="s">
        <v>42</v>
      </c>
    </row>
    <row r="4347" spans="3:18" x14ac:dyDescent="0.25">
      <c r="C4347" t="s">
        <v>47</v>
      </c>
      <c r="D4347" t="s">
        <v>138</v>
      </c>
      <c r="E4347" t="s">
        <v>40</v>
      </c>
      <c r="F4347" t="s">
        <v>41</v>
      </c>
      <c r="G4347" s="89">
        <v>30544</v>
      </c>
      <c r="H4347" t="s">
        <v>140</v>
      </c>
      <c r="I4347" t="s">
        <v>153</v>
      </c>
      <c r="J4347" s="89"/>
      <c r="K4347" t="s">
        <v>127</v>
      </c>
      <c r="L4347" t="s">
        <v>128</v>
      </c>
      <c r="N4347">
        <v>0</v>
      </c>
      <c r="O4347" s="89">
        <v>2443.52</v>
      </c>
      <c r="P4347" s="89">
        <v>0</v>
      </c>
      <c r="Q4347" t="s">
        <v>130</v>
      </c>
      <c r="R4347" t="s">
        <v>131</v>
      </c>
    </row>
    <row r="4348" spans="3:18" x14ac:dyDescent="0.25">
      <c r="C4348" t="s">
        <v>47</v>
      </c>
      <c r="D4348" t="s">
        <v>19</v>
      </c>
      <c r="E4348" t="s">
        <v>43</v>
      </c>
      <c r="F4348" t="s">
        <v>41</v>
      </c>
      <c r="G4348" s="89">
        <v>21300</v>
      </c>
      <c r="H4348" t="s">
        <v>146</v>
      </c>
      <c r="I4348" t="s">
        <v>126</v>
      </c>
      <c r="J4348" s="89">
        <v>234300</v>
      </c>
      <c r="K4348" t="s">
        <v>127</v>
      </c>
      <c r="L4348" t="s">
        <v>128</v>
      </c>
      <c r="N4348">
        <v>1</v>
      </c>
      <c r="O4348" s="89">
        <v>639</v>
      </c>
      <c r="P4348" s="89">
        <v>31950</v>
      </c>
      <c r="Q4348" t="s">
        <v>150</v>
      </c>
      <c r="R4348" t="s">
        <v>131</v>
      </c>
    </row>
    <row r="4349" spans="3:18" x14ac:dyDescent="0.25">
      <c r="C4349" t="s">
        <v>47</v>
      </c>
      <c r="D4349" t="s">
        <v>50</v>
      </c>
      <c r="E4349" t="s">
        <v>50</v>
      </c>
      <c r="F4349" t="s">
        <v>41</v>
      </c>
      <c r="G4349" s="89">
        <v>2002292</v>
      </c>
      <c r="H4349" t="s">
        <v>79</v>
      </c>
      <c r="I4349" t="s">
        <v>126</v>
      </c>
      <c r="J4349" s="89">
        <v>26029796</v>
      </c>
      <c r="K4349" t="s">
        <v>144</v>
      </c>
      <c r="N4349">
        <v>1</v>
      </c>
      <c r="O4349" s="89">
        <v>80091.679999999993</v>
      </c>
      <c r="P4349" s="89">
        <v>2542910.84</v>
      </c>
      <c r="Q4349" t="s">
        <v>150</v>
      </c>
      <c r="R4349" t="s">
        <v>79</v>
      </c>
    </row>
    <row r="4350" spans="3:18" hidden="1" x14ac:dyDescent="0.25">
      <c r="C4350" t="s">
        <v>45</v>
      </c>
      <c r="D4350" t="s">
        <v>19</v>
      </c>
      <c r="E4350" t="s">
        <v>43</v>
      </c>
      <c r="F4350" t="s">
        <v>41</v>
      </c>
      <c r="G4350" s="89">
        <v>16425709</v>
      </c>
      <c r="H4350" t="s">
        <v>140</v>
      </c>
      <c r="I4350" t="s">
        <v>133</v>
      </c>
      <c r="J4350" s="89">
        <v>509196979</v>
      </c>
      <c r="K4350" t="s">
        <v>127</v>
      </c>
      <c r="L4350" t="s">
        <v>128</v>
      </c>
      <c r="N4350">
        <v>1</v>
      </c>
      <c r="O4350" s="89">
        <v>492771.27</v>
      </c>
      <c r="P4350" s="89">
        <v>13961852.65</v>
      </c>
      <c r="Q4350" t="s">
        <v>135</v>
      </c>
      <c r="R4350" t="s">
        <v>131</v>
      </c>
    </row>
    <row r="4351" spans="3:18" hidden="1" x14ac:dyDescent="0.25">
      <c r="C4351" t="s">
        <v>45</v>
      </c>
      <c r="D4351" t="s">
        <v>24</v>
      </c>
      <c r="E4351" t="s">
        <v>52</v>
      </c>
      <c r="F4351" t="s">
        <v>53</v>
      </c>
      <c r="G4351" s="89">
        <v>53812</v>
      </c>
      <c r="H4351" t="s">
        <v>42</v>
      </c>
      <c r="I4351" t="s">
        <v>126</v>
      </c>
      <c r="J4351" s="89">
        <v>1076240</v>
      </c>
      <c r="K4351" t="s">
        <v>144</v>
      </c>
      <c r="N4351">
        <v>1</v>
      </c>
      <c r="O4351" s="89">
        <v>1614.36</v>
      </c>
      <c r="P4351" s="89">
        <v>32287.200000000001</v>
      </c>
      <c r="Q4351" t="s">
        <v>142</v>
      </c>
      <c r="R4351" t="s">
        <v>42</v>
      </c>
    </row>
    <row r="4352" spans="3:18" hidden="1" x14ac:dyDescent="0.25">
      <c r="C4352" t="s">
        <v>45</v>
      </c>
      <c r="D4352" t="s">
        <v>22</v>
      </c>
      <c r="E4352" t="s">
        <v>44</v>
      </c>
      <c r="F4352" t="s">
        <v>41</v>
      </c>
      <c r="G4352" s="89">
        <v>94632</v>
      </c>
      <c r="H4352" t="s">
        <v>42</v>
      </c>
      <c r="I4352" t="s">
        <v>141</v>
      </c>
      <c r="J4352" s="89">
        <v>757056</v>
      </c>
      <c r="K4352" t="s">
        <v>144</v>
      </c>
      <c r="N4352">
        <v>1</v>
      </c>
      <c r="O4352" s="89">
        <v>2838.96</v>
      </c>
      <c r="P4352" s="89">
        <v>20819.04</v>
      </c>
      <c r="Q4352" t="s">
        <v>130</v>
      </c>
      <c r="R4352" t="s">
        <v>42</v>
      </c>
    </row>
    <row r="4353" spans="3:18" hidden="1" x14ac:dyDescent="0.25">
      <c r="C4353" t="s">
        <v>45</v>
      </c>
      <c r="D4353" t="s">
        <v>138</v>
      </c>
      <c r="E4353" t="s">
        <v>43</v>
      </c>
      <c r="F4353" t="s">
        <v>41</v>
      </c>
      <c r="G4353" s="89">
        <v>284753</v>
      </c>
      <c r="H4353" t="s">
        <v>42</v>
      </c>
      <c r="I4353" t="s">
        <v>141</v>
      </c>
      <c r="J4353" s="89">
        <v>1993271</v>
      </c>
      <c r="K4353" t="s">
        <v>144</v>
      </c>
      <c r="N4353">
        <v>1</v>
      </c>
      <c r="O4353" s="89">
        <v>8542.59</v>
      </c>
      <c r="P4353" s="89">
        <v>82578.37</v>
      </c>
      <c r="Q4353" t="s">
        <v>130</v>
      </c>
      <c r="R4353" t="s">
        <v>42</v>
      </c>
    </row>
    <row r="4354" spans="3:18" hidden="1" x14ac:dyDescent="0.25">
      <c r="C4354" t="s">
        <v>45</v>
      </c>
      <c r="D4354" t="s">
        <v>23</v>
      </c>
      <c r="E4354" t="s">
        <v>43</v>
      </c>
      <c r="F4354" t="s">
        <v>41</v>
      </c>
      <c r="G4354" s="89">
        <v>36833</v>
      </c>
      <c r="H4354" t="s">
        <v>146</v>
      </c>
      <c r="I4354" t="s">
        <v>141</v>
      </c>
      <c r="J4354" s="89">
        <v>184165</v>
      </c>
      <c r="K4354" t="s">
        <v>127</v>
      </c>
      <c r="L4354" t="s">
        <v>151</v>
      </c>
      <c r="N4354">
        <v>1</v>
      </c>
      <c r="O4354" s="89">
        <v>2578.31</v>
      </c>
      <c r="P4354" s="89">
        <v>9208.25</v>
      </c>
      <c r="Q4354" t="s">
        <v>130</v>
      </c>
      <c r="R4354" t="s">
        <v>131</v>
      </c>
    </row>
    <row r="4355" spans="3:18" hidden="1" x14ac:dyDescent="0.25">
      <c r="C4355" t="s">
        <v>45</v>
      </c>
      <c r="D4355" t="s">
        <v>23</v>
      </c>
      <c r="E4355" t="s">
        <v>48</v>
      </c>
      <c r="F4355" t="s">
        <v>41</v>
      </c>
      <c r="G4355" s="89">
        <v>29119</v>
      </c>
      <c r="H4355" t="s">
        <v>42</v>
      </c>
      <c r="I4355" t="s">
        <v>133</v>
      </c>
      <c r="J4355" s="89">
        <v>1019165</v>
      </c>
      <c r="K4355" t="s">
        <v>134</v>
      </c>
      <c r="L4355" t="s">
        <v>128</v>
      </c>
      <c r="M4355" t="s">
        <v>152</v>
      </c>
      <c r="N4355">
        <v>1</v>
      </c>
      <c r="O4355" s="89">
        <v>873.57</v>
      </c>
      <c r="P4355" s="89">
        <v>6697.37</v>
      </c>
      <c r="Q4355" t="s">
        <v>130</v>
      </c>
      <c r="R4355" t="s">
        <v>131</v>
      </c>
    </row>
    <row r="4356" spans="3:18" hidden="1" x14ac:dyDescent="0.25">
      <c r="C4356" t="s">
        <v>45</v>
      </c>
      <c r="D4356" t="s">
        <v>23</v>
      </c>
      <c r="E4356" t="s">
        <v>44</v>
      </c>
      <c r="F4356" t="s">
        <v>41</v>
      </c>
      <c r="G4356" s="89">
        <v>50029</v>
      </c>
      <c r="H4356" t="s">
        <v>140</v>
      </c>
      <c r="I4356" t="s">
        <v>141</v>
      </c>
      <c r="J4356" s="89">
        <v>300174</v>
      </c>
      <c r="K4356" t="s">
        <v>144</v>
      </c>
      <c r="N4356">
        <v>1</v>
      </c>
      <c r="O4356" s="89">
        <v>1500.87</v>
      </c>
      <c r="P4356" s="89">
        <v>6503.77</v>
      </c>
      <c r="Q4356" t="s">
        <v>130</v>
      </c>
      <c r="R4356" t="s">
        <v>131</v>
      </c>
    </row>
    <row r="4357" spans="3:18" x14ac:dyDescent="0.25">
      <c r="C4357" t="s">
        <v>47</v>
      </c>
      <c r="D4357" t="s">
        <v>20</v>
      </c>
      <c r="E4357" t="s">
        <v>40</v>
      </c>
      <c r="F4357" t="s">
        <v>41</v>
      </c>
      <c r="G4357" s="89">
        <v>662501</v>
      </c>
      <c r="H4357" t="s">
        <v>145</v>
      </c>
      <c r="I4357" t="s">
        <v>126</v>
      </c>
      <c r="J4357" s="89">
        <v>7287511</v>
      </c>
      <c r="K4357" t="s">
        <v>144</v>
      </c>
      <c r="N4357">
        <v>1</v>
      </c>
      <c r="O4357" s="89">
        <v>26500.04</v>
      </c>
      <c r="P4357" s="89">
        <v>238500.36</v>
      </c>
      <c r="Q4357" t="s">
        <v>130</v>
      </c>
      <c r="R4357" t="s">
        <v>131</v>
      </c>
    </row>
    <row r="4358" spans="3:18" hidden="1" x14ac:dyDescent="0.25">
      <c r="C4358" t="s">
        <v>45</v>
      </c>
      <c r="D4358" t="s">
        <v>19</v>
      </c>
      <c r="E4358" t="s">
        <v>43</v>
      </c>
      <c r="F4358" t="s">
        <v>41</v>
      </c>
      <c r="G4358" s="89">
        <v>61911</v>
      </c>
      <c r="H4358" t="s">
        <v>145</v>
      </c>
      <c r="I4358" t="s">
        <v>126</v>
      </c>
      <c r="J4358" s="89">
        <v>1114398</v>
      </c>
      <c r="K4358" t="s">
        <v>127</v>
      </c>
      <c r="L4358" t="s">
        <v>128</v>
      </c>
      <c r="N4358">
        <v>1</v>
      </c>
      <c r="O4358" s="89">
        <v>2476.44</v>
      </c>
      <c r="P4358" s="89">
        <v>49528.800000000003</v>
      </c>
      <c r="Q4358" t="s">
        <v>135</v>
      </c>
      <c r="R4358" t="s">
        <v>131</v>
      </c>
    </row>
    <row r="4359" spans="3:18" hidden="1" x14ac:dyDescent="0.25">
      <c r="C4359" t="s">
        <v>45</v>
      </c>
      <c r="D4359" t="s">
        <v>22</v>
      </c>
      <c r="E4359" t="s">
        <v>43</v>
      </c>
      <c r="F4359" t="s">
        <v>41</v>
      </c>
      <c r="G4359" s="89">
        <v>2846239</v>
      </c>
      <c r="H4359" t="s">
        <v>132</v>
      </c>
      <c r="I4359" t="s">
        <v>141</v>
      </c>
      <c r="J4359" s="89">
        <v>19923673</v>
      </c>
      <c r="K4359" t="s">
        <v>127</v>
      </c>
      <c r="L4359" t="s">
        <v>128</v>
      </c>
      <c r="N4359">
        <v>1</v>
      </c>
      <c r="O4359" s="89">
        <v>85387.17</v>
      </c>
      <c r="P4359" s="89">
        <v>654634.97</v>
      </c>
      <c r="Q4359" t="s">
        <v>130</v>
      </c>
      <c r="R4359" t="s">
        <v>131</v>
      </c>
    </row>
    <row r="4360" spans="3:18" hidden="1" x14ac:dyDescent="0.25">
      <c r="C4360" t="s">
        <v>45</v>
      </c>
      <c r="D4360" t="s">
        <v>23</v>
      </c>
      <c r="E4360" t="s">
        <v>43</v>
      </c>
      <c r="F4360" t="s">
        <v>41</v>
      </c>
      <c r="G4360" s="89">
        <v>8888</v>
      </c>
      <c r="H4360" t="s">
        <v>146</v>
      </c>
      <c r="I4360" t="s">
        <v>147</v>
      </c>
      <c r="J4360" s="89">
        <v>44440</v>
      </c>
      <c r="K4360" t="s">
        <v>127</v>
      </c>
      <c r="L4360" t="s">
        <v>128</v>
      </c>
      <c r="N4360">
        <v>1</v>
      </c>
      <c r="O4360" s="89">
        <v>622.16</v>
      </c>
      <c r="P4360" s="89">
        <v>4088.48</v>
      </c>
      <c r="Q4360" t="s">
        <v>142</v>
      </c>
      <c r="R4360" t="s">
        <v>131</v>
      </c>
    </row>
    <row r="4361" spans="3:18" hidden="1" x14ac:dyDescent="0.25">
      <c r="C4361" t="s">
        <v>45</v>
      </c>
      <c r="D4361" t="s">
        <v>24</v>
      </c>
      <c r="E4361" t="s">
        <v>40</v>
      </c>
      <c r="F4361" t="s">
        <v>41</v>
      </c>
      <c r="G4361" s="89">
        <v>435191</v>
      </c>
      <c r="H4361" t="s">
        <v>42</v>
      </c>
      <c r="I4361" t="s">
        <v>141</v>
      </c>
      <c r="J4361" s="89">
        <v>3916719</v>
      </c>
      <c r="K4361" t="s">
        <v>127</v>
      </c>
      <c r="L4361" t="s">
        <v>128</v>
      </c>
      <c r="M4361" t="s">
        <v>148</v>
      </c>
      <c r="N4361">
        <v>1</v>
      </c>
      <c r="O4361" s="89">
        <v>13055.73</v>
      </c>
      <c r="P4361" s="89">
        <v>300281.78999999998</v>
      </c>
      <c r="Q4361" t="s">
        <v>137</v>
      </c>
      <c r="R4361" t="s">
        <v>131</v>
      </c>
    </row>
    <row r="4362" spans="3:18" hidden="1" x14ac:dyDescent="0.25">
      <c r="C4362" t="s">
        <v>45</v>
      </c>
      <c r="D4362" t="s">
        <v>21</v>
      </c>
      <c r="E4362" t="s">
        <v>43</v>
      </c>
      <c r="F4362" t="s">
        <v>41</v>
      </c>
      <c r="G4362" s="89">
        <v>2361631</v>
      </c>
      <c r="H4362" t="s">
        <v>42</v>
      </c>
      <c r="I4362" t="s">
        <v>133</v>
      </c>
      <c r="J4362" s="89">
        <v>70848930</v>
      </c>
      <c r="K4362" t="s">
        <v>134</v>
      </c>
      <c r="L4362" t="s">
        <v>128</v>
      </c>
      <c r="M4362" t="s">
        <v>129</v>
      </c>
      <c r="N4362">
        <v>1</v>
      </c>
      <c r="O4362" s="89">
        <v>70848.929999999993</v>
      </c>
      <c r="P4362" s="89">
        <v>1228048.1200000001</v>
      </c>
      <c r="Q4362" t="s">
        <v>142</v>
      </c>
      <c r="R4362" t="s">
        <v>131</v>
      </c>
    </row>
    <row r="4363" spans="3:18" hidden="1" x14ac:dyDescent="0.25">
      <c r="C4363" t="s">
        <v>45</v>
      </c>
      <c r="D4363" t="s">
        <v>24</v>
      </c>
      <c r="E4363" t="s">
        <v>48</v>
      </c>
      <c r="F4363" t="s">
        <v>41</v>
      </c>
      <c r="G4363" s="89">
        <v>39251</v>
      </c>
      <c r="H4363" t="s">
        <v>42</v>
      </c>
      <c r="I4363" t="s">
        <v>141</v>
      </c>
      <c r="J4363" s="89">
        <v>314008</v>
      </c>
      <c r="K4363" t="s">
        <v>127</v>
      </c>
      <c r="L4363" t="s">
        <v>128</v>
      </c>
      <c r="M4363" t="s">
        <v>148</v>
      </c>
      <c r="N4363">
        <v>1</v>
      </c>
      <c r="O4363" s="89">
        <v>1570.04</v>
      </c>
      <c r="P4363" s="89">
        <v>3925.1</v>
      </c>
      <c r="Q4363" t="s">
        <v>130</v>
      </c>
      <c r="R4363" t="s">
        <v>42</v>
      </c>
    </row>
    <row r="4364" spans="3:18" hidden="1" x14ac:dyDescent="0.25">
      <c r="C4364" t="s">
        <v>45</v>
      </c>
      <c r="D4364" t="s">
        <v>24</v>
      </c>
      <c r="E4364" t="s">
        <v>44</v>
      </c>
      <c r="F4364" t="s">
        <v>41</v>
      </c>
      <c r="G4364" s="89">
        <v>661363</v>
      </c>
      <c r="H4364" t="s">
        <v>42</v>
      </c>
      <c r="I4364" t="s">
        <v>126</v>
      </c>
      <c r="J4364" s="89">
        <v>10581808</v>
      </c>
      <c r="K4364" t="s">
        <v>127</v>
      </c>
      <c r="L4364" t="s">
        <v>128</v>
      </c>
      <c r="M4364" t="s">
        <v>148</v>
      </c>
      <c r="N4364">
        <v>1</v>
      </c>
      <c r="O4364" s="89">
        <v>19840.89</v>
      </c>
      <c r="P4364" s="89">
        <v>191795.27</v>
      </c>
      <c r="Q4364" t="s">
        <v>130</v>
      </c>
      <c r="R4364" t="s">
        <v>131</v>
      </c>
    </row>
    <row r="4365" spans="3:18" hidden="1" x14ac:dyDescent="0.25">
      <c r="C4365" t="s">
        <v>45</v>
      </c>
      <c r="D4365" t="s">
        <v>20</v>
      </c>
      <c r="E4365" t="s">
        <v>43</v>
      </c>
      <c r="F4365" t="s">
        <v>41</v>
      </c>
      <c r="G4365" s="89">
        <v>24943307</v>
      </c>
      <c r="H4365" t="s">
        <v>140</v>
      </c>
      <c r="I4365" t="s">
        <v>133</v>
      </c>
      <c r="J4365" s="89">
        <v>648525982</v>
      </c>
      <c r="K4365" t="s">
        <v>127</v>
      </c>
      <c r="L4365" t="s">
        <v>128</v>
      </c>
      <c r="N4365">
        <v>1</v>
      </c>
      <c r="O4365" s="89">
        <v>748299.21</v>
      </c>
      <c r="P4365" s="89">
        <v>7233559.0300000003</v>
      </c>
      <c r="Q4365" t="s">
        <v>130</v>
      </c>
      <c r="R4365" t="s">
        <v>131</v>
      </c>
    </row>
    <row r="4366" spans="3:18" x14ac:dyDescent="0.25">
      <c r="C4366" t="s">
        <v>47</v>
      </c>
      <c r="D4366" t="s">
        <v>20</v>
      </c>
      <c r="E4366" t="s">
        <v>40</v>
      </c>
      <c r="F4366" t="s">
        <v>41</v>
      </c>
      <c r="G4366" s="89">
        <v>367524</v>
      </c>
      <c r="H4366" t="s">
        <v>145</v>
      </c>
      <c r="I4366" t="s">
        <v>126</v>
      </c>
      <c r="J4366" s="89">
        <v>4777812</v>
      </c>
      <c r="K4366" t="s">
        <v>127</v>
      </c>
      <c r="L4366" t="s">
        <v>128</v>
      </c>
      <c r="N4366">
        <v>1</v>
      </c>
      <c r="O4366" s="89">
        <v>11025.72</v>
      </c>
      <c r="P4366" s="89">
        <v>88205.759999999995</v>
      </c>
      <c r="Q4366" t="s">
        <v>130</v>
      </c>
      <c r="R4366" t="s">
        <v>131</v>
      </c>
    </row>
    <row r="4367" spans="3:18" hidden="1" x14ac:dyDescent="0.25">
      <c r="C4367" t="s">
        <v>45</v>
      </c>
      <c r="D4367" t="s">
        <v>21</v>
      </c>
      <c r="E4367" t="s">
        <v>43</v>
      </c>
      <c r="F4367" t="s">
        <v>41</v>
      </c>
      <c r="G4367" s="89">
        <v>13926435</v>
      </c>
      <c r="H4367" t="s">
        <v>132</v>
      </c>
      <c r="I4367" t="s">
        <v>147</v>
      </c>
      <c r="J4367" s="89">
        <v>41779305</v>
      </c>
      <c r="K4367" t="s">
        <v>127</v>
      </c>
      <c r="L4367" t="s">
        <v>128</v>
      </c>
      <c r="N4367">
        <v>1</v>
      </c>
      <c r="O4367" s="89">
        <v>417793.05</v>
      </c>
      <c r="P4367" s="89">
        <v>1810436.55</v>
      </c>
      <c r="Q4367" t="s">
        <v>130</v>
      </c>
      <c r="R4367" t="s">
        <v>131</v>
      </c>
    </row>
    <row r="4368" spans="3:18" hidden="1" x14ac:dyDescent="0.25">
      <c r="C4368" t="s">
        <v>45</v>
      </c>
      <c r="D4368" t="s">
        <v>19</v>
      </c>
      <c r="E4368" t="s">
        <v>43</v>
      </c>
      <c r="F4368" t="s">
        <v>41</v>
      </c>
      <c r="G4368" s="89">
        <v>783230</v>
      </c>
      <c r="H4368" t="s">
        <v>42</v>
      </c>
      <c r="I4368" t="s">
        <v>133</v>
      </c>
      <c r="J4368" s="89">
        <v>21930440</v>
      </c>
      <c r="K4368" t="s">
        <v>127</v>
      </c>
      <c r="L4368" t="s">
        <v>128</v>
      </c>
      <c r="M4368" t="s">
        <v>143</v>
      </c>
      <c r="N4368">
        <v>1</v>
      </c>
      <c r="O4368" s="89">
        <v>23496.9</v>
      </c>
      <c r="P4368" s="89">
        <v>234969</v>
      </c>
      <c r="Q4368" t="s">
        <v>130</v>
      </c>
      <c r="R4368" t="s">
        <v>131</v>
      </c>
    </row>
    <row r="4369" spans="3:18" hidden="1" x14ac:dyDescent="0.25">
      <c r="C4369" t="s">
        <v>45</v>
      </c>
      <c r="D4369" t="s">
        <v>25</v>
      </c>
      <c r="E4369" t="s">
        <v>48</v>
      </c>
      <c r="F4369" t="s">
        <v>41</v>
      </c>
      <c r="G4369" s="89">
        <v>561080</v>
      </c>
      <c r="H4369" t="s">
        <v>146</v>
      </c>
      <c r="I4369" t="s">
        <v>147</v>
      </c>
      <c r="J4369" s="89">
        <v>1122160</v>
      </c>
      <c r="K4369" t="s">
        <v>144</v>
      </c>
      <c r="N4369">
        <v>1</v>
      </c>
      <c r="O4369" s="89">
        <v>22443.200000000001</v>
      </c>
      <c r="P4369" s="89">
        <v>129048.4</v>
      </c>
      <c r="Q4369" t="s">
        <v>130</v>
      </c>
      <c r="R4369" t="s">
        <v>131</v>
      </c>
    </row>
    <row r="4370" spans="3:18" hidden="1" x14ac:dyDescent="0.25">
      <c r="C4370" t="s">
        <v>45</v>
      </c>
      <c r="D4370" t="s">
        <v>21</v>
      </c>
      <c r="E4370" t="s">
        <v>40</v>
      </c>
      <c r="F4370" t="s">
        <v>53</v>
      </c>
      <c r="G4370" s="89">
        <v>98359</v>
      </c>
      <c r="H4370" t="s">
        <v>140</v>
      </c>
      <c r="I4370" t="s">
        <v>133</v>
      </c>
      <c r="J4370" s="89">
        <v>3344206</v>
      </c>
      <c r="K4370" t="s">
        <v>144</v>
      </c>
      <c r="N4370">
        <v>1</v>
      </c>
      <c r="O4370" s="89">
        <v>2950.77</v>
      </c>
      <c r="P4370" s="89">
        <v>47212.32</v>
      </c>
      <c r="Q4370" t="s">
        <v>142</v>
      </c>
      <c r="R4370" t="s">
        <v>131</v>
      </c>
    </row>
    <row r="4371" spans="3:18" x14ac:dyDescent="0.25">
      <c r="C4371" t="s">
        <v>47</v>
      </c>
      <c r="D4371" t="s">
        <v>23</v>
      </c>
      <c r="E4371" t="s">
        <v>48</v>
      </c>
      <c r="F4371" t="s">
        <v>41</v>
      </c>
      <c r="G4371" s="89">
        <v>2940312</v>
      </c>
      <c r="H4371" t="s">
        <v>140</v>
      </c>
      <c r="I4371" t="s">
        <v>141</v>
      </c>
      <c r="J4371" s="89">
        <v>20582184</v>
      </c>
      <c r="K4371" t="s">
        <v>127</v>
      </c>
      <c r="L4371" t="s">
        <v>128</v>
      </c>
      <c r="N4371">
        <v>1</v>
      </c>
      <c r="O4371" s="89">
        <v>117612.48</v>
      </c>
      <c r="P4371" s="89">
        <v>735078</v>
      </c>
      <c r="Q4371" t="s">
        <v>130</v>
      </c>
      <c r="R4371" t="s">
        <v>131</v>
      </c>
    </row>
    <row r="4372" spans="3:18" x14ac:dyDescent="0.25">
      <c r="C4372" t="s">
        <v>47</v>
      </c>
      <c r="D4372" t="s">
        <v>22</v>
      </c>
      <c r="E4372" t="s">
        <v>40</v>
      </c>
      <c r="F4372" t="s">
        <v>41</v>
      </c>
      <c r="G4372" s="89">
        <v>44720</v>
      </c>
      <c r="H4372" t="s">
        <v>146</v>
      </c>
      <c r="I4372" t="s">
        <v>126</v>
      </c>
      <c r="J4372" s="89">
        <v>804960</v>
      </c>
      <c r="K4372" t="s">
        <v>127</v>
      </c>
      <c r="L4372" t="s">
        <v>128</v>
      </c>
      <c r="N4372">
        <v>1</v>
      </c>
      <c r="O4372" s="89">
        <v>2236</v>
      </c>
      <c r="P4372" s="89">
        <v>42931.199999999997</v>
      </c>
      <c r="Q4372" t="s">
        <v>135</v>
      </c>
      <c r="R4372" t="s">
        <v>131</v>
      </c>
    </row>
    <row r="4373" spans="3:18" hidden="1" x14ac:dyDescent="0.25">
      <c r="C4373" t="s">
        <v>45</v>
      </c>
      <c r="D4373" t="s">
        <v>21</v>
      </c>
      <c r="E4373" t="s">
        <v>40</v>
      </c>
      <c r="F4373" t="s">
        <v>41</v>
      </c>
      <c r="G4373" s="89">
        <v>161843</v>
      </c>
      <c r="H4373" t="s">
        <v>42</v>
      </c>
      <c r="I4373" t="s">
        <v>133</v>
      </c>
      <c r="J4373" s="89">
        <v>5340819</v>
      </c>
      <c r="K4373" t="s">
        <v>134</v>
      </c>
      <c r="L4373" t="s">
        <v>128</v>
      </c>
      <c r="M4373" t="s">
        <v>129</v>
      </c>
      <c r="N4373">
        <v>1</v>
      </c>
      <c r="O4373" s="89">
        <v>4855.29</v>
      </c>
      <c r="P4373" s="89">
        <v>35605.46</v>
      </c>
      <c r="Q4373" t="s">
        <v>130</v>
      </c>
      <c r="R4373" t="s">
        <v>131</v>
      </c>
    </row>
    <row r="4374" spans="3:18" hidden="1" x14ac:dyDescent="0.25">
      <c r="C4374" t="s">
        <v>45</v>
      </c>
      <c r="D4374" t="s">
        <v>138</v>
      </c>
      <c r="E4374" t="s">
        <v>43</v>
      </c>
      <c r="F4374" t="s">
        <v>41</v>
      </c>
      <c r="G4374" s="89">
        <v>156845</v>
      </c>
      <c r="H4374" t="s">
        <v>42</v>
      </c>
      <c r="I4374" t="s">
        <v>133</v>
      </c>
      <c r="J4374" s="89">
        <v>5175885</v>
      </c>
      <c r="K4374" t="s">
        <v>127</v>
      </c>
      <c r="L4374" t="s">
        <v>128</v>
      </c>
      <c r="M4374" t="s">
        <v>139</v>
      </c>
      <c r="N4374">
        <v>1</v>
      </c>
      <c r="O4374" s="89">
        <v>4705.3500000000004</v>
      </c>
      <c r="P4374" s="89">
        <v>158413.45000000001</v>
      </c>
      <c r="Q4374" t="s">
        <v>150</v>
      </c>
      <c r="R4374" t="s">
        <v>42</v>
      </c>
    </row>
    <row r="4375" spans="3:18" x14ac:dyDescent="0.25">
      <c r="C4375" t="s">
        <v>47</v>
      </c>
      <c r="D4375" t="s">
        <v>21</v>
      </c>
      <c r="E4375" t="s">
        <v>43</v>
      </c>
      <c r="F4375" t="s">
        <v>41</v>
      </c>
      <c r="G4375" s="89">
        <v>53624</v>
      </c>
      <c r="H4375" t="s">
        <v>42</v>
      </c>
      <c r="I4375" t="s">
        <v>133</v>
      </c>
      <c r="J4375" s="89">
        <v>1555096</v>
      </c>
      <c r="K4375" t="s">
        <v>144</v>
      </c>
      <c r="N4375">
        <v>1</v>
      </c>
      <c r="O4375" s="89">
        <v>1608.72</v>
      </c>
      <c r="P4375" s="89">
        <v>40218</v>
      </c>
      <c r="Q4375" t="s">
        <v>137</v>
      </c>
      <c r="R4375" t="s">
        <v>42</v>
      </c>
    </row>
    <row r="4376" spans="3:18" hidden="1" x14ac:dyDescent="0.25">
      <c r="C4376" t="s">
        <v>45</v>
      </c>
      <c r="D4376" t="s">
        <v>149</v>
      </c>
      <c r="E4376" t="s">
        <v>43</v>
      </c>
      <c r="F4376" t="s">
        <v>41</v>
      </c>
      <c r="G4376" s="89">
        <v>7975219</v>
      </c>
      <c r="H4376" t="s">
        <v>145</v>
      </c>
      <c r="I4376" t="s">
        <v>133</v>
      </c>
      <c r="J4376" s="89">
        <v>231281351</v>
      </c>
      <c r="K4376" t="s">
        <v>127</v>
      </c>
      <c r="L4376" t="s">
        <v>128</v>
      </c>
      <c r="N4376">
        <v>1</v>
      </c>
      <c r="O4376" s="89">
        <v>239256.57</v>
      </c>
      <c r="P4376" s="89">
        <v>5502901.1100000003</v>
      </c>
      <c r="Q4376" t="s">
        <v>137</v>
      </c>
      <c r="R4376" t="s">
        <v>131</v>
      </c>
    </row>
    <row r="4377" spans="3:18" x14ac:dyDescent="0.25">
      <c r="C4377" t="s">
        <v>47</v>
      </c>
      <c r="D4377" t="s">
        <v>21</v>
      </c>
      <c r="E4377" t="s">
        <v>40</v>
      </c>
      <c r="F4377" t="s">
        <v>41</v>
      </c>
      <c r="G4377" s="89">
        <v>531395</v>
      </c>
      <c r="H4377" t="s">
        <v>132</v>
      </c>
      <c r="I4377" t="s">
        <v>141</v>
      </c>
      <c r="J4377" s="89">
        <v>4782555</v>
      </c>
      <c r="K4377" t="s">
        <v>127</v>
      </c>
      <c r="L4377" t="s">
        <v>128</v>
      </c>
      <c r="N4377">
        <v>1</v>
      </c>
      <c r="O4377" s="89">
        <v>21255.8</v>
      </c>
      <c r="P4377" s="89">
        <v>350720.7</v>
      </c>
      <c r="Q4377" t="s">
        <v>137</v>
      </c>
      <c r="R4377" t="s">
        <v>131</v>
      </c>
    </row>
    <row r="4378" spans="3:18" hidden="1" x14ac:dyDescent="0.25">
      <c r="C4378" t="s">
        <v>45</v>
      </c>
      <c r="D4378" t="s">
        <v>22</v>
      </c>
      <c r="E4378" t="s">
        <v>43</v>
      </c>
      <c r="F4378" t="s">
        <v>41</v>
      </c>
      <c r="G4378" s="89">
        <v>2854517</v>
      </c>
      <c r="H4378" t="s">
        <v>145</v>
      </c>
      <c r="I4378" t="s">
        <v>147</v>
      </c>
      <c r="J4378" s="89">
        <v>8563551</v>
      </c>
      <c r="K4378" t="s">
        <v>127</v>
      </c>
      <c r="L4378" t="s">
        <v>128</v>
      </c>
      <c r="N4378">
        <v>1</v>
      </c>
      <c r="O4378" s="89">
        <v>85635.51</v>
      </c>
      <c r="P4378" s="89">
        <v>428177.55</v>
      </c>
      <c r="Q4378" t="s">
        <v>130</v>
      </c>
      <c r="R4378" t="s">
        <v>131</v>
      </c>
    </row>
    <row r="4379" spans="3:18" hidden="1" x14ac:dyDescent="0.25">
      <c r="C4379" t="s">
        <v>45</v>
      </c>
      <c r="D4379" t="s">
        <v>20</v>
      </c>
      <c r="E4379" t="s">
        <v>40</v>
      </c>
      <c r="F4379" t="s">
        <v>41</v>
      </c>
      <c r="G4379" s="89">
        <v>169357</v>
      </c>
      <c r="H4379" t="s">
        <v>42</v>
      </c>
      <c r="I4379" t="s">
        <v>126</v>
      </c>
      <c r="J4379" s="89">
        <v>2540355</v>
      </c>
      <c r="K4379" t="s">
        <v>127</v>
      </c>
      <c r="L4379" t="s">
        <v>128</v>
      </c>
      <c r="M4379" t="s">
        <v>139</v>
      </c>
      <c r="N4379">
        <v>1</v>
      </c>
      <c r="O4379" s="89">
        <v>5080.71</v>
      </c>
      <c r="P4379" s="89">
        <v>133792.03</v>
      </c>
      <c r="Q4379" t="s">
        <v>137</v>
      </c>
      <c r="R4379" t="s">
        <v>131</v>
      </c>
    </row>
    <row r="4380" spans="3:18" hidden="1" x14ac:dyDescent="0.25">
      <c r="C4380" t="s">
        <v>45</v>
      </c>
      <c r="D4380" t="s">
        <v>23</v>
      </c>
      <c r="E4380" t="s">
        <v>44</v>
      </c>
      <c r="F4380" t="s">
        <v>41</v>
      </c>
      <c r="G4380" s="89">
        <v>482093</v>
      </c>
      <c r="H4380" t="s">
        <v>42</v>
      </c>
      <c r="I4380" t="s">
        <v>141</v>
      </c>
      <c r="J4380" s="89">
        <v>3856744</v>
      </c>
      <c r="K4380" t="s">
        <v>127</v>
      </c>
      <c r="L4380" t="s">
        <v>128</v>
      </c>
      <c r="M4380" t="s">
        <v>152</v>
      </c>
      <c r="N4380">
        <v>1</v>
      </c>
      <c r="O4380" s="89">
        <v>19283.72</v>
      </c>
      <c r="P4380" s="89">
        <v>134986.04</v>
      </c>
      <c r="Q4380" t="s">
        <v>130</v>
      </c>
      <c r="R4380" t="s">
        <v>42</v>
      </c>
    </row>
    <row r="4381" spans="3:18" hidden="1" x14ac:dyDescent="0.25">
      <c r="C4381" t="s">
        <v>45</v>
      </c>
      <c r="D4381" t="s">
        <v>22</v>
      </c>
      <c r="E4381" t="s">
        <v>40</v>
      </c>
      <c r="F4381" t="s">
        <v>41</v>
      </c>
      <c r="G4381" s="89">
        <v>69072</v>
      </c>
      <c r="H4381" t="s">
        <v>145</v>
      </c>
      <c r="I4381" t="s">
        <v>133</v>
      </c>
      <c r="J4381" s="89">
        <v>1450512</v>
      </c>
      <c r="K4381" t="s">
        <v>127</v>
      </c>
      <c r="L4381" t="s">
        <v>151</v>
      </c>
      <c r="N4381">
        <v>1</v>
      </c>
      <c r="O4381" s="89">
        <v>1381.44</v>
      </c>
      <c r="P4381" s="89">
        <v>46278.239999999998</v>
      </c>
      <c r="Q4381" t="s">
        <v>137</v>
      </c>
      <c r="R4381" t="s">
        <v>131</v>
      </c>
    </row>
    <row r="4382" spans="3:18" hidden="1" x14ac:dyDescent="0.25">
      <c r="C4382" t="s">
        <v>45</v>
      </c>
      <c r="D4382" t="s">
        <v>20</v>
      </c>
      <c r="E4382" t="s">
        <v>43</v>
      </c>
      <c r="F4382" t="s">
        <v>41</v>
      </c>
      <c r="G4382" s="89">
        <v>10530118</v>
      </c>
      <c r="H4382" t="s">
        <v>146</v>
      </c>
      <c r="I4382" t="s">
        <v>126</v>
      </c>
      <c r="J4382" s="89">
        <v>147421652</v>
      </c>
      <c r="K4382" t="s">
        <v>127</v>
      </c>
      <c r="L4382" t="s">
        <v>128</v>
      </c>
      <c r="N4382">
        <v>1</v>
      </c>
      <c r="O4382" s="89">
        <v>315903.53999999998</v>
      </c>
      <c r="P4382" s="89">
        <v>2632529.5</v>
      </c>
      <c r="Q4382" t="s">
        <v>130</v>
      </c>
      <c r="R4382" t="s">
        <v>131</v>
      </c>
    </row>
    <row r="4383" spans="3:18" hidden="1" x14ac:dyDescent="0.25">
      <c r="C4383" t="s">
        <v>45</v>
      </c>
      <c r="D4383" t="s">
        <v>149</v>
      </c>
      <c r="E4383" t="s">
        <v>43</v>
      </c>
      <c r="F4383" t="s">
        <v>41</v>
      </c>
      <c r="G4383" s="89">
        <v>4595456</v>
      </c>
      <c r="H4383" t="s">
        <v>42</v>
      </c>
      <c r="I4383" t="s">
        <v>133</v>
      </c>
      <c r="J4383" s="89">
        <v>151650048</v>
      </c>
      <c r="K4383" t="s">
        <v>144</v>
      </c>
      <c r="N4383">
        <v>1</v>
      </c>
      <c r="O4383" s="89">
        <v>137863.67999999999</v>
      </c>
      <c r="P4383" s="89">
        <v>3308728.3199999998</v>
      </c>
      <c r="Q4383" t="s">
        <v>137</v>
      </c>
      <c r="R4383" t="s">
        <v>131</v>
      </c>
    </row>
    <row r="4384" spans="3:18" hidden="1" x14ac:dyDescent="0.25">
      <c r="C4384" t="s">
        <v>45</v>
      </c>
      <c r="D4384" t="s">
        <v>22</v>
      </c>
      <c r="E4384" t="s">
        <v>48</v>
      </c>
      <c r="F4384" t="s">
        <v>41</v>
      </c>
      <c r="G4384" s="89">
        <v>161769</v>
      </c>
      <c r="H4384" t="s">
        <v>140</v>
      </c>
      <c r="I4384" t="s">
        <v>126</v>
      </c>
      <c r="J4384" s="89">
        <v>2750073</v>
      </c>
      <c r="K4384" t="s">
        <v>127</v>
      </c>
      <c r="L4384" t="s">
        <v>128</v>
      </c>
      <c r="N4384">
        <v>1</v>
      </c>
      <c r="O4384" s="89">
        <v>4853.07</v>
      </c>
      <c r="P4384" s="89">
        <v>58236.84</v>
      </c>
      <c r="Q4384" t="s">
        <v>130</v>
      </c>
      <c r="R4384" t="s">
        <v>131</v>
      </c>
    </row>
    <row r="4385" spans="3:18" hidden="1" x14ac:dyDescent="0.25">
      <c r="C4385" t="s">
        <v>45</v>
      </c>
      <c r="D4385" t="s">
        <v>20</v>
      </c>
      <c r="E4385" t="s">
        <v>40</v>
      </c>
      <c r="F4385" t="s">
        <v>53</v>
      </c>
      <c r="G4385" s="89">
        <v>202882</v>
      </c>
      <c r="H4385" t="s">
        <v>42</v>
      </c>
      <c r="I4385" t="s">
        <v>133</v>
      </c>
      <c r="J4385" s="89">
        <v>6897988</v>
      </c>
      <c r="K4385" t="s">
        <v>144</v>
      </c>
      <c r="N4385">
        <v>1</v>
      </c>
      <c r="O4385" s="89">
        <v>6086.46</v>
      </c>
      <c r="P4385" s="89">
        <v>146075.04</v>
      </c>
      <c r="Q4385" t="s">
        <v>137</v>
      </c>
      <c r="R4385" t="s">
        <v>42</v>
      </c>
    </row>
    <row r="4386" spans="3:18" hidden="1" x14ac:dyDescent="0.25">
      <c r="C4386" t="s">
        <v>45</v>
      </c>
      <c r="D4386" t="s">
        <v>21</v>
      </c>
      <c r="E4386" t="s">
        <v>40</v>
      </c>
      <c r="F4386" t="s">
        <v>41</v>
      </c>
      <c r="G4386" s="89">
        <v>168808</v>
      </c>
      <c r="H4386" t="s">
        <v>140</v>
      </c>
      <c r="I4386" t="s">
        <v>141</v>
      </c>
      <c r="J4386" s="89">
        <v>1519272</v>
      </c>
      <c r="K4386" t="s">
        <v>144</v>
      </c>
      <c r="N4386">
        <v>1</v>
      </c>
      <c r="O4386" s="89">
        <v>5064.24</v>
      </c>
      <c r="P4386" s="89">
        <v>91156.32</v>
      </c>
      <c r="Q4386" t="s">
        <v>142</v>
      </c>
      <c r="R4386" t="s">
        <v>131</v>
      </c>
    </row>
    <row r="4387" spans="3:18" hidden="1" x14ac:dyDescent="0.25">
      <c r="C4387" t="s">
        <v>45</v>
      </c>
      <c r="D4387" t="s">
        <v>19</v>
      </c>
      <c r="E4387" t="s">
        <v>43</v>
      </c>
      <c r="F4387" t="s">
        <v>41</v>
      </c>
      <c r="G4387" s="89">
        <v>29461165</v>
      </c>
      <c r="H4387" t="s">
        <v>42</v>
      </c>
      <c r="I4387" t="s">
        <v>133</v>
      </c>
      <c r="J4387" s="89">
        <v>854373785</v>
      </c>
      <c r="K4387" t="s">
        <v>127</v>
      </c>
      <c r="L4387" t="s">
        <v>128</v>
      </c>
      <c r="M4387" t="s">
        <v>136</v>
      </c>
      <c r="N4387">
        <v>1</v>
      </c>
      <c r="O4387" s="89">
        <v>883834.95</v>
      </c>
      <c r="P4387" s="89">
        <v>15025194.15</v>
      </c>
      <c r="Q4387" t="s">
        <v>142</v>
      </c>
      <c r="R4387" t="s">
        <v>42</v>
      </c>
    </row>
    <row r="4388" spans="3:18" x14ac:dyDescent="0.25">
      <c r="C4388" t="s">
        <v>47</v>
      </c>
      <c r="D4388" t="s">
        <v>21</v>
      </c>
      <c r="E4388" t="s">
        <v>40</v>
      </c>
      <c r="F4388" t="s">
        <v>41</v>
      </c>
      <c r="G4388" s="89">
        <v>2491612</v>
      </c>
      <c r="H4388" t="s">
        <v>140</v>
      </c>
      <c r="I4388" t="s">
        <v>147</v>
      </c>
      <c r="J4388" s="89">
        <v>0</v>
      </c>
      <c r="K4388" t="s">
        <v>144</v>
      </c>
      <c r="N4388">
        <v>1</v>
      </c>
      <c r="O4388" s="89">
        <v>99664.48</v>
      </c>
      <c r="P4388" s="89">
        <v>722567.48</v>
      </c>
      <c r="Q4388" t="s">
        <v>130</v>
      </c>
      <c r="R4388" t="s">
        <v>131</v>
      </c>
    </row>
    <row r="4389" spans="3:18" x14ac:dyDescent="0.25">
      <c r="C4389" t="s">
        <v>47</v>
      </c>
      <c r="D4389" t="s">
        <v>21</v>
      </c>
      <c r="E4389" t="s">
        <v>40</v>
      </c>
      <c r="F4389" t="s">
        <v>41</v>
      </c>
      <c r="G4389" s="89">
        <v>25938515</v>
      </c>
      <c r="H4389" t="s">
        <v>132</v>
      </c>
      <c r="I4389" t="s">
        <v>147</v>
      </c>
      <c r="J4389" s="89">
        <v>103754060</v>
      </c>
      <c r="K4389" t="s">
        <v>127</v>
      </c>
      <c r="L4389" t="s">
        <v>128</v>
      </c>
      <c r="N4389">
        <v>1</v>
      </c>
      <c r="O4389" s="89">
        <v>1296925.75</v>
      </c>
      <c r="P4389" s="89">
        <v>11672331.75</v>
      </c>
      <c r="Q4389" t="s">
        <v>142</v>
      </c>
      <c r="R4389" t="s">
        <v>131</v>
      </c>
    </row>
    <row r="4390" spans="3:18" hidden="1" x14ac:dyDescent="0.25">
      <c r="C4390" t="s">
        <v>45</v>
      </c>
      <c r="D4390" t="s">
        <v>149</v>
      </c>
      <c r="E4390" t="s">
        <v>48</v>
      </c>
      <c r="F4390" t="s">
        <v>41</v>
      </c>
      <c r="G4390" s="89">
        <v>2452290</v>
      </c>
      <c r="H4390" t="s">
        <v>42</v>
      </c>
      <c r="I4390" t="s">
        <v>147</v>
      </c>
      <c r="J4390" s="89">
        <v>4904580</v>
      </c>
      <c r="K4390" t="s">
        <v>144</v>
      </c>
      <c r="N4390">
        <v>1</v>
      </c>
      <c r="O4390" s="89">
        <v>98091.6</v>
      </c>
      <c r="P4390" s="89">
        <v>882824.4</v>
      </c>
      <c r="Q4390" t="s">
        <v>130</v>
      </c>
      <c r="R4390" t="s">
        <v>42</v>
      </c>
    </row>
    <row r="4391" spans="3:18" hidden="1" x14ac:dyDescent="0.25">
      <c r="C4391" t="s">
        <v>45</v>
      </c>
      <c r="D4391" t="s">
        <v>20</v>
      </c>
      <c r="E4391" t="s">
        <v>43</v>
      </c>
      <c r="F4391" t="s">
        <v>41</v>
      </c>
      <c r="G4391" s="89">
        <v>21332109</v>
      </c>
      <c r="H4391" t="s">
        <v>42</v>
      </c>
      <c r="I4391" t="s">
        <v>126</v>
      </c>
      <c r="J4391" s="89">
        <v>341313744</v>
      </c>
      <c r="K4391" t="s">
        <v>127</v>
      </c>
      <c r="L4391" t="s">
        <v>128</v>
      </c>
      <c r="M4391" t="s">
        <v>139</v>
      </c>
      <c r="N4391">
        <v>1</v>
      </c>
      <c r="O4391" s="89">
        <v>639963.27</v>
      </c>
      <c r="P4391" s="89">
        <v>10452733.41</v>
      </c>
      <c r="Q4391" t="s">
        <v>142</v>
      </c>
      <c r="R4391" t="s">
        <v>131</v>
      </c>
    </row>
    <row r="4392" spans="3:18" hidden="1" x14ac:dyDescent="0.25">
      <c r="C4392" t="s">
        <v>45</v>
      </c>
      <c r="D4392" t="s">
        <v>23</v>
      </c>
      <c r="E4392" t="s">
        <v>40</v>
      </c>
      <c r="F4392" t="s">
        <v>41</v>
      </c>
      <c r="G4392" s="89">
        <v>387250</v>
      </c>
      <c r="H4392" t="s">
        <v>146</v>
      </c>
      <c r="I4392" t="s">
        <v>133</v>
      </c>
      <c r="J4392" s="89">
        <v>10843000</v>
      </c>
      <c r="K4392" t="s">
        <v>127</v>
      </c>
      <c r="L4392" t="s">
        <v>128</v>
      </c>
      <c r="N4392">
        <v>1</v>
      </c>
      <c r="O4392" s="89">
        <v>15490</v>
      </c>
      <c r="P4392" s="89">
        <v>480190</v>
      </c>
      <c r="Q4392" t="s">
        <v>150</v>
      </c>
      <c r="R4392" t="s">
        <v>131</v>
      </c>
    </row>
    <row r="4393" spans="3:18" x14ac:dyDescent="0.25">
      <c r="C4393" t="s">
        <v>47</v>
      </c>
      <c r="D4393" t="s">
        <v>20</v>
      </c>
      <c r="E4393" t="s">
        <v>40</v>
      </c>
      <c r="F4393" t="s">
        <v>41</v>
      </c>
      <c r="G4393" s="89">
        <v>200305</v>
      </c>
      <c r="H4393" t="s">
        <v>132</v>
      </c>
      <c r="I4393" t="s">
        <v>153</v>
      </c>
      <c r="J4393" s="89"/>
      <c r="K4393" t="s">
        <v>127</v>
      </c>
      <c r="L4393" t="s">
        <v>128</v>
      </c>
      <c r="N4393">
        <v>0</v>
      </c>
      <c r="O4393" s="89">
        <v>10015.25</v>
      </c>
      <c r="P4393" s="89">
        <v>98149.45</v>
      </c>
      <c r="Q4393" t="s">
        <v>142</v>
      </c>
      <c r="R4393" t="s">
        <v>131</v>
      </c>
    </row>
    <row r="4394" spans="3:18" hidden="1" x14ac:dyDescent="0.25">
      <c r="C4394" t="s">
        <v>45</v>
      </c>
      <c r="D4394" t="s">
        <v>19</v>
      </c>
      <c r="E4394" t="s">
        <v>43</v>
      </c>
      <c r="F4394" t="s">
        <v>41</v>
      </c>
      <c r="G4394" s="89">
        <v>41855</v>
      </c>
      <c r="H4394" t="s">
        <v>146</v>
      </c>
      <c r="I4394" t="s">
        <v>141</v>
      </c>
      <c r="J4394" s="89">
        <v>334840</v>
      </c>
      <c r="K4394" t="s">
        <v>134</v>
      </c>
      <c r="L4394" t="s">
        <v>128</v>
      </c>
      <c r="N4394">
        <v>1</v>
      </c>
      <c r="O4394" s="89">
        <v>1674.2</v>
      </c>
      <c r="P4394" s="89">
        <v>13812.15</v>
      </c>
      <c r="Q4394" t="s">
        <v>130</v>
      </c>
      <c r="R4394" t="s">
        <v>131</v>
      </c>
    </row>
    <row r="4395" spans="3:18" hidden="1" x14ac:dyDescent="0.25">
      <c r="C4395" t="s">
        <v>45</v>
      </c>
      <c r="D4395" t="s">
        <v>20</v>
      </c>
      <c r="E4395" t="s">
        <v>43</v>
      </c>
      <c r="F4395" t="s">
        <v>41</v>
      </c>
      <c r="G4395" s="89">
        <v>139873</v>
      </c>
      <c r="H4395" t="s">
        <v>140</v>
      </c>
      <c r="I4395" t="s">
        <v>147</v>
      </c>
      <c r="J4395" s="89">
        <v>419619</v>
      </c>
      <c r="K4395" t="s">
        <v>127</v>
      </c>
      <c r="L4395" t="s">
        <v>128</v>
      </c>
      <c r="N4395">
        <v>1</v>
      </c>
      <c r="O4395" s="89">
        <v>4196.1899999999996</v>
      </c>
      <c r="P4395" s="89">
        <v>95113.64</v>
      </c>
      <c r="Q4395" t="s">
        <v>137</v>
      </c>
      <c r="R4395" t="s">
        <v>131</v>
      </c>
    </row>
    <row r="4396" spans="3:18" hidden="1" x14ac:dyDescent="0.25">
      <c r="C4396" t="s">
        <v>45</v>
      </c>
      <c r="D4396" t="s">
        <v>22</v>
      </c>
      <c r="E4396" t="s">
        <v>40</v>
      </c>
      <c r="F4396" t="s">
        <v>41</v>
      </c>
      <c r="G4396" s="89">
        <v>9422556</v>
      </c>
      <c r="H4396" t="s">
        <v>42</v>
      </c>
      <c r="I4396" t="s">
        <v>133</v>
      </c>
      <c r="J4396" s="89">
        <v>282676680</v>
      </c>
      <c r="K4396" t="s">
        <v>144</v>
      </c>
      <c r="N4396">
        <v>1</v>
      </c>
      <c r="O4396" s="89">
        <v>282676.68</v>
      </c>
      <c r="P4396" s="89">
        <v>2826766.8</v>
      </c>
      <c r="Q4396" t="s">
        <v>130</v>
      </c>
      <c r="R4396" t="s">
        <v>42</v>
      </c>
    </row>
    <row r="4397" spans="3:18" hidden="1" x14ac:dyDescent="0.25">
      <c r="C4397" t="s">
        <v>45</v>
      </c>
      <c r="D4397" t="s">
        <v>21</v>
      </c>
      <c r="E4397" t="s">
        <v>43</v>
      </c>
      <c r="F4397" t="s">
        <v>41</v>
      </c>
      <c r="G4397" s="89">
        <v>64020</v>
      </c>
      <c r="H4397" t="s">
        <v>42</v>
      </c>
      <c r="I4397" t="s">
        <v>126</v>
      </c>
      <c r="J4397" s="89">
        <v>1024320</v>
      </c>
      <c r="K4397" t="s">
        <v>127</v>
      </c>
      <c r="L4397" t="s">
        <v>128</v>
      </c>
      <c r="M4397" t="s">
        <v>148</v>
      </c>
      <c r="N4397">
        <v>1</v>
      </c>
      <c r="O4397" s="89">
        <v>2560.8000000000002</v>
      </c>
      <c r="P4397" s="89">
        <v>18565.8</v>
      </c>
      <c r="Q4397" t="s">
        <v>130</v>
      </c>
      <c r="R4397" t="s">
        <v>42</v>
      </c>
    </row>
    <row r="4398" spans="3:18" hidden="1" x14ac:dyDescent="0.25">
      <c r="C4398" t="s">
        <v>45</v>
      </c>
      <c r="D4398" t="s">
        <v>24</v>
      </c>
      <c r="E4398" t="s">
        <v>40</v>
      </c>
      <c r="F4398" t="s">
        <v>41</v>
      </c>
      <c r="G4398" s="89">
        <v>396637</v>
      </c>
      <c r="H4398" t="s">
        <v>140</v>
      </c>
      <c r="I4398" t="s">
        <v>133</v>
      </c>
      <c r="J4398" s="89">
        <v>11899110</v>
      </c>
      <c r="K4398" t="s">
        <v>144</v>
      </c>
      <c r="N4398">
        <v>1</v>
      </c>
      <c r="O4398" s="89">
        <v>15865.48</v>
      </c>
      <c r="P4398" s="89">
        <v>194352.13</v>
      </c>
      <c r="Q4398" t="s">
        <v>142</v>
      </c>
      <c r="R4398" t="s">
        <v>131</v>
      </c>
    </row>
    <row r="4399" spans="3:18" hidden="1" x14ac:dyDescent="0.25">
      <c r="C4399" t="s">
        <v>45</v>
      </c>
      <c r="D4399" t="s">
        <v>22</v>
      </c>
      <c r="E4399" t="s">
        <v>40</v>
      </c>
      <c r="F4399" t="s">
        <v>53</v>
      </c>
      <c r="G4399" s="89">
        <v>69256</v>
      </c>
      <c r="H4399" t="s">
        <v>145</v>
      </c>
      <c r="I4399" t="s">
        <v>133</v>
      </c>
      <c r="J4399" s="89">
        <v>2493216</v>
      </c>
      <c r="K4399" t="s">
        <v>144</v>
      </c>
      <c r="N4399">
        <v>1</v>
      </c>
      <c r="O4399" s="89">
        <v>2077.6799999999998</v>
      </c>
      <c r="P4399" s="89">
        <v>38090.800000000003</v>
      </c>
      <c r="Q4399" t="s">
        <v>142</v>
      </c>
      <c r="R4399" t="s">
        <v>131</v>
      </c>
    </row>
    <row r="4400" spans="3:18" hidden="1" x14ac:dyDescent="0.25">
      <c r="C4400" t="s">
        <v>45</v>
      </c>
      <c r="D4400" t="s">
        <v>22</v>
      </c>
      <c r="E4400" t="s">
        <v>43</v>
      </c>
      <c r="F4400" t="s">
        <v>41</v>
      </c>
      <c r="G4400" s="89">
        <v>578615</v>
      </c>
      <c r="H4400" t="s">
        <v>132</v>
      </c>
      <c r="I4400" t="s">
        <v>133</v>
      </c>
      <c r="J4400" s="89">
        <v>15622605</v>
      </c>
      <c r="K4400" t="s">
        <v>144</v>
      </c>
      <c r="N4400">
        <v>1</v>
      </c>
      <c r="O4400" s="89">
        <v>17358.45</v>
      </c>
      <c r="P4400" s="89">
        <v>167798.35</v>
      </c>
      <c r="Q4400" t="s">
        <v>130</v>
      </c>
      <c r="R4400" t="s">
        <v>131</v>
      </c>
    </row>
    <row r="4401" spans="3:18" hidden="1" x14ac:dyDescent="0.25">
      <c r="C4401" t="s">
        <v>45</v>
      </c>
      <c r="D4401" t="s">
        <v>22</v>
      </c>
      <c r="E4401" t="s">
        <v>48</v>
      </c>
      <c r="F4401" t="s">
        <v>41</v>
      </c>
      <c r="G4401" s="89">
        <v>185167</v>
      </c>
      <c r="H4401" t="s">
        <v>42</v>
      </c>
      <c r="I4401" t="s">
        <v>133</v>
      </c>
      <c r="J4401" s="89">
        <v>5555010</v>
      </c>
      <c r="K4401" t="s">
        <v>144</v>
      </c>
      <c r="N4401">
        <v>1</v>
      </c>
      <c r="O4401" s="89">
        <v>5555.01</v>
      </c>
      <c r="P4401" s="89">
        <v>153688.60999999999</v>
      </c>
      <c r="Q4401" t="s">
        <v>135</v>
      </c>
      <c r="R4401" t="s">
        <v>131</v>
      </c>
    </row>
    <row r="4402" spans="3:18" hidden="1" x14ac:dyDescent="0.25">
      <c r="C4402" t="s">
        <v>45</v>
      </c>
      <c r="D4402" t="s">
        <v>21</v>
      </c>
      <c r="E4402" t="s">
        <v>40</v>
      </c>
      <c r="F4402" t="s">
        <v>41</v>
      </c>
      <c r="G4402" s="89">
        <v>21374877</v>
      </c>
      <c r="H4402" t="s">
        <v>140</v>
      </c>
      <c r="I4402" t="s">
        <v>133</v>
      </c>
      <c r="J4402" s="89">
        <v>555746802</v>
      </c>
      <c r="K4402" t="s">
        <v>127</v>
      </c>
      <c r="L4402" t="s">
        <v>128</v>
      </c>
      <c r="N4402">
        <v>1</v>
      </c>
      <c r="O4402" s="89">
        <v>641246.31000000006</v>
      </c>
      <c r="P4402" s="89">
        <v>11114936.039999999</v>
      </c>
      <c r="Q4402" t="s">
        <v>142</v>
      </c>
      <c r="R4402" t="s">
        <v>131</v>
      </c>
    </row>
    <row r="4403" spans="3:18" hidden="1" x14ac:dyDescent="0.25">
      <c r="C4403" t="s">
        <v>45</v>
      </c>
      <c r="D4403" t="s">
        <v>23</v>
      </c>
      <c r="E4403" t="s">
        <v>44</v>
      </c>
      <c r="F4403" t="s">
        <v>41</v>
      </c>
      <c r="G4403" s="89">
        <v>14078552</v>
      </c>
      <c r="H4403" t="s">
        <v>42</v>
      </c>
      <c r="I4403" t="s">
        <v>133</v>
      </c>
      <c r="J4403" s="89">
        <v>450513664</v>
      </c>
      <c r="K4403" t="s">
        <v>144</v>
      </c>
      <c r="N4403">
        <v>1</v>
      </c>
      <c r="O4403" s="89">
        <v>422356.56</v>
      </c>
      <c r="P4403" s="89">
        <v>7180061.5199999996</v>
      </c>
      <c r="Q4403" t="s">
        <v>142</v>
      </c>
      <c r="R4403" t="s">
        <v>42</v>
      </c>
    </row>
    <row r="4404" spans="3:18" x14ac:dyDescent="0.25">
      <c r="C4404" t="s">
        <v>47</v>
      </c>
      <c r="D4404" t="s">
        <v>22</v>
      </c>
      <c r="E4404" t="s">
        <v>43</v>
      </c>
      <c r="F4404" t="s">
        <v>41</v>
      </c>
      <c r="G4404" s="89">
        <v>173021</v>
      </c>
      <c r="H4404" t="s">
        <v>146</v>
      </c>
      <c r="I4404" t="s">
        <v>126</v>
      </c>
      <c r="J4404" s="89">
        <v>1730210</v>
      </c>
      <c r="K4404" t="s">
        <v>127</v>
      </c>
      <c r="L4404" t="s">
        <v>128</v>
      </c>
      <c r="N4404">
        <v>1</v>
      </c>
      <c r="O4404" s="89">
        <v>6920.84</v>
      </c>
      <c r="P4404" s="89">
        <v>119384.49</v>
      </c>
      <c r="Q4404" t="s">
        <v>137</v>
      </c>
      <c r="R4404" t="s">
        <v>131</v>
      </c>
    </row>
    <row r="4405" spans="3:18" x14ac:dyDescent="0.25">
      <c r="C4405" t="s">
        <v>47</v>
      </c>
      <c r="D4405" t="s">
        <v>22</v>
      </c>
      <c r="E4405" t="s">
        <v>40</v>
      </c>
      <c r="F4405" t="s">
        <v>41</v>
      </c>
      <c r="G4405" s="89">
        <v>723162</v>
      </c>
      <c r="H4405" t="s">
        <v>132</v>
      </c>
      <c r="I4405" t="s">
        <v>147</v>
      </c>
      <c r="J4405" s="89">
        <v>2169486</v>
      </c>
      <c r="K4405" t="s">
        <v>127</v>
      </c>
      <c r="L4405" t="s">
        <v>128</v>
      </c>
      <c r="N4405">
        <v>1</v>
      </c>
      <c r="O4405" s="89">
        <v>28926.48</v>
      </c>
      <c r="P4405" s="89">
        <v>151864.01999999999</v>
      </c>
      <c r="Q4405" t="s">
        <v>130</v>
      </c>
      <c r="R4405" t="s">
        <v>131</v>
      </c>
    </row>
    <row r="4406" spans="3:18" x14ac:dyDescent="0.25">
      <c r="C4406" t="s">
        <v>47</v>
      </c>
      <c r="D4406" t="s">
        <v>24</v>
      </c>
      <c r="E4406" t="s">
        <v>40</v>
      </c>
      <c r="F4406" t="s">
        <v>41</v>
      </c>
      <c r="G4406" s="89">
        <v>1430160</v>
      </c>
      <c r="H4406" t="s">
        <v>146</v>
      </c>
      <c r="I4406" t="s">
        <v>147</v>
      </c>
      <c r="J4406" s="89">
        <v>4290480</v>
      </c>
      <c r="K4406" t="s">
        <v>127</v>
      </c>
      <c r="L4406" t="s">
        <v>128</v>
      </c>
      <c r="N4406">
        <v>1</v>
      </c>
      <c r="O4406" s="89">
        <v>71508</v>
      </c>
      <c r="P4406" s="89">
        <v>228825.60000000001</v>
      </c>
      <c r="Q4406" t="s">
        <v>130</v>
      </c>
      <c r="R4406" t="s">
        <v>131</v>
      </c>
    </row>
    <row r="4407" spans="3:18" x14ac:dyDescent="0.25">
      <c r="C4407" t="s">
        <v>47</v>
      </c>
      <c r="D4407" t="s">
        <v>21</v>
      </c>
      <c r="E4407" t="s">
        <v>43</v>
      </c>
      <c r="F4407" t="s">
        <v>41</v>
      </c>
      <c r="G4407" s="89">
        <v>41877</v>
      </c>
      <c r="H4407" t="s">
        <v>146</v>
      </c>
      <c r="I4407" t="s">
        <v>141</v>
      </c>
      <c r="J4407" s="89">
        <v>376893</v>
      </c>
      <c r="K4407" t="s">
        <v>127</v>
      </c>
      <c r="L4407" t="s">
        <v>128</v>
      </c>
      <c r="N4407">
        <v>1</v>
      </c>
      <c r="O4407" s="89">
        <v>1675.08</v>
      </c>
      <c r="P4407" s="89">
        <v>28895.13</v>
      </c>
      <c r="Q4407" t="s">
        <v>137</v>
      </c>
      <c r="R4407" t="s">
        <v>131</v>
      </c>
    </row>
    <row r="4408" spans="3:18" hidden="1" x14ac:dyDescent="0.25">
      <c r="C4408" t="s">
        <v>45</v>
      </c>
      <c r="D4408" t="s">
        <v>22</v>
      </c>
      <c r="E4408" t="s">
        <v>40</v>
      </c>
      <c r="F4408" t="s">
        <v>41</v>
      </c>
      <c r="G4408" s="89">
        <v>33388691</v>
      </c>
      <c r="H4408" t="s">
        <v>42</v>
      </c>
      <c r="I4408" t="s">
        <v>133</v>
      </c>
      <c r="J4408" s="89">
        <v>1068438112</v>
      </c>
      <c r="K4408" t="s">
        <v>144</v>
      </c>
      <c r="N4408">
        <v>1</v>
      </c>
      <c r="O4408" s="89">
        <v>1001660.73</v>
      </c>
      <c r="P4408" s="89">
        <v>17028232.41</v>
      </c>
      <c r="Q4408" t="s">
        <v>142</v>
      </c>
      <c r="R4408" t="s">
        <v>42</v>
      </c>
    </row>
    <row r="4409" spans="3:18" hidden="1" x14ac:dyDescent="0.25">
      <c r="C4409" t="s">
        <v>45</v>
      </c>
      <c r="D4409" t="s">
        <v>23</v>
      </c>
      <c r="E4409" t="s">
        <v>43</v>
      </c>
      <c r="F4409" t="s">
        <v>41</v>
      </c>
      <c r="G4409" s="89">
        <v>143563</v>
      </c>
      <c r="H4409" t="s">
        <v>145</v>
      </c>
      <c r="I4409" t="s">
        <v>133</v>
      </c>
      <c r="J4409" s="89">
        <v>4737579</v>
      </c>
      <c r="K4409" t="s">
        <v>134</v>
      </c>
      <c r="L4409" t="s">
        <v>128</v>
      </c>
      <c r="N4409">
        <v>1</v>
      </c>
      <c r="O4409" s="89">
        <v>2871.26</v>
      </c>
      <c r="P4409" s="89">
        <v>89009.06</v>
      </c>
      <c r="Q4409" t="s">
        <v>137</v>
      </c>
      <c r="R4409" t="s">
        <v>131</v>
      </c>
    </row>
    <row r="4410" spans="3:18" hidden="1" x14ac:dyDescent="0.25">
      <c r="C4410" t="s">
        <v>45</v>
      </c>
      <c r="D4410" t="s">
        <v>24</v>
      </c>
      <c r="E4410" t="s">
        <v>43</v>
      </c>
      <c r="F4410" t="s">
        <v>41</v>
      </c>
      <c r="G4410" s="89">
        <v>125976</v>
      </c>
      <c r="H4410" t="s">
        <v>42</v>
      </c>
      <c r="I4410" t="s">
        <v>126</v>
      </c>
      <c r="J4410" s="89">
        <v>2393544</v>
      </c>
      <c r="K4410" t="s">
        <v>127</v>
      </c>
      <c r="L4410" t="s">
        <v>128</v>
      </c>
      <c r="M4410" t="s">
        <v>148</v>
      </c>
      <c r="N4410">
        <v>1</v>
      </c>
      <c r="O4410" s="89">
        <v>3779.28</v>
      </c>
      <c r="P4410" s="89">
        <v>35273.279999999999</v>
      </c>
      <c r="Q4410" t="s">
        <v>130</v>
      </c>
      <c r="R4410" t="s">
        <v>42</v>
      </c>
    </row>
    <row r="4411" spans="3:18" hidden="1" x14ac:dyDescent="0.25">
      <c r="C4411" t="s">
        <v>45</v>
      </c>
      <c r="D4411" t="s">
        <v>24</v>
      </c>
      <c r="E4411" t="s">
        <v>40</v>
      </c>
      <c r="F4411" t="s">
        <v>41</v>
      </c>
      <c r="G4411" s="89">
        <v>215550</v>
      </c>
      <c r="H4411" t="s">
        <v>42</v>
      </c>
      <c r="I4411" t="s">
        <v>126</v>
      </c>
      <c r="J4411" s="89">
        <v>4095450</v>
      </c>
      <c r="K4411" t="s">
        <v>127</v>
      </c>
      <c r="L4411" t="s">
        <v>128</v>
      </c>
      <c r="M4411" t="s">
        <v>148</v>
      </c>
      <c r="N4411">
        <v>1</v>
      </c>
      <c r="O4411" s="89">
        <v>12933</v>
      </c>
      <c r="P4411" s="89">
        <v>172440</v>
      </c>
      <c r="Q4411" t="s">
        <v>135</v>
      </c>
      <c r="R4411" t="s">
        <v>131</v>
      </c>
    </row>
    <row r="4412" spans="3:18" hidden="1" x14ac:dyDescent="0.25">
      <c r="C4412" t="s">
        <v>45</v>
      </c>
      <c r="D4412" t="s">
        <v>149</v>
      </c>
      <c r="E4412" t="s">
        <v>40</v>
      </c>
      <c r="F4412" t="s">
        <v>41</v>
      </c>
      <c r="G4412" s="89">
        <v>1021529</v>
      </c>
      <c r="H4412" t="s">
        <v>42</v>
      </c>
      <c r="I4412" t="s">
        <v>126</v>
      </c>
      <c r="J4412" s="89">
        <v>18387522</v>
      </c>
      <c r="K4412" t="s">
        <v>127</v>
      </c>
      <c r="L4412" t="s">
        <v>128</v>
      </c>
      <c r="M4412" t="s">
        <v>136</v>
      </c>
      <c r="N4412">
        <v>1</v>
      </c>
      <c r="O4412" s="89">
        <v>30645.87</v>
      </c>
      <c r="P4412" s="89">
        <v>224736.38</v>
      </c>
      <c r="Q4412" t="s">
        <v>130</v>
      </c>
      <c r="R4412" t="s">
        <v>131</v>
      </c>
    </row>
    <row r="4413" spans="3:18" x14ac:dyDescent="0.25">
      <c r="C4413" t="s">
        <v>47</v>
      </c>
      <c r="D4413" t="s">
        <v>138</v>
      </c>
      <c r="E4413" t="s">
        <v>40</v>
      </c>
      <c r="F4413" t="s">
        <v>41</v>
      </c>
      <c r="G4413" s="89">
        <v>4383421</v>
      </c>
      <c r="H4413" t="s">
        <v>42</v>
      </c>
      <c r="I4413" t="s">
        <v>141</v>
      </c>
      <c r="J4413" s="89">
        <v>30683947</v>
      </c>
      <c r="K4413" t="s">
        <v>127</v>
      </c>
      <c r="L4413" t="s">
        <v>128</v>
      </c>
      <c r="M4413" t="s">
        <v>139</v>
      </c>
      <c r="N4413">
        <v>1</v>
      </c>
      <c r="O4413" s="89">
        <v>219171.05</v>
      </c>
      <c r="P4413" s="89">
        <v>1139689.46</v>
      </c>
      <c r="Q4413" t="s">
        <v>130</v>
      </c>
      <c r="R4413" t="s">
        <v>131</v>
      </c>
    </row>
    <row r="4414" spans="3:18" hidden="1" x14ac:dyDescent="0.25">
      <c r="C4414" t="s">
        <v>45</v>
      </c>
      <c r="D4414" t="s">
        <v>25</v>
      </c>
      <c r="E4414" t="s">
        <v>48</v>
      </c>
      <c r="F4414" t="s">
        <v>41</v>
      </c>
      <c r="G4414" s="89">
        <v>40140</v>
      </c>
      <c r="H4414" t="s">
        <v>140</v>
      </c>
      <c r="I4414" t="s">
        <v>133</v>
      </c>
      <c r="J4414" s="89">
        <v>1003500</v>
      </c>
      <c r="K4414" t="s">
        <v>144</v>
      </c>
      <c r="N4414">
        <v>1</v>
      </c>
      <c r="O4414" s="89">
        <v>1204.2</v>
      </c>
      <c r="P4414" s="89">
        <v>13647.6</v>
      </c>
      <c r="Q4414" t="s">
        <v>130</v>
      </c>
      <c r="R4414" t="s">
        <v>131</v>
      </c>
    </row>
    <row r="4415" spans="3:18" hidden="1" x14ac:dyDescent="0.25">
      <c r="C4415" t="s">
        <v>45</v>
      </c>
      <c r="D4415" t="s">
        <v>23</v>
      </c>
      <c r="E4415" t="s">
        <v>48</v>
      </c>
      <c r="F4415" t="s">
        <v>41</v>
      </c>
      <c r="G4415" s="89">
        <v>852830</v>
      </c>
      <c r="H4415" t="s">
        <v>145</v>
      </c>
      <c r="I4415" t="s">
        <v>133</v>
      </c>
      <c r="J4415" s="89">
        <v>26437730</v>
      </c>
      <c r="K4415" t="s">
        <v>144</v>
      </c>
      <c r="N4415">
        <v>1</v>
      </c>
      <c r="O4415" s="89">
        <v>25584.9</v>
      </c>
      <c r="P4415" s="89">
        <v>255849</v>
      </c>
      <c r="Q4415" t="s">
        <v>130</v>
      </c>
      <c r="R4415" t="s">
        <v>131</v>
      </c>
    </row>
    <row r="4416" spans="3:18" hidden="1" x14ac:dyDescent="0.25">
      <c r="C4416" t="s">
        <v>45</v>
      </c>
      <c r="D4416" t="s">
        <v>22</v>
      </c>
      <c r="E4416" t="s">
        <v>46</v>
      </c>
      <c r="F4416" t="s">
        <v>41</v>
      </c>
      <c r="G4416" s="89">
        <v>699860</v>
      </c>
      <c r="H4416" t="s">
        <v>42</v>
      </c>
      <c r="I4416" t="s">
        <v>126</v>
      </c>
      <c r="J4416" s="89">
        <v>11197760</v>
      </c>
      <c r="K4416" t="s">
        <v>144</v>
      </c>
      <c r="N4416">
        <v>1</v>
      </c>
      <c r="O4416" s="89">
        <v>20995.8</v>
      </c>
      <c r="P4416" s="89">
        <v>482903.4</v>
      </c>
      <c r="Q4416" t="s">
        <v>137</v>
      </c>
      <c r="R4416" t="s">
        <v>42</v>
      </c>
    </row>
    <row r="4417" spans="3:18" hidden="1" x14ac:dyDescent="0.25">
      <c r="C4417" t="s">
        <v>45</v>
      </c>
      <c r="D4417" t="s">
        <v>138</v>
      </c>
      <c r="E4417" t="s">
        <v>43</v>
      </c>
      <c r="F4417" t="s">
        <v>41</v>
      </c>
      <c r="G4417" s="89">
        <v>283111139</v>
      </c>
      <c r="H4417" t="s">
        <v>42</v>
      </c>
      <c r="I4417" t="s">
        <v>133</v>
      </c>
      <c r="J4417" s="89">
        <v>8776445309</v>
      </c>
      <c r="K4417" t="s">
        <v>127</v>
      </c>
      <c r="L4417" t="s">
        <v>128</v>
      </c>
      <c r="M4417" t="s">
        <v>139</v>
      </c>
      <c r="N4417">
        <v>1</v>
      </c>
      <c r="O4417" s="89">
        <v>8493334.1699999999</v>
      </c>
      <c r="P4417" s="89">
        <v>201008908.69</v>
      </c>
      <c r="Q4417" t="s">
        <v>137</v>
      </c>
      <c r="R4417" t="s">
        <v>131</v>
      </c>
    </row>
    <row r="4418" spans="3:18" hidden="1" x14ac:dyDescent="0.25">
      <c r="C4418" t="s">
        <v>45</v>
      </c>
      <c r="D4418" t="s">
        <v>138</v>
      </c>
      <c r="E4418" t="s">
        <v>43</v>
      </c>
      <c r="F4418" t="s">
        <v>41</v>
      </c>
      <c r="G4418" s="89">
        <v>277793</v>
      </c>
      <c r="H4418" t="s">
        <v>42</v>
      </c>
      <c r="I4418" t="s">
        <v>126</v>
      </c>
      <c r="J4418" s="89">
        <v>4722481</v>
      </c>
      <c r="K4418" t="s">
        <v>144</v>
      </c>
      <c r="N4418">
        <v>1</v>
      </c>
      <c r="O4418" s="89">
        <v>8333.7900000000009</v>
      </c>
      <c r="P4418" s="89">
        <v>136118.57</v>
      </c>
      <c r="Q4418" t="s">
        <v>142</v>
      </c>
      <c r="R4418" t="s">
        <v>131</v>
      </c>
    </row>
    <row r="4419" spans="3:18" hidden="1" x14ac:dyDescent="0.25">
      <c r="C4419" t="s">
        <v>45</v>
      </c>
      <c r="D4419" t="s">
        <v>19</v>
      </c>
      <c r="E4419" t="s">
        <v>43</v>
      </c>
      <c r="F4419" t="s">
        <v>41</v>
      </c>
      <c r="G4419" s="89">
        <v>287546</v>
      </c>
      <c r="H4419" t="s">
        <v>42</v>
      </c>
      <c r="I4419" t="s">
        <v>126</v>
      </c>
      <c r="J4419" s="89">
        <v>5175828</v>
      </c>
      <c r="K4419" t="s">
        <v>144</v>
      </c>
      <c r="N4419">
        <v>1</v>
      </c>
      <c r="O4419" s="89">
        <v>8626.3799999999992</v>
      </c>
      <c r="P4419" s="89">
        <v>135146.62</v>
      </c>
      <c r="Q4419" t="s">
        <v>142</v>
      </c>
      <c r="R4419" t="s">
        <v>131</v>
      </c>
    </row>
    <row r="4420" spans="3:18" hidden="1" x14ac:dyDescent="0.25">
      <c r="C4420" t="s">
        <v>45</v>
      </c>
      <c r="D4420" t="s">
        <v>24</v>
      </c>
      <c r="E4420" t="s">
        <v>43</v>
      </c>
      <c r="F4420" t="s">
        <v>41</v>
      </c>
      <c r="G4420" s="89">
        <v>133777</v>
      </c>
      <c r="H4420" t="s">
        <v>42</v>
      </c>
      <c r="I4420" t="s">
        <v>141</v>
      </c>
      <c r="J4420" s="89">
        <v>1070216</v>
      </c>
      <c r="K4420" t="s">
        <v>127</v>
      </c>
      <c r="L4420" t="s">
        <v>128</v>
      </c>
      <c r="M4420" t="s">
        <v>148</v>
      </c>
      <c r="N4420">
        <v>1</v>
      </c>
      <c r="O4420" s="89">
        <v>4013.31</v>
      </c>
      <c r="P4420" s="89">
        <v>61537.42</v>
      </c>
      <c r="Q4420" t="s">
        <v>142</v>
      </c>
      <c r="R4420" t="s">
        <v>131</v>
      </c>
    </row>
    <row r="4421" spans="3:18" hidden="1" x14ac:dyDescent="0.25">
      <c r="C4421" t="s">
        <v>45</v>
      </c>
      <c r="D4421" t="s">
        <v>23</v>
      </c>
      <c r="E4421" t="s">
        <v>48</v>
      </c>
      <c r="F4421" t="s">
        <v>41</v>
      </c>
      <c r="G4421" s="89">
        <v>12109805</v>
      </c>
      <c r="H4421" t="s">
        <v>140</v>
      </c>
      <c r="I4421" t="s">
        <v>133</v>
      </c>
      <c r="J4421" s="89">
        <v>375403955</v>
      </c>
      <c r="K4421" t="s">
        <v>144</v>
      </c>
      <c r="N4421">
        <v>1</v>
      </c>
      <c r="O4421" s="89">
        <v>363294.15</v>
      </c>
      <c r="P4421" s="89">
        <v>2300862.9500000002</v>
      </c>
      <c r="Q4421" t="s">
        <v>130</v>
      </c>
      <c r="R4421" t="s">
        <v>131</v>
      </c>
    </row>
    <row r="4422" spans="3:18" hidden="1" x14ac:dyDescent="0.25">
      <c r="C4422" t="s">
        <v>45</v>
      </c>
      <c r="D4422" t="s">
        <v>24</v>
      </c>
      <c r="E4422" t="s">
        <v>52</v>
      </c>
      <c r="F4422" t="s">
        <v>41</v>
      </c>
      <c r="G4422" s="89">
        <v>84467</v>
      </c>
      <c r="H4422" t="s">
        <v>42</v>
      </c>
      <c r="I4422" t="s">
        <v>141</v>
      </c>
      <c r="J4422" s="89">
        <v>760203</v>
      </c>
      <c r="K4422" t="s">
        <v>144</v>
      </c>
      <c r="N4422">
        <v>1</v>
      </c>
      <c r="O4422" s="89">
        <v>2534.0100000000002</v>
      </c>
      <c r="P4422" s="89">
        <v>29563.45</v>
      </c>
      <c r="Q4422" t="s">
        <v>130</v>
      </c>
      <c r="R4422" t="s">
        <v>42</v>
      </c>
    </row>
    <row r="4423" spans="3:18" x14ac:dyDescent="0.25">
      <c r="C4423" t="s">
        <v>47</v>
      </c>
      <c r="D4423" t="s">
        <v>24</v>
      </c>
      <c r="E4423" t="s">
        <v>44</v>
      </c>
      <c r="F4423" t="s">
        <v>41</v>
      </c>
      <c r="G4423" s="89">
        <v>972310</v>
      </c>
      <c r="H4423" t="s">
        <v>146</v>
      </c>
      <c r="I4423" t="s">
        <v>141</v>
      </c>
      <c r="J4423" s="89">
        <v>8750790</v>
      </c>
      <c r="K4423" t="s">
        <v>127</v>
      </c>
      <c r="L4423" t="s">
        <v>128</v>
      </c>
      <c r="N4423">
        <v>1</v>
      </c>
      <c r="O4423" s="89">
        <v>38892.400000000001</v>
      </c>
      <c r="P4423" s="89">
        <v>573662.9</v>
      </c>
      <c r="Q4423" t="s">
        <v>142</v>
      </c>
      <c r="R4423" t="s">
        <v>131</v>
      </c>
    </row>
    <row r="4424" spans="3:18" hidden="1" x14ac:dyDescent="0.25">
      <c r="C4424" t="s">
        <v>45</v>
      </c>
      <c r="D4424" t="s">
        <v>23</v>
      </c>
      <c r="E4424" t="s">
        <v>40</v>
      </c>
      <c r="F4424" t="s">
        <v>41</v>
      </c>
      <c r="G4424" s="89">
        <v>20824</v>
      </c>
      <c r="H4424" t="s">
        <v>42</v>
      </c>
      <c r="I4424" t="s">
        <v>141</v>
      </c>
      <c r="J4424" s="89">
        <v>124944</v>
      </c>
      <c r="K4424" t="s">
        <v>127</v>
      </c>
      <c r="L4424" t="s">
        <v>151</v>
      </c>
      <c r="M4424" t="s">
        <v>156</v>
      </c>
      <c r="N4424">
        <v>1</v>
      </c>
      <c r="O4424" s="89">
        <v>624.72</v>
      </c>
      <c r="P4424" s="89">
        <v>4997.76</v>
      </c>
      <c r="Q4424" t="s">
        <v>130</v>
      </c>
      <c r="R4424" t="s">
        <v>131</v>
      </c>
    </row>
    <row r="4425" spans="3:18" hidden="1" x14ac:dyDescent="0.25">
      <c r="C4425" t="s">
        <v>45</v>
      </c>
      <c r="D4425" t="s">
        <v>21</v>
      </c>
      <c r="E4425" t="s">
        <v>43</v>
      </c>
      <c r="F4425" t="s">
        <v>41</v>
      </c>
      <c r="G4425" s="89">
        <v>8862553</v>
      </c>
      <c r="H4425" t="s">
        <v>42</v>
      </c>
      <c r="I4425" t="s">
        <v>133</v>
      </c>
      <c r="J4425" s="89">
        <v>248151484</v>
      </c>
      <c r="K4425" t="s">
        <v>127</v>
      </c>
      <c r="L4425" t="s">
        <v>128</v>
      </c>
      <c r="M4425" t="s">
        <v>129</v>
      </c>
      <c r="N4425">
        <v>1</v>
      </c>
      <c r="O4425" s="89">
        <v>265876.59000000003</v>
      </c>
      <c r="P4425" s="89">
        <v>2481514.84</v>
      </c>
      <c r="Q4425" t="s">
        <v>130</v>
      </c>
      <c r="R4425" t="s">
        <v>42</v>
      </c>
    </row>
    <row r="4426" spans="3:18" x14ac:dyDescent="0.25">
      <c r="C4426" t="s">
        <v>47</v>
      </c>
      <c r="D4426" t="s">
        <v>50</v>
      </c>
      <c r="E4426" t="s">
        <v>50</v>
      </c>
      <c r="F4426" t="s">
        <v>41</v>
      </c>
      <c r="G4426" s="89">
        <v>0</v>
      </c>
      <c r="H4426" t="s">
        <v>51</v>
      </c>
      <c r="I4426" t="s">
        <v>126</v>
      </c>
      <c r="J4426" s="89">
        <v>0</v>
      </c>
      <c r="K4426" t="s">
        <v>127</v>
      </c>
      <c r="N4426">
        <v>1</v>
      </c>
      <c r="O4426" s="89">
        <v>0</v>
      </c>
      <c r="P4426" s="89">
        <v>0</v>
      </c>
      <c r="Q4426" t="s">
        <v>137</v>
      </c>
    </row>
    <row r="4427" spans="3:18" hidden="1" x14ac:dyDescent="0.25">
      <c r="C4427" t="s">
        <v>45</v>
      </c>
      <c r="D4427" t="s">
        <v>21</v>
      </c>
      <c r="E4427" t="s">
        <v>43</v>
      </c>
      <c r="F4427" t="s">
        <v>53</v>
      </c>
      <c r="G4427" s="89">
        <v>155097</v>
      </c>
      <c r="H4427" t="s">
        <v>145</v>
      </c>
      <c r="I4427" t="s">
        <v>133</v>
      </c>
      <c r="J4427" s="89">
        <v>5273298</v>
      </c>
      <c r="K4427" t="s">
        <v>144</v>
      </c>
      <c r="N4427">
        <v>1</v>
      </c>
      <c r="O4427" s="89">
        <v>4652.91</v>
      </c>
      <c r="P4427" s="89">
        <v>103914.99</v>
      </c>
      <c r="Q4427" t="s">
        <v>137</v>
      </c>
      <c r="R4427" t="s">
        <v>131</v>
      </c>
    </row>
    <row r="4428" spans="3:18" hidden="1" x14ac:dyDescent="0.25">
      <c r="C4428" t="s">
        <v>45</v>
      </c>
      <c r="D4428" t="s">
        <v>24</v>
      </c>
      <c r="E4428" t="s">
        <v>44</v>
      </c>
      <c r="F4428" t="s">
        <v>41</v>
      </c>
      <c r="G4428" s="89">
        <v>55119</v>
      </c>
      <c r="H4428" t="s">
        <v>140</v>
      </c>
      <c r="I4428" t="s">
        <v>141</v>
      </c>
      <c r="J4428" s="89">
        <v>496071</v>
      </c>
      <c r="K4428" t="s">
        <v>144</v>
      </c>
      <c r="N4428">
        <v>1</v>
      </c>
      <c r="O4428" s="89">
        <v>1653.57</v>
      </c>
      <c r="P4428" s="89">
        <v>11023.8</v>
      </c>
      <c r="Q4428" t="s">
        <v>130</v>
      </c>
      <c r="R4428" t="s">
        <v>131</v>
      </c>
    </row>
    <row r="4429" spans="3:18" hidden="1" x14ac:dyDescent="0.25">
      <c r="C4429" t="s">
        <v>45</v>
      </c>
      <c r="D4429" t="s">
        <v>19</v>
      </c>
      <c r="E4429" t="s">
        <v>43</v>
      </c>
      <c r="F4429" t="s">
        <v>41</v>
      </c>
      <c r="G4429" s="89">
        <v>353973</v>
      </c>
      <c r="H4429" t="s">
        <v>42</v>
      </c>
      <c r="I4429" t="s">
        <v>126</v>
      </c>
      <c r="J4429" s="89">
        <v>5309595</v>
      </c>
      <c r="K4429" t="s">
        <v>134</v>
      </c>
      <c r="L4429" t="s">
        <v>128</v>
      </c>
      <c r="M4429" t="s">
        <v>136</v>
      </c>
      <c r="N4429">
        <v>1</v>
      </c>
      <c r="O4429" s="89">
        <v>10619.19</v>
      </c>
      <c r="P4429" s="89">
        <v>74334.33</v>
      </c>
      <c r="Q4429" t="s">
        <v>130</v>
      </c>
      <c r="R4429" t="s">
        <v>131</v>
      </c>
    </row>
    <row r="4430" spans="3:18" hidden="1" x14ac:dyDescent="0.25">
      <c r="C4430" t="s">
        <v>45</v>
      </c>
      <c r="D4430" t="s">
        <v>21</v>
      </c>
      <c r="E4430" t="s">
        <v>43</v>
      </c>
      <c r="F4430" t="s">
        <v>41</v>
      </c>
      <c r="G4430" s="89">
        <v>365445</v>
      </c>
      <c r="H4430" t="s">
        <v>42</v>
      </c>
      <c r="I4430" t="s">
        <v>133</v>
      </c>
      <c r="J4430" s="89">
        <v>10963350</v>
      </c>
      <c r="K4430" t="s">
        <v>127</v>
      </c>
      <c r="L4430" t="s">
        <v>128</v>
      </c>
      <c r="M4430" t="s">
        <v>136</v>
      </c>
      <c r="N4430">
        <v>1</v>
      </c>
      <c r="O4430" s="89">
        <v>10963.35</v>
      </c>
      <c r="P4430" s="89">
        <v>226575.9</v>
      </c>
      <c r="Q4430" t="s">
        <v>137</v>
      </c>
      <c r="R4430" t="s">
        <v>42</v>
      </c>
    </row>
    <row r="4431" spans="3:18" hidden="1" x14ac:dyDescent="0.25">
      <c r="C4431" t="s">
        <v>45</v>
      </c>
      <c r="D4431" t="s">
        <v>21</v>
      </c>
      <c r="E4431" t="s">
        <v>43</v>
      </c>
      <c r="F4431" t="s">
        <v>41</v>
      </c>
      <c r="G4431" s="89">
        <v>61768</v>
      </c>
      <c r="H4431" t="s">
        <v>42</v>
      </c>
      <c r="I4431" t="s">
        <v>141</v>
      </c>
      <c r="J4431" s="89">
        <v>617680</v>
      </c>
      <c r="K4431" t="s">
        <v>127</v>
      </c>
      <c r="L4431" t="s">
        <v>128</v>
      </c>
      <c r="M4431" t="s">
        <v>139</v>
      </c>
      <c r="N4431">
        <v>1</v>
      </c>
      <c r="O4431" s="89">
        <v>2470.7199999999998</v>
      </c>
      <c r="P4431" s="89">
        <v>19765.759999999998</v>
      </c>
      <c r="Q4431" t="s">
        <v>130</v>
      </c>
      <c r="R4431" t="s">
        <v>42</v>
      </c>
    </row>
    <row r="4432" spans="3:18" hidden="1" x14ac:dyDescent="0.25">
      <c r="C4432" t="s">
        <v>45</v>
      </c>
      <c r="D4432" t="s">
        <v>149</v>
      </c>
      <c r="E4432" t="s">
        <v>43</v>
      </c>
      <c r="F4432" t="s">
        <v>41</v>
      </c>
      <c r="G4432" s="89">
        <v>72666844</v>
      </c>
      <c r="H4432" t="s">
        <v>42</v>
      </c>
      <c r="I4432" t="s">
        <v>133</v>
      </c>
      <c r="J4432" s="89">
        <v>2616006384</v>
      </c>
      <c r="K4432" t="s">
        <v>144</v>
      </c>
      <c r="N4432">
        <v>1</v>
      </c>
      <c r="O4432" s="89">
        <v>2180005.3199999998</v>
      </c>
      <c r="P4432" s="89">
        <v>63946822.719999999</v>
      </c>
      <c r="Q4432" t="s">
        <v>135</v>
      </c>
      <c r="R4432" t="s">
        <v>42</v>
      </c>
    </row>
    <row r="4433" spans="3:18" hidden="1" x14ac:dyDescent="0.25">
      <c r="C4433" t="s">
        <v>45</v>
      </c>
      <c r="D4433" t="s">
        <v>20</v>
      </c>
      <c r="E4433" t="s">
        <v>40</v>
      </c>
      <c r="F4433" t="s">
        <v>41</v>
      </c>
      <c r="G4433" s="89">
        <v>144172</v>
      </c>
      <c r="H4433" t="s">
        <v>140</v>
      </c>
      <c r="I4433" t="s">
        <v>133</v>
      </c>
      <c r="J4433" s="89">
        <v>4180988</v>
      </c>
      <c r="K4433" t="s">
        <v>144</v>
      </c>
      <c r="N4433">
        <v>1</v>
      </c>
      <c r="O4433" s="89">
        <v>4325.16</v>
      </c>
      <c r="P4433" s="89">
        <v>100920.4</v>
      </c>
      <c r="Q4433" t="s">
        <v>137</v>
      </c>
      <c r="R4433" t="s">
        <v>131</v>
      </c>
    </row>
    <row r="4434" spans="3:18" x14ac:dyDescent="0.25">
      <c r="C4434" t="s">
        <v>47</v>
      </c>
      <c r="D4434" t="s">
        <v>23</v>
      </c>
      <c r="E4434" t="s">
        <v>43</v>
      </c>
      <c r="F4434" t="s">
        <v>41</v>
      </c>
      <c r="G4434" s="89">
        <v>600</v>
      </c>
      <c r="H4434" t="s">
        <v>140</v>
      </c>
      <c r="I4434" t="s">
        <v>147</v>
      </c>
      <c r="J4434" s="89">
        <v>1800</v>
      </c>
      <c r="K4434" t="s">
        <v>127</v>
      </c>
      <c r="L4434" t="s">
        <v>128</v>
      </c>
      <c r="N4434">
        <v>1</v>
      </c>
      <c r="O4434" s="89">
        <v>0</v>
      </c>
      <c r="P4434" s="89">
        <v>312</v>
      </c>
      <c r="Q4434" t="s">
        <v>142</v>
      </c>
      <c r="R4434" t="s">
        <v>131</v>
      </c>
    </row>
    <row r="4435" spans="3:18" x14ac:dyDescent="0.25">
      <c r="C4435" t="s">
        <v>47</v>
      </c>
      <c r="D4435" t="s">
        <v>24</v>
      </c>
      <c r="E4435" t="s">
        <v>43</v>
      </c>
      <c r="F4435" t="s">
        <v>41</v>
      </c>
      <c r="G4435" s="89">
        <v>117765</v>
      </c>
      <c r="H4435" t="s">
        <v>42</v>
      </c>
      <c r="I4435" t="s">
        <v>141</v>
      </c>
      <c r="J4435" s="89">
        <v>1059885</v>
      </c>
      <c r="K4435" t="s">
        <v>127</v>
      </c>
      <c r="L4435" t="s">
        <v>128</v>
      </c>
      <c r="M4435" t="s">
        <v>148</v>
      </c>
      <c r="N4435">
        <v>1</v>
      </c>
      <c r="O4435" s="89">
        <v>4710.6000000000004</v>
      </c>
      <c r="P4435" s="89">
        <v>54171.9</v>
      </c>
      <c r="Q4435" t="s">
        <v>142</v>
      </c>
      <c r="R4435" t="s">
        <v>42</v>
      </c>
    </row>
    <row r="4436" spans="3:18" hidden="1" x14ac:dyDescent="0.25">
      <c r="C4436" t="s">
        <v>45</v>
      </c>
      <c r="D4436" t="s">
        <v>25</v>
      </c>
      <c r="E4436" t="s">
        <v>40</v>
      </c>
      <c r="F4436" t="s">
        <v>41</v>
      </c>
      <c r="G4436" s="89">
        <v>75375</v>
      </c>
      <c r="H4436" t="s">
        <v>140</v>
      </c>
      <c r="I4436" t="s">
        <v>147</v>
      </c>
      <c r="J4436" s="89">
        <v>226125</v>
      </c>
      <c r="K4436" t="s">
        <v>127</v>
      </c>
      <c r="L4436" t="s">
        <v>128</v>
      </c>
      <c r="N4436">
        <v>1</v>
      </c>
      <c r="O4436" s="89">
        <v>3015</v>
      </c>
      <c r="P4436" s="89">
        <v>9798.75</v>
      </c>
      <c r="Q4436" t="s">
        <v>130</v>
      </c>
      <c r="R4436" t="s">
        <v>131</v>
      </c>
    </row>
    <row r="4437" spans="3:18" x14ac:dyDescent="0.25">
      <c r="C4437" t="s">
        <v>47</v>
      </c>
      <c r="D4437" t="s">
        <v>22</v>
      </c>
      <c r="E4437" t="s">
        <v>48</v>
      </c>
      <c r="F4437" t="s">
        <v>41</v>
      </c>
      <c r="G4437" s="89">
        <v>5881</v>
      </c>
      <c r="H4437" t="s">
        <v>146</v>
      </c>
      <c r="I4437" t="s">
        <v>153</v>
      </c>
      <c r="J4437" s="89"/>
      <c r="K4437" t="s">
        <v>127</v>
      </c>
      <c r="L4437" t="s">
        <v>128</v>
      </c>
      <c r="N4437">
        <v>0</v>
      </c>
      <c r="O4437" s="89">
        <v>117.62</v>
      </c>
      <c r="P4437" s="89">
        <v>588.1</v>
      </c>
      <c r="Q4437" t="s">
        <v>130</v>
      </c>
      <c r="R4437" t="s">
        <v>131</v>
      </c>
    </row>
    <row r="4438" spans="3:18" hidden="1" x14ac:dyDescent="0.25">
      <c r="C4438" t="s">
        <v>45</v>
      </c>
      <c r="D4438" t="s">
        <v>22</v>
      </c>
      <c r="E4438" t="s">
        <v>43</v>
      </c>
      <c r="F4438" t="s">
        <v>41</v>
      </c>
      <c r="G4438" s="89">
        <v>23594</v>
      </c>
      <c r="H4438" t="s">
        <v>140</v>
      </c>
      <c r="I4438" t="s">
        <v>141</v>
      </c>
      <c r="J4438" s="89">
        <v>117970</v>
      </c>
      <c r="K4438" t="s">
        <v>134</v>
      </c>
      <c r="L4438" t="s">
        <v>128</v>
      </c>
      <c r="N4438">
        <v>1</v>
      </c>
      <c r="O4438" s="89">
        <v>471.88</v>
      </c>
      <c r="P4438" s="89">
        <v>10381.36</v>
      </c>
      <c r="Q4438" t="s">
        <v>142</v>
      </c>
      <c r="R4438" t="s">
        <v>131</v>
      </c>
    </row>
    <row r="4439" spans="3:18" x14ac:dyDescent="0.25">
      <c r="C4439" t="s">
        <v>47</v>
      </c>
      <c r="D4439" t="s">
        <v>19</v>
      </c>
      <c r="E4439" t="s">
        <v>43</v>
      </c>
      <c r="F4439" t="s">
        <v>41</v>
      </c>
      <c r="G4439" s="89">
        <v>1411094</v>
      </c>
      <c r="H4439" t="s">
        <v>146</v>
      </c>
      <c r="I4439" t="s">
        <v>141</v>
      </c>
      <c r="J4439" s="89">
        <v>14110940</v>
      </c>
      <c r="K4439" t="s">
        <v>127</v>
      </c>
      <c r="L4439" t="s">
        <v>128</v>
      </c>
      <c r="N4439">
        <v>1</v>
      </c>
      <c r="O4439" s="89">
        <v>56443.76</v>
      </c>
      <c r="P4439" s="89">
        <v>945432.98</v>
      </c>
      <c r="Q4439" t="s">
        <v>137</v>
      </c>
      <c r="R4439" t="s">
        <v>131</v>
      </c>
    </row>
    <row r="4440" spans="3:18" hidden="1" x14ac:dyDescent="0.25">
      <c r="C4440" t="s">
        <v>45</v>
      </c>
      <c r="D4440" t="s">
        <v>22</v>
      </c>
      <c r="E4440" t="s">
        <v>43</v>
      </c>
      <c r="F4440" t="s">
        <v>41</v>
      </c>
      <c r="G4440" s="89">
        <v>10944705</v>
      </c>
      <c r="H4440" t="s">
        <v>42</v>
      </c>
      <c r="I4440" t="s">
        <v>133</v>
      </c>
      <c r="J4440" s="89">
        <v>394009380</v>
      </c>
      <c r="K4440" t="s">
        <v>144</v>
      </c>
      <c r="N4440">
        <v>1</v>
      </c>
      <c r="O4440" s="89">
        <v>328341.15000000002</v>
      </c>
      <c r="P4440" s="89">
        <v>9631340.4000000004</v>
      </c>
      <c r="Q4440" t="s">
        <v>135</v>
      </c>
      <c r="R4440" t="s">
        <v>131</v>
      </c>
    </row>
    <row r="4441" spans="3:18" hidden="1" x14ac:dyDescent="0.25">
      <c r="C4441" t="s">
        <v>45</v>
      </c>
      <c r="D4441" t="s">
        <v>22</v>
      </c>
      <c r="E4441" t="s">
        <v>43</v>
      </c>
      <c r="F4441" t="s">
        <v>41</v>
      </c>
      <c r="G4441" s="89">
        <v>103539</v>
      </c>
      <c r="H4441" t="s">
        <v>140</v>
      </c>
      <c r="I4441" t="s">
        <v>133</v>
      </c>
      <c r="J4441" s="89">
        <v>2277858</v>
      </c>
      <c r="K4441" t="s">
        <v>134</v>
      </c>
      <c r="L4441" t="s">
        <v>128</v>
      </c>
      <c r="N4441">
        <v>1</v>
      </c>
      <c r="O4441" s="89">
        <v>3106.17</v>
      </c>
      <c r="P4441" s="89">
        <v>22778.58</v>
      </c>
      <c r="Q4441" t="s">
        <v>130</v>
      </c>
      <c r="R4441" t="s">
        <v>131</v>
      </c>
    </row>
    <row r="4442" spans="3:18" x14ac:dyDescent="0.25">
      <c r="C4442" t="s">
        <v>47</v>
      </c>
      <c r="D4442" t="s">
        <v>138</v>
      </c>
      <c r="E4442" t="s">
        <v>43</v>
      </c>
      <c r="F4442" t="s">
        <v>41</v>
      </c>
      <c r="G4442" s="89">
        <v>36787</v>
      </c>
      <c r="H4442" t="s">
        <v>140</v>
      </c>
      <c r="I4442" t="s">
        <v>141</v>
      </c>
      <c r="J4442" s="89">
        <v>331083</v>
      </c>
      <c r="K4442" t="s">
        <v>144</v>
      </c>
      <c r="N4442">
        <v>1</v>
      </c>
      <c r="O4442" s="89">
        <v>1471.48</v>
      </c>
      <c r="P4442" s="89">
        <v>24647.29</v>
      </c>
      <c r="Q4442" t="s">
        <v>137</v>
      </c>
      <c r="R4442" t="s">
        <v>131</v>
      </c>
    </row>
    <row r="4443" spans="3:18" hidden="1" x14ac:dyDescent="0.25">
      <c r="C4443" t="s">
        <v>45</v>
      </c>
      <c r="D4443" t="s">
        <v>25</v>
      </c>
      <c r="E4443" t="s">
        <v>40</v>
      </c>
      <c r="F4443" t="s">
        <v>41</v>
      </c>
      <c r="G4443" s="89">
        <v>119243</v>
      </c>
      <c r="H4443" t="s">
        <v>145</v>
      </c>
      <c r="I4443" t="s">
        <v>141</v>
      </c>
      <c r="J4443" s="89">
        <v>834701</v>
      </c>
      <c r="K4443" t="s">
        <v>127</v>
      </c>
      <c r="L4443" t="s">
        <v>128</v>
      </c>
      <c r="N4443">
        <v>1</v>
      </c>
      <c r="O4443" s="89">
        <v>3577.29</v>
      </c>
      <c r="P4443" s="89">
        <v>28618.32</v>
      </c>
      <c r="Q4443" t="s">
        <v>130</v>
      </c>
      <c r="R4443" t="s">
        <v>131</v>
      </c>
    </row>
    <row r="4444" spans="3:18" hidden="1" x14ac:dyDescent="0.25">
      <c r="C4444" t="s">
        <v>45</v>
      </c>
      <c r="D4444" t="s">
        <v>23</v>
      </c>
      <c r="E4444" t="s">
        <v>48</v>
      </c>
      <c r="F4444" t="s">
        <v>41</v>
      </c>
      <c r="G4444" s="89">
        <v>33360</v>
      </c>
      <c r="H4444" t="s">
        <v>140</v>
      </c>
      <c r="I4444" t="s">
        <v>147</v>
      </c>
      <c r="J4444" s="89">
        <v>100080</v>
      </c>
      <c r="K4444" t="s">
        <v>144</v>
      </c>
      <c r="N4444">
        <v>1</v>
      </c>
      <c r="O4444" s="89">
        <v>1000.8</v>
      </c>
      <c r="P4444" s="89">
        <v>4003.2</v>
      </c>
      <c r="Q4444" t="s">
        <v>130</v>
      </c>
      <c r="R4444" t="s">
        <v>131</v>
      </c>
    </row>
    <row r="4445" spans="3:18" hidden="1" x14ac:dyDescent="0.25">
      <c r="C4445" t="s">
        <v>45</v>
      </c>
      <c r="D4445" t="s">
        <v>149</v>
      </c>
      <c r="E4445" t="s">
        <v>43</v>
      </c>
      <c r="F4445" t="s">
        <v>41</v>
      </c>
      <c r="G4445" s="89">
        <v>2188092</v>
      </c>
      <c r="H4445" t="s">
        <v>42</v>
      </c>
      <c r="I4445" t="s">
        <v>126</v>
      </c>
      <c r="J4445" s="89">
        <v>39385656</v>
      </c>
      <c r="K4445" t="s">
        <v>144</v>
      </c>
      <c r="N4445">
        <v>1</v>
      </c>
      <c r="O4445" s="89">
        <v>65642.759999999995</v>
      </c>
      <c r="P4445" s="89">
        <v>1531664.4</v>
      </c>
      <c r="Q4445" t="s">
        <v>137</v>
      </c>
      <c r="R4445" t="s">
        <v>42</v>
      </c>
    </row>
    <row r="4446" spans="3:18" hidden="1" x14ac:dyDescent="0.25">
      <c r="C4446" t="s">
        <v>45</v>
      </c>
      <c r="D4446" t="s">
        <v>22</v>
      </c>
      <c r="E4446" t="s">
        <v>43</v>
      </c>
      <c r="F4446" t="s">
        <v>41</v>
      </c>
      <c r="G4446" s="89">
        <v>50215</v>
      </c>
      <c r="H4446" t="s">
        <v>42</v>
      </c>
      <c r="I4446" t="s">
        <v>147</v>
      </c>
      <c r="J4446" s="89">
        <v>150645</v>
      </c>
      <c r="K4446" t="s">
        <v>127</v>
      </c>
      <c r="L4446" t="s">
        <v>128</v>
      </c>
      <c r="M4446" t="s">
        <v>143</v>
      </c>
      <c r="N4446">
        <v>1</v>
      </c>
      <c r="O4446" s="89">
        <v>1506.45</v>
      </c>
      <c r="P4446" s="89">
        <v>23601.05</v>
      </c>
      <c r="Q4446" t="s">
        <v>142</v>
      </c>
      <c r="R4446" t="s">
        <v>131</v>
      </c>
    </row>
    <row r="4447" spans="3:18" x14ac:dyDescent="0.25">
      <c r="C4447" t="s">
        <v>47</v>
      </c>
      <c r="D4447" t="s">
        <v>22</v>
      </c>
      <c r="E4447" t="s">
        <v>40</v>
      </c>
      <c r="F4447" t="s">
        <v>41</v>
      </c>
      <c r="G4447" s="89">
        <v>13499639</v>
      </c>
      <c r="H4447" t="s">
        <v>146</v>
      </c>
      <c r="I4447" t="s">
        <v>141</v>
      </c>
      <c r="J4447" s="89">
        <v>107997112</v>
      </c>
      <c r="K4447" t="s">
        <v>127</v>
      </c>
      <c r="L4447" t="s">
        <v>128</v>
      </c>
      <c r="N4447">
        <v>1</v>
      </c>
      <c r="O4447" s="89">
        <v>539985.56000000006</v>
      </c>
      <c r="P4447" s="89">
        <v>6479826.7199999997</v>
      </c>
      <c r="Q4447" t="s">
        <v>142</v>
      </c>
      <c r="R4447" t="s">
        <v>131</v>
      </c>
    </row>
    <row r="4448" spans="3:18" hidden="1" x14ac:dyDescent="0.25">
      <c r="C4448" t="s">
        <v>45</v>
      </c>
      <c r="D4448" t="s">
        <v>22</v>
      </c>
      <c r="E4448" t="s">
        <v>43</v>
      </c>
      <c r="F4448" t="s">
        <v>41</v>
      </c>
      <c r="G4448" s="89">
        <v>1188</v>
      </c>
      <c r="H4448" t="s">
        <v>140</v>
      </c>
      <c r="I4448" t="s">
        <v>147</v>
      </c>
      <c r="J4448" s="89">
        <v>0</v>
      </c>
      <c r="K4448" t="s">
        <v>134</v>
      </c>
      <c r="L4448" t="s">
        <v>128</v>
      </c>
      <c r="N4448">
        <v>1</v>
      </c>
      <c r="O4448" s="89">
        <v>35.64</v>
      </c>
      <c r="P4448" s="89">
        <v>11.88</v>
      </c>
      <c r="Q4448" t="s">
        <v>130</v>
      </c>
      <c r="R4448" t="s">
        <v>131</v>
      </c>
    </row>
    <row r="4449" spans="3:18" hidden="1" x14ac:dyDescent="0.25">
      <c r="C4449" t="s">
        <v>45</v>
      </c>
      <c r="D4449" t="s">
        <v>21</v>
      </c>
      <c r="E4449" t="s">
        <v>40</v>
      </c>
      <c r="F4449" t="s">
        <v>41</v>
      </c>
      <c r="G4449" s="89">
        <v>7242658</v>
      </c>
      <c r="H4449" t="s">
        <v>140</v>
      </c>
      <c r="I4449" t="s">
        <v>133</v>
      </c>
      <c r="J4449" s="89">
        <v>231765056</v>
      </c>
      <c r="K4449" t="s">
        <v>144</v>
      </c>
      <c r="N4449">
        <v>1</v>
      </c>
      <c r="O4449" s="89">
        <v>217279.74</v>
      </c>
      <c r="P4449" s="89">
        <v>1158825.28</v>
      </c>
      <c r="Q4449" t="s">
        <v>130</v>
      </c>
      <c r="R4449" t="s">
        <v>131</v>
      </c>
    </row>
    <row r="4450" spans="3:18" hidden="1" x14ac:dyDescent="0.25">
      <c r="C4450" t="s">
        <v>45</v>
      </c>
      <c r="D4450" t="s">
        <v>22</v>
      </c>
      <c r="E4450" t="s">
        <v>48</v>
      </c>
      <c r="F4450" t="s">
        <v>41</v>
      </c>
      <c r="G4450" s="89">
        <v>108655</v>
      </c>
      <c r="H4450" t="s">
        <v>146</v>
      </c>
      <c r="I4450" t="s">
        <v>141</v>
      </c>
      <c r="J4450" s="89">
        <v>869240</v>
      </c>
      <c r="K4450" t="s">
        <v>127</v>
      </c>
      <c r="L4450" t="s">
        <v>128</v>
      </c>
      <c r="N4450">
        <v>1</v>
      </c>
      <c r="O4450" s="89">
        <v>3259.65</v>
      </c>
      <c r="P4450" s="89">
        <v>26077.200000000001</v>
      </c>
      <c r="Q4450" t="s">
        <v>130</v>
      </c>
      <c r="R4450" t="s">
        <v>131</v>
      </c>
    </row>
    <row r="4451" spans="3:18" hidden="1" x14ac:dyDescent="0.25">
      <c r="C4451" t="s">
        <v>45</v>
      </c>
      <c r="D4451" t="s">
        <v>138</v>
      </c>
      <c r="E4451" t="s">
        <v>43</v>
      </c>
      <c r="F4451" t="s">
        <v>41</v>
      </c>
      <c r="G4451" s="89">
        <v>1460682</v>
      </c>
      <c r="H4451" t="s">
        <v>132</v>
      </c>
      <c r="I4451" t="s">
        <v>147</v>
      </c>
      <c r="J4451" s="89">
        <v>4382046</v>
      </c>
      <c r="K4451" t="s">
        <v>127</v>
      </c>
      <c r="L4451" t="s">
        <v>128</v>
      </c>
      <c r="N4451">
        <v>1</v>
      </c>
      <c r="O4451" s="89">
        <v>43820.46</v>
      </c>
      <c r="P4451" s="89">
        <v>204495.48</v>
      </c>
      <c r="Q4451" t="s">
        <v>130</v>
      </c>
      <c r="R4451" t="s">
        <v>131</v>
      </c>
    </row>
    <row r="4452" spans="3:18" hidden="1" x14ac:dyDescent="0.25">
      <c r="C4452" t="s">
        <v>45</v>
      </c>
      <c r="D4452" t="s">
        <v>149</v>
      </c>
      <c r="E4452" t="s">
        <v>43</v>
      </c>
      <c r="F4452" t="s">
        <v>41</v>
      </c>
      <c r="G4452" s="89">
        <v>113011</v>
      </c>
      <c r="H4452" t="s">
        <v>146</v>
      </c>
      <c r="I4452" t="s">
        <v>133</v>
      </c>
      <c r="J4452" s="89">
        <v>3277319</v>
      </c>
      <c r="K4452" t="s">
        <v>144</v>
      </c>
      <c r="N4452">
        <v>1</v>
      </c>
      <c r="O4452" s="89">
        <v>3390.33</v>
      </c>
      <c r="P4452" s="89">
        <v>79107.7</v>
      </c>
      <c r="Q4452" t="s">
        <v>137</v>
      </c>
      <c r="R4452" t="s">
        <v>131</v>
      </c>
    </row>
    <row r="4453" spans="3:18" hidden="1" x14ac:dyDescent="0.25">
      <c r="C4453" t="s">
        <v>45</v>
      </c>
      <c r="D4453" t="s">
        <v>22</v>
      </c>
      <c r="E4453" t="s">
        <v>43</v>
      </c>
      <c r="F4453" t="s">
        <v>41</v>
      </c>
      <c r="G4453" s="89">
        <v>4642636</v>
      </c>
      <c r="H4453" t="s">
        <v>146</v>
      </c>
      <c r="I4453" t="s">
        <v>133</v>
      </c>
      <c r="J4453" s="89">
        <v>120708536</v>
      </c>
      <c r="K4453" t="s">
        <v>127</v>
      </c>
      <c r="L4453" t="s">
        <v>128</v>
      </c>
      <c r="N4453">
        <v>1</v>
      </c>
      <c r="O4453" s="89">
        <v>139279.07999999999</v>
      </c>
      <c r="P4453" s="89">
        <v>1114232.6399999999</v>
      </c>
      <c r="Q4453" t="s">
        <v>130</v>
      </c>
      <c r="R4453" t="s">
        <v>131</v>
      </c>
    </row>
    <row r="4454" spans="3:18" hidden="1" x14ac:dyDescent="0.25">
      <c r="C4454" t="s">
        <v>45</v>
      </c>
      <c r="D4454" t="s">
        <v>24</v>
      </c>
      <c r="E4454" t="s">
        <v>46</v>
      </c>
      <c r="F4454" t="s">
        <v>41</v>
      </c>
      <c r="G4454" s="89">
        <v>47626</v>
      </c>
      <c r="H4454" t="s">
        <v>140</v>
      </c>
      <c r="I4454" t="s">
        <v>133</v>
      </c>
      <c r="J4454" s="89">
        <v>1762162</v>
      </c>
      <c r="K4454" t="s">
        <v>144</v>
      </c>
      <c r="N4454">
        <v>1</v>
      </c>
      <c r="O4454" s="89">
        <v>1428.78</v>
      </c>
      <c r="P4454" s="89">
        <v>3333.82</v>
      </c>
      <c r="Q4454" t="s">
        <v>130</v>
      </c>
      <c r="R4454" t="s">
        <v>131</v>
      </c>
    </row>
    <row r="4455" spans="3:18" x14ac:dyDescent="0.25">
      <c r="C4455" t="s">
        <v>47</v>
      </c>
      <c r="D4455" t="s">
        <v>23</v>
      </c>
      <c r="E4455" t="s">
        <v>48</v>
      </c>
      <c r="F4455" t="s">
        <v>41</v>
      </c>
      <c r="G4455" s="89">
        <v>688016</v>
      </c>
      <c r="H4455" t="s">
        <v>42</v>
      </c>
      <c r="I4455" t="s">
        <v>126</v>
      </c>
      <c r="J4455" s="89">
        <v>7568176</v>
      </c>
      <c r="K4455" t="s">
        <v>127</v>
      </c>
      <c r="L4455" t="s">
        <v>128</v>
      </c>
      <c r="M4455" t="s">
        <v>152</v>
      </c>
      <c r="N4455">
        <v>1</v>
      </c>
      <c r="O4455" s="89">
        <v>27520.639999999999</v>
      </c>
      <c r="P4455" s="89">
        <v>509131.84</v>
      </c>
      <c r="Q4455" t="s">
        <v>137</v>
      </c>
      <c r="R4455" t="s">
        <v>131</v>
      </c>
    </row>
    <row r="4456" spans="3:18" x14ac:dyDescent="0.25">
      <c r="C4456" t="s">
        <v>47</v>
      </c>
      <c r="D4456" t="s">
        <v>20</v>
      </c>
      <c r="E4456" t="s">
        <v>40</v>
      </c>
      <c r="F4456" t="s">
        <v>41</v>
      </c>
      <c r="G4456" s="89">
        <v>368101</v>
      </c>
      <c r="H4456" t="s">
        <v>140</v>
      </c>
      <c r="I4456" t="s">
        <v>126</v>
      </c>
      <c r="J4456" s="89">
        <v>5521515</v>
      </c>
      <c r="K4456" t="s">
        <v>144</v>
      </c>
      <c r="N4456">
        <v>1</v>
      </c>
      <c r="O4456" s="89">
        <v>14724.04</v>
      </c>
      <c r="P4456" s="89">
        <v>552151.5</v>
      </c>
      <c r="Q4456" t="s">
        <v>150</v>
      </c>
      <c r="R4456" t="s">
        <v>131</v>
      </c>
    </row>
    <row r="4457" spans="3:18" hidden="1" x14ac:dyDescent="0.25">
      <c r="C4457" t="s">
        <v>45</v>
      </c>
      <c r="D4457" t="s">
        <v>149</v>
      </c>
      <c r="E4457" t="s">
        <v>43</v>
      </c>
      <c r="F4457" t="s">
        <v>41</v>
      </c>
      <c r="G4457" s="89">
        <v>24923</v>
      </c>
      <c r="H4457" t="s">
        <v>42</v>
      </c>
      <c r="I4457" t="s">
        <v>133</v>
      </c>
      <c r="J4457" s="89">
        <v>897228</v>
      </c>
      <c r="K4457" t="s">
        <v>134</v>
      </c>
      <c r="N4457">
        <v>1</v>
      </c>
      <c r="O4457" s="89">
        <v>747.69</v>
      </c>
      <c r="P4457" s="89">
        <v>18941.48</v>
      </c>
      <c r="Q4457" t="s">
        <v>137</v>
      </c>
      <c r="R4457" t="s">
        <v>131</v>
      </c>
    </row>
    <row r="4458" spans="3:18" hidden="1" x14ac:dyDescent="0.25">
      <c r="C4458" t="s">
        <v>45</v>
      </c>
      <c r="D4458" t="s">
        <v>138</v>
      </c>
      <c r="E4458" t="s">
        <v>40</v>
      </c>
      <c r="F4458" t="s">
        <v>41</v>
      </c>
      <c r="G4458" s="89">
        <v>1496256</v>
      </c>
      <c r="H4458" t="s">
        <v>140</v>
      </c>
      <c r="I4458" t="s">
        <v>133</v>
      </c>
      <c r="J4458" s="89">
        <v>41895168</v>
      </c>
      <c r="K4458" t="s">
        <v>127</v>
      </c>
      <c r="L4458" t="s">
        <v>128</v>
      </c>
      <c r="N4458">
        <v>1</v>
      </c>
      <c r="O4458" s="89">
        <v>44887.68</v>
      </c>
      <c r="P4458" s="89">
        <v>1032416.64</v>
      </c>
      <c r="Q4458" t="s">
        <v>137</v>
      </c>
      <c r="R4458" t="s">
        <v>131</v>
      </c>
    </row>
    <row r="4459" spans="3:18" hidden="1" x14ac:dyDescent="0.25">
      <c r="C4459" t="s">
        <v>45</v>
      </c>
      <c r="D4459" t="s">
        <v>22</v>
      </c>
      <c r="E4459" t="s">
        <v>40</v>
      </c>
      <c r="F4459" t="s">
        <v>41</v>
      </c>
      <c r="G4459" s="89">
        <v>2174864</v>
      </c>
      <c r="H4459" t="s">
        <v>42</v>
      </c>
      <c r="I4459" t="s">
        <v>133</v>
      </c>
      <c r="J4459" s="89">
        <v>76120240</v>
      </c>
      <c r="K4459" t="s">
        <v>134</v>
      </c>
      <c r="L4459" t="s">
        <v>128</v>
      </c>
      <c r="M4459" t="s">
        <v>143</v>
      </c>
      <c r="N4459">
        <v>1</v>
      </c>
      <c r="O4459" s="89">
        <v>65245.919999999998</v>
      </c>
      <c r="P4459" s="89">
        <v>1783388.48</v>
      </c>
      <c r="Q4459" t="s">
        <v>135</v>
      </c>
      <c r="R4459" t="s">
        <v>131</v>
      </c>
    </row>
    <row r="4460" spans="3:18" hidden="1" x14ac:dyDescent="0.25">
      <c r="C4460" t="s">
        <v>45</v>
      </c>
      <c r="D4460" t="s">
        <v>22</v>
      </c>
      <c r="E4460" t="s">
        <v>48</v>
      </c>
      <c r="F4460" t="s">
        <v>41</v>
      </c>
      <c r="G4460" s="89">
        <v>79676</v>
      </c>
      <c r="H4460" t="s">
        <v>42</v>
      </c>
      <c r="I4460" t="s">
        <v>133</v>
      </c>
      <c r="J4460" s="89">
        <v>1832548</v>
      </c>
      <c r="K4460" t="s">
        <v>127</v>
      </c>
      <c r="L4460" t="s">
        <v>128</v>
      </c>
      <c r="M4460" t="s">
        <v>148</v>
      </c>
      <c r="N4460">
        <v>1</v>
      </c>
      <c r="O4460" s="89">
        <v>2390.2800000000002</v>
      </c>
      <c r="P4460" s="89">
        <v>20715.759999999998</v>
      </c>
      <c r="Q4460" t="s">
        <v>130</v>
      </c>
      <c r="R4460" t="s">
        <v>131</v>
      </c>
    </row>
    <row r="4461" spans="3:18" x14ac:dyDescent="0.25">
      <c r="C4461" t="s">
        <v>47</v>
      </c>
      <c r="D4461" t="s">
        <v>22</v>
      </c>
      <c r="E4461" t="s">
        <v>40</v>
      </c>
      <c r="F4461" t="s">
        <v>41</v>
      </c>
      <c r="G4461" s="89">
        <v>174148</v>
      </c>
      <c r="H4461" t="s">
        <v>132</v>
      </c>
      <c r="I4461" t="s">
        <v>126</v>
      </c>
      <c r="J4461" s="89">
        <v>2612220</v>
      </c>
      <c r="K4461" t="s">
        <v>144</v>
      </c>
      <c r="N4461">
        <v>1</v>
      </c>
      <c r="O4461" s="89">
        <v>6965.92</v>
      </c>
      <c r="P4461" s="89">
        <v>97522.880000000005</v>
      </c>
      <c r="Q4461" t="s">
        <v>142</v>
      </c>
      <c r="R4461" t="s">
        <v>131</v>
      </c>
    </row>
    <row r="4462" spans="3:18" hidden="1" x14ac:dyDescent="0.25">
      <c r="C4462" t="s">
        <v>45</v>
      </c>
      <c r="D4462" t="s">
        <v>21</v>
      </c>
      <c r="E4462" t="s">
        <v>44</v>
      </c>
      <c r="F4462" t="s">
        <v>41</v>
      </c>
      <c r="G4462" s="89">
        <v>15048</v>
      </c>
      <c r="H4462" t="s">
        <v>42</v>
      </c>
      <c r="I4462" t="s">
        <v>147</v>
      </c>
      <c r="J4462" s="89">
        <v>60192</v>
      </c>
      <c r="K4462" t="s">
        <v>127</v>
      </c>
      <c r="L4462" t="s">
        <v>128</v>
      </c>
      <c r="M4462" t="s">
        <v>129</v>
      </c>
      <c r="N4462">
        <v>1</v>
      </c>
      <c r="O4462" s="89">
        <v>601.91999999999996</v>
      </c>
      <c r="P4462" s="89">
        <v>1354.32</v>
      </c>
      <c r="Q4462" t="s">
        <v>130</v>
      </c>
      <c r="R4462" t="s">
        <v>42</v>
      </c>
    </row>
    <row r="4463" spans="3:18" x14ac:dyDescent="0.25">
      <c r="C4463" t="s">
        <v>47</v>
      </c>
      <c r="D4463" t="s">
        <v>138</v>
      </c>
      <c r="E4463" t="s">
        <v>40</v>
      </c>
      <c r="F4463" t="s">
        <v>41</v>
      </c>
      <c r="G4463" s="89">
        <v>1437987</v>
      </c>
      <c r="H4463" t="s">
        <v>146</v>
      </c>
      <c r="I4463" t="s">
        <v>147</v>
      </c>
      <c r="J4463" s="89">
        <v>2875974</v>
      </c>
      <c r="K4463" t="s">
        <v>127</v>
      </c>
      <c r="L4463" t="s">
        <v>128</v>
      </c>
      <c r="N4463">
        <v>1</v>
      </c>
      <c r="O4463" s="89">
        <v>71899.350000000006</v>
      </c>
      <c r="P4463" s="89">
        <v>258837.66</v>
      </c>
      <c r="Q4463" t="s">
        <v>130</v>
      </c>
      <c r="R4463" t="s">
        <v>131</v>
      </c>
    </row>
    <row r="4464" spans="3:18" hidden="1" x14ac:dyDescent="0.25">
      <c r="C4464" t="s">
        <v>45</v>
      </c>
      <c r="D4464" t="s">
        <v>19</v>
      </c>
      <c r="E4464" t="s">
        <v>40</v>
      </c>
      <c r="F4464" t="s">
        <v>41</v>
      </c>
      <c r="G4464" s="89">
        <v>895999</v>
      </c>
      <c r="H4464" t="s">
        <v>42</v>
      </c>
      <c r="I4464" t="s">
        <v>126</v>
      </c>
      <c r="J4464" s="89">
        <v>15231983</v>
      </c>
      <c r="K4464" t="s">
        <v>127</v>
      </c>
      <c r="L4464" t="s">
        <v>128</v>
      </c>
      <c r="M4464" t="s">
        <v>136</v>
      </c>
      <c r="N4464">
        <v>1</v>
      </c>
      <c r="O4464" s="89">
        <v>35839.96</v>
      </c>
      <c r="P4464" s="89">
        <v>600319.32999999996</v>
      </c>
      <c r="Q4464" t="s">
        <v>137</v>
      </c>
      <c r="R4464" t="s">
        <v>131</v>
      </c>
    </row>
    <row r="4465" spans="3:18" hidden="1" x14ac:dyDescent="0.25">
      <c r="C4465" t="s">
        <v>45</v>
      </c>
      <c r="D4465" t="s">
        <v>25</v>
      </c>
      <c r="E4465" t="s">
        <v>43</v>
      </c>
      <c r="F4465" t="s">
        <v>41</v>
      </c>
      <c r="G4465" s="89">
        <v>89786</v>
      </c>
      <c r="H4465" t="s">
        <v>42</v>
      </c>
      <c r="I4465" t="s">
        <v>133</v>
      </c>
      <c r="J4465" s="89">
        <v>2962938</v>
      </c>
      <c r="K4465" t="s">
        <v>127</v>
      </c>
      <c r="L4465" t="s">
        <v>128</v>
      </c>
      <c r="M4465" t="s">
        <v>155</v>
      </c>
      <c r="N4465">
        <v>1</v>
      </c>
      <c r="O4465" s="89">
        <v>2693.58</v>
      </c>
      <c r="P4465" s="89">
        <v>74522.38</v>
      </c>
      <c r="Q4465" t="s">
        <v>135</v>
      </c>
      <c r="R4465" t="s">
        <v>131</v>
      </c>
    </row>
    <row r="4466" spans="3:18" x14ac:dyDescent="0.25">
      <c r="C4466" t="s">
        <v>47</v>
      </c>
      <c r="D4466" t="s">
        <v>21</v>
      </c>
      <c r="E4466" t="s">
        <v>40</v>
      </c>
      <c r="F4466" t="s">
        <v>41</v>
      </c>
      <c r="G4466" s="89">
        <v>212756</v>
      </c>
      <c r="H4466" t="s">
        <v>146</v>
      </c>
      <c r="I4466" t="s">
        <v>153</v>
      </c>
      <c r="J4466" s="89"/>
      <c r="K4466" t="s">
        <v>127</v>
      </c>
      <c r="L4466" t="s">
        <v>128</v>
      </c>
      <c r="N4466">
        <v>0</v>
      </c>
      <c r="O4466" s="89">
        <v>8510.24</v>
      </c>
      <c r="P4466" s="89">
        <v>176587.48</v>
      </c>
      <c r="Q4466" t="s">
        <v>135</v>
      </c>
      <c r="R4466" t="s">
        <v>131</v>
      </c>
    </row>
    <row r="4467" spans="3:18" hidden="1" x14ac:dyDescent="0.25">
      <c r="C4467" t="s">
        <v>45</v>
      </c>
      <c r="D4467" t="s">
        <v>22</v>
      </c>
      <c r="E4467" t="s">
        <v>43</v>
      </c>
      <c r="F4467" t="s">
        <v>41</v>
      </c>
      <c r="G4467" s="89">
        <v>384238</v>
      </c>
      <c r="H4467" t="s">
        <v>42</v>
      </c>
      <c r="I4467" t="s">
        <v>126</v>
      </c>
      <c r="J4467" s="89">
        <v>6532046</v>
      </c>
      <c r="K4467" t="s">
        <v>127</v>
      </c>
      <c r="L4467" t="s">
        <v>128</v>
      </c>
      <c r="M4467" t="s">
        <v>148</v>
      </c>
      <c r="N4467">
        <v>1</v>
      </c>
      <c r="O4467" s="89">
        <v>7684.76</v>
      </c>
      <c r="P4467" s="89">
        <v>195961.38</v>
      </c>
      <c r="Q4467" t="s">
        <v>142</v>
      </c>
      <c r="R4467" t="s">
        <v>42</v>
      </c>
    </row>
    <row r="4468" spans="3:18" hidden="1" x14ac:dyDescent="0.25">
      <c r="C4468" t="s">
        <v>45</v>
      </c>
      <c r="D4468" t="s">
        <v>138</v>
      </c>
      <c r="E4468" t="s">
        <v>43</v>
      </c>
      <c r="F4468" t="s">
        <v>41</v>
      </c>
      <c r="G4468" s="89">
        <v>70130</v>
      </c>
      <c r="H4468" t="s">
        <v>132</v>
      </c>
      <c r="I4468" t="s">
        <v>126</v>
      </c>
      <c r="J4468" s="89">
        <v>1122080</v>
      </c>
      <c r="K4468" t="s">
        <v>127</v>
      </c>
      <c r="L4468" t="s">
        <v>151</v>
      </c>
      <c r="N4468">
        <v>1</v>
      </c>
      <c r="O4468" s="89">
        <v>1402.6</v>
      </c>
      <c r="P4468" s="89">
        <v>27350.7</v>
      </c>
      <c r="Q4468" t="s">
        <v>130</v>
      </c>
      <c r="R4468" t="s">
        <v>131</v>
      </c>
    </row>
    <row r="4469" spans="3:18" x14ac:dyDescent="0.25">
      <c r="C4469" t="s">
        <v>47</v>
      </c>
      <c r="D4469" t="s">
        <v>22</v>
      </c>
      <c r="E4469" t="s">
        <v>40</v>
      </c>
      <c r="F4469" t="s">
        <v>41</v>
      </c>
      <c r="G4469" s="89">
        <v>511922</v>
      </c>
      <c r="H4469" t="s">
        <v>140</v>
      </c>
      <c r="I4469" t="s">
        <v>126</v>
      </c>
      <c r="J4469" s="89">
        <v>6143064</v>
      </c>
      <c r="K4469" t="s">
        <v>144</v>
      </c>
      <c r="N4469">
        <v>1</v>
      </c>
      <c r="O4469" s="89">
        <v>20476.88</v>
      </c>
      <c r="P4469" s="89">
        <v>368583.84</v>
      </c>
      <c r="Q4469" t="s">
        <v>137</v>
      </c>
      <c r="R4469" t="s">
        <v>131</v>
      </c>
    </row>
    <row r="4470" spans="3:18" hidden="1" x14ac:dyDescent="0.25">
      <c r="C4470" t="s">
        <v>45</v>
      </c>
      <c r="D4470" t="s">
        <v>24</v>
      </c>
      <c r="E4470" t="s">
        <v>40</v>
      </c>
      <c r="F4470" t="s">
        <v>41</v>
      </c>
      <c r="G4470" s="89">
        <v>1900790</v>
      </c>
      <c r="H4470" t="s">
        <v>42</v>
      </c>
      <c r="I4470" t="s">
        <v>133</v>
      </c>
      <c r="J4470" s="89">
        <v>60825280</v>
      </c>
      <c r="K4470" t="s">
        <v>144</v>
      </c>
      <c r="N4470">
        <v>1</v>
      </c>
      <c r="O4470" s="89">
        <v>57023.7</v>
      </c>
      <c r="P4470" s="89">
        <v>1292537.2</v>
      </c>
      <c r="Q4470" t="s">
        <v>137</v>
      </c>
      <c r="R4470" t="s">
        <v>131</v>
      </c>
    </row>
    <row r="4471" spans="3:18" hidden="1" x14ac:dyDescent="0.25">
      <c r="C4471" t="s">
        <v>45</v>
      </c>
      <c r="D4471" t="s">
        <v>23</v>
      </c>
      <c r="E4471" t="s">
        <v>40</v>
      </c>
      <c r="F4471" t="s">
        <v>41</v>
      </c>
      <c r="G4471" s="89">
        <v>662193</v>
      </c>
      <c r="H4471" t="s">
        <v>140</v>
      </c>
      <c r="I4471" t="s">
        <v>126</v>
      </c>
      <c r="J4471" s="89">
        <v>11919474</v>
      </c>
      <c r="K4471" t="s">
        <v>144</v>
      </c>
      <c r="N4471">
        <v>1</v>
      </c>
      <c r="O4471" s="89">
        <v>19865.79</v>
      </c>
      <c r="P4471" s="89">
        <v>443669.31</v>
      </c>
      <c r="Q4471" t="s">
        <v>137</v>
      </c>
      <c r="R4471" t="s">
        <v>131</v>
      </c>
    </row>
    <row r="4472" spans="3:18" hidden="1" x14ac:dyDescent="0.25">
      <c r="C4472" t="s">
        <v>45</v>
      </c>
      <c r="D4472" t="s">
        <v>23</v>
      </c>
      <c r="E4472" t="s">
        <v>43</v>
      </c>
      <c r="F4472" t="s">
        <v>41</v>
      </c>
      <c r="G4472" s="89">
        <v>52420</v>
      </c>
      <c r="H4472" t="s">
        <v>140</v>
      </c>
      <c r="I4472" t="s">
        <v>126</v>
      </c>
      <c r="J4472" s="89">
        <v>891140</v>
      </c>
      <c r="K4472" t="s">
        <v>127</v>
      </c>
      <c r="L4472" t="s">
        <v>128</v>
      </c>
      <c r="N4472">
        <v>1</v>
      </c>
      <c r="O4472" s="89">
        <v>2621</v>
      </c>
      <c r="P4472" s="89">
        <v>78630</v>
      </c>
      <c r="Q4472" t="s">
        <v>150</v>
      </c>
      <c r="R4472" t="s">
        <v>131</v>
      </c>
    </row>
    <row r="4473" spans="3:18" x14ac:dyDescent="0.25">
      <c r="C4473" t="s">
        <v>47</v>
      </c>
      <c r="D4473" t="s">
        <v>22</v>
      </c>
      <c r="E4473" t="s">
        <v>43</v>
      </c>
      <c r="F4473" t="s">
        <v>41</v>
      </c>
      <c r="G4473" s="89">
        <v>273178</v>
      </c>
      <c r="H4473" t="s">
        <v>132</v>
      </c>
      <c r="I4473" t="s">
        <v>147</v>
      </c>
      <c r="J4473" s="89">
        <v>819534</v>
      </c>
      <c r="K4473" t="s">
        <v>127</v>
      </c>
      <c r="L4473" t="s">
        <v>128</v>
      </c>
      <c r="N4473">
        <v>1</v>
      </c>
      <c r="O4473" s="89">
        <v>8195.34</v>
      </c>
      <c r="P4473" s="89">
        <v>221274.18</v>
      </c>
      <c r="Q4473" t="s">
        <v>135</v>
      </c>
      <c r="R4473" t="s">
        <v>131</v>
      </c>
    </row>
    <row r="4474" spans="3:18" hidden="1" x14ac:dyDescent="0.25">
      <c r="C4474" t="s">
        <v>45</v>
      </c>
      <c r="D4474" t="s">
        <v>24</v>
      </c>
      <c r="E4474" t="s">
        <v>44</v>
      </c>
      <c r="F4474" t="s">
        <v>41</v>
      </c>
      <c r="G4474" s="89">
        <v>66328</v>
      </c>
      <c r="H4474" t="s">
        <v>42</v>
      </c>
      <c r="I4474" t="s">
        <v>126</v>
      </c>
      <c r="J4474" s="89">
        <v>1260232</v>
      </c>
      <c r="K4474" t="s">
        <v>127</v>
      </c>
      <c r="L4474" t="s">
        <v>128</v>
      </c>
      <c r="M4474" t="s">
        <v>148</v>
      </c>
      <c r="N4474">
        <v>1</v>
      </c>
      <c r="O4474" s="89">
        <v>1989.84</v>
      </c>
      <c r="P4474" s="89">
        <v>54388.959999999999</v>
      </c>
      <c r="Q4474" t="s">
        <v>135</v>
      </c>
      <c r="R4474" t="s">
        <v>131</v>
      </c>
    </row>
    <row r="4475" spans="3:18" hidden="1" x14ac:dyDescent="0.25">
      <c r="C4475" t="s">
        <v>45</v>
      </c>
      <c r="D4475" t="s">
        <v>22</v>
      </c>
      <c r="E4475" t="s">
        <v>40</v>
      </c>
      <c r="F4475" t="s">
        <v>41</v>
      </c>
      <c r="G4475" s="89">
        <v>849174</v>
      </c>
      <c r="H4475" t="s">
        <v>146</v>
      </c>
      <c r="I4475" t="s">
        <v>133</v>
      </c>
      <c r="J4475" s="89">
        <v>28871916</v>
      </c>
      <c r="K4475" t="s">
        <v>134</v>
      </c>
      <c r="L4475" t="s">
        <v>128</v>
      </c>
      <c r="N4475">
        <v>1</v>
      </c>
      <c r="O4475" s="89">
        <v>25475.22</v>
      </c>
      <c r="P4475" s="89">
        <v>730289.64</v>
      </c>
      <c r="Q4475" t="s">
        <v>135</v>
      </c>
      <c r="R4475" t="s">
        <v>131</v>
      </c>
    </row>
    <row r="4476" spans="3:18" hidden="1" x14ac:dyDescent="0.25">
      <c r="C4476" t="s">
        <v>45</v>
      </c>
      <c r="D4476" t="s">
        <v>20</v>
      </c>
      <c r="E4476" t="s">
        <v>43</v>
      </c>
      <c r="F4476" t="s">
        <v>41</v>
      </c>
      <c r="G4476" s="89">
        <v>115301</v>
      </c>
      <c r="H4476" t="s">
        <v>42</v>
      </c>
      <c r="I4476" t="s">
        <v>133</v>
      </c>
      <c r="J4476" s="89">
        <v>3228428</v>
      </c>
      <c r="K4476" t="s">
        <v>134</v>
      </c>
      <c r="L4476" t="s">
        <v>128</v>
      </c>
      <c r="M4476" t="s">
        <v>139</v>
      </c>
      <c r="N4476">
        <v>1</v>
      </c>
      <c r="O4476" s="89">
        <v>4612.04</v>
      </c>
      <c r="P4476" s="89">
        <v>68027.59</v>
      </c>
      <c r="Q4476" t="s">
        <v>142</v>
      </c>
      <c r="R4476" t="s">
        <v>42</v>
      </c>
    </row>
    <row r="4477" spans="3:18" hidden="1" x14ac:dyDescent="0.25">
      <c r="C4477" t="s">
        <v>45</v>
      </c>
      <c r="D4477" t="s">
        <v>24</v>
      </c>
      <c r="E4477" t="s">
        <v>44</v>
      </c>
      <c r="F4477" t="s">
        <v>41</v>
      </c>
      <c r="G4477" s="89">
        <v>158884</v>
      </c>
      <c r="H4477" t="s">
        <v>146</v>
      </c>
      <c r="I4477" t="s">
        <v>147</v>
      </c>
      <c r="J4477" s="89">
        <v>635536</v>
      </c>
      <c r="K4477" t="s">
        <v>127</v>
      </c>
      <c r="L4477" t="s">
        <v>128</v>
      </c>
      <c r="N4477">
        <v>1</v>
      </c>
      <c r="O4477" s="89">
        <v>6355.36</v>
      </c>
      <c r="P4477" s="89">
        <v>96919.24</v>
      </c>
      <c r="Q4477" t="s">
        <v>137</v>
      </c>
      <c r="R4477" t="s">
        <v>131</v>
      </c>
    </row>
    <row r="4478" spans="3:18" x14ac:dyDescent="0.25">
      <c r="C4478" t="s">
        <v>47</v>
      </c>
      <c r="D4478" t="s">
        <v>138</v>
      </c>
      <c r="E4478" t="s">
        <v>43</v>
      </c>
      <c r="F4478" t="s">
        <v>41</v>
      </c>
      <c r="G4478" s="89">
        <v>486161</v>
      </c>
      <c r="H4478" t="s">
        <v>145</v>
      </c>
      <c r="I4478" t="s">
        <v>141</v>
      </c>
      <c r="J4478" s="89">
        <v>3403127</v>
      </c>
      <c r="K4478" t="s">
        <v>127</v>
      </c>
      <c r="L4478" t="s">
        <v>128</v>
      </c>
      <c r="N4478">
        <v>1</v>
      </c>
      <c r="O4478" s="89">
        <v>14584.83</v>
      </c>
      <c r="P4478" s="89">
        <v>131263.47</v>
      </c>
      <c r="Q4478" t="s">
        <v>130</v>
      </c>
      <c r="R4478" t="s">
        <v>131</v>
      </c>
    </row>
    <row r="4479" spans="3:18" hidden="1" x14ac:dyDescent="0.25">
      <c r="C4479" t="s">
        <v>45</v>
      </c>
      <c r="D4479" t="s">
        <v>21</v>
      </c>
      <c r="E4479" t="s">
        <v>43</v>
      </c>
      <c r="F4479" t="s">
        <v>41</v>
      </c>
      <c r="G4479" s="89">
        <v>31433</v>
      </c>
      <c r="H4479" t="s">
        <v>42</v>
      </c>
      <c r="I4479" t="s">
        <v>141</v>
      </c>
      <c r="J4479" s="89">
        <v>282897</v>
      </c>
      <c r="K4479" t="s">
        <v>127</v>
      </c>
      <c r="L4479" t="s">
        <v>128</v>
      </c>
      <c r="M4479" t="s">
        <v>129</v>
      </c>
      <c r="N4479">
        <v>1</v>
      </c>
      <c r="O4479" s="89">
        <v>1571.65</v>
      </c>
      <c r="P4479" s="89">
        <v>29232.69</v>
      </c>
      <c r="Q4479" t="s">
        <v>135</v>
      </c>
      <c r="R4479" t="s">
        <v>131</v>
      </c>
    </row>
    <row r="4480" spans="3:18" hidden="1" x14ac:dyDescent="0.25">
      <c r="C4480" t="s">
        <v>45</v>
      </c>
      <c r="D4480" t="s">
        <v>24</v>
      </c>
      <c r="E4480" t="s">
        <v>44</v>
      </c>
      <c r="F4480" t="s">
        <v>41</v>
      </c>
      <c r="G4480" s="89">
        <v>295921</v>
      </c>
      <c r="H4480" t="s">
        <v>42</v>
      </c>
      <c r="I4480" t="s">
        <v>141</v>
      </c>
      <c r="J4480" s="89">
        <v>2071447</v>
      </c>
      <c r="K4480" t="s">
        <v>127</v>
      </c>
      <c r="L4480" t="s">
        <v>128</v>
      </c>
      <c r="M4480" t="s">
        <v>148</v>
      </c>
      <c r="N4480">
        <v>1</v>
      </c>
      <c r="O4480" s="89">
        <v>11836.84</v>
      </c>
      <c r="P4480" s="89">
        <v>71021.039999999994</v>
      </c>
      <c r="Q4480" t="s">
        <v>130</v>
      </c>
      <c r="R4480" t="s">
        <v>131</v>
      </c>
    </row>
    <row r="4481" spans="3:18" x14ac:dyDescent="0.25">
      <c r="C4481" t="s">
        <v>47</v>
      </c>
      <c r="D4481" t="s">
        <v>23</v>
      </c>
      <c r="E4481" t="s">
        <v>40</v>
      </c>
      <c r="F4481" t="s">
        <v>41</v>
      </c>
      <c r="G4481" s="89">
        <v>166704</v>
      </c>
      <c r="H4481" t="s">
        <v>132</v>
      </c>
      <c r="I4481" t="s">
        <v>126</v>
      </c>
      <c r="J4481" s="89">
        <v>2167152</v>
      </c>
      <c r="K4481" t="s">
        <v>127</v>
      </c>
      <c r="L4481" t="s">
        <v>128</v>
      </c>
      <c r="N4481">
        <v>1</v>
      </c>
      <c r="O4481" s="89">
        <v>6668.16</v>
      </c>
      <c r="P4481" s="89">
        <v>93354.240000000005</v>
      </c>
      <c r="Q4481" t="s">
        <v>142</v>
      </c>
      <c r="R4481" t="s">
        <v>131</v>
      </c>
    </row>
    <row r="4482" spans="3:18" hidden="1" x14ac:dyDescent="0.25">
      <c r="C4482" t="s">
        <v>45</v>
      </c>
      <c r="D4482" t="s">
        <v>25</v>
      </c>
      <c r="E4482" t="s">
        <v>40</v>
      </c>
      <c r="F4482" t="s">
        <v>41</v>
      </c>
      <c r="G4482" s="89">
        <v>414532</v>
      </c>
      <c r="H4482" t="s">
        <v>145</v>
      </c>
      <c r="I4482" t="s">
        <v>126</v>
      </c>
      <c r="J4482" s="89">
        <v>6632512</v>
      </c>
      <c r="K4482" t="s">
        <v>127</v>
      </c>
      <c r="L4482" t="s">
        <v>128</v>
      </c>
      <c r="N4482">
        <v>1</v>
      </c>
      <c r="O4482" s="89">
        <v>12435.96</v>
      </c>
      <c r="P4482" s="89">
        <v>211411.32</v>
      </c>
      <c r="Q4482" t="s">
        <v>142</v>
      </c>
      <c r="R4482" t="s">
        <v>131</v>
      </c>
    </row>
    <row r="4483" spans="3:18" hidden="1" x14ac:dyDescent="0.25">
      <c r="C4483" t="s">
        <v>45</v>
      </c>
      <c r="D4483" t="s">
        <v>138</v>
      </c>
      <c r="E4483" t="s">
        <v>43</v>
      </c>
      <c r="F4483" t="s">
        <v>41</v>
      </c>
      <c r="G4483" s="89">
        <v>0</v>
      </c>
      <c r="H4483" t="s">
        <v>42</v>
      </c>
      <c r="I4483" t="s">
        <v>153</v>
      </c>
      <c r="J4483" s="89"/>
      <c r="K4483" t="s">
        <v>127</v>
      </c>
      <c r="L4483" t="s">
        <v>128</v>
      </c>
      <c r="M4483" t="s">
        <v>139</v>
      </c>
      <c r="N4483">
        <v>0</v>
      </c>
      <c r="O4483" s="89">
        <v>0</v>
      </c>
      <c r="P4483" s="89">
        <v>0</v>
      </c>
      <c r="Q4483" t="s">
        <v>130</v>
      </c>
      <c r="R4483" t="s">
        <v>131</v>
      </c>
    </row>
    <row r="4484" spans="3:18" hidden="1" x14ac:dyDescent="0.25">
      <c r="C4484" t="s">
        <v>45</v>
      </c>
      <c r="D4484" t="s">
        <v>21</v>
      </c>
      <c r="E4484" t="s">
        <v>43</v>
      </c>
      <c r="F4484" t="s">
        <v>41</v>
      </c>
      <c r="G4484" s="89">
        <v>60575</v>
      </c>
      <c r="H4484" t="s">
        <v>146</v>
      </c>
      <c r="I4484" t="s">
        <v>141</v>
      </c>
      <c r="J4484" s="89">
        <v>424025</v>
      </c>
      <c r="K4484" t="s">
        <v>127</v>
      </c>
      <c r="L4484" t="s">
        <v>151</v>
      </c>
      <c r="N4484">
        <v>1</v>
      </c>
      <c r="O4484" s="89">
        <v>1817.25</v>
      </c>
      <c r="P4484" s="89">
        <v>15749.5</v>
      </c>
      <c r="Q4484" t="s">
        <v>130</v>
      </c>
      <c r="R4484" t="s">
        <v>131</v>
      </c>
    </row>
    <row r="4485" spans="3:18" hidden="1" x14ac:dyDescent="0.25">
      <c r="C4485" t="s">
        <v>45</v>
      </c>
      <c r="D4485" t="s">
        <v>22</v>
      </c>
      <c r="E4485" t="s">
        <v>40</v>
      </c>
      <c r="F4485" t="s">
        <v>41</v>
      </c>
      <c r="G4485" s="89">
        <v>274270</v>
      </c>
      <c r="H4485" t="s">
        <v>42</v>
      </c>
      <c r="I4485" t="s">
        <v>133</v>
      </c>
      <c r="J4485" s="89">
        <v>6308210</v>
      </c>
      <c r="K4485" t="s">
        <v>127</v>
      </c>
      <c r="L4485" t="s">
        <v>128</v>
      </c>
      <c r="M4485" t="s">
        <v>139</v>
      </c>
      <c r="N4485">
        <v>1</v>
      </c>
      <c r="O4485" s="89">
        <v>8228.1</v>
      </c>
      <c r="P4485" s="89">
        <v>181018.2</v>
      </c>
      <c r="Q4485" t="s">
        <v>137</v>
      </c>
      <c r="R4485" t="s">
        <v>42</v>
      </c>
    </row>
    <row r="4486" spans="3:18" hidden="1" x14ac:dyDescent="0.25">
      <c r="C4486" t="s">
        <v>45</v>
      </c>
      <c r="D4486" t="s">
        <v>24</v>
      </c>
      <c r="E4486" t="s">
        <v>44</v>
      </c>
      <c r="F4486" t="s">
        <v>41</v>
      </c>
      <c r="G4486" s="89">
        <v>34532</v>
      </c>
      <c r="H4486" t="s">
        <v>42</v>
      </c>
      <c r="I4486" t="s">
        <v>133</v>
      </c>
      <c r="J4486" s="89">
        <v>966896</v>
      </c>
      <c r="K4486" t="s">
        <v>134</v>
      </c>
      <c r="L4486" t="s">
        <v>128</v>
      </c>
      <c r="M4486" t="s">
        <v>148</v>
      </c>
      <c r="N4486">
        <v>1</v>
      </c>
      <c r="O4486" s="89">
        <v>1381.28</v>
      </c>
      <c r="P4486" s="89">
        <v>16920.68</v>
      </c>
      <c r="Q4486" t="s">
        <v>142</v>
      </c>
      <c r="R4486" t="s">
        <v>131</v>
      </c>
    </row>
    <row r="4487" spans="3:18" hidden="1" x14ac:dyDescent="0.25">
      <c r="C4487" t="s">
        <v>45</v>
      </c>
      <c r="D4487" t="s">
        <v>23</v>
      </c>
      <c r="E4487" t="s">
        <v>44</v>
      </c>
      <c r="F4487" t="s">
        <v>53</v>
      </c>
      <c r="G4487" s="89">
        <v>196045</v>
      </c>
      <c r="H4487" t="s">
        <v>42</v>
      </c>
      <c r="I4487" t="s">
        <v>133</v>
      </c>
      <c r="J4487" s="89">
        <v>6665530</v>
      </c>
      <c r="K4487" t="s">
        <v>134</v>
      </c>
      <c r="N4487">
        <v>1</v>
      </c>
      <c r="O4487" s="89">
        <v>5881.35</v>
      </c>
      <c r="P4487" s="89">
        <v>145073.29999999999</v>
      </c>
      <c r="Q4487" t="s">
        <v>137</v>
      </c>
      <c r="R4487" t="s">
        <v>42</v>
      </c>
    </row>
    <row r="4488" spans="3:18" hidden="1" x14ac:dyDescent="0.25">
      <c r="C4488" t="s">
        <v>45</v>
      </c>
      <c r="D4488" t="s">
        <v>21</v>
      </c>
      <c r="E4488" t="s">
        <v>43</v>
      </c>
      <c r="F4488" t="s">
        <v>41</v>
      </c>
      <c r="G4488" s="89">
        <v>645462</v>
      </c>
      <c r="H4488" t="s">
        <v>146</v>
      </c>
      <c r="I4488" t="s">
        <v>126</v>
      </c>
      <c r="J4488" s="89">
        <v>10972854</v>
      </c>
      <c r="K4488" t="s">
        <v>134</v>
      </c>
      <c r="L4488" t="s">
        <v>128</v>
      </c>
      <c r="N4488">
        <v>1</v>
      </c>
      <c r="O4488" s="89">
        <v>19363.86</v>
      </c>
      <c r="P4488" s="89">
        <v>316276.38</v>
      </c>
      <c r="Q4488" t="s">
        <v>142</v>
      </c>
      <c r="R4488" t="s">
        <v>131</v>
      </c>
    </row>
    <row r="4489" spans="3:18" hidden="1" x14ac:dyDescent="0.25">
      <c r="C4489" t="s">
        <v>45</v>
      </c>
      <c r="D4489" t="s">
        <v>21</v>
      </c>
      <c r="E4489" t="s">
        <v>43</v>
      </c>
      <c r="F4489" t="s">
        <v>41</v>
      </c>
      <c r="G4489" s="89">
        <v>16794</v>
      </c>
      <c r="H4489" t="s">
        <v>140</v>
      </c>
      <c r="I4489" t="s">
        <v>141</v>
      </c>
      <c r="J4489" s="89">
        <v>151146</v>
      </c>
      <c r="K4489" t="s">
        <v>134</v>
      </c>
      <c r="L4489" t="s">
        <v>128</v>
      </c>
      <c r="N4489">
        <v>1</v>
      </c>
      <c r="O4489" s="89">
        <v>503.82</v>
      </c>
      <c r="P4489" s="89">
        <v>11419.92</v>
      </c>
      <c r="Q4489" t="s">
        <v>137</v>
      </c>
      <c r="R4489" t="s">
        <v>131</v>
      </c>
    </row>
    <row r="4490" spans="3:18" x14ac:dyDescent="0.25">
      <c r="C4490" t="s">
        <v>47</v>
      </c>
      <c r="D4490" t="s">
        <v>138</v>
      </c>
      <c r="E4490" t="s">
        <v>40</v>
      </c>
      <c r="F4490" t="s">
        <v>41</v>
      </c>
      <c r="G4490" s="89">
        <v>6098924</v>
      </c>
      <c r="H4490" t="s">
        <v>145</v>
      </c>
      <c r="I4490" t="s">
        <v>141</v>
      </c>
      <c r="J4490" s="89">
        <v>48791392</v>
      </c>
      <c r="K4490" t="s">
        <v>127</v>
      </c>
      <c r="L4490" t="s">
        <v>128</v>
      </c>
      <c r="N4490">
        <v>1</v>
      </c>
      <c r="O4490" s="89">
        <v>243956.96</v>
      </c>
      <c r="P4490" s="89">
        <v>4330236.04</v>
      </c>
      <c r="Q4490" t="s">
        <v>137</v>
      </c>
      <c r="R4490" t="s">
        <v>131</v>
      </c>
    </row>
    <row r="4491" spans="3:18" hidden="1" x14ac:dyDescent="0.25">
      <c r="C4491" t="s">
        <v>45</v>
      </c>
      <c r="D4491" t="s">
        <v>24</v>
      </c>
      <c r="E4491" t="s">
        <v>44</v>
      </c>
      <c r="F4491" t="s">
        <v>41</v>
      </c>
      <c r="G4491" s="89">
        <v>95453</v>
      </c>
      <c r="H4491" t="s">
        <v>42</v>
      </c>
      <c r="I4491" t="s">
        <v>141</v>
      </c>
      <c r="J4491" s="89">
        <v>668171</v>
      </c>
      <c r="K4491" t="s">
        <v>127</v>
      </c>
      <c r="L4491" t="s">
        <v>128</v>
      </c>
      <c r="M4491" t="s">
        <v>148</v>
      </c>
      <c r="N4491">
        <v>1</v>
      </c>
      <c r="O4491" s="89">
        <v>3818.12</v>
      </c>
      <c r="P4491" s="89">
        <v>20999.66</v>
      </c>
      <c r="Q4491" t="s">
        <v>130</v>
      </c>
      <c r="R4491" t="s">
        <v>42</v>
      </c>
    </row>
    <row r="4492" spans="3:18" hidden="1" x14ac:dyDescent="0.25">
      <c r="C4492" t="s">
        <v>45</v>
      </c>
      <c r="D4492" t="s">
        <v>22</v>
      </c>
      <c r="E4492" t="s">
        <v>43</v>
      </c>
      <c r="F4492" t="s">
        <v>41</v>
      </c>
      <c r="G4492" s="89">
        <v>52429</v>
      </c>
      <c r="H4492" t="s">
        <v>42</v>
      </c>
      <c r="I4492" t="s">
        <v>141</v>
      </c>
      <c r="J4492" s="89">
        <v>419432</v>
      </c>
      <c r="K4492" t="s">
        <v>144</v>
      </c>
      <c r="N4492">
        <v>1</v>
      </c>
      <c r="O4492" s="89">
        <v>1572.87</v>
      </c>
      <c r="P4492" s="89">
        <v>27263.08</v>
      </c>
      <c r="Q4492" t="s">
        <v>142</v>
      </c>
      <c r="R4492" t="s">
        <v>131</v>
      </c>
    </row>
    <row r="4493" spans="3:18" x14ac:dyDescent="0.25">
      <c r="C4493" t="s">
        <v>47</v>
      </c>
      <c r="D4493" t="s">
        <v>149</v>
      </c>
      <c r="E4493" t="s">
        <v>43</v>
      </c>
      <c r="F4493" t="s">
        <v>41</v>
      </c>
      <c r="G4493" s="89">
        <v>56764</v>
      </c>
      <c r="H4493" t="s">
        <v>140</v>
      </c>
      <c r="I4493" t="s">
        <v>126</v>
      </c>
      <c r="J4493" s="89">
        <v>624404</v>
      </c>
      <c r="K4493" t="s">
        <v>127</v>
      </c>
      <c r="L4493" t="s">
        <v>128</v>
      </c>
      <c r="N4493">
        <v>1</v>
      </c>
      <c r="O4493" s="89">
        <v>4541.12</v>
      </c>
      <c r="P4493" s="89">
        <v>52790.52</v>
      </c>
      <c r="Q4493" t="s">
        <v>135</v>
      </c>
      <c r="R4493" t="s">
        <v>131</v>
      </c>
    </row>
    <row r="4494" spans="3:18" x14ac:dyDescent="0.25">
      <c r="C4494" t="s">
        <v>47</v>
      </c>
      <c r="D4494" t="s">
        <v>21</v>
      </c>
      <c r="E4494" t="s">
        <v>43</v>
      </c>
      <c r="F4494" t="s">
        <v>41</v>
      </c>
      <c r="G4494" s="89">
        <v>559960</v>
      </c>
      <c r="H4494" t="s">
        <v>146</v>
      </c>
      <c r="I4494" t="s">
        <v>153</v>
      </c>
      <c r="J4494" s="89"/>
      <c r="K4494" t="s">
        <v>127</v>
      </c>
      <c r="L4494" t="s">
        <v>128</v>
      </c>
      <c r="N4494">
        <v>0</v>
      </c>
      <c r="O4494" s="89">
        <v>16798.8</v>
      </c>
      <c r="P4494" s="89">
        <v>39197.199999999997</v>
      </c>
      <c r="Q4494" t="s">
        <v>130</v>
      </c>
      <c r="R4494" t="s">
        <v>131</v>
      </c>
    </row>
    <row r="4495" spans="3:18" x14ac:dyDescent="0.25">
      <c r="C4495" t="s">
        <v>47</v>
      </c>
      <c r="D4495" t="s">
        <v>19</v>
      </c>
      <c r="E4495" t="s">
        <v>43</v>
      </c>
      <c r="F4495" t="s">
        <v>41</v>
      </c>
      <c r="G4495" s="89">
        <v>66801</v>
      </c>
      <c r="H4495" t="s">
        <v>42</v>
      </c>
      <c r="I4495" t="s">
        <v>126</v>
      </c>
      <c r="J4495" s="89">
        <v>1202418</v>
      </c>
      <c r="K4495" t="s">
        <v>127</v>
      </c>
      <c r="L4495" t="s">
        <v>128</v>
      </c>
      <c r="M4495" t="s">
        <v>136</v>
      </c>
      <c r="N4495">
        <v>1</v>
      </c>
      <c r="O4495" s="89">
        <v>2004.03</v>
      </c>
      <c r="P4495" s="89">
        <v>8684.1299999999992</v>
      </c>
      <c r="Q4495" t="s">
        <v>130</v>
      </c>
      <c r="R4495" t="s">
        <v>131</v>
      </c>
    </row>
    <row r="4496" spans="3:18" hidden="1" x14ac:dyDescent="0.25">
      <c r="C4496" t="s">
        <v>45</v>
      </c>
      <c r="D4496" t="s">
        <v>20</v>
      </c>
      <c r="E4496" t="s">
        <v>43</v>
      </c>
      <c r="F4496" t="s">
        <v>41</v>
      </c>
      <c r="G4496" s="89">
        <v>5488130</v>
      </c>
      <c r="H4496" t="s">
        <v>42</v>
      </c>
      <c r="I4496" t="s">
        <v>133</v>
      </c>
      <c r="J4496" s="89">
        <v>153667640</v>
      </c>
      <c r="K4496" t="s">
        <v>127</v>
      </c>
      <c r="L4496" t="s">
        <v>128</v>
      </c>
      <c r="M4496" t="s">
        <v>139</v>
      </c>
      <c r="N4496">
        <v>1</v>
      </c>
      <c r="O4496" s="89">
        <v>164643.9</v>
      </c>
      <c r="P4496" s="89">
        <v>1426913.8</v>
      </c>
      <c r="Q4496" t="s">
        <v>130</v>
      </c>
      <c r="R4496" t="s">
        <v>42</v>
      </c>
    </row>
    <row r="4497" spans="3:18" hidden="1" x14ac:dyDescent="0.25">
      <c r="C4497" t="s">
        <v>45</v>
      </c>
      <c r="D4497" t="s">
        <v>19</v>
      </c>
      <c r="E4497" t="s">
        <v>43</v>
      </c>
      <c r="F4497" t="s">
        <v>41</v>
      </c>
      <c r="G4497" s="89">
        <v>840996</v>
      </c>
      <c r="H4497" t="s">
        <v>42</v>
      </c>
      <c r="I4497" t="s">
        <v>133</v>
      </c>
      <c r="J4497" s="89">
        <v>27752868</v>
      </c>
      <c r="K4497" t="s">
        <v>127</v>
      </c>
      <c r="L4497" t="s">
        <v>128</v>
      </c>
      <c r="M4497" t="s">
        <v>148</v>
      </c>
      <c r="N4497">
        <v>1</v>
      </c>
      <c r="O4497" s="89">
        <v>25229.88</v>
      </c>
      <c r="P4497" s="89">
        <v>597107.16</v>
      </c>
      <c r="Q4497" t="s">
        <v>137</v>
      </c>
      <c r="R4497" t="s">
        <v>131</v>
      </c>
    </row>
    <row r="4498" spans="3:18" hidden="1" x14ac:dyDescent="0.25">
      <c r="C4498" t="s">
        <v>45</v>
      </c>
      <c r="D4498" t="s">
        <v>21</v>
      </c>
      <c r="E4498" t="s">
        <v>43</v>
      </c>
      <c r="F4498" t="s">
        <v>53</v>
      </c>
      <c r="G4498" s="89">
        <v>926525</v>
      </c>
      <c r="H4498" t="s">
        <v>132</v>
      </c>
      <c r="I4498" t="s">
        <v>133</v>
      </c>
      <c r="J4498" s="89">
        <v>32428375</v>
      </c>
      <c r="K4498" t="s">
        <v>144</v>
      </c>
      <c r="N4498">
        <v>1</v>
      </c>
      <c r="O4498" s="89">
        <v>27795.75</v>
      </c>
      <c r="P4498" s="89">
        <v>342814.25</v>
      </c>
      <c r="Q4498" t="s">
        <v>130</v>
      </c>
      <c r="R4498" t="s">
        <v>131</v>
      </c>
    </row>
    <row r="4499" spans="3:18" hidden="1" x14ac:dyDescent="0.25">
      <c r="C4499" t="s">
        <v>45</v>
      </c>
      <c r="D4499" t="s">
        <v>21</v>
      </c>
      <c r="E4499" t="s">
        <v>40</v>
      </c>
      <c r="F4499" t="s">
        <v>41</v>
      </c>
      <c r="G4499" s="89">
        <v>148943</v>
      </c>
      <c r="H4499" t="s">
        <v>42</v>
      </c>
      <c r="I4499" t="s">
        <v>133</v>
      </c>
      <c r="J4499" s="89">
        <v>3872518</v>
      </c>
      <c r="K4499" t="s">
        <v>134</v>
      </c>
      <c r="N4499">
        <v>1</v>
      </c>
      <c r="O4499" s="89">
        <v>2978.86</v>
      </c>
      <c r="P4499" s="89">
        <v>92344.66</v>
      </c>
      <c r="Q4499" t="s">
        <v>137</v>
      </c>
      <c r="R4499" t="s">
        <v>42</v>
      </c>
    </row>
    <row r="4500" spans="3:18" hidden="1" x14ac:dyDescent="0.25">
      <c r="C4500" t="s">
        <v>45</v>
      </c>
      <c r="D4500" t="s">
        <v>138</v>
      </c>
      <c r="E4500" t="s">
        <v>40</v>
      </c>
      <c r="F4500" t="s">
        <v>41</v>
      </c>
      <c r="G4500" s="89">
        <v>404331</v>
      </c>
      <c r="H4500" t="s">
        <v>140</v>
      </c>
      <c r="I4500" t="s">
        <v>133</v>
      </c>
      <c r="J4500" s="89">
        <v>14555916</v>
      </c>
      <c r="K4500" t="s">
        <v>144</v>
      </c>
      <c r="N4500">
        <v>1</v>
      </c>
      <c r="O4500" s="89">
        <v>12129.93</v>
      </c>
      <c r="P4500" s="89">
        <v>319421.49</v>
      </c>
      <c r="Q4500" t="s">
        <v>137</v>
      </c>
      <c r="R4500" t="s">
        <v>131</v>
      </c>
    </row>
    <row r="4501" spans="3:18" hidden="1" x14ac:dyDescent="0.25">
      <c r="C4501" t="s">
        <v>45</v>
      </c>
      <c r="D4501" t="s">
        <v>20</v>
      </c>
      <c r="E4501" t="s">
        <v>43</v>
      </c>
      <c r="F4501" t="s">
        <v>41</v>
      </c>
      <c r="G4501" s="89">
        <v>84622</v>
      </c>
      <c r="H4501" t="s">
        <v>42</v>
      </c>
      <c r="I4501" t="s">
        <v>126</v>
      </c>
      <c r="J4501" s="89">
        <v>1692440</v>
      </c>
      <c r="K4501" t="s">
        <v>127</v>
      </c>
      <c r="L4501" t="s">
        <v>128</v>
      </c>
      <c r="M4501" t="s">
        <v>139</v>
      </c>
      <c r="N4501">
        <v>1</v>
      </c>
      <c r="O4501" s="89">
        <v>2538.66</v>
      </c>
      <c r="P4501" s="89">
        <v>96469.08</v>
      </c>
      <c r="Q4501" t="s">
        <v>150</v>
      </c>
      <c r="R4501" t="s">
        <v>131</v>
      </c>
    </row>
    <row r="4502" spans="3:18" x14ac:dyDescent="0.25">
      <c r="C4502" t="s">
        <v>47</v>
      </c>
      <c r="D4502" t="s">
        <v>20</v>
      </c>
      <c r="E4502" t="s">
        <v>40</v>
      </c>
      <c r="F4502" t="s">
        <v>41</v>
      </c>
      <c r="G4502" s="89">
        <v>91837</v>
      </c>
      <c r="H4502" t="s">
        <v>146</v>
      </c>
      <c r="I4502" t="s">
        <v>147</v>
      </c>
      <c r="J4502" s="89"/>
      <c r="K4502" t="s">
        <v>127</v>
      </c>
      <c r="L4502" t="s">
        <v>128</v>
      </c>
      <c r="N4502">
        <v>0</v>
      </c>
      <c r="O4502" s="89">
        <v>1836.74</v>
      </c>
      <c r="P4502" s="89">
        <v>0</v>
      </c>
      <c r="Q4502" t="s">
        <v>130</v>
      </c>
      <c r="R4502" t="s">
        <v>131</v>
      </c>
    </row>
    <row r="4503" spans="3:18" hidden="1" x14ac:dyDescent="0.25">
      <c r="C4503" t="s">
        <v>45</v>
      </c>
      <c r="D4503" t="s">
        <v>138</v>
      </c>
      <c r="E4503" t="s">
        <v>43</v>
      </c>
      <c r="F4503" t="s">
        <v>41</v>
      </c>
      <c r="G4503" s="89">
        <v>61936</v>
      </c>
      <c r="H4503" t="s">
        <v>42</v>
      </c>
      <c r="I4503" t="s">
        <v>126</v>
      </c>
      <c r="J4503" s="89">
        <v>1176784</v>
      </c>
      <c r="K4503" t="s">
        <v>134</v>
      </c>
      <c r="L4503" t="s">
        <v>128</v>
      </c>
      <c r="M4503" t="s">
        <v>139</v>
      </c>
      <c r="N4503">
        <v>1</v>
      </c>
      <c r="O4503" s="89">
        <v>1858.08</v>
      </c>
      <c r="P4503" s="89">
        <v>28490.560000000001</v>
      </c>
      <c r="Q4503" t="s">
        <v>142</v>
      </c>
      <c r="R4503" t="s">
        <v>42</v>
      </c>
    </row>
    <row r="4504" spans="3:18" hidden="1" x14ac:dyDescent="0.25">
      <c r="C4504" t="s">
        <v>45</v>
      </c>
      <c r="D4504" t="s">
        <v>21</v>
      </c>
      <c r="E4504" t="s">
        <v>43</v>
      </c>
      <c r="F4504" t="s">
        <v>41</v>
      </c>
      <c r="G4504" s="89">
        <v>10660336</v>
      </c>
      <c r="H4504" t="s">
        <v>42</v>
      </c>
      <c r="I4504" t="s">
        <v>147</v>
      </c>
      <c r="J4504" s="89">
        <v>42641344</v>
      </c>
      <c r="K4504" t="s">
        <v>127</v>
      </c>
      <c r="L4504" t="s">
        <v>128</v>
      </c>
      <c r="M4504" t="s">
        <v>129</v>
      </c>
      <c r="N4504">
        <v>1</v>
      </c>
      <c r="O4504" s="89">
        <v>426413.44</v>
      </c>
      <c r="P4504" s="89">
        <v>5010357.92</v>
      </c>
      <c r="Q4504" t="s">
        <v>142</v>
      </c>
      <c r="R4504" t="s">
        <v>131</v>
      </c>
    </row>
    <row r="4505" spans="3:18" hidden="1" x14ac:dyDescent="0.25">
      <c r="C4505" t="s">
        <v>45</v>
      </c>
      <c r="D4505" t="s">
        <v>23</v>
      </c>
      <c r="E4505" t="s">
        <v>48</v>
      </c>
      <c r="F4505" t="s">
        <v>41</v>
      </c>
      <c r="G4505" s="89">
        <v>547328</v>
      </c>
      <c r="H4505" t="s">
        <v>42</v>
      </c>
      <c r="I4505" t="s">
        <v>141</v>
      </c>
      <c r="J4505" s="89">
        <v>4378624</v>
      </c>
      <c r="K4505" t="s">
        <v>127</v>
      </c>
      <c r="L4505" t="s">
        <v>128</v>
      </c>
      <c r="M4505" t="s">
        <v>152</v>
      </c>
      <c r="N4505">
        <v>1</v>
      </c>
      <c r="O4505" s="89">
        <v>21893.119999999999</v>
      </c>
      <c r="P4505" s="89">
        <v>114938.88</v>
      </c>
      <c r="Q4505" t="s">
        <v>130</v>
      </c>
      <c r="R4505" t="s">
        <v>42</v>
      </c>
    </row>
    <row r="4506" spans="3:18" hidden="1" x14ac:dyDescent="0.25">
      <c r="C4506" t="s">
        <v>45</v>
      </c>
      <c r="D4506" t="s">
        <v>19</v>
      </c>
      <c r="E4506" t="s">
        <v>43</v>
      </c>
      <c r="F4506" t="s">
        <v>41</v>
      </c>
      <c r="G4506" s="89">
        <v>29380664</v>
      </c>
      <c r="H4506" t="s">
        <v>140</v>
      </c>
      <c r="I4506" t="s">
        <v>133</v>
      </c>
      <c r="J4506" s="89">
        <v>763897264</v>
      </c>
      <c r="K4506" t="s">
        <v>127</v>
      </c>
      <c r="L4506" t="s">
        <v>128</v>
      </c>
      <c r="N4506">
        <v>1</v>
      </c>
      <c r="O4506" s="89">
        <v>881419.92</v>
      </c>
      <c r="P4506" s="89">
        <v>8520392.5600000005</v>
      </c>
      <c r="Q4506" t="s">
        <v>130</v>
      </c>
      <c r="R4506" t="s">
        <v>131</v>
      </c>
    </row>
    <row r="4507" spans="3:18" x14ac:dyDescent="0.25">
      <c r="C4507" t="s">
        <v>47</v>
      </c>
      <c r="D4507" t="s">
        <v>24</v>
      </c>
      <c r="E4507" t="s">
        <v>48</v>
      </c>
      <c r="F4507" t="s">
        <v>41</v>
      </c>
      <c r="G4507" s="89">
        <v>28335</v>
      </c>
      <c r="H4507" t="s">
        <v>140</v>
      </c>
      <c r="I4507" t="s">
        <v>133</v>
      </c>
      <c r="J4507" s="89">
        <v>595035</v>
      </c>
      <c r="K4507" t="s">
        <v>127</v>
      </c>
      <c r="L4507" t="s">
        <v>128</v>
      </c>
      <c r="N4507">
        <v>1</v>
      </c>
      <c r="O4507" s="89">
        <v>566.70000000000005</v>
      </c>
      <c r="P4507" s="89">
        <v>13600.8</v>
      </c>
      <c r="Q4507" t="s">
        <v>142</v>
      </c>
      <c r="R4507" t="s">
        <v>131</v>
      </c>
    </row>
    <row r="4508" spans="3:18" hidden="1" x14ac:dyDescent="0.25">
      <c r="C4508" t="s">
        <v>45</v>
      </c>
      <c r="D4508" t="s">
        <v>23</v>
      </c>
      <c r="E4508" t="s">
        <v>43</v>
      </c>
      <c r="F4508" t="s">
        <v>41</v>
      </c>
      <c r="G4508" s="89">
        <v>1983572</v>
      </c>
      <c r="H4508" t="s">
        <v>146</v>
      </c>
      <c r="I4508" t="s">
        <v>126</v>
      </c>
      <c r="J4508" s="89">
        <v>31737152</v>
      </c>
      <c r="K4508" t="s">
        <v>127</v>
      </c>
      <c r="L4508" t="s">
        <v>128</v>
      </c>
      <c r="N4508">
        <v>1</v>
      </c>
      <c r="O4508" s="89">
        <v>59507.16</v>
      </c>
      <c r="P4508" s="89">
        <v>932278.84</v>
      </c>
      <c r="Q4508" t="s">
        <v>142</v>
      </c>
      <c r="R4508" t="s">
        <v>131</v>
      </c>
    </row>
    <row r="4509" spans="3:18" hidden="1" x14ac:dyDescent="0.25">
      <c r="C4509" t="s">
        <v>45</v>
      </c>
      <c r="D4509" t="s">
        <v>23</v>
      </c>
      <c r="E4509" t="s">
        <v>48</v>
      </c>
      <c r="F4509" t="s">
        <v>41</v>
      </c>
      <c r="G4509" s="89">
        <v>1156963</v>
      </c>
      <c r="H4509" t="s">
        <v>42</v>
      </c>
      <c r="I4509" t="s">
        <v>126</v>
      </c>
      <c r="J4509" s="89">
        <v>19668371</v>
      </c>
      <c r="K4509" t="s">
        <v>144</v>
      </c>
      <c r="N4509">
        <v>1</v>
      </c>
      <c r="O4509" s="89">
        <v>34708.89</v>
      </c>
      <c r="P4509" s="89">
        <v>960279.29</v>
      </c>
      <c r="Q4509" t="s">
        <v>135</v>
      </c>
      <c r="R4509" t="s">
        <v>42</v>
      </c>
    </row>
    <row r="4510" spans="3:18" hidden="1" x14ac:dyDescent="0.25">
      <c r="C4510" t="s">
        <v>45</v>
      </c>
      <c r="D4510" t="s">
        <v>22</v>
      </c>
      <c r="E4510" t="s">
        <v>40</v>
      </c>
      <c r="F4510" t="s">
        <v>41</v>
      </c>
      <c r="G4510" s="89">
        <v>428873</v>
      </c>
      <c r="H4510" t="s">
        <v>140</v>
      </c>
      <c r="I4510" t="s">
        <v>147</v>
      </c>
      <c r="J4510" s="89"/>
      <c r="K4510" t="s">
        <v>127</v>
      </c>
      <c r="L4510" t="s">
        <v>128</v>
      </c>
      <c r="N4510">
        <v>0</v>
      </c>
      <c r="O4510" s="89">
        <v>17154.919999999998</v>
      </c>
      <c r="P4510" s="89">
        <v>12866.19</v>
      </c>
      <c r="Q4510" t="s">
        <v>130</v>
      </c>
      <c r="R4510" t="s">
        <v>131</v>
      </c>
    </row>
    <row r="4511" spans="3:18" hidden="1" x14ac:dyDescent="0.25">
      <c r="C4511" t="s">
        <v>45</v>
      </c>
      <c r="D4511" t="s">
        <v>23</v>
      </c>
      <c r="E4511" t="s">
        <v>40</v>
      </c>
      <c r="F4511" t="s">
        <v>41</v>
      </c>
      <c r="G4511" s="89">
        <v>65135</v>
      </c>
      <c r="H4511" t="s">
        <v>42</v>
      </c>
      <c r="I4511" t="s">
        <v>133</v>
      </c>
      <c r="J4511" s="89">
        <v>2149455</v>
      </c>
      <c r="K4511" t="s">
        <v>127</v>
      </c>
      <c r="L4511" t="s">
        <v>128</v>
      </c>
      <c r="M4511" t="s">
        <v>143</v>
      </c>
      <c r="N4511">
        <v>1</v>
      </c>
      <c r="O4511" s="89">
        <v>2605.4</v>
      </c>
      <c r="P4511" s="89">
        <v>49502.6</v>
      </c>
      <c r="Q4511" t="s">
        <v>137</v>
      </c>
      <c r="R4511" t="s">
        <v>42</v>
      </c>
    </row>
    <row r="4512" spans="3:18" hidden="1" x14ac:dyDescent="0.25">
      <c r="C4512" t="s">
        <v>45</v>
      </c>
      <c r="D4512" t="s">
        <v>149</v>
      </c>
      <c r="E4512" t="s">
        <v>43</v>
      </c>
      <c r="F4512" t="s">
        <v>41</v>
      </c>
      <c r="G4512" s="89">
        <v>1851137</v>
      </c>
      <c r="H4512" t="s">
        <v>140</v>
      </c>
      <c r="I4512" t="s">
        <v>133</v>
      </c>
      <c r="J4512" s="89">
        <v>61087521</v>
      </c>
      <c r="K4512" t="s">
        <v>127</v>
      </c>
      <c r="L4512" t="s">
        <v>128</v>
      </c>
      <c r="N4512">
        <v>1</v>
      </c>
      <c r="O4512" s="89">
        <v>55534.11</v>
      </c>
      <c r="P4512" s="89">
        <v>2313921.25</v>
      </c>
      <c r="Q4512" t="s">
        <v>150</v>
      </c>
      <c r="R4512" t="s">
        <v>131</v>
      </c>
    </row>
    <row r="4513" spans="3:18" hidden="1" x14ac:dyDescent="0.25">
      <c r="C4513" t="s">
        <v>45</v>
      </c>
      <c r="D4513" t="s">
        <v>22</v>
      </c>
      <c r="E4513" t="s">
        <v>44</v>
      </c>
      <c r="F4513" t="s">
        <v>41</v>
      </c>
      <c r="G4513" s="89">
        <v>73246</v>
      </c>
      <c r="H4513" t="s">
        <v>42</v>
      </c>
      <c r="I4513" t="s">
        <v>133</v>
      </c>
      <c r="J4513" s="89">
        <v>1611412</v>
      </c>
      <c r="K4513" t="s">
        <v>127</v>
      </c>
      <c r="L4513" t="s">
        <v>128</v>
      </c>
      <c r="M4513" t="s">
        <v>139</v>
      </c>
      <c r="N4513">
        <v>1</v>
      </c>
      <c r="O4513" s="89">
        <v>2197.38</v>
      </c>
      <c r="P4513" s="89">
        <v>49074.82</v>
      </c>
      <c r="Q4513" t="s">
        <v>137</v>
      </c>
      <c r="R4513" t="s">
        <v>42</v>
      </c>
    </row>
    <row r="4514" spans="3:18" hidden="1" x14ac:dyDescent="0.25">
      <c r="C4514" t="s">
        <v>45</v>
      </c>
      <c r="D4514" t="s">
        <v>23</v>
      </c>
      <c r="E4514" t="s">
        <v>40</v>
      </c>
      <c r="F4514" t="s">
        <v>53</v>
      </c>
      <c r="G4514" s="89">
        <v>305022</v>
      </c>
      <c r="H4514" t="s">
        <v>140</v>
      </c>
      <c r="I4514" t="s">
        <v>141</v>
      </c>
      <c r="J4514" s="89">
        <v>2745198</v>
      </c>
      <c r="K4514" t="s">
        <v>144</v>
      </c>
      <c r="N4514">
        <v>1</v>
      </c>
      <c r="O4514" s="89">
        <v>9150.66</v>
      </c>
      <c r="P4514" s="89">
        <v>244017.6</v>
      </c>
      <c r="Q4514" t="s">
        <v>137</v>
      </c>
      <c r="R4514" t="s">
        <v>131</v>
      </c>
    </row>
    <row r="4515" spans="3:18" hidden="1" x14ac:dyDescent="0.25">
      <c r="C4515" t="s">
        <v>45</v>
      </c>
      <c r="D4515" t="s">
        <v>24</v>
      </c>
      <c r="E4515" t="s">
        <v>44</v>
      </c>
      <c r="F4515" t="s">
        <v>41</v>
      </c>
      <c r="G4515" s="89">
        <v>2185573</v>
      </c>
      <c r="H4515" t="s">
        <v>42</v>
      </c>
      <c r="I4515" t="s">
        <v>133</v>
      </c>
      <c r="J4515" s="89">
        <v>65567190</v>
      </c>
      <c r="K4515" t="s">
        <v>127</v>
      </c>
      <c r="L4515" t="s">
        <v>128</v>
      </c>
      <c r="M4515" t="s">
        <v>148</v>
      </c>
      <c r="N4515">
        <v>1</v>
      </c>
      <c r="O4515" s="89">
        <v>65567.19</v>
      </c>
      <c r="P4515" s="89">
        <v>655671.9</v>
      </c>
      <c r="Q4515" t="s">
        <v>130</v>
      </c>
      <c r="R4515" t="s">
        <v>131</v>
      </c>
    </row>
    <row r="4516" spans="3:18" hidden="1" x14ac:dyDescent="0.25">
      <c r="C4516" t="s">
        <v>45</v>
      </c>
      <c r="D4516" t="s">
        <v>21</v>
      </c>
      <c r="E4516" t="s">
        <v>43</v>
      </c>
      <c r="F4516" t="s">
        <v>41</v>
      </c>
      <c r="G4516" s="89">
        <v>320171915</v>
      </c>
      <c r="H4516" t="s">
        <v>42</v>
      </c>
      <c r="I4516" t="s">
        <v>133</v>
      </c>
      <c r="J4516" s="89">
        <v>10885845110</v>
      </c>
      <c r="K4516" t="s">
        <v>127</v>
      </c>
      <c r="L4516" t="s">
        <v>128</v>
      </c>
      <c r="M4516" t="s">
        <v>129</v>
      </c>
      <c r="N4516">
        <v>1</v>
      </c>
      <c r="O4516" s="89">
        <v>9605157.4499999993</v>
      </c>
      <c r="P4516" s="89">
        <v>262540970.30000001</v>
      </c>
      <c r="Q4516" t="s">
        <v>135</v>
      </c>
      <c r="R4516" t="s">
        <v>131</v>
      </c>
    </row>
    <row r="4517" spans="3:18" x14ac:dyDescent="0.25">
      <c r="C4517" t="s">
        <v>47</v>
      </c>
      <c r="D4517" t="s">
        <v>19</v>
      </c>
      <c r="E4517" t="s">
        <v>40</v>
      </c>
      <c r="F4517" t="s">
        <v>41</v>
      </c>
      <c r="G4517" s="89">
        <v>39700</v>
      </c>
      <c r="H4517" t="s">
        <v>140</v>
      </c>
      <c r="I4517" t="s">
        <v>141</v>
      </c>
      <c r="J4517" s="89">
        <v>317600</v>
      </c>
      <c r="K4517" t="s">
        <v>127</v>
      </c>
      <c r="L4517" t="s">
        <v>128</v>
      </c>
      <c r="N4517">
        <v>1</v>
      </c>
      <c r="O4517" s="89">
        <v>1985</v>
      </c>
      <c r="P4517" s="89">
        <v>49625</v>
      </c>
      <c r="Q4517" t="s">
        <v>150</v>
      </c>
      <c r="R4517" t="s">
        <v>131</v>
      </c>
    </row>
    <row r="4518" spans="3:18" hidden="1" x14ac:dyDescent="0.25">
      <c r="C4518" t="s">
        <v>45</v>
      </c>
      <c r="D4518" t="s">
        <v>24</v>
      </c>
      <c r="E4518" t="s">
        <v>40</v>
      </c>
      <c r="F4518" t="s">
        <v>41</v>
      </c>
      <c r="G4518" s="89">
        <v>215245</v>
      </c>
      <c r="H4518" t="s">
        <v>42</v>
      </c>
      <c r="I4518" t="s">
        <v>141</v>
      </c>
      <c r="J4518" s="89">
        <v>1937205</v>
      </c>
      <c r="K4518" t="s">
        <v>127</v>
      </c>
      <c r="L4518" t="s">
        <v>128</v>
      </c>
      <c r="M4518" t="s">
        <v>148</v>
      </c>
      <c r="N4518">
        <v>1</v>
      </c>
      <c r="O4518" s="89">
        <v>8609.7999999999993</v>
      </c>
      <c r="P4518" s="89">
        <v>118384.75</v>
      </c>
      <c r="Q4518" t="s">
        <v>142</v>
      </c>
      <c r="R4518" t="s">
        <v>42</v>
      </c>
    </row>
    <row r="4519" spans="3:18" hidden="1" x14ac:dyDescent="0.25">
      <c r="C4519" t="s">
        <v>45</v>
      </c>
      <c r="D4519" t="s">
        <v>21</v>
      </c>
      <c r="E4519" t="s">
        <v>40</v>
      </c>
      <c r="F4519" t="s">
        <v>41</v>
      </c>
      <c r="G4519" s="89">
        <v>482601</v>
      </c>
      <c r="H4519" t="s">
        <v>42</v>
      </c>
      <c r="I4519" t="s">
        <v>133</v>
      </c>
      <c r="J4519" s="89">
        <v>12065025</v>
      </c>
      <c r="K4519" t="s">
        <v>127</v>
      </c>
      <c r="L4519" t="s">
        <v>128</v>
      </c>
      <c r="M4519" t="s">
        <v>152</v>
      </c>
      <c r="N4519">
        <v>1</v>
      </c>
      <c r="O4519" s="89">
        <v>14478.03</v>
      </c>
      <c r="P4519" s="89">
        <v>304038.63</v>
      </c>
      <c r="Q4519" t="s">
        <v>137</v>
      </c>
      <c r="R4519" t="s">
        <v>42</v>
      </c>
    </row>
    <row r="4520" spans="3:18" hidden="1" x14ac:dyDescent="0.25">
      <c r="C4520" t="s">
        <v>45</v>
      </c>
      <c r="D4520" t="s">
        <v>20</v>
      </c>
      <c r="E4520" t="s">
        <v>43</v>
      </c>
      <c r="F4520" t="s">
        <v>41</v>
      </c>
      <c r="G4520" s="89">
        <v>22438644</v>
      </c>
      <c r="H4520" t="s">
        <v>140</v>
      </c>
      <c r="I4520" t="s">
        <v>126</v>
      </c>
      <c r="J4520" s="89">
        <v>314141016</v>
      </c>
      <c r="K4520" t="s">
        <v>127</v>
      </c>
      <c r="L4520" t="s">
        <v>128</v>
      </c>
      <c r="N4520">
        <v>1</v>
      </c>
      <c r="O4520" s="89">
        <v>673159.32</v>
      </c>
      <c r="P4520" s="89">
        <v>5834047.4400000004</v>
      </c>
      <c r="Q4520" t="s">
        <v>130</v>
      </c>
      <c r="R4520" t="s">
        <v>131</v>
      </c>
    </row>
    <row r="4521" spans="3:18" hidden="1" x14ac:dyDescent="0.25">
      <c r="C4521" t="s">
        <v>45</v>
      </c>
      <c r="D4521" t="s">
        <v>24</v>
      </c>
      <c r="E4521" t="s">
        <v>40</v>
      </c>
      <c r="F4521" t="s">
        <v>41</v>
      </c>
      <c r="G4521" s="89">
        <v>1172130</v>
      </c>
      <c r="H4521" t="s">
        <v>132</v>
      </c>
      <c r="I4521" t="s">
        <v>126</v>
      </c>
      <c r="J4521" s="89">
        <v>17581950</v>
      </c>
      <c r="K4521" t="s">
        <v>127</v>
      </c>
      <c r="L4521" t="s">
        <v>128</v>
      </c>
      <c r="N4521">
        <v>1</v>
      </c>
      <c r="O4521" s="89">
        <v>46885.2</v>
      </c>
      <c r="P4521" s="89">
        <v>562622.4</v>
      </c>
      <c r="Q4521" t="s">
        <v>142</v>
      </c>
      <c r="R4521" t="s">
        <v>131</v>
      </c>
    </row>
    <row r="4522" spans="3:18" hidden="1" x14ac:dyDescent="0.25">
      <c r="C4522" t="s">
        <v>45</v>
      </c>
      <c r="D4522" t="s">
        <v>23</v>
      </c>
      <c r="E4522" t="s">
        <v>40</v>
      </c>
      <c r="F4522" t="s">
        <v>41</v>
      </c>
      <c r="G4522" s="89">
        <v>49382498</v>
      </c>
      <c r="H4522" t="s">
        <v>145</v>
      </c>
      <c r="I4522" t="s">
        <v>133</v>
      </c>
      <c r="J4522" s="89">
        <v>1382709944</v>
      </c>
      <c r="K4522" t="s">
        <v>127</v>
      </c>
      <c r="L4522" t="s">
        <v>128</v>
      </c>
      <c r="N4522">
        <v>1</v>
      </c>
      <c r="O4522" s="89">
        <v>1481474.94</v>
      </c>
      <c r="P4522" s="89">
        <v>34073923.619999997</v>
      </c>
      <c r="Q4522" t="s">
        <v>137</v>
      </c>
      <c r="R4522" t="s">
        <v>131</v>
      </c>
    </row>
    <row r="4523" spans="3:18" hidden="1" x14ac:dyDescent="0.25">
      <c r="C4523" t="s">
        <v>45</v>
      </c>
      <c r="D4523" t="s">
        <v>21</v>
      </c>
      <c r="E4523" t="s">
        <v>43</v>
      </c>
      <c r="F4523" t="s">
        <v>41</v>
      </c>
      <c r="G4523" s="89">
        <v>726916</v>
      </c>
      <c r="H4523" t="s">
        <v>145</v>
      </c>
      <c r="I4523" t="s">
        <v>141</v>
      </c>
      <c r="J4523" s="89">
        <v>5815328</v>
      </c>
      <c r="K4523" t="s">
        <v>127</v>
      </c>
      <c r="L4523" t="s">
        <v>128</v>
      </c>
      <c r="N4523">
        <v>1</v>
      </c>
      <c r="O4523" s="89">
        <v>29076.639999999999</v>
      </c>
      <c r="P4523" s="89">
        <v>472495.4</v>
      </c>
      <c r="Q4523" t="s">
        <v>137</v>
      </c>
      <c r="R4523" t="s">
        <v>131</v>
      </c>
    </row>
    <row r="4524" spans="3:18" hidden="1" x14ac:dyDescent="0.25">
      <c r="C4524" t="s">
        <v>45</v>
      </c>
      <c r="D4524" t="s">
        <v>21</v>
      </c>
      <c r="E4524" t="s">
        <v>40</v>
      </c>
      <c r="F4524" t="s">
        <v>41</v>
      </c>
      <c r="G4524" s="89">
        <v>1069595</v>
      </c>
      <c r="H4524" t="s">
        <v>140</v>
      </c>
      <c r="I4524" t="s">
        <v>133</v>
      </c>
      <c r="J4524" s="89">
        <v>32087850</v>
      </c>
      <c r="K4524" t="s">
        <v>144</v>
      </c>
      <c r="N4524">
        <v>1</v>
      </c>
      <c r="O4524" s="89">
        <v>32087.85</v>
      </c>
      <c r="P4524" s="89">
        <v>877067.9</v>
      </c>
      <c r="Q4524" t="s">
        <v>135</v>
      </c>
      <c r="R4524" t="s">
        <v>131</v>
      </c>
    </row>
    <row r="4525" spans="3:18" x14ac:dyDescent="0.25">
      <c r="C4525" t="s">
        <v>47</v>
      </c>
      <c r="D4525" t="s">
        <v>19</v>
      </c>
      <c r="E4525" t="s">
        <v>40</v>
      </c>
      <c r="F4525" t="s">
        <v>41</v>
      </c>
      <c r="G4525" s="89">
        <v>107885</v>
      </c>
      <c r="H4525" t="s">
        <v>132</v>
      </c>
      <c r="I4525" t="s">
        <v>126</v>
      </c>
      <c r="J4525" s="89">
        <v>1186735</v>
      </c>
      <c r="K4525" t="s">
        <v>127</v>
      </c>
      <c r="L4525" t="s">
        <v>128</v>
      </c>
      <c r="N4525">
        <v>1</v>
      </c>
      <c r="O4525" s="89">
        <v>4315.3999999999996</v>
      </c>
      <c r="P4525" s="89">
        <v>59336.75</v>
      </c>
      <c r="Q4525" t="s">
        <v>142</v>
      </c>
      <c r="R4525" t="s">
        <v>131</v>
      </c>
    </row>
    <row r="4526" spans="3:18" hidden="1" x14ac:dyDescent="0.25">
      <c r="C4526" t="s">
        <v>45</v>
      </c>
      <c r="D4526" t="s">
        <v>138</v>
      </c>
      <c r="E4526" t="s">
        <v>43</v>
      </c>
      <c r="F4526" t="s">
        <v>41</v>
      </c>
      <c r="G4526" s="89">
        <v>1234523</v>
      </c>
      <c r="H4526" t="s">
        <v>140</v>
      </c>
      <c r="I4526" t="s">
        <v>133</v>
      </c>
      <c r="J4526" s="89">
        <v>41973782</v>
      </c>
      <c r="K4526" t="s">
        <v>144</v>
      </c>
      <c r="N4526">
        <v>1</v>
      </c>
      <c r="O4526" s="89">
        <v>37035.69</v>
      </c>
      <c r="P4526" s="89">
        <v>1024654.09</v>
      </c>
      <c r="Q4526" t="s">
        <v>135</v>
      </c>
      <c r="R4526" t="s">
        <v>131</v>
      </c>
    </row>
    <row r="4527" spans="3:18" hidden="1" x14ac:dyDescent="0.25">
      <c r="C4527" t="s">
        <v>45</v>
      </c>
      <c r="D4527" t="s">
        <v>50</v>
      </c>
      <c r="E4527" t="s">
        <v>50</v>
      </c>
      <c r="F4527" t="s">
        <v>41</v>
      </c>
      <c r="G4527" s="89">
        <v>26373</v>
      </c>
      <c r="H4527" t="s">
        <v>51</v>
      </c>
      <c r="I4527" t="s">
        <v>133</v>
      </c>
      <c r="J4527" s="89">
        <v>580206</v>
      </c>
      <c r="K4527" t="s">
        <v>127</v>
      </c>
      <c r="N4527">
        <v>1</v>
      </c>
      <c r="O4527" s="89">
        <v>791.19</v>
      </c>
      <c r="P4527" s="89">
        <v>1846.11</v>
      </c>
      <c r="Q4527" t="s">
        <v>130</v>
      </c>
    </row>
    <row r="4528" spans="3:18" hidden="1" x14ac:dyDescent="0.25">
      <c r="C4528" t="s">
        <v>45</v>
      </c>
      <c r="D4528" t="s">
        <v>24</v>
      </c>
      <c r="E4528" t="s">
        <v>44</v>
      </c>
      <c r="F4528" t="s">
        <v>41</v>
      </c>
      <c r="G4528" s="89">
        <v>15247356</v>
      </c>
      <c r="H4528" t="s">
        <v>140</v>
      </c>
      <c r="I4528" t="s">
        <v>133</v>
      </c>
      <c r="J4528" s="89">
        <v>411678612</v>
      </c>
      <c r="K4528" t="s">
        <v>127</v>
      </c>
      <c r="L4528" t="s">
        <v>128</v>
      </c>
      <c r="N4528">
        <v>1</v>
      </c>
      <c r="O4528" s="89">
        <v>457420.68</v>
      </c>
      <c r="P4528" s="89">
        <v>7776151.5599999996</v>
      </c>
      <c r="Q4528" t="s">
        <v>142</v>
      </c>
      <c r="R4528" t="s">
        <v>131</v>
      </c>
    </row>
    <row r="4529" spans="3:18" hidden="1" x14ac:dyDescent="0.25">
      <c r="C4529" t="s">
        <v>45</v>
      </c>
      <c r="D4529" t="s">
        <v>20</v>
      </c>
      <c r="E4529" t="s">
        <v>43</v>
      </c>
      <c r="F4529" t="s">
        <v>41</v>
      </c>
      <c r="G4529" s="89">
        <v>2148752</v>
      </c>
      <c r="H4529" t="s">
        <v>146</v>
      </c>
      <c r="I4529" t="s">
        <v>147</v>
      </c>
      <c r="J4529" s="89">
        <v>6446256</v>
      </c>
      <c r="K4529" t="s">
        <v>127</v>
      </c>
      <c r="L4529" t="s">
        <v>128</v>
      </c>
      <c r="N4529">
        <v>1</v>
      </c>
      <c r="O4529" s="89">
        <v>64462.559999999998</v>
      </c>
      <c r="P4529" s="89">
        <v>279337.76</v>
      </c>
      <c r="Q4529" t="s">
        <v>130</v>
      </c>
      <c r="R4529" t="s">
        <v>131</v>
      </c>
    </row>
    <row r="4530" spans="3:18" hidden="1" x14ac:dyDescent="0.25">
      <c r="C4530" t="s">
        <v>45</v>
      </c>
      <c r="D4530" t="s">
        <v>21</v>
      </c>
      <c r="E4530" t="s">
        <v>40</v>
      </c>
      <c r="F4530" t="s">
        <v>41</v>
      </c>
      <c r="G4530" s="89">
        <v>155531</v>
      </c>
      <c r="H4530" t="s">
        <v>132</v>
      </c>
      <c r="I4530" t="s">
        <v>126</v>
      </c>
      <c r="J4530" s="89">
        <v>1866372</v>
      </c>
      <c r="K4530" t="s">
        <v>144</v>
      </c>
      <c r="N4530">
        <v>1</v>
      </c>
      <c r="O4530" s="89">
        <v>4665.93</v>
      </c>
      <c r="P4530" s="89">
        <v>121314.18</v>
      </c>
      <c r="Q4530" t="s">
        <v>137</v>
      </c>
      <c r="R4530" t="s">
        <v>131</v>
      </c>
    </row>
    <row r="4531" spans="3:18" x14ac:dyDescent="0.25">
      <c r="C4531" t="s">
        <v>47</v>
      </c>
      <c r="D4531" t="s">
        <v>21</v>
      </c>
      <c r="E4531" t="s">
        <v>43</v>
      </c>
      <c r="F4531" t="s">
        <v>41</v>
      </c>
      <c r="G4531" s="89">
        <v>943849</v>
      </c>
      <c r="H4531" t="s">
        <v>154</v>
      </c>
      <c r="I4531" t="s">
        <v>153</v>
      </c>
      <c r="J4531" s="89"/>
      <c r="K4531" t="s">
        <v>127</v>
      </c>
      <c r="L4531" t="s">
        <v>128</v>
      </c>
      <c r="N4531">
        <v>0</v>
      </c>
      <c r="O4531" s="89">
        <v>47192.45</v>
      </c>
      <c r="P4531" s="89">
        <v>349224.13</v>
      </c>
      <c r="Q4531" t="s">
        <v>130</v>
      </c>
      <c r="R4531" t="s">
        <v>131</v>
      </c>
    </row>
    <row r="4532" spans="3:18" hidden="1" x14ac:dyDescent="0.25">
      <c r="C4532" t="s">
        <v>45</v>
      </c>
      <c r="D4532" t="s">
        <v>22</v>
      </c>
      <c r="E4532" t="s">
        <v>46</v>
      </c>
      <c r="F4532" t="s">
        <v>41</v>
      </c>
      <c r="G4532" s="89">
        <v>14545</v>
      </c>
      <c r="H4532" t="s">
        <v>42</v>
      </c>
      <c r="I4532" t="s">
        <v>147</v>
      </c>
      <c r="J4532" s="89">
        <v>72725</v>
      </c>
      <c r="K4532" t="s">
        <v>127</v>
      </c>
      <c r="L4532" t="s">
        <v>128</v>
      </c>
      <c r="M4532" t="s">
        <v>143</v>
      </c>
      <c r="N4532">
        <v>1</v>
      </c>
      <c r="O4532" s="89">
        <v>581.79999999999995</v>
      </c>
      <c r="P4532" s="89">
        <v>2472.65</v>
      </c>
      <c r="Q4532" t="s">
        <v>130</v>
      </c>
      <c r="R4532" t="s">
        <v>42</v>
      </c>
    </row>
    <row r="4533" spans="3:18" hidden="1" x14ac:dyDescent="0.25">
      <c r="C4533" t="s">
        <v>45</v>
      </c>
      <c r="D4533" t="s">
        <v>22</v>
      </c>
      <c r="E4533" t="s">
        <v>48</v>
      </c>
      <c r="F4533" t="s">
        <v>41</v>
      </c>
      <c r="G4533" s="89">
        <v>19151</v>
      </c>
      <c r="H4533" t="s">
        <v>140</v>
      </c>
      <c r="I4533" t="s">
        <v>147</v>
      </c>
      <c r="J4533" s="89">
        <v>57453</v>
      </c>
      <c r="K4533" t="s">
        <v>127</v>
      </c>
      <c r="L4533" t="s">
        <v>128</v>
      </c>
      <c r="N4533">
        <v>1</v>
      </c>
      <c r="O4533" s="89">
        <v>957.55</v>
      </c>
      <c r="P4533" s="89">
        <v>3255.67</v>
      </c>
      <c r="Q4533" t="s">
        <v>130</v>
      </c>
      <c r="R4533" t="s">
        <v>131</v>
      </c>
    </row>
    <row r="4534" spans="3:18" hidden="1" x14ac:dyDescent="0.25">
      <c r="C4534" t="s">
        <v>45</v>
      </c>
      <c r="D4534" t="s">
        <v>23</v>
      </c>
      <c r="E4534" t="s">
        <v>48</v>
      </c>
      <c r="F4534" t="s">
        <v>41</v>
      </c>
      <c r="G4534" s="89">
        <v>179084</v>
      </c>
      <c r="H4534" t="s">
        <v>132</v>
      </c>
      <c r="I4534" t="s">
        <v>126</v>
      </c>
      <c r="J4534" s="89">
        <v>3581680</v>
      </c>
      <c r="K4534" t="s">
        <v>127</v>
      </c>
      <c r="L4534" t="s">
        <v>128</v>
      </c>
      <c r="N4534">
        <v>1</v>
      </c>
      <c r="O4534" s="89">
        <v>5372.52</v>
      </c>
      <c r="P4534" s="89">
        <v>152221.4</v>
      </c>
      <c r="Q4534" t="s">
        <v>135</v>
      </c>
      <c r="R4534" t="s">
        <v>131</v>
      </c>
    </row>
    <row r="4535" spans="3:18" hidden="1" x14ac:dyDescent="0.25">
      <c r="C4535" t="s">
        <v>45</v>
      </c>
      <c r="D4535" t="s">
        <v>22</v>
      </c>
      <c r="E4535" t="s">
        <v>40</v>
      </c>
      <c r="F4535" t="s">
        <v>41</v>
      </c>
      <c r="G4535" s="89">
        <v>7527800</v>
      </c>
      <c r="H4535" t="s">
        <v>42</v>
      </c>
      <c r="I4535" t="s">
        <v>133</v>
      </c>
      <c r="J4535" s="89">
        <v>286056400</v>
      </c>
      <c r="K4535" t="s">
        <v>144</v>
      </c>
      <c r="N4535">
        <v>1</v>
      </c>
      <c r="O4535" s="89">
        <v>225834</v>
      </c>
      <c r="P4535" s="89">
        <v>7527800</v>
      </c>
      <c r="Q4535" t="s">
        <v>150</v>
      </c>
      <c r="R4535" t="s">
        <v>42</v>
      </c>
    </row>
    <row r="4536" spans="3:18" hidden="1" x14ac:dyDescent="0.25">
      <c r="C4536" t="s">
        <v>45</v>
      </c>
      <c r="D4536" t="s">
        <v>22</v>
      </c>
      <c r="E4536" t="s">
        <v>40</v>
      </c>
      <c r="F4536" t="s">
        <v>41</v>
      </c>
      <c r="G4536" s="89">
        <v>118682264</v>
      </c>
      <c r="H4536" t="s">
        <v>140</v>
      </c>
      <c r="I4536" t="s">
        <v>133</v>
      </c>
      <c r="J4536" s="89">
        <v>3085738864</v>
      </c>
      <c r="K4536" t="s">
        <v>127</v>
      </c>
      <c r="L4536" t="s">
        <v>128</v>
      </c>
      <c r="N4536">
        <v>1</v>
      </c>
      <c r="O4536" s="89">
        <v>3560467.92</v>
      </c>
      <c r="P4536" s="89">
        <v>33231033.920000002</v>
      </c>
      <c r="Q4536" t="s">
        <v>130</v>
      </c>
      <c r="R4536" t="s">
        <v>131</v>
      </c>
    </row>
    <row r="4537" spans="3:18" x14ac:dyDescent="0.25">
      <c r="C4537" t="s">
        <v>47</v>
      </c>
      <c r="D4537" t="s">
        <v>23</v>
      </c>
      <c r="E4537" t="s">
        <v>40</v>
      </c>
      <c r="F4537" t="s">
        <v>41</v>
      </c>
      <c r="G4537" s="89">
        <v>469309</v>
      </c>
      <c r="H4537" t="s">
        <v>146</v>
      </c>
      <c r="I4537" t="s">
        <v>141</v>
      </c>
      <c r="J4537" s="89">
        <v>4693090</v>
      </c>
      <c r="K4537" t="s">
        <v>144</v>
      </c>
      <c r="N4537">
        <v>1</v>
      </c>
      <c r="O4537" s="89">
        <v>18772.36</v>
      </c>
      <c r="P4537" s="89">
        <v>351981.75</v>
      </c>
      <c r="Q4537" t="s">
        <v>137</v>
      </c>
      <c r="R4537" t="s">
        <v>131</v>
      </c>
    </row>
    <row r="4538" spans="3:18" x14ac:dyDescent="0.25">
      <c r="C4538" t="s">
        <v>47</v>
      </c>
      <c r="D4538" t="s">
        <v>50</v>
      </c>
      <c r="E4538" t="s">
        <v>50</v>
      </c>
      <c r="F4538" t="s">
        <v>41</v>
      </c>
      <c r="G4538" s="89">
        <v>2331129</v>
      </c>
      <c r="H4538" t="s">
        <v>79</v>
      </c>
      <c r="I4538" t="s">
        <v>126</v>
      </c>
      <c r="J4538" s="89">
        <v>37298064</v>
      </c>
      <c r="K4538" t="s">
        <v>127</v>
      </c>
      <c r="N4538">
        <v>1</v>
      </c>
      <c r="O4538" s="89">
        <v>93245.16</v>
      </c>
      <c r="P4538" s="89">
        <v>303046.77</v>
      </c>
      <c r="Q4538" t="s">
        <v>130</v>
      </c>
      <c r="R4538" t="s">
        <v>79</v>
      </c>
    </row>
    <row r="4539" spans="3:18" hidden="1" x14ac:dyDescent="0.25">
      <c r="C4539" t="s">
        <v>45</v>
      </c>
      <c r="D4539" t="s">
        <v>22</v>
      </c>
      <c r="E4539" t="s">
        <v>43</v>
      </c>
      <c r="F4539" t="s">
        <v>41</v>
      </c>
      <c r="G4539" s="89">
        <v>2934288</v>
      </c>
      <c r="H4539" t="s">
        <v>42</v>
      </c>
      <c r="I4539" t="s">
        <v>133</v>
      </c>
      <c r="J4539" s="89">
        <v>90962928</v>
      </c>
      <c r="K4539" t="s">
        <v>144</v>
      </c>
      <c r="N4539">
        <v>1</v>
      </c>
      <c r="O4539" s="89">
        <v>88028.64</v>
      </c>
      <c r="P4539" s="89">
        <v>792257.76</v>
      </c>
      <c r="Q4539" t="s">
        <v>130</v>
      </c>
      <c r="R4539" t="s">
        <v>131</v>
      </c>
    </row>
    <row r="4540" spans="3:18" x14ac:dyDescent="0.25">
      <c r="C4540" t="s">
        <v>47</v>
      </c>
      <c r="D4540" t="s">
        <v>21</v>
      </c>
      <c r="E4540" t="s">
        <v>43</v>
      </c>
      <c r="F4540" t="s">
        <v>41</v>
      </c>
      <c r="G4540" s="89">
        <v>29348647</v>
      </c>
      <c r="H4540" t="s">
        <v>145</v>
      </c>
      <c r="I4540" t="s">
        <v>126</v>
      </c>
      <c r="J4540" s="89">
        <v>410881058</v>
      </c>
      <c r="K4540" t="s">
        <v>127</v>
      </c>
      <c r="L4540" t="s">
        <v>128</v>
      </c>
      <c r="N4540">
        <v>1</v>
      </c>
      <c r="O4540" s="89">
        <v>1467432.35</v>
      </c>
      <c r="P4540" s="89">
        <v>19663593.489999998</v>
      </c>
      <c r="Q4540" t="s">
        <v>137</v>
      </c>
      <c r="R4540" t="s">
        <v>131</v>
      </c>
    </row>
    <row r="4541" spans="3:18" hidden="1" x14ac:dyDescent="0.25">
      <c r="C4541" t="s">
        <v>45</v>
      </c>
      <c r="D4541" t="s">
        <v>21</v>
      </c>
      <c r="E4541" t="s">
        <v>43</v>
      </c>
      <c r="F4541" t="s">
        <v>41</v>
      </c>
      <c r="G4541" s="89">
        <v>16370680</v>
      </c>
      <c r="H4541" t="s">
        <v>140</v>
      </c>
      <c r="I4541" t="s">
        <v>147</v>
      </c>
      <c r="J4541" s="89">
        <v>32741360</v>
      </c>
      <c r="K4541" t="s">
        <v>144</v>
      </c>
      <c r="N4541">
        <v>1</v>
      </c>
      <c r="O4541" s="89">
        <v>654827.19999999995</v>
      </c>
      <c r="P4541" s="89">
        <v>2455602</v>
      </c>
      <c r="Q4541" t="s">
        <v>130</v>
      </c>
      <c r="R4541" t="s">
        <v>131</v>
      </c>
    </row>
    <row r="4542" spans="3:18" hidden="1" x14ac:dyDescent="0.25">
      <c r="C4542" t="s">
        <v>45</v>
      </c>
      <c r="D4542" t="s">
        <v>22</v>
      </c>
      <c r="E4542" t="s">
        <v>43</v>
      </c>
      <c r="F4542" t="s">
        <v>41</v>
      </c>
      <c r="G4542" s="89">
        <v>4664116</v>
      </c>
      <c r="H4542" t="s">
        <v>42</v>
      </c>
      <c r="I4542" t="s">
        <v>141</v>
      </c>
      <c r="J4542" s="89">
        <v>37312928</v>
      </c>
      <c r="K4542" t="s">
        <v>127</v>
      </c>
      <c r="L4542" t="s">
        <v>128</v>
      </c>
      <c r="M4542" t="s">
        <v>143</v>
      </c>
      <c r="N4542">
        <v>1</v>
      </c>
      <c r="O4542" s="89">
        <v>139923.48000000001</v>
      </c>
      <c r="P4542" s="89">
        <v>979464.36</v>
      </c>
      <c r="Q4542" t="s">
        <v>130</v>
      </c>
      <c r="R4542" t="s">
        <v>131</v>
      </c>
    </row>
    <row r="4543" spans="3:18" x14ac:dyDescent="0.25">
      <c r="C4543" t="s">
        <v>47</v>
      </c>
      <c r="D4543" t="s">
        <v>21</v>
      </c>
      <c r="E4543" t="s">
        <v>43</v>
      </c>
      <c r="F4543" t="s">
        <v>41</v>
      </c>
      <c r="G4543" s="89">
        <v>254370</v>
      </c>
      <c r="H4543" t="s">
        <v>145</v>
      </c>
      <c r="I4543" t="s">
        <v>126</v>
      </c>
      <c r="J4543" s="89">
        <v>2543700</v>
      </c>
      <c r="K4543" t="s">
        <v>144</v>
      </c>
      <c r="N4543">
        <v>1</v>
      </c>
      <c r="O4543" s="89">
        <v>10174.799999999999</v>
      </c>
      <c r="P4543" s="89">
        <v>129728.7</v>
      </c>
      <c r="Q4543" t="s">
        <v>142</v>
      </c>
      <c r="R4543" t="s">
        <v>131</v>
      </c>
    </row>
    <row r="4544" spans="3:18" x14ac:dyDescent="0.25">
      <c r="C4544" t="s">
        <v>47</v>
      </c>
      <c r="D4544" t="s">
        <v>21</v>
      </c>
      <c r="E4544" t="s">
        <v>40</v>
      </c>
      <c r="F4544" t="s">
        <v>41</v>
      </c>
      <c r="G4544" s="89">
        <v>501789</v>
      </c>
      <c r="H4544" t="s">
        <v>145</v>
      </c>
      <c r="I4544" t="s">
        <v>126</v>
      </c>
      <c r="J4544" s="89">
        <v>6523257</v>
      </c>
      <c r="K4544" t="s">
        <v>127</v>
      </c>
      <c r="L4544" t="s">
        <v>128</v>
      </c>
      <c r="N4544">
        <v>1</v>
      </c>
      <c r="O4544" s="89">
        <v>20071.560000000001</v>
      </c>
      <c r="P4544" s="89">
        <v>140500.92000000001</v>
      </c>
      <c r="Q4544" t="s">
        <v>130</v>
      </c>
      <c r="R4544" t="s">
        <v>131</v>
      </c>
    </row>
    <row r="4545" spans="3:18" hidden="1" x14ac:dyDescent="0.25">
      <c r="C4545" t="s">
        <v>45</v>
      </c>
      <c r="D4545" t="s">
        <v>23</v>
      </c>
      <c r="E4545" t="s">
        <v>48</v>
      </c>
      <c r="F4545" t="s">
        <v>41</v>
      </c>
      <c r="G4545" s="89">
        <v>1728360</v>
      </c>
      <c r="H4545" t="s">
        <v>146</v>
      </c>
      <c r="I4545" t="s">
        <v>133</v>
      </c>
      <c r="J4545" s="89">
        <v>50122440</v>
      </c>
      <c r="K4545" t="s">
        <v>127</v>
      </c>
      <c r="L4545" t="s">
        <v>128</v>
      </c>
      <c r="N4545">
        <v>1</v>
      </c>
      <c r="O4545" s="89">
        <v>51850.8</v>
      </c>
      <c r="P4545" s="89">
        <v>1486389.6</v>
      </c>
      <c r="Q4545" t="s">
        <v>135</v>
      </c>
      <c r="R4545" t="s">
        <v>131</v>
      </c>
    </row>
    <row r="4546" spans="3:18" hidden="1" x14ac:dyDescent="0.25">
      <c r="C4546" t="s">
        <v>45</v>
      </c>
      <c r="D4546" t="s">
        <v>22</v>
      </c>
      <c r="E4546" t="s">
        <v>43</v>
      </c>
      <c r="F4546" t="s">
        <v>41</v>
      </c>
      <c r="G4546" s="89">
        <v>127456</v>
      </c>
      <c r="H4546" t="s">
        <v>42</v>
      </c>
      <c r="I4546" t="s">
        <v>126</v>
      </c>
      <c r="J4546" s="89">
        <v>2039296</v>
      </c>
      <c r="K4546" t="s">
        <v>144</v>
      </c>
      <c r="N4546">
        <v>1</v>
      </c>
      <c r="O4546" s="89">
        <v>3823.68</v>
      </c>
      <c r="P4546" s="89">
        <v>36962.239999999998</v>
      </c>
      <c r="Q4546" t="s">
        <v>130</v>
      </c>
      <c r="R4546" t="s">
        <v>42</v>
      </c>
    </row>
    <row r="4547" spans="3:18" hidden="1" x14ac:dyDescent="0.25">
      <c r="C4547" t="s">
        <v>45</v>
      </c>
      <c r="D4547" t="s">
        <v>138</v>
      </c>
      <c r="E4547" t="s">
        <v>43</v>
      </c>
      <c r="F4547" t="s">
        <v>41</v>
      </c>
      <c r="G4547" s="89">
        <v>3020989</v>
      </c>
      <c r="H4547" t="s">
        <v>42</v>
      </c>
      <c r="I4547" t="s">
        <v>126</v>
      </c>
      <c r="J4547" s="89">
        <v>51356813</v>
      </c>
      <c r="K4547" t="s">
        <v>127</v>
      </c>
      <c r="L4547" t="s">
        <v>128</v>
      </c>
      <c r="M4547" t="s">
        <v>139</v>
      </c>
      <c r="N4547">
        <v>1</v>
      </c>
      <c r="O4547" s="89">
        <v>90629.67</v>
      </c>
      <c r="P4547" s="89">
        <v>1570914.28</v>
      </c>
      <c r="Q4547" t="s">
        <v>142</v>
      </c>
      <c r="R4547" t="s">
        <v>42</v>
      </c>
    </row>
    <row r="4548" spans="3:18" hidden="1" x14ac:dyDescent="0.25">
      <c r="C4548" t="s">
        <v>45</v>
      </c>
      <c r="D4548" t="s">
        <v>24</v>
      </c>
      <c r="E4548" t="s">
        <v>48</v>
      </c>
      <c r="F4548" t="s">
        <v>41</v>
      </c>
      <c r="G4548" s="89">
        <v>78213</v>
      </c>
      <c r="H4548" t="s">
        <v>145</v>
      </c>
      <c r="I4548" t="s">
        <v>133</v>
      </c>
      <c r="J4548" s="89">
        <v>1955325</v>
      </c>
      <c r="K4548" t="s">
        <v>127</v>
      </c>
      <c r="L4548" t="s">
        <v>151</v>
      </c>
      <c r="N4548">
        <v>1</v>
      </c>
      <c r="O4548" s="89">
        <v>3910.65</v>
      </c>
      <c r="P4548" s="89">
        <v>27374.55</v>
      </c>
      <c r="Q4548" t="s">
        <v>130</v>
      </c>
      <c r="R4548" t="s">
        <v>131</v>
      </c>
    </row>
    <row r="4549" spans="3:18" hidden="1" x14ac:dyDescent="0.25">
      <c r="C4549" t="s">
        <v>45</v>
      </c>
      <c r="D4549" t="s">
        <v>22</v>
      </c>
      <c r="E4549" t="s">
        <v>48</v>
      </c>
      <c r="F4549" t="s">
        <v>41</v>
      </c>
      <c r="G4549" s="89">
        <v>358268</v>
      </c>
      <c r="H4549" t="s">
        <v>42</v>
      </c>
      <c r="I4549" t="s">
        <v>147</v>
      </c>
      <c r="J4549" s="89">
        <v>1074804</v>
      </c>
      <c r="K4549" t="s">
        <v>127</v>
      </c>
      <c r="L4549" t="s">
        <v>128</v>
      </c>
      <c r="M4549" t="s">
        <v>143</v>
      </c>
      <c r="N4549">
        <v>1</v>
      </c>
      <c r="O4549" s="89">
        <v>14330.72</v>
      </c>
      <c r="P4549" s="89">
        <v>64488.24</v>
      </c>
      <c r="Q4549" t="s">
        <v>130</v>
      </c>
      <c r="R4549" t="s">
        <v>42</v>
      </c>
    </row>
    <row r="4550" spans="3:18" hidden="1" x14ac:dyDescent="0.25">
      <c r="C4550" t="s">
        <v>39</v>
      </c>
      <c r="D4550" t="s">
        <v>22</v>
      </c>
      <c r="E4550" t="s">
        <v>40</v>
      </c>
      <c r="F4550" t="s">
        <v>41</v>
      </c>
      <c r="G4550" s="89">
        <v>429820</v>
      </c>
      <c r="H4550" t="s">
        <v>145</v>
      </c>
      <c r="I4550" t="s">
        <v>133</v>
      </c>
      <c r="J4550" s="89"/>
      <c r="N4550">
        <v>0</v>
      </c>
      <c r="O4550" s="89"/>
      <c r="P4550" s="89"/>
      <c r="R4550" t="s">
        <v>131</v>
      </c>
    </row>
    <row r="4551" spans="3:18" hidden="1" x14ac:dyDescent="0.25">
      <c r="C4551" t="s">
        <v>45</v>
      </c>
      <c r="D4551" t="s">
        <v>20</v>
      </c>
      <c r="E4551" t="s">
        <v>43</v>
      </c>
      <c r="F4551" t="s">
        <v>41</v>
      </c>
      <c r="G4551" s="89">
        <v>2581172</v>
      </c>
      <c r="H4551" t="s">
        <v>42</v>
      </c>
      <c r="I4551" t="s">
        <v>133</v>
      </c>
      <c r="J4551" s="89">
        <v>74853988</v>
      </c>
      <c r="K4551" t="s">
        <v>134</v>
      </c>
      <c r="L4551" t="s">
        <v>128</v>
      </c>
      <c r="M4551" t="s">
        <v>139</v>
      </c>
      <c r="N4551">
        <v>1</v>
      </c>
      <c r="O4551" s="89">
        <v>77435.16</v>
      </c>
      <c r="P4551" s="89">
        <v>1781008.68</v>
      </c>
      <c r="Q4551" t="s">
        <v>137</v>
      </c>
      <c r="R4551" t="s">
        <v>131</v>
      </c>
    </row>
    <row r="4552" spans="3:18" hidden="1" x14ac:dyDescent="0.25">
      <c r="C4552" t="s">
        <v>45</v>
      </c>
      <c r="D4552" t="s">
        <v>19</v>
      </c>
      <c r="E4552" t="s">
        <v>43</v>
      </c>
      <c r="F4552" t="s">
        <v>41</v>
      </c>
      <c r="G4552" s="89">
        <v>2815176</v>
      </c>
      <c r="H4552" t="s">
        <v>42</v>
      </c>
      <c r="I4552" t="s">
        <v>133</v>
      </c>
      <c r="J4552" s="89">
        <v>81640104</v>
      </c>
      <c r="K4552" t="s">
        <v>144</v>
      </c>
      <c r="N4552">
        <v>1</v>
      </c>
      <c r="O4552" s="89">
        <v>84455.28</v>
      </c>
      <c r="P4552" s="89">
        <v>816401.04</v>
      </c>
      <c r="Q4552" t="s">
        <v>130</v>
      </c>
      <c r="R4552" t="s">
        <v>131</v>
      </c>
    </row>
    <row r="4553" spans="3:18" hidden="1" x14ac:dyDescent="0.25">
      <c r="C4553" t="s">
        <v>45</v>
      </c>
      <c r="D4553" t="s">
        <v>138</v>
      </c>
      <c r="E4553" t="s">
        <v>40</v>
      </c>
      <c r="F4553" t="s">
        <v>41</v>
      </c>
      <c r="G4553" s="89">
        <v>110986</v>
      </c>
      <c r="H4553" t="s">
        <v>132</v>
      </c>
      <c r="I4553" t="s">
        <v>126</v>
      </c>
      <c r="J4553" s="89">
        <v>1997748</v>
      </c>
      <c r="K4553" t="s">
        <v>127</v>
      </c>
      <c r="L4553" t="s">
        <v>128</v>
      </c>
      <c r="N4553">
        <v>1</v>
      </c>
      <c r="O4553" s="89">
        <v>3329.58</v>
      </c>
      <c r="P4553" s="89">
        <v>81019.78</v>
      </c>
      <c r="Q4553" t="s">
        <v>137</v>
      </c>
      <c r="R4553" t="s">
        <v>131</v>
      </c>
    </row>
    <row r="4554" spans="3:18" x14ac:dyDescent="0.25">
      <c r="C4554" t="s">
        <v>47</v>
      </c>
      <c r="D4554" t="s">
        <v>21</v>
      </c>
      <c r="E4554" t="s">
        <v>48</v>
      </c>
      <c r="F4554" t="s">
        <v>41</v>
      </c>
      <c r="G4554" s="89">
        <v>85305</v>
      </c>
      <c r="H4554" t="s">
        <v>42</v>
      </c>
      <c r="I4554" t="s">
        <v>141</v>
      </c>
      <c r="J4554" s="89">
        <v>597135</v>
      </c>
      <c r="K4554" t="s">
        <v>127</v>
      </c>
      <c r="L4554" t="s">
        <v>128</v>
      </c>
      <c r="M4554" t="s">
        <v>129</v>
      </c>
      <c r="N4554">
        <v>1</v>
      </c>
      <c r="O4554" s="89">
        <v>3412.2</v>
      </c>
      <c r="P4554" s="89">
        <v>50329.95</v>
      </c>
      <c r="Q4554" t="s">
        <v>142</v>
      </c>
      <c r="R4554" t="s">
        <v>131</v>
      </c>
    </row>
    <row r="4555" spans="3:18" hidden="1" x14ac:dyDescent="0.25">
      <c r="C4555" t="s">
        <v>45</v>
      </c>
      <c r="D4555" t="s">
        <v>21</v>
      </c>
      <c r="E4555" t="s">
        <v>40</v>
      </c>
      <c r="F4555" t="s">
        <v>41</v>
      </c>
      <c r="G4555" s="89">
        <v>379022</v>
      </c>
      <c r="H4555" t="s">
        <v>146</v>
      </c>
      <c r="I4555" t="s">
        <v>126</v>
      </c>
      <c r="J4555" s="89">
        <v>7201418</v>
      </c>
      <c r="K4555" t="s">
        <v>144</v>
      </c>
      <c r="N4555">
        <v>1</v>
      </c>
      <c r="O4555" s="89">
        <v>11370.66</v>
      </c>
      <c r="P4555" s="89">
        <v>197091.44</v>
      </c>
      <c r="Q4555" t="s">
        <v>142</v>
      </c>
      <c r="R4555" t="s">
        <v>131</v>
      </c>
    </row>
    <row r="4556" spans="3:18" hidden="1" x14ac:dyDescent="0.25">
      <c r="C4556" t="s">
        <v>45</v>
      </c>
      <c r="D4556" t="s">
        <v>24</v>
      </c>
      <c r="E4556" t="s">
        <v>48</v>
      </c>
      <c r="F4556" t="s">
        <v>41</v>
      </c>
      <c r="G4556" s="89">
        <v>41450</v>
      </c>
      <c r="H4556" t="s">
        <v>145</v>
      </c>
      <c r="I4556" t="s">
        <v>126</v>
      </c>
      <c r="J4556" s="89">
        <v>580300</v>
      </c>
      <c r="K4556" t="s">
        <v>134</v>
      </c>
      <c r="L4556" t="s">
        <v>128</v>
      </c>
      <c r="N4556">
        <v>1</v>
      </c>
      <c r="O4556" s="89">
        <v>2072.5</v>
      </c>
      <c r="P4556" s="89">
        <v>16580</v>
      </c>
      <c r="Q4556" t="s">
        <v>130</v>
      </c>
      <c r="R4556" t="s">
        <v>131</v>
      </c>
    </row>
    <row r="4557" spans="3:18" hidden="1" x14ac:dyDescent="0.25">
      <c r="C4557" t="s">
        <v>45</v>
      </c>
      <c r="D4557" t="s">
        <v>19</v>
      </c>
      <c r="E4557" t="s">
        <v>43</v>
      </c>
      <c r="F4557" t="s">
        <v>41</v>
      </c>
      <c r="G4557" s="89">
        <v>260311</v>
      </c>
      <c r="H4557" t="s">
        <v>140</v>
      </c>
      <c r="I4557" t="s">
        <v>126</v>
      </c>
      <c r="J4557" s="89">
        <v>3904665</v>
      </c>
      <c r="K4557" t="s">
        <v>134</v>
      </c>
      <c r="L4557" t="s">
        <v>128</v>
      </c>
      <c r="N4557">
        <v>1</v>
      </c>
      <c r="O4557" s="89">
        <v>7809.33</v>
      </c>
      <c r="P4557" s="89">
        <v>83299.520000000004</v>
      </c>
      <c r="Q4557" t="s">
        <v>130</v>
      </c>
      <c r="R4557" t="s">
        <v>131</v>
      </c>
    </row>
    <row r="4558" spans="3:18" hidden="1" x14ac:dyDescent="0.25">
      <c r="C4558" t="s">
        <v>45</v>
      </c>
      <c r="D4558" t="s">
        <v>23</v>
      </c>
      <c r="E4558" t="s">
        <v>48</v>
      </c>
      <c r="F4558" t="s">
        <v>41</v>
      </c>
      <c r="G4558" s="89">
        <v>84688</v>
      </c>
      <c r="H4558" t="s">
        <v>140</v>
      </c>
      <c r="I4558" t="s">
        <v>141</v>
      </c>
      <c r="J4558" s="89">
        <v>592816</v>
      </c>
      <c r="K4558" t="s">
        <v>127</v>
      </c>
      <c r="L4558" t="s">
        <v>128</v>
      </c>
      <c r="N4558">
        <v>1</v>
      </c>
      <c r="O4558" s="89">
        <v>3387.52</v>
      </c>
      <c r="P4558" s="89">
        <v>55047.199999999997</v>
      </c>
      <c r="Q4558" t="s">
        <v>137</v>
      </c>
      <c r="R4558" t="s">
        <v>131</v>
      </c>
    </row>
    <row r="4559" spans="3:18" x14ac:dyDescent="0.25">
      <c r="C4559" t="s">
        <v>47</v>
      </c>
      <c r="D4559" t="s">
        <v>21</v>
      </c>
      <c r="E4559" t="s">
        <v>48</v>
      </c>
      <c r="F4559" t="s">
        <v>41</v>
      </c>
      <c r="G4559" s="89">
        <v>1006450</v>
      </c>
      <c r="H4559" t="s">
        <v>140</v>
      </c>
      <c r="I4559" t="s">
        <v>141</v>
      </c>
      <c r="J4559" s="89">
        <v>8051600</v>
      </c>
      <c r="K4559" t="s">
        <v>127</v>
      </c>
      <c r="L4559" t="s">
        <v>128</v>
      </c>
      <c r="N4559">
        <v>1</v>
      </c>
      <c r="O4559" s="89">
        <v>60387</v>
      </c>
      <c r="P4559" s="89">
        <v>301935</v>
      </c>
      <c r="Q4559" t="s">
        <v>130</v>
      </c>
      <c r="R4559" t="s">
        <v>131</v>
      </c>
    </row>
    <row r="4560" spans="3:18" hidden="1" x14ac:dyDescent="0.25">
      <c r="C4560" t="s">
        <v>45</v>
      </c>
      <c r="D4560" t="s">
        <v>149</v>
      </c>
      <c r="E4560" t="s">
        <v>43</v>
      </c>
      <c r="F4560" t="s">
        <v>41</v>
      </c>
      <c r="G4560" s="89">
        <v>2239594</v>
      </c>
      <c r="H4560" t="s">
        <v>42</v>
      </c>
      <c r="I4560" t="s">
        <v>133</v>
      </c>
      <c r="J4560" s="89">
        <v>64948226</v>
      </c>
      <c r="K4560" t="s">
        <v>134</v>
      </c>
      <c r="L4560" t="s">
        <v>128</v>
      </c>
      <c r="M4560" t="s">
        <v>136</v>
      </c>
      <c r="N4560">
        <v>1</v>
      </c>
      <c r="O4560" s="89">
        <v>67187.820000000007</v>
      </c>
      <c r="P4560" s="89">
        <v>1522923.92</v>
      </c>
      <c r="Q4560" t="s">
        <v>137</v>
      </c>
      <c r="R4560" t="s">
        <v>131</v>
      </c>
    </row>
    <row r="4561" spans="3:18" x14ac:dyDescent="0.25">
      <c r="C4561" t="s">
        <v>47</v>
      </c>
      <c r="D4561" t="s">
        <v>23</v>
      </c>
      <c r="E4561" t="s">
        <v>48</v>
      </c>
      <c r="F4561" t="s">
        <v>41</v>
      </c>
      <c r="G4561" s="89">
        <v>1163890</v>
      </c>
      <c r="H4561" t="s">
        <v>146</v>
      </c>
      <c r="I4561" t="s">
        <v>147</v>
      </c>
      <c r="J4561" s="89">
        <v>4655560</v>
      </c>
      <c r="K4561" t="s">
        <v>127</v>
      </c>
      <c r="L4561" t="s">
        <v>128</v>
      </c>
      <c r="N4561">
        <v>1</v>
      </c>
      <c r="O4561" s="89">
        <v>46555.6</v>
      </c>
      <c r="P4561" s="89">
        <v>244416.9</v>
      </c>
      <c r="Q4561" t="s">
        <v>130</v>
      </c>
      <c r="R4561" t="s">
        <v>131</v>
      </c>
    </row>
    <row r="4562" spans="3:18" hidden="1" x14ac:dyDescent="0.25">
      <c r="C4562" t="s">
        <v>45</v>
      </c>
      <c r="D4562" t="s">
        <v>22</v>
      </c>
      <c r="E4562" t="s">
        <v>43</v>
      </c>
      <c r="F4562" t="s">
        <v>41</v>
      </c>
      <c r="G4562" s="89">
        <v>133722</v>
      </c>
      <c r="H4562" t="s">
        <v>42</v>
      </c>
      <c r="I4562" t="s">
        <v>126</v>
      </c>
      <c r="J4562" s="89">
        <v>2273274</v>
      </c>
      <c r="K4562" t="s">
        <v>144</v>
      </c>
      <c r="N4562">
        <v>1</v>
      </c>
      <c r="O4562" s="89">
        <v>4011.66</v>
      </c>
      <c r="P4562" s="89">
        <v>61512.12</v>
      </c>
      <c r="Q4562" t="s">
        <v>142</v>
      </c>
      <c r="R4562" t="s">
        <v>42</v>
      </c>
    </row>
    <row r="4563" spans="3:18" hidden="1" x14ac:dyDescent="0.25">
      <c r="C4563" t="s">
        <v>45</v>
      </c>
      <c r="D4563" t="s">
        <v>19</v>
      </c>
      <c r="E4563" t="s">
        <v>43</v>
      </c>
      <c r="F4563" t="s">
        <v>41</v>
      </c>
      <c r="G4563" s="89">
        <v>92351</v>
      </c>
      <c r="H4563" t="s">
        <v>42</v>
      </c>
      <c r="I4563" t="s">
        <v>126</v>
      </c>
      <c r="J4563" s="89">
        <v>1847020</v>
      </c>
      <c r="K4563" t="s">
        <v>127</v>
      </c>
      <c r="L4563" t="s">
        <v>128</v>
      </c>
      <c r="M4563" t="s">
        <v>148</v>
      </c>
      <c r="N4563">
        <v>1</v>
      </c>
      <c r="O4563" s="89">
        <v>2770.53</v>
      </c>
      <c r="P4563" s="89">
        <v>48022.52</v>
      </c>
      <c r="Q4563" t="s">
        <v>142</v>
      </c>
      <c r="R4563" t="s">
        <v>42</v>
      </c>
    </row>
    <row r="4564" spans="3:18" hidden="1" x14ac:dyDescent="0.25">
      <c r="C4564" t="s">
        <v>45</v>
      </c>
      <c r="D4564" t="s">
        <v>24</v>
      </c>
      <c r="E4564" t="s">
        <v>52</v>
      </c>
      <c r="F4564" t="s">
        <v>41</v>
      </c>
      <c r="G4564" s="89">
        <v>220112</v>
      </c>
      <c r="H4564" t="s">
        <v>42</v>
      </c>
      <c r="I4564" t="s">
        <v>133</v>
      </c>
      <c r="J4564" s="89">
        <v>5502800</v>
      </c>
      <c r="K4564" t="s">
        <v>127</v>
      </c>
      <c r="L4564" t="s">
        <v>128</v>
      </c>
      <c r="M4564" t="s">
        <v>139</v>
      </c>
      <c r="N4564">
        <v>1</v>
      </c>
      <c r="O4564" s="89">
        <v>6603.36</v>
      </c>
      <c r="P4564" s="89">
        <v>173888.48</v>
      </c>
      <c r="Q4564" t="s">
        <v>137</v>
      </c>
      <c r="R4564" t="s">
        <v>42</v>
      </c>
    </row>
    <row r="4565" spans="3:18" hidden="1" x14ac:dyDescent="0.25">
      <c r="C4565" t="s">
        <v>45</v>
      </c>
      <c r="D4565" t="s">
        <v>23</v>
      </c>
      <c r="E4565" t="s">
        <v>40</v>
      </c>
      <c r="F4565" t="s">
        <v>41</v>
      </c>
      <c r="G4565" s="89">
        <v>3525428</v>
      </c>
      <c r="H4565" t="s">
        <v>145</v>
      </c>
      <c r="I4565" t="s">
        <v>133</v>
      </c>
      <c r="J4565" s="89">
        <v>112813696</v>
      </c>
      <c r="K4565" t="s">
        <v>144</v>
      </c>
      <c r="N4565">
        <v>1</v>
      </c>
      <c r="O4565" s="89">
        <v>105762.84</v>
      </c>
      <c r="P4565" s="89">
        <v>2432545.3199999998</v>
      </c>
      <c r="Q4565" t="s">
        <v>137</v>
      </c>
      <c r="R4565" t="s">
        <v>131</v>
      </c>
    </row>
    <row r="4566" spans="3:18" hidden="1" x14ac:dyDescent="0.25">
      <c r="C4566" t="s">
        <v>45</v>
      </c>
      <c r="D4566" t="s">
        <v>24</v>
      </c>
      <c r="E4566" t="s">
        <v>48</v>
      </c>
      <c r="F4566" t="s">
        <v>41</v>
      </c>
      <c r="G4566" s="89">
        <v>173880</v>
      </c>
      <c r="H4566" t="s">
        <v>132</v>
      </c>
      <c r="I4566" t="s">
        <v>126</v>
      </c>
      <c r="J4566" s="89">
        <v>2608200</v>
      </c>
      <c r="K4566" t="s">
        <v>144</v>
      </c>
      <c r="N4566">
        <v>1</v>
      </c>
      <c r="O4566" s="89">
        <v>5216.3999999999996</v>
      </c>
      <c r="P4566" s="89">
        <v>83462.399999999994</v>
      </c>
      <c r="Q4566" t="s">
        <v>142</v>
      </c>
      <c r="R4566" t="s">
        <v>131</v>
      </c>
    </row>
    <row r="4567" spans="3:18" x14ac:dyDescent="0.25">
      <c r="C4567" t="s">
        <v>47</v>
      </c>
      <c r="D4567" t="s">
        <v>23</v>
      </c>
      <c r="E4567" t="s">
        <v>40</v>
      </c>
      <c r="F4567" t="s">
        <v>41</v>
      </c>
      <c r="G4567" s="89">
        <v>976</v>
      </c>
      <c r="H4567" t="s">
        <v>145</v>
      </c>
      <c r="I4567" t="s">
        <v>147</v>
      </c>
      <c r="J4567" s="89"/>
      <c r="K4567" t="s">
        <v>127</v>
      </c>
      <c r="L4567" t="s">
        <v>128</v>
      </c>
      <c r="N4567">
        <v>0</v>
      </c>
      <c r="O4567" s="89">
        <v>19.52</v>
      </c>
      <c r="P4567" s="89">
        <v>146.4</v>
      </c>
      <c r="Q4567" t="s">
        <v>130</v>
      </c>
      <c r="R4567" t="s">
        <v>131</v>
      </c>
    </row>
    <row r="4568" spans="3:18" hidden="1" x14ac:dyDescent="0.25">
      <c r="C4568" t="s">
        <v>45</v>
      </c>
      <c r="D4568" t="s">
        <v>20</v>
      </c>
      <c r="E4568" t="s">
        <v>43</v>
      </c>
      <c r="F4568" t="s">
        <v>41</v>
      </c>
      <c r="G4568" s="89">
        <v>140868</v>
      </c>
      <c r="H4568" t="s">
        <v>42</v>
      </c>
      <c r="I4568" t="s">
        <v>141</v>
      </c>
      <c r="J4568" s="89">
        <v>1267812</v>
      </c>
      <c r="K4568" t="s">
        <v>127</v>
      </c>
      <c r="L4568" t="s">
        <v>128</v>
      </c>
      <c r="M4568" t="s">
        <v>129</v>
      </c>
      <c r="N4568">
        <v>1</v>
      </c>
      <c r="O4568" s="89">
        <v>4226.04</v>
      </c>
      <c r="P4568" s="89">
        <v>56347.199999999997</v>
      </c>
      <c r="Q4568" t="s">
        <v>142</v>
      </c>
      <c r="R4568" t="s">
        <v>42</v>
      </c>
    </row>
    <row r="4569" spans="3:18" hidden="1" x14ac:dyDescent="0.25">
      <c r="C4569" t="s">
        <v>45</v>
      </c>
      <c r="D4569" t="s">
        <v>149</v>
      </c>
      <c r="E4569" t="s">
        <v>43</v>
      </c>
      <c r="F4569" t="s">
        <v>53</v>
      </c>
      <c r="G4569" s="89">
        <v>300760</v>
      </c>
      <c r="H4569" t="s">
        <v>42</v>
      </c>
      <c r="I4569" t="s">
        <v>141</v>
      </c>
      <c r="J4569" s="89">
        <v>3007600</v>
      </c>
      <c r="K4569" t="s">
        <v>144</v>
      </c>
      <c r="N4569">
        <v>1</v>
      </c>
      <c r="O4569" s="89">
        <v>9022.7999999999993</v>
      </c>
      <c r="P4569" s="89">
        <v>150380</v>
      </c>
      <c r="Q4569" t="s">
        <v>142</v>
      </c>
      <c r="R4569" t="s">
        <v>42</v>
      </c>
    </row>
    <row r="4570" spans="3:18" hidden="1" x14ac:dyDescent="0.25">
      <c r="C4570" t="s">
        <v>45</v>
      </c>
      <c r="D4570" t="s">
        <v>22</v>
      </c>
      <c r="E4570" t="s">
        <v>43</v>
      </c>
      <c r="F4570" t="s">
        <v>41</v>
      </c>
      <c r="G4570" s="89">
        <v>59376</v>
      </c>
      <c r="H4570" t="s">
        <v>42</v>
      </c>
      <c r="I4570" t="s">
        <v>133</v>
      </c>
      <c r="J4570" s="89">
        <v>1662528</v>
      </c>
      <c r="K4570" t="s">
        <v>127</v>
      </c>
      <c r="L4570" t="s">
        <v>128</v>
      </c>
      <c r="M4570" t="s">
        <v>129</v>
      </c>
      <c r="N4570">
        <v>1</v>
      </c>
      <c r="O4570" s="89">
        <v>1781.28</v>
      </c>
      <c r="P4570" s="89">
        <v>12468.96</v>
      </c>
      <c r="Q4570" t="s">
        <v>130</v>
      </c>
      <c r="R4570" t="s">
        <v>42</v>
      </c>
    </row>
    <row r="4571" spans="3:18" x14ac:dyDescent="0.25">
      <c r="C4571" t="s">
        <v>47</v>
      </c>
      <c r="D4571" t="s">
        <v>23</v>
      </c>
      <c r="E4571" t="s">
        <v>40</v>
      </c>
      <c r="F4571" t="s">
        <v>41</v>
      </c>
      <c r="G4571" s="89">
        <v>162303</v>
      </c>
      <c r="H4571" t="s">
        <v>140</v>
      </c>
      <c r="I4571" t="s">
        <v>126</v>
      </c>
      <c r="J4571" s="89">
        <v>2434545</v>
      </c>
      <c r="K4571" t="s">
        <v>144</v>
      </c>
      <c r="N4571">
        <v>1</v>
      </c>
      <c r="O4571" s="89">
        <v>6492.12</v>
      </c>
      <c r="P4571" s="89">
        <v>16230.3</v>
      </c>
      <c r="Q4571" t="s">
        <v>130</v>
      </c>
      <c r="R4571" t="s">
        <v>131</v>
      </c>
    </row>
    <row r="4572" spans="3:18" hidden="1" x14ac:dyDescent="0.25">
      <c r="C4572" t="s">
        <v>45</v>
      </c>
      <c r="D4572" t="s">
        <v>138</v>
      </c>
      <c r="E4572" t="s">
        <v>43</v>
      </c>
      <c r="F4572" t="s">
        <v>41</v>
      </c>
      <c r="G4572" s="89">
        <v>26940</v>
      </c>
      <c r="H4572" t="s">
        <v>146</v>
      </c>
      <c r="I4572" t="s">
        <v>141</v>
      </c>
      <c r="J4572" s="89">
        <v>215520</v>
      </c>
      <c r="K4572" t="s">
        <v>127</v>
      </c>
      <c r="L4572" t="s">
        <v>128</v>
      </c>
      <c r="N4572">
        <v>1</v>
      </c>
      <c r="O4572" s="89">
        <v>808.2</v>
      </c>
      <c r="P4572" s="89">
        <v>21013.200000000001</v>
      </c>
      <c r="Q4572" t="s">
        <v>137</v>
      </c>
      <c r="R4572" t="s">
        <v>131</v>
      </c>
    </row>
    <row r="4573" spans="3:18" hidden="1" x14ac:dyDescent="0.25">
      <c r="C4573" t="s">
        <v>45</v>
      </c>
      <c r="D4573" t="s">
        <v>24</v>
      </c>
      <c r="E4573" t="s">
        <v>48</v>
      </c>
      <c r="F4573" t="s">
        <v>41</v>
      </c>
      <c r="G4573" s="89">
        <v>2499190</v>
      </c>
      <c r="H4573" t="s">
        <v>145</v>
      </c>
      <c r="I4573" t="s">
        <v>133</v>
      </c>
      <c r="J4573" s="89">
        <v>69977320</v>
      </c>
      <c r="K4573" t="s">
        <v>144</v>
      </c>
      <c r="N4573">
        <v>1</v>
      </c>
      <c r="O4573" s="89">
        <v>74975.7</v>
      </c>
      <c r="P4573" s="89">
        <v>1224603.1000000001</v>
      </c>
      <c r="Q4573" t="s">
        <v>142</v>
      </c>
      <c r="R4573" t="s">
        <v>131</v>
      </c>
    </row>
    <row r="4574" spans="3:18" x14ac:dyDescent="0.25">
      <c r="C4574" t="s">
        <v>47</v>
      </c>
      <c r="D4574" t="s">
        <v>20</v>
      </c>
      <c r="E4574" t="s">
        <v>43</v>
      </c>
      <c r="F4574" t="s">
        <v>41</v>
      </c>
      <c r="G4574" s="89">
        <v>2823547</v>
      </c>
      <c r="H4574" t="s">
        <v>146</v>
      </c>
      <c r="I4574" t="s">
        <v>126</v>
      </c>
      <c r="J4574" s="89">
        <v>33882564</v>
      </c>
      <c r="K4574" t="s">
        <v>127</v>
      </c>
      <c r="L4574" t="s">
        <v>128</v>
      </c>
      <c r="N4574">
        <v>1</v>
      </c>
      <c r="O4574" s="89">
        <v>112941.88</v>
      </c>
      <c r="P4574" s="89">
        <v>592944.87</v>
      </c>
      <c r="Q4574" t="s">
        <v>130</v>
      </c>
      <c r="R4574" t="s">
        <v>131</v>
      </c>
    </row>
    <row r="4575" spans="3:18" hidden="1" x14ac:dyDescent="0.25">
      <c r="C4575" t="s">
        <v>45</v>
      </c>
      <c r="D4575" t="s">
        <v>24</v>
      </c>
      <c r="E4575" t="s">
        <v>44</v>
      </c>
      <c r="F4575" t="s">
        <v>41</v>
      </c>
      <c r="G4575" s="89">
        <v>1259171</v>
      </c>
      <c r="H4575" t="s">
        <v>146</v>
      </c>
      <c r="I4575" t="s">
        <v>133</v>
      </c>
      <c r="J4575" s="89">
        <v>33997617</v>
      </c>
      <c r="K4575" t="s">
        <v>127</v>
      </c>
      <c r="L4575" t="s">
        <v>128</v>
      </c>
      <c r="N4575">
        <v>1</v>
      </c>
      <c r="O4575" s="89">
        <v>37775.129999999997</v>
      </c>
      <c r="P4575" s="89">
        <v>856236.28</v>
      </c>
      <c r="Q4575" t="s">
        <v>137</v>
      </c>
      <c r="R4575" t="s">
        <v>131</v>
      </c>
    </row>
    <row r="4576" spans="3:18" hidden="1" x14ac:dyDescent="0.25">
      <c r="C4576" t="s">
        <v>45</v>
      </c>
      <c r="D4576" t="s">
        <v>19</v>
      </c>
      <c r="E4576" t="s">
        <v>43</v>
      </c>
      <c r="F4576" t="s">
        <v>41</v>
      </c>
      <c r="G4576" s="89">
        <v>53928984</v>
      </c>
      <c r="H4576" t="s">
        <v>42</v>
      </c>
      <c r="I4576" t="s">
        <v>133</v>
      </c>
      <c r="J4576" s="89">
        <v>1725727488</v>
      </c>
      <c r="K4576" t="s">
        <v>127</v>
      </c>
      <c r="L4576" t="s">
        <v>128</v>
      </c>
      <c r="M4576" t="s">
        <v>136</v>
      </c>
      <c r="N4576">
        <v>1</v>
      </c>
      <c r="O4576" s="89">
        <v>1617869.52</v>
      </c>
      <c r="P4576" s="89">
        <v>37750288.799999997</v>
      </c>
      <c r="Q4576" t="s">
        <v>137</v>
      </c>
      <c r="R4576" t="s">
        <v>42</v>
      </c>
    </row>
    <row r="4577" spans="3:18" hidden="1" x14ac:dyDescent="0.25">
      <c r="C4577" t="s">
        <v>45</v>
      </c>
      <c r="D4577" t="s">
        <v>19</v>
      </c>
      <c r="E4577" t="s">
        <v>43</v>
      </c>
      <c r="F4577" t="s">
        <v>41</v>
      </c>
      <c r="G4577" s="89">
        <v>14422</v>
      </c>
      <c r="H4577" t="s">
        <v>42</v>
      </c>
      <c r="I4577" t="s">
        <v>141</v>
      </c>
      <c r="J4577" s="89">
        <v>129798</v>
      </c>
      <c r="K4577" t="s">
        <v>127</v>
      </c>
      <c r="L4577" t="s">
        <v>128</v>
      </c>
      <c r="M4577" t="s">
        <v>139</v>
      </c>
      <c r="N4577">
        <v>1</v>
      </c>
      <c r="O4577" s="89">
        <v>432.66</v>
      </c>
      <c r="P4577" s="89">
        <v>1153.76</v>
      </c>
      <c r="Q4577" t="s">
        <v>130</v>
      </c>
      <c r="R4577" t="s">
        <v>42</v>
      </c>
    </row>
    <row r="4578" spans="3:18" hidden="1" x14ac:dyDescent="0.25">
      <c r="C4578" t="s">
        <v>45</v>
      </c>
      <c r="D4578" t="s">
        <v>20</v>
      </c>
      <c r="E4578" t="s">
        <v>43</v>
      </c>
      <c r="F4578" t="s">
        <v>41</v>
      </c>
      <c r="G4578" s="89">
        <v>18922309</v>
      </c>
      <c r="H4578" t="s">
        <v>42</v>
      </c>
      <c r="I4578" t="s">
        <v>133</v>
      </c>
      <c r="J4578" s="89">
        <v>605513888</v>
      </c>
      <c r="K4578" t="s">
        <v>144</v>
      </c>
      <c r="N4578">
        <v>1</v>
      </c>
      <c r="O4578" s="89">
        <v>567669.27</v>
      </c>
      <c r="P4578" s="89">
        <v>9461154.5</v>
      </c>
      <c r="Q4578" t="s">
        <v>142</v>
      </c>
      <c r="R4578" t="s">
        <v>42</v>
      </c>
    </row>
    <row r="4579" spans="3:18" hidden="1" x14ac:dyDescent="0.25">
      <c r="C4579" t="s">
        <v>45</v>
      </c>
      <c r="D4579" t="s">
        <v>20</v>
      </c>
      <c r="E4579" t="s">
        <v>40</v>
      </c>
      <c r="F4579" t="s">
        <v>41</v>
      </c>
      <c r="G4579" s="89">
        <v>80029</v>
      </c>
      <c r="H4579" t="s">
        <v>42</v>
      </c>
      <c r="I4579" t="s">
        <v>133</v>
      </c>
      <c r="J4579" s="89">
        <v>2801015</v>
      </c>
      <c r="K4579" t="s">
        <v>127</v>
      </c>
      <c r="L4579" t="s">
        <v>128</v>
      </c>
      <c r="M4579" t="s">
        <v>129</v>
      </c>
      <c r="N4579">
        <v>1</v>
      </c>
      <c r="O4579" s="89">
        <v>2400.87</v>
      </c>
      <c r="P4579" s="89">
        <v>63222.91</v>
      </c>
      <c r="Q4579" t="s">
        <v>137</v>
      </c>
      <c r="R4579" t="s">
        <v>42</v>
      </c>
    </row>
    <row r="4580" spans="3:18" x14ac:dyDescent="0.25">
      <c r="C4580" t="s">
        <v>47</v>
      </c>
      <c r="D4580" t="s">
        <v>25</v>
      </c>
      <c r="E4580" t="s">
        <v>48</v>
      </c>
      <c r="F4580" t="s">
        <v>41</v>
      </c>
      <c r="G4580" s="89">
        <v>71795</v>
      </c>
      <c r="H4580" t="s">
        <v>145</v>
      </c>
      <c r="I4580" t="s">
        <v>141</v>
      </c>
      <c r="J4580" s="89">
        <v>574360</v>
      </c>
      <c r="K4580" t="s">
        <v>127</v>
      </c>
      <c r="L4580" t="s">
        <v>128</v>
      </c>
      <c r="N4580">
        <v>1</v>
      </c>
      <c r="O4580" s="89">
        <v>3589.75</v>
      </c>
      <c r="P4580" s="89">
        <v>28000.05</v>
      </c>
      <c r="Q4580" t="s">
        <v>130</v>
      </c>
      <c r="R4580" t="s">
        <v>131</v>
      </c>
    </row>
    <row r="4581" spans="3:18" hidden="1" x14ac:dyDescent="0.25">
      <c r="C4581" t="s">
        <v>45</v>
      </c>
      <c r="D4581" t="s">
        <v>138</v>
      </c>
      <c r="E4581" t="s">
        <v>40</v>
      </c>
      <c r="F4581" t="s">
        <v>41</v>
      </c>
      <c r="G4581" s="89">
        <v>72106</v>
      </c>
      <c r="H4581" t="s">
        <v>42</v>
      </c>
      <c r="I4581" t="s">
        <v>133</v>
      </c>
      <c r="J4581" s="89">
        <v>2235286</v>
      </c>
      <c r="K4581" t="s">
        <v>127</v>
      </c>
      <c r="L4581" t="s">
        <v>128</v>
      </c>
      <c r="M4581" t="s">
        <v>143</v>
      </c>
      <c r="N4581">
        <v>1</v>
      </c>
      <c r="O4581" s="89">
        <v>2884.24</v>
      </c>
      <c r="P4581" s="89">
        <v>41821.480000000003</v>
      </c>
      <c r="Q4581" t="s">
        <v>142</v>
      </c>
      <c r="R4581" t="s">
        <v>42</v>
      </c>
    </row>
    <row r="4582" spans="3:18" x14ac:dyDescent="0.25">
      <c r="C4582" t="s">
        <v>47</v>
      </c>
      <c r="D4582" t="s">
        <v>50</v>
      </c>
      <c r="E4582" t="s">
        <v>50</v>
      </c>
      <c r="F4582" t="s">
        <v>41</v>
      </c>
      <c r="G4582" s="89">
        <v>161255</v>
      </c>
      <c r="H4582" t="s">
        <v>79</v>
      </c>
      <c r="I4582" t="s">
        <v>147</v>
      </c>
      <c r="J4582" s="89">
        <v>483765</v>
      </c>
      <c r="K4582" t="s">
        <v>127</v>
      </c>
      <c r="N4582">
        <v>1</v>
      </c>
      <c r="O4582" s="89">
        <v>1612.55</v>
      </c>
      <c r="P4582" s="89">
        <v>116103.6</v>
      </c>
      <c r="Q4582" t="s">
        <v>137</v>
      </c>
      <c r="R4582" t="s">
        <v>79</v>
      </c>
    </row>
    <row r="4583" spans="3:18" hidden="1" x14ac:dyDescent="0.25">
      <c r="C4583" t="s">
        <v>45</v>
      </c>
      <c r="D4583" t="s">
        <v>23</v>
      </c>
      <c r="E4583" t="s">
        <v>43</v>
      </c>
      <c r="F4583" t="s">
        <v>41</v>
      </c>
      <c r="G4583" s="89">
        <v>127111</v>
      </c>
      <c r="H4583" t="s">
        <v>140</v>
      </c>
      <c r="I4583" t="s">
        <v>133</v>
      </c>
      <c r="J4583" s="89">
        <v>3686219</v>
      </c>
      <c r="K4583" t="s">
        <v>134</v>
      </c>
      <c r="L4583" t="s">
        <v>128</v>
      </c>
      <c r="N4583">
        <v>1</v>
      </c>
      <c r="O4583" s="89">
        <v>3813.33</v>
      </c>
      <c r="P4583" s="89">
        <v>127111</v>
      </c>
      <c r="Q4583" t="s">
        <v>150</v>
      </c>
      <c r="R4583" t="s">
        <v>131</v>
      </c>
    </row>
    <row r="4584" spans="3:18" hidden="1" x14ac:dyDescent="0.25">
      <c r="C4584" t="s">
        <v>45</v>
      </c>
      <c r="D4584" t="s">
        <v>149</v>
      </c>
      <c r="E4584" t="s">
        <v>43</v>
      </c>
      <c r="F4584" t="s">
        <v>41</v>
      </c>
      <c r="G4584" s="89">
        <v>9332940</v>
      </c>
      <c r="H4584" t="s">
        <v>140</v>
      </c>
      <c r="I4584" t="s">
        <v>126</v>
      </c>
      <c r="J4584" s="89">
        <v>158659980</v>
      </c>
      <c r="K4584" t="s">
        <v>127</v>
      </c>
      <c r="L4584" t="s">
        <v>128</v>
      </c>
      <c r="N4584">
        <v>1</v>
      </c>
      <c r="O4584" s="89">
        <v>279988.2</v>
      </c>
      <c r="P4584" s="89">
        <v>4573140.5999999996</v>
      </c>
      <c r="Q4584" t="s">
        <v>142</v>
      </c>
      <c r="R4584" t="s">
        <v>131</v>
      </c>
    </row>
    <row r="4585" spans="3:18" hidden="1" x14ac:dyDescent="0.25">
      <c r="C4585" t="s">
        <v>45</v>
      </c>
      <c r="D4585" t="s">
        <v>24</v>
      </c>
      <c r="E4585" t="s">
        <v>43</v>
      </c>
      <c r="F4585" t="s">
        <v>41</v>
      </c>
      <c r="G4585" s="89">
        <v>50416</v>
      </c>
      <c r="H4585" t="s">
        <v>42</v>
      </c>
      <c r="I4585" t="s">
        <v>126</v>
      </c>
      <c r="J4585" s="89">
        <v>957904</v>
      </c>
      <c r="K4585" t="s">
        <v>127</v>
      </c>
      <c r="L4585" t="s">
        <v>128</v>
      </c>
      <c r="M4585" t="s">
        <v>148</v>
      </c>
      <c r="N4585">
        <v>1</v>
      </c>
      <c r="O4585" s="89">
        <v>1512.48</v>
      </c>
      <c r="P4585" s="89">
        <v>35291.199999999997</v>
      </c>
      <c r="Q4585" t="s">
        <v>137</v>
      </c>
      <c r="R4585" t="s">
        <v>42</v>
      </c>
    </row>
    <row r="4586" spans="3:18" hidden="1" x14ac:dyDescent="0.25">
      <c r="C4586" t="s">
        <v>45</v>
      </c>
      <c r="D4586" t="s">
        <v>23</v>
      </c>
      <c r="E4586" t="s">
        <v>40</v>
      </c>
      <c r="F4586" t="s">
        <v>41</v>
      </c>
      <c r="G4586" s="89">
        <v>244268</v>
      </c>
      <c r="H4586" t="s">
        <v>132</v>
      </c>
      <c r="I4586" t="s">
        <v>133</v>
      </c>
      <c r="J4586" s="89">
        <v>5862432</v>
      </c>
      <c r="K4586" t="s">
        <v>134</v>
      </c>
      <c r="L4586" t="s">
        <v>128</v>
      </c>
      <c r="N4586">
        <v>1</v>
      </c>
      <c r="O4586" s="89">
        <v>7328.04</v>
      </c>
      <c r="P4586" s="89">
        <v>166102.24</v>
      </c>
      <c r="Q4586" t="s">
        <v>137</v>
      </c>
      <c r="R4586" t="s">
        <v>131</v>
      </c>
    </row>
    <row r="4587" spans="3:18" hidden="1" x14ac:dyDescent="0.25">
      <c r="C4587" t="s">
        <v>45</v>
      </c>
      <c r="D4587" t="s">
        <v>21</v>
      </c>
      <c r="E4587" t="s">
        <v>48</v>
      </c>
      <c r="F4587" t="s">
        <v>41</v>
      </c>
      <c r="G4587" s="89">
        <v>7423757</v>
      </c>
      <c r="H4587" t="s">
        <v>42</v>
      </c>
      <c r="I4587" t="s">
        <v>133</v>
      </c>
      <c r="J4587" s="89">
        <v>237560224</v>
      </c>
      <c r="K4587" t="s">
        <v>144</v>
      </c>
      <c r="N4587">
        <v>1</v>
      </c>
      <c r="O4587" s="89">
        <v>222712.71</v>
      </c>
      <c r="P4587" s="89">
        <v>3860353.64</v>
      </c>
      <c r="Q4587" t="s">
        <v>142</v>
      </c>
      <c r="R4587" t="s">
        <v>42</v>
      </c>
    </row>
    <row r="4588" spans="3:18" hidden="1" x14ac:dyDescent="0.25">
      <c r="C4588" t="s">
        <v>45</v>
      </c>
      <c r="D4588" t="s">
        <v>23</v>
      </c>
      <c r="E4588" t="s">
        <v>40</v>
      </c>
      <c r="F4588" t="s">
        <v>41</v>
      </c>
      <c r="G4588" s="89">
        <v>2344255</v>
      </c>
      <c r="H4588" t="s">
        <v>140</v>
      </c>
      <c r="I4588" t="s">
        <v>126</v>
      </c>
      <c r="J4588" s="89">
        <v>37508080</v>
      </c>
      <c r="K4588" t="s">
        <v>144</v>
      </c>
      <c r="N4588">
        <v>1</v>
      </c>
      <c r="O4588" s="89">
        <v>70327.649999999994</v>
      </c>
      <c r="P4588" s="89">
        <v>679833.95</v>
      </c>
      <c r="Q4588" t="s">
        <v>130</v>
      </c>
      <c r="R4588" t="s">
        <v>131</v>
      </c>
    </row>
    <row r="4589" spans="3:18" hidden="1" x14ac:dyDescent="0.25">
      <c r="C4589" t="s">
        <v>45</v>
      </c>
      <c r="D4589" t="s">
        <v>138</v>
      </c>
      <c r="E4589" t="s">
        <v>43</v>
      </c>
      <c r="F4589" t="s">
        <v>41</v>
      </c>
      <c r="G4589" s="89">
        <v>165527</v>
      </c>
      <c r="H4589" t="s">
        <v>132</v>
      </c>
      <c r="I4589" t="s">
        <v>133</v>
      </c>
      <c r="J4589" s="89">
        <v>4303702</v>
      </c>
      <c r="K4589" t="s">
        <v>134</v>
      </c>
      <c r="L4589" t="s">
        <v>128</v>
      </c>
      <c r="N4589">
        <v>1</v>
      </c>
      <c r="O4589" s="89">
        <v>4965.8100000000004</v>
      </c>
      <c r="P4589" s="89">
        <v>110903.09</v>
      </c>
      <c r="Q4589" t="s">
        <v>137</v>
      </c>
      <c r="R4589" t="s">
        <v>131</v>
      </c>
    </row>
    <row r="4590" spans="3:18" hidden="1" x14ac:dyDescent="0.25">
      <c r="C4590" t="s">
        <v>45</v>
      </c>
      <c r="D4590" t="s">
        <v>24</v>
      </c>
      <c r="E4590" t="s">
        <v>40</v>
      </c>
      <c r="F4590" t="s">
        <v>41</v>
      </c>
      <c r="G4590" s="89">
        <v>618218</v>
      </c>
      <c r="H4590" t="s">
        <v>42</v>
      </c>
      <c r="I4590" t="s">
        <v>133</v>
      </c>
      <c r="J4590" s="89">
        <v>20401194</v>
      </c>
      <c r="K4590" t="s">
        <v>144</v>
      </c>
      <c r="N4590">
        <v>1</v>
      </c>
      <c r="O4590" s="89">
        <v>18546.54</v>
      </c>
      <c r="P4590" s="89">
        <v>129825.78</v>
      </c>
      <c r="Q4590" t="s">
        <v>130</v>
      </c>
      <c r="R4590" t="s">
        <v>131</v>
      </c>
    </row>
    <row r="4591" spans="3:18" hidden="1" x14ac:dyDescent="0.25">
      <c r="C4591" t="s">
        <v>45</v>
      </c>
      <c r="D4591" t="s">
        <v>24</v>
      </c>
      <c r="E4591" t="s">
        <v>44</v>
      </c>
      <c r="F4591" t="s">
        <v>53</v>
      </c>
      <c r="G4591" s="89">
        <v>13899</v>
      </c>
      <c r="H4591" t="s">
        <v>140</v>
      </c>
      <c r="I4591" t="s">
        <v>141</v>
      </c>
      <c r="J4591" s="89">
        <v>83394</v>
      </c>
      <c r="K4591" t="s">
        <v>127</v>
      </c>
      <c r="L4591" t="s">
        <v>128</v>
      </c>
      <c r="N4591">
        <v>1</v>
      </c>
      <c r="O4591" s="89">
        <v>416.97</v>
      </c>
      <c r="P4591" s="89">
        <v>2918.79</v>
      </c>
      <c r="Q4591" t="s">
        <v>130</v>
      </c>
      <c r="R4591" t="s">
        <v>131</v>
      </c>
    </row>
    <row r="4592" spans="3:18" hidden="1" x14ac:dyDescent="0.25">
      <c r="C4592" t="s">
        <v>45</v>
      </c>
      <c r="D4592" t="s">
        <v>24</v>
      </c>
      <c r="E4592" t="s">
        <v>44</v>
      </c>
      <c r="F4592" t="s">
        <v>41</v>
      </c>
      <c r="G4592" s="89">
        <v>60547</v>
      </c>
      <c r="H4592" t="s">
        <v>42</v>
      </c>
      <c r="I4592" t="s">
        <v>133</v>
      </c>
      <c r="J4592" s="89">
        <v>2361333</v>
      </c>
      <c r="K4592" t="s">
        <v>134</v>
      </c>
      <c r="N4592">
        <v>1</v>
      </c>
      <c r="O4592" s="89">
        <v>1816.41</v>
      </c>
      <c r="P4592" s="89">
        <v>46621.19</v>
      </c>
      <c r="Q4592" t="s">
        <v>137</v>
      </c>
      <c r="R4592" t="s">
        <v>131</v>
      </c>
    </row>
    <row r="4593" spans="3:18" hidden="1" x14ac:dyDescent="0.25">
      <c r="C4593" t="s">
        <v>45</v>
      </c>
      <c r="D4593" t="s">
        <v>149</v>
      </c>
      <c r="E4593" t="s">
        <v>43</v>
      </c>
      <c r="F4593" t="s">
        <v>53</v>
      </c>
      <c r="G4593" s="89">
        <v>329989</v>
      </c>
      <c r="H4593" t="s">
        <v>140</v>
      </c>
      <c r="I4593" t="s">
        <v>133</v>
      </c>
      <c r="J4593" s="89">
        <v>8579714</v>
      </c>
      <c r="K4593" t="s">
        <v>144</v>
      </c>
      <c r="N4593">
        <v>1</v>
      </c>
      <c r="O4593" s="89">
        <v>9899.67</v>
      </c>
      <c r="P4593" s="89">
        <v>69297.69</v>
      </c>
      <c r="Q4593" t="s">
        <v>130</v>
      </c>
      <c r="R4593" t="s">
        <v>131</v>
      </c>
    </row>
    <row r="4594" spans="3:18" hidden="1" x14ac:dyDescent="0.25">
      <c r="C4594" t="s">
        <v>45</v>
      </c>
      <c r="D4594" t="s">
        <v>21</v>
      </c>
      <c r="E4594" t="s">
        <v>43</v>
      </c>
      <c r="F4594" t="s">
        <v>41</v>
      </c>
      <c r="G4594" s="89">
        <v>185187</v>
      </c>
      <c r="H4594" t="s">
        <v>42</v>
      </c>
      <c r="I4594" t="s">
        <v>133</v>
      </c>
      <c r="J4594" s="89">
        <v>4814862</v>
      </c>
      <c r="K4594" t="s">
        <v>134</v>
      </c>
      <c r="L4594" t="s">
        <v>128</v>
      </c>
      <c r="M4594" t="s">
        <v>129</v>
      </c>
      <c r="N4594">
        <v>1</v>
      </c>
      <c r="O4594" s="89">
        <v>3703.74</v>
      </c>
      <c r="P4594" s="89">
        <v>122223.42</v>
      </c>
      <c r="Q4594" t="s">
        <v>137</v>
      </c>
      <c r="R4594" t="s">
        <v>42</v>
      </c>
    </row>
    <row r="4595" spans="3:18" hidden="1" x14ac:dyDescent="0.25">
      <c r="C4595" t="s">
        <v>45</v>
      </c>
      <c r="D4595" t="s">
        <v>21</v>
      </c>
      <c r="E4595" t="s">
        <v>43</v>
      </c>
      <c r="F4595" t="s">
        <v>41</v>
      </c>
      <c r="G4595" s="89">
        <v>5272951</v>
      </c>
      <c r="H4595" t="s">
        <v>146</v>
      </c>
      <c r="I4595" t="s">
        <v>133</v>
      </c>
      <c r="J4595" s="89">
        <v>168734432</v>
      </c>
      <c r="K4595" t="s">
        <v>144</v>
      </c>
      <c r="N4595">
        <v>1</v>
      </c>
      <c r="O4595" s="89">
        <v>158188.53</v>
      </c>
      <c r="P4595" s="89">
        <v>3796524.72</v>
      </c>
      <c r="Q4595" t="s">
        <v>137</v>
      </c>
      <c r="R4595" t="s">
        <v>131</v>
      </c>
    </row>
    <row r="4596" spans="3:18" hidden="1" x14ac:dyDescent="0.25">
      <c r="C4596" t="s">
        <v>45</v>
      </c>
      <c r="D4596" t="s">
        <v>21</v>
      </c>
      <c r="E4596" t="s">
        <v>48</v>
      </c>
      <c r="F4596" t="s">
        <v>53</v>
      </c>
      <c r="G4596" s="89">
        <v>1325563</v>
      </c>
      <c r="H4596" t="s">
        <v>42</v>
      </c>
      <c r="I4596" t="s">
        <v>133</v>
      </c>
      <c r="J4596" s="89">
        <v>45069142</v>
      </c>
      <c r="K4596" t="s">
        <v>144</v>
      </c>
      <c r="N4596">
        <v>1</v>
      </c>
      <c r="O4596" s="89">
        <v>39766.89</v>
      </c>
      <c r="P4596" s="89">
        <v>1086961.6599999999</v>
      </c>
      <c r="Q4596" t="s">
        <v>135</v>
      </c>
      <c r="R4596" t="s">
        <v>42</v>
      </c>
    </row>
    <row r="4597" spans="3:18" hidden="1" x14ac:dyDescent="0.25">
      <c r="C4597" t="s">
        <v>45</v>
      </c>
      <c r="D4597" t="s">
        <v>21</v>
      </c>
      <c r="E4597" t="s">
        <v>43</v>
      </c>
      <c r="F4597" t="s">
        <v>41</v>
      </c>
      <c r="G4597" s="89">
        <v>156697667</v>
      </c>
      <c r="H4597" t="s">
        <v>140</v>
      </c>
      <c r="I4597" t="s">
        <v>126</v>
      </c>
      <c r="J4597" s="89">
        <v>2507162672</v>
      </c>
      <c r="K4597" t="s">
        <v>127</v>
      </c>
      <c r="L4597" t="s">
        <v>128</v>
      </c>
      <c r="N4597">
        <v>1</v>
      </c>
      <c r="O4597" s="89">
        <v>4700930.01</v>
      </c>
      <c r="P4597" s="89">
        <v>76781856.829999998</v>
      </c>
      <c r="Q4597" t="s">
        <v>142</v>
      </c>
      <c r="R4597" t="s">
        <v>131</v>
      </c>
    </row>
    <row r="4598" spans="3:18" hidden="1" x14ac:dyDescent="0.25">
      <c r="C4598" t="s">
        <v>45</v>
      </c>
      <c r="D4598" t="s">
        <v>23</v>
      </c>
      <c r="E4598" t="s">
        <v>40</v>
      </c>
      <c r="F4598" t="s">
        <v>41</v>
      </c>
      <c r="G4598" s="89">
        <v>424293</v>
      </c>
      <c r="H4598" t="s">
        <v>145</v>
      </c>
      <c r="I4598" t="s">
        <v>126</v>
      </c>
      <c r="J4598" s="89">
        <v>7212981</v>
      </c>
      <c r="K4598" t="s">
        <v>127</v>
      </c>
      <c r="L4598" t="s">
        <v>128</v>
      </c>
      <c r="N4598">
        <v>1</v>
      </c>
      <c r="O4598" s="89">
        <v>16971.72</v>
      </c>
      <c r="P4598" s="89">
        <v>364891.98</v>
      </c>
      <c r="Q4598" t="s">
        <v>135</v>
      </c>
      <c r="R4598" t="s">
        <v>131</v>
      </c>
    </row>
    <row r="4599" spans="3:18" hidden="1" x14ac:dyDescent="0.25">
      <c r="C4599" t="s">
        <v>45</v>
      </c>
      <c r="D4599" t="s">
        <v>21</v>
      </c>
      <c r="E4599" t="s">
        <v>43</v>
      </c>
      <c r="F4599" t="s">
        <v>41</v>
      </c>
      <c r="G4599" s="89">
        <v>276446</v>
      </c>
      <c r="H4599" t="s">
        <v>42</v>
      </c>
      <c r="I4599" t="s">
        <v>126</v>
      </c>
      <c r="J4599" s="89">
        <v>4976028</v>
      </c>
      <c r="K4599" t="s">
        <v>127</v>
      </c>
      <c r="L4599" t="s">
        <v>128</v>
      </c>
      <c r="M4599" t="s">
        <v>143</v>
      </c>
      <c r="N4599">
        <v>1</v>
      </c>
      <c r="O4599" s="89">
        <v>8293.3799999999992</v>
      </c>
      <c r="P4599" s="89">
        <v>77404.88</v>
      </c>
      <c r="Q4599" t="s">
        <v>130</v>
      </c>
      <c r="R4599" t="s">
        <v>42</v>
      </c>
    </row>
    <row r="4600" spans="3:18" hidden="1" x14ac:dyDescent="0.25">
      <c r="C4600" t="s">
        <v>45</v>
      </c>
      <c r="D4600" t="s">
        <v>25</v>
      </c>
      <c r="E4600" t="s">
        <v>48</v>
      </c>
      <c r="F4600" t="s">
        <v>41</v>
      </c>
      <c r="G4600" s="89">
        <v>2482072</v>
      </c>
      <c r="H4600" t="s">
        <v>146</v>
      </c>
      <c r="I4600" t="s">
        <v>126</v>
      </c>
      <c r="J4600" s="89">
        <v>34749008</v>
      </c>
      <c r="K4600" t="s">
        <v>127</v>
      </c>
      <c r="L4600" t="s">
        <v>128</v>
      </c>
      <c r="N4600">
        <v>1</v>
      </c>
      <c r="O4600" s="89">
        <v>74462.16</v>
      </c>
      <c r="P4600" s="89">
        <v>694980.16</v>
      </c>
      <c r="Q4600" t="s">
        <v>130</v>
      </c>
      <c r="R4600" t="s">
        <v>131</v>
      </c>
    </row>
    <row r="4601" spans="3:18" hidden="1" x14ac:dyDescent="0.25">
      <c r="C4601" t="s">
        <v>45</v>
      </c>
      <c r="D4601" t="s">
        <v>21</v>
      </c>
      <c r="E4601" t="s">
        <v>43</v>
      </c>
      <c r="F4601" t="s">
        <v>41</v>
      </c>
      <c r="G4601" s="89">
        <v>194626</v>
      </c>
      <c r="H4601" t="s">
        <v>42</v>
      </c>
      <c r="I4601" t="s">
        <v>133</v>
      </c>
      <c r="J4601" s="89">
        <v>4671024</v>
      </c>
      <c r="K4601" t="s">
        <v>127</v>
      </c>
      <c r="L4601" t="s">
        <v>128</v>
      </c>
      <c r="M4601" t="s">
        <v>136</v>
      </c>
      <c r="N4601">
        <v>1</v>
      </c>
      <c r="O4601" s="89">
        <v>5838.78</v>
      </c>
      <c r="P4601" s="89">
        <v>58387.8</v>
      </c>
      <c r="Q4601" t="s">
        <v>130</v>
      </c>
      <c r="R4601" t="s">
        <v>42</v>
      </c>
    </row>
    <row r="4602" spans="3:18" hidden="1" x14ac:dyDescent="0.25">
      <c r="C4602" t="s">
        <v>45</v>
      </c>
      <c r="D4602" t="s">
        <v>23</v>
      </c>
      <c r="E4602" t="s">
        <v>48</v>
      </c>
      <c r="F4602" t="s">
        <v>41</v>
      </c>
      <c r="G4602" s="89">
        <v>90088</v>
      </c>
      <c r="H4602" t="s">
        <v>140</v>
      </c>
      <c r="I4602" t="s">
        <v>147</v>
      </c>
      <c r="J4602" s="89">
        <v>360352</v>
      </c>
      <c r="K4602" t="s">
        <v>127</v>
      </c>
      <c r="L4602" t="s">
        <v>128</v>
      </c>
      <c r="N4602">
        <v>1</v>
      </c>
      <c r="O4602" s="89">
        <v>2702.64</v>
      </c>
      <c r="P4602" s="89">
        <v>41440.480000000003</v>
      </c>
      <c r="Q4602" t="s">
        <v>142</v>
      </c>
      <c r="R4602" t="s">
        <v>131</v>
      </c>
    </row>
    <row r="4603" spans="3:18" x14ac:dyDescent="0.25">
      <c r="C4603" t="s">
        <v>47</v>
      </c>
      <c r="D4603" t="s">
        <v>138</v>
      </c>
      <c r="E4603" t="s">
        <v>40</v>
      </c>
      <c r="F4603" t="s">
        <v>41</v>
      </c>
      <c r="G4603" s="89">
        <v>222595</v>
      </c>
      <c r="H4603" t="s">
        <v>146</v>
      </c>
      <c r="I4603" t="s">
        <v>126</v>
      </c>
      <c r="J4603" s="89">
        <v>2225950</v>
      </c>
      <c r="K4603" t="s">
        <v>127</v>
      </c>
      <c r="L4603" t="s">
        <v>128</v>
      </c>
      <c r="N4603">
        <v>1</v>
      </c>
      <c r="O4603" s="89">
        <v>8903.7999999999993</v>
      </c>
      <c r="P4603" s="89">
        <v>142460.79999999999</v>
      </c>
      <c r="Q4603" t="s">
        <v>137</v>
      </c>
      <c r="R4603" t="s">
        <v>131</v>
      </c>
    </row>
    <row r="4604" spans="3:18" hidden="1" x14ac:dyDescent="0.25">
      <c r="C4604" t="s">
        <v>45</v>
      </c>
      <c r="D4604" t="s">
        <v>22</v>
      </c>
      <c r="E4604" t="s">
        <v>40</v>
      </c>
      <c r="F4604" t="s">
        <v>53</v>
      </c>
      <c r="G4604" s="89">
        <v>18957</v>
      </c>
      <c r="H4604" t="s">
        <v>145</v>
      </c>
      <c r="I4604" t="s">
        <v>141</v>
      </c>
      <c r="J4604" s="89">
        <v>113742</v>
      </c>
      <c r="K4604" t="s">
        <v>127</v>
      </c>
      <c r="L4604" t="s">
        <v>128</v>
      </c>
      <c r="N4604">
        <v>1</v>
      </c>
      <c r="O4604" s="89">
        <v>568.71</v>
      </c>
      <c r="P4604" s="89">
        <v>3601.83</v>
      </c>
      <c r="Q4604" t="s">
        <v>130</v>
      </c>
      <c r="R4604" t="s">
        <v>131</v>
      </c>
    </row>
    <row r="4605" spans="3:18" hidden="1" x14ac:dyDescent="0.25">
      <c r="C4605" t="s">
        <v>45</v>
      </c>
      <c r="D4605" t="s">
        <v>22</v>
      </c>
      <c r="E4605" t="s">
        <v>40</v>
      </c>
      <c r="F4605" t="s">
        <v>41</v>
      </c>
      <c r="G4605" s="89">
        <v>18045363</v>
      </c>
      <c r="H4605" t="s">
        <v>42</v>
      </c>
      <c r="I4605" t="s">
        <v>133</v>
      </c>
      <c r="J4605" s="89">
        <v>613542342</v>
      </c>
      <c r="K4605" t="s">
        <v>144</v>
      </c>
      <c r="N4605">
        <v>1</v>
      </c>
      <c r="O4605" s="89">
        <v>541360.89</v>
      </c>
      <c r="P4605" s="89">
        <v>15519012.18</v>
      </c>
      <c r="Q4605" t="s">
        <v>135</v>
      </c>
      <c r="R4605" t="s">
        <v>131</v>
      </c>
    </row>
    <row r="4606" spans="3:18" hidden="1" x14ac:dyDescent="0.25">
      <c r="C4606" t="s">
        <v>45</v>
      </c>
      <c r="D4606" t="s">
        <v>20</v>
      </c>
      <c r="E4606" t="s">
        <v>40</v>
      </c>
      <c r="F4606" t="s">
        <v>41</v>
      </c>
      <c r="G4606" s="89">
        <v>6638235</v>
      </c>
      <c r="H4606" t="s">
        <v>42</v>
      </c>
      <c r="I4606" t="s">
        <v>133</v>
      </c>
      <c r="J4606" s="89">
        <v>238976460</v>
      </c>
      <c r="K4606" t="s">
        <v>144</v>
      </c>
      <c r="N4606">
        <v>1</v>
      </c>
      <c r="O4606" s="89">
        <v>199147.05</v>
      </c>
      <c r="P4606" s="89">
        <v>5908029.1500000004</v>
      </c>
      <c r="Q4606" t="s">
        <v>135</v>
      </c>
      <c r="R4606" t="s">
        <v>42</v>
      </c>
    </row>
    <row r="4607" spans="3:18" hidden="1" x14ac:dyDescent="0.25">
      <c r="C4607" t="s">
        <v>45</v>
      </c>
      <c r="D4607" t="s">
        <v>24</v>
      </c>
      <c r="E4607" t="s">
        <v>48</v>
      </c>
      <c r="F4607" t="s">
        <v>41</v>
      </c>
      <c r="G4607" s="89">
        <v>1464360</v>
      </c>
      <c r="H4607" t="s">
        <v>140</v>
      </c>
      <c r="I4607" t="s">
        <v>126</v>
      </c>
      <c r="J4607" s="89">
        <v>24894120</v>
      </c>
      <c r="K4607" t="s">
        <v>144</v>
      </c>
      <c r="N4607">
        <v>1</v>
      </c>
      <c r="O4607" s="89">
        <v>43930.8</v>
      </c>
      <c r="P4607" s="89">
        <v>717536.4</v>
      </c>
      <c r="Q4607" t="s">
        <v>142</v>
      </c>
      <c r="R4607" t="s">
        <v>131</v>
      </c>
    </row>
    <row r="4608" spans="3:18" hidden="1" x14ac:dyDescent="0.25">
      <c r="C4608" t="s">
        <v>45</v>
      </c>
      <c r="D4608" t="s">
        <v>22</v>
      </c>
      <c r="E4608" t="s">
        <v>43</v>
      </c>
      <c r="F4608" t="s">
        <v>41</v>
      </c>
      <c r="G4608" s="89">
        <v>62029</v>
      </c>
      <c r="H4608" t="s">
        <v>42</v>
      </c>
      <c r="I4608" t="s">
        <v>126</v>
      </c>
      <c r="J4608" s="89">
        <v>930435</v>
      </c>
      <c r="K4608" t="s">
        <v>127</v>
      </c>
      <c r="L4608" t="s">
        <v>128</v>
      </c>
      <c r="M4608" t="s">
        <v>152</v>
      </c>
      <c r="N4608">
        <v>1</v>
      </c>
      <c r="O4608" s="89">
        <v>1860.87</v>
      </c>
      <c r="P4608" s="89">
        <v>19228.990000000002</v>
      </c>
      <c r="Q4608" t="s">
        <v>130</v>
      </c>
      <c r="R4608" t="s">
        <v>131</v>
      </c>
    </row>
    <row r="4609" spans="3:18" hidden="1" x14ac:dyDescent="0.25">
      <c r="C4609" t="s">
        <v>45</v>
      </c>
      <c r="D4609" t="s">
        <v>25</v>
      </c>
      <c r="E4609" t="s">
        <v>48</v>
      </c>
      <c r="F4609" t="s">
        <v>41</v>
      </c>
      <c r="G4609" s="89">
        <v>361069</v>
      </c>
      <c r="H4609" t="s">
        <v>140</v>
      </c>
      <c r="I4609" t="s">
        <v>126</v>
      </c>
      <c r="J4609" s="89">
        <v>6138173</v>
      </c>
      <c r="K4609" t="s">
        <v>127</v>
      </c>
      <c r="L4609" t="s">
        <v>128</v>
      </c>
      <c r="N4609">
        <v>1</v>
      </c>
      <c r="O4609" s="89">
        <v>10832.07</v>
      </c>
      <c r="P4609" s="89">
        <v>227473.47</v>
      </c>
      <c r="Q4609" t="s">
        <v>137</v>
      </c>
      <c r="R4609" t="s">
        <v>131</v>
      </c>
    </row>
    <row r="4610" spans="3:18" hidden="1" x14ac:dyDescent="0.25">
      <c r="C4610" t="s">
        <v>45</v>
      </c>
      <c r="D4610" t="s">
        <v>24</v>
      </c>
      <c r="E4610" t="s">
        <v>52</v>
      </c>
      <c r="F4610" t="s">
        <v>41</v>
      </c>
      <c r="G4610" s="89">
        <v>79196</v>
      </c>
      <c r="H4610" t="s">
        <v>42</v>
      </c>
      <c r="I4610" t="s">
        <v>141</v>
      </c>
      <c r="J4610" s="89">
        <v>712764</v>
      </c>
      <c r="K4610" t="s">
        <v>144</v>
      </c>
      <c r="N4610">
        <v>1</v>
      </c>
      <c r="O4610" s="89">
        <v>3167.84</v>
      </c>
      <c r="P4610" s="89">
        <v>53061.32</v>
      </c>
      <c r="Q4610" t="s">
        <v>137</v>
      </c>
      <c r="R4610" t="s">
        <v>42</v>
      </c>
    </row>
    <row r="4611" spans="3:18" hidden="1" x14ac:dyDescent="0.25">
      <c r="C4611" t="s">
        <v>45</v>
      </c>
      <c r="D4611" t="s">
        <v>24</v>
      </c>
      <c r="E4611" t="s">
        <v>43</v>
      </c>
      <c r="F4611" t="s">
        <v>41</v>
      </c>
      <c r="G4611" s="89">
        <v>75937</v>
      </c>
      <c r="H4611" t="s">
        <v>140</v>
      </c>
      <c r="I4611" t="s">
        <v>126</v>
      </c>
      <c r="J4611" s="89">
        <v>1139055</v>
      </c>
      <c r="K4611" t="s">
        <v>127</v>
      </c>
      <c r="L4611" t="s">
        <v>128</v>
      </c>
      <c r="N4611">
        <v>1</v>
      </c>
      <c r="O4611" s="89">
        <v>2278.11</v>
      </c>
      <c r="P4611" s="89">
        <v>42524.72</v>
      </c>
      <c r="Q4611" t="s">
        <v>142</v>
      </c>
      <c r="R4611" t="s">
        <v>131</v>
      </c>
    </row>
    <row r="4612" spans="3:18" hidden="1" x14ac:dyDescent="0.25">
      <c r="C4612" t="s">
        <v>45</v>
      </c>
      <c r="D4612" t="s">
        <v>23</v>
      </c>
      <c r="E4612" t="s">
        <v>48</v>
      </c>
      <c r="F4612" t="s">
        <v>41</v>
      </c>
      <c r="G4612" s="89">
        <v>4999800</v>
      </c>
      <c r="H4612" t="s">
        <v>42</v>
      </c>
      <c r="I4612" t="s">
        <v>133</v>
      </c>
      <c r="J4612" s="89">
        <v>189992400</v>
      </c>
      <c r="K4612" t="s">
        <v>144</v>
      </c>
      <c r="N4612">
        <v>1</v>
      </c>
      <c r="O4612" s="89">
        <v>149994</v>
      </c>
      <c r="P4612" s="89">
        <v>4999800</v>
      </c>
      <c r="Q4612" t="s">
        <v>150</v>
      </c>
      <c r="R4612" t="s">
        <v>42</v>
      </c>
    </row>
    <row r="4613" spans="3:18" x14ac:dyDescent="0.25">
      <c r="C4613" t="s">
        <v>47</v>
      </c>
      <c r="D4613" t="s">
        <v>24</v>
      </c>
      <c r="E4613" t="s">
        <v>48</v>
      </c>
      <c r="F4613" t="s">
        <v>41</v>
      </c>
      <c r="G4613" s="89">
        <v>661203</v>
      </c>
      <c r="H4613" t="s">
        <v>146</v>
      </c>
      <c r="I4613" t="s">
        <v>141</v>
      </c>
      <c r="J4613" s="89">
        <v>3967218</v>
      </c>
      <c r="K4613" t="s">
        <v>127</v>
      </c>
      <c r="L4613" t="s">
        <v>128</v>
      </c>
      <c r="N4613">
        <v>1</v>
      </c>
      <c r="O4613" s="89">
        <v>26448.12</v>
      </c>
      <c r="P4613" s="89">
        <v>132240.6</v>
      </c>
      <c r="Q4613" t="s">
        <v>130</v>
      </c>
      <c r="R4613" t="s">
        <v>131</v>
      </c>
    </row>
    <row r="4614" spans="3:18" hidden="1" x14ac:dyDescent="0.25">
      <c r="C4614" t="s">
        <v>45</v>
      </c>
      <c r="D4614" t="s">
        <v>149</v>
      </c>
      <c r="E4614" t="s">
        <v>43</v>
      </c>
      <c r="F4614" t="s">
        <v>41</v>
      </c>
      <c r="G4614" s="89">
        <v>10014774</v>
      </c>
      <c r="H4614" t="s">
        <v>42</v>
      </c>
      <c r="I4614" t="s">
        <v>133</v>
      </c>
      <c r="J4614" s="89">
        <v>340502316</v>
      </c>
      <c r="K4614" t="s">
        <v>127</v>
      </c>
      <c r="L4614" t="s">
        <v>128</v>
      </c>
      <c r="M4614" t="s">
        <v>136</v>
      </c>
      <c r="N4614">
        <v>1</v>
      </c>
      <c r="O4614" s="89">
        <v>300443.21999999997</v>
      </c>
      <c r="P4614" s="89">
        <v>8312262.4199999999</v>
      </c>
      <c r="Q4614" t="s">
        <v>135</v>
      </c>
      <c r="R4614" t="s">
        <v>42</v>
      </c>
    </row>
    <row r="4615" spans="3:18" hidden="1" x14ac:dyDescent="0.25">
      <c r="C4615" t="s">
        <v>45</v>
      </c>
      <c r="D4615" t="s">
        <v>23</v>
      </c>
      <c r="E4615" t="s">
        <v>40</v>
      </c>
      <c r="F4615" t="s">
        <v>41</v>
      </c>
      <c r="G4615" s="89">
        <v>788961</v>
      </c>
      <c r="H4615" t="s">
        <v>42</v>
      </c>
      <c r="I4615" t="s">
        <v>126</v>
      </c>
      <c r="J4615" s="89">
        <v>12623376</v>
      </c>
      <c r="K4615" t="s">
        <v>144</v>
      </c>
      <c r="N4615">
        <v>1</v>
      </c>
      <c r="O4615" s="89">
        <v>23668.83</v>
      </c>
      <c r="P4615" s="89">
        <v>197240.25</v>
      </c>
      <c r="Q4615" t="s">
        <v>130</v>
      </c>
      <c r="R4615" t="s">
        <v>131</v>
      </c>
    </row>
    <row r="4616" spans="3:18" x14ac:dyDescent="0.25">
      <c r="C4616" t="s">
        <v>47</v>
      </c>
      <c r="D4616" t="s">
        <v>21</v>
      </c>
      <c r="E4616" t="s">
        <v>40</v>
      </c>
      <c r="F4616" t="s">
        <v>41</v>
      </c>
      <c r="G4616" s="89">
        <v>94304</v>
      </c>
      <c r="H4616" t="s">
        <v>145</v>
      </c>
      <c r="I4616" t="s">
        <v>141</v>
      </c>
      <c r="J4616" s="89">
        <v>471520</v>
      </c>
      <c r="K4616" t="s">
        <v>127</v>
      </c>
      <c r="L4616" t="s">
        <v>128</v>
      </c>
      <c r="N4616">
        <v>1</v>
      </c>
      <c r="O4616" s="89">
        <v>3772.16</v>
      </c>
      <c r="P4616" s="89">
        <v>120709.12</v>
      </c>
      <c r="Q4616" t="s">
        <v>150</v>
      </c>
      <c r="R4616" t="s">
        <v>131</v>
      </c>
    </row>
    <row r="4617" spans="3:18" hidden="1" x14ac:dyDescent="0.25">
      <c r="C4617" t="s">
        <v>45</v>
      </c>
      <c r="D4617" t="s">
        <v>21</v>
      </c>
      <c r="E4617" t="s">
        <v>43</v>
      </c>
      <c r="F4617" t="s">
        <v>41</v>
      </c>
      <c r="G4617" s="89">
        <v>56647</v>
      </c>
      <c r="H4617" t="s">
        <v>154</v>
      </c>
      <c r="I4617" t="s">
        <v>126</v>
      </c>
      <c r="J4617" s="89">
        <v>623117</v>
      </c>
      <c r="K4617" t="s">
        <v>127</v>
      </c>
      <c r="L4617" t="s">
        <v>128</v>
      </c>
      <c r="N4617">
        <v>1</v>
      </c>
      <c r="O4617" s="89">
        <v>1699.41</v>
      </c>
      <c r="P4617" s="89">
        <v>32855.26</v>
      </c>
      <c r="Q4617" t="s">
        <v>142</v>
      </c>
      <c r="R4617" t="s">
        <v>131</v>
      </c>
    </row>
    <row r="4618" spans="3:18" hidden="1" x14ac:dyDescent="0.25">
      <c r="C4618" t="s">
        <v>45</v>
      </c>
      <c r="D4618" t="s">
        <v>22</v>
      </c>
      <c r="E4618" t="s">
        <v>40</v>
      </c>
      <c r="F4618" t="s">
        <v>41</v>
      </c>
      <c r="G4618" s="89">
        <v>17318625</v>
      </c>
      <c r="H4618" t="s">
        <v>145</v>
      </c>
      <c r="I4618" t="s">
        <v>133</v>
      </c>
      <c r="J4618" s="89">
        <v>502240125</v>
      </c>
      <c r="K4618" t="s">
        <v>127</v>
      </c>
      <c r="L4618" t="s">
        <v>128</v>
      </c>
      <c r="N4618">
        <v>1</v>
      </c>
      <c r="O4618" s="89">
        <v>519558.75</v>
      </c>
      <c r="P4618" s="89">
        <v>14720831.25</v>
      </c>
      <c r="Q4618" t="s">
        <v>135</v>
      </c>
      <c r="R4618" t="s">
        <v>131</v>
      </c>
    </row>
    <row r="4619" spans="3:18" hidden="1" x14ac:dyDescent="0.25">
      <c r="C4619" t="s">
        <v>45</v>
      </c>
      <c r="D4619" t="s">
        <v>21</v>
      </c>
      <c r="E4619" t="s">
        <v>43</v>
      </c>
      <c r="F4619" t="s">
        <v>41</v>
      </c>
      <c r="G4619" s="89">
        <v>174954</v>
      </c>
      <c r="H4619" t="s">
        <v>42</v>
      </c>
      <c r="I4619" t="s">
        <v>133</v>
      </c>
      <c r="J4619" s="89">
        <v>5948436</v>
      </c>
      <c r="K4619" t="s">
        <v>127</v>
      </c>
      <c r="L4619" t="s">
        <v>128</v>
      </c>
      <c r="M4619" t="s">
        <v>136</v>
      </c>
      <c r="N4619">
        <v>1</v>
      </c>
      <c r="O4619" s="89">
        <v>5248.62</v>
      </c>
      <c r="P4619" s="89">
        <v>92725.62</v>
      </c>
      <c r="Q4619" t="s">
        <v>142</v>
      </c>
      <c r="R4619" t="s">
        <v>42</v>
      </c>
    </row>
    <row r="4620" spans="3:18" x14ac:dyDescent="0.25">
      <c r="C4620" t="s">
        <v>47</v>
      </c>
      <c r="D4620" t="s">
        <v>24</v>
      </c>
      <c r="E4620" t="s">
        <v>48</v>
      </c>
      <c r="F4620" t="s">
        <v>41</v>
      </c>
      <c r="G4620" s="89">
        <v>97961</v>
      </c>
      <c r="H4620" t="s">
        <v>146</v>
      </c>
      <c r="I4620" t="s">
        <v>133</v>
      </c>
      <c r="J4620" s="89">
        <v>2057181</v>
      </c>
      <c r="K4620" t="s">
        <v>127</v>
      </c>
      <c r="L4620" t="s">
        <v>128</v>
      </c>
      <c r="N4620">
        <v>1</v>
      </c>
      <c r="O4620" s="89">
        <v>3918.44</v>
      </c>
      <c r="P4620" s="89">
        <v>50939.72</v>
      </c>
      <c r="Q4620" t="s">
        <v>142</v>
      </c>
      <c r="R4620" t="s">
        <v>131</v>
      </c>
    </row>
    <row r="4621" spans="3:18" hidden="1" x14ac:dyDescent="0.25">
      <c r="C4621" t="s">
        <v>45</v>
      </c>
      <c r="D4621" t="s">
        <v>19</v>
      </c>
      <c r="E4621" t="s">
        <v>43</v>
      </c>
      <c r="F4621" t="s">
        <v>41</v>
      </c>
      <c r="G4621" s="89">
        <v>83485786</v>
      </c>
      <c r="H4621" t="s">
        <v>140</v>
      </c>
      <c r="I4621" t="s">
        <v>133</v>
      </c>
      <c r="J4621" s="89">
        <v>2421087794</v>
      </c>
      <c r="K4621" t="s">
        <v>127</v>
      </c>
      <c r="L4621" t="s">
        <v>128</v>
      </c>
      <c r="N4621">
        <v>1</v>
      </c>
      <c r="O4621" s="89">
        <v>2504573.58</v>
      </c>
      <c r="P4621" s="89">
        <v>56770334.479999997</v>
      </c>
      <c r="Q4621" t="s">
        <v>137</v>
      </c>
      <c r="R4621" t="s">
        <v>131</v>
      </c>
    </row>
    <row r="4622" spans="3:18" x14ac:dyDescent="0.25">
      <c r="C4622" t="s">
        <v>47</v>
      </c>
      <c r="D4622" t="s">
        <v>20</v>
      </c>
      <c r="E4622" t="s">
        <v>43</v>
      </c>
      <c r="F4622" t="s">
        <v>41</v>
      </c>
      <c r="G4622" s="89">
        <v>447424</v>
      </c>
      <c r="H4622" t="s">
        <v>140</v>
      </c>
      <c r="I4622" t="s">
        <v>126</v>
      </c>
      <c r="J4622" s="89">
        <v>4474240</v>
      </c>
      <c r="K4622" t="s">
        <v>134</v>
      </c>
      <c r="L4622" t="s">
        <v>128</v>
      </c>
      <c r="N4622">
        <v>1</v>
      </c>
      <c r="O4622" s="89">
        <v>13422.72</v>
      </c>
      <c r="P4622" s="89">
        <v>44742.400000000001</v>
      </c>
      <c r="Q4622" t="s">
        <v>130</v>
      </c>
      <c r="R4622" t="s">
        <v>131</v>
      </c>
    </row>
    <row r="4623" spans="3:18" x14ac:dyDescent="0.25">
      <c r="C4623" t="s">
        <v>47</v>
      </c>
      <c r="D4623" t="s">
        <v>19</v>
      </c>
      <c r="E4623" t="s">
        <v>43</v>
      </c>
      <c r="F4623" t="s">
        <v>41</v>
      </c>
      <c r="G4623" s="89">
        <v>1424029</v>
      </c>
      <c r="H4623" t="s">
        <v>146</v>
      </c>
      <c r="I4623" t="s">
        <v>126</v>
      </c>
      <c r="J4623" s="89">
        <v>21360435</v>
      </c>
      <c r="K4623" t="s">
        <v>127</v>
      </c>
      <c r="L4623" t="s">
        <v>128</v>
      </c>
      <c r="N4623">
        <v>1</v>
      </c>
      <c r="O4623" s="89">
        <v>56961.16</v>
      </c>
      <c r="P4623" s="89">
        <v>768975.66</v>
      </c>
      <c r="Q4623" t="s">
        <v>142</v>
      </c>
      <c r="R4623" t="s">
        <v>131</v>
      </c>
    </row>
    <row r="4624" spans="3:18" hidden="1" x14ac:dyDescent="0.25">
      <c r="C4624" t="s">
        <v>45</v>
      </c>
      <c r="D4624" t="s">
        <v>25</v>
      </c>
      <c r="E4624" t="s">
        <v>44</v>
      </c>
      <c r="F4624" t="s">
        <v>41</v>
      </c>
      <c r="G4624" s="89">
        <v>75075</v>
      </c>
      <c r="H4624" t="s">
        <v>42</v>
      </c>
      <c r="I4624" t="s">
        <v>126</v>
      </c>
      <c r="J4624" s="89">
        <v>1201200</v>
      </c>
      <c r="K4624" t="s">
        <v>127</v>
      </c>
      <c r="L4624" t="s">
        <v>128</v>
      </c>
      <c r="M4624" t="s">
        <v>155</v>
      </c>
      <c r="N4624">
        <v>1</v>
      </c>
      <c r="O4624" s="89">
        <v>4504.5</v>
      </c>
      <c r="P4624" s="89">
        <v>36036</v>
      </c>
      <c r="Q4624" t="s">
        <v>142</v>
      </c>
      <c r="R4624" t="s">
        <v>131</v>
      </c>
    </row>
    <row r="4625" spans="3:18" hidden="1" x14ac:dyDescent="0.25">
      <c r="C4625" t="s">
        <v>45</v>
      </c>
      <c r="D4625" t="s">
        <v>24</v>
      </c>
      <c r="E4625" t="s">
        <v>40</v>
      </c>
      <c r="F4625" t="s">
        <v>41</v>
      </c>
      <c r="G4625" s="89">
        <v>1781</v>
      </c>
      <c r="H4625" t="s">
        <v>42</v>
      </c>
      <c r="I4625" t="s">
        <v>147</v>
      </c>
      <c r="J4625" s="89">
        <v>7124</v>
      </c>
      <c r="K4625" t="s">
        <v>127</v>
      </c>
      <c r="L4625" t="s">
        <v>128</v>
      </c>
      <c r="M4625" t="s">
        <v>148</v>
      </c>
      <c r="N4625">
        <v>1</v>
      </c>
      <c r="O4625" s="89">
        <v>89.05</v>
      </c>
      <c r="P4625" s="89">
        <v>943.93</v>
      </c>
      <c r="Q4625" t="s">
        <v>142</v>
      </c>
      <c r="R4625" t="s">
        <v>131</v>
      </c>
    </row>
    <row r="4626" spans="3:18" x14ac:dyDescent="0.25">
      <c r="C4626" t="s">
        <v>47</v>
      </c>
      <c r="D4626" t="s">
        <v>20</v>
      </c>
      <c r="E4626" t="s">
        <v>40</v>
      </c>
      <c r="F4626" t="s">
        <v>41</v>
      </c>
      <c r="G4626" s="89">
        <v>51946</v>
      </c>
      <c r="H4626" t="s">
        <v>132</v>
      </c>
      <c r="I4626" t="s">
        <v>126</v>
      </c>
      <c r="J4626" s="89">
        <v>571406</v>
      </c>
      <c r="K4626" t="s">
        <v>127</v>
      </c>
      <c r="L4626" t="s">
        <v>128</v>
      </c>
      <c r="N4626">
        <v>1</v>
      </c>
      <c r="O4626" s="89">
        <v>2077.84</v>
      </c>
      <c r="P4626" s="89">
        <v>38959.5</v>
      </c>
      <c r="Q4626" t="s">
        <v>137</v>
      </c>
      <c r="R4626" t="s">
        <v>131</v>
      </c>
    </row>
    <row r="4627" spans="3:18" hidden="1" x14ac:dyDescent="0.25">
      <c r="C4627" t="s">
        <v>45</v>
      </c>
      <c r="D4627" t="s">
        <v>21</v>
      </c>
      <c r="E4627" t="s">
        <v>43</v>
      </c>
      <c r="F4627" t="s">
        <v>41</v>
      </c>
      <c r="G4627" s="89">
        <v>37267</v>
      </c>
      <c r="H4627" t="s">
        <v>145</v>
      </c>
      <c r="I4627" t="s">
        <v>126</v>
      </c>
      <c r="J4627" s="89">
        <v>559005</v>
      </c>
      <c r="K4627" t="s">
        <v>127</v>
      </c>
      <c r="L4627" t="s">
        <v>151</v>
      </c>
      <c r="N4627">
        <v>1</v>
      </c>
      <c r="O4627" s="89">
        <v>1490.68</v>
      </c>
      <c r="P4627" s="89">
        <v>28322.92</v>
      </c>
      <c r="Q4627" t="s">
        <v>137</v>
      </c>
      <c r="R4627" t="s">
        <v>131</v>
      </c>
    </row>
    <row r="4628" spans="3:18" hidden="1" x14ac:dyDescent="0.25">
      <c r="C4628" t="s">
        <v>45</v>
      </c>
      <c r="D4628" t="s">
        <v>23</v>
      </c>
      <c r="E4628" t="s">
        <v>43</v>
      </c>
      <c r="F4628" t="s">
        <v>41</v>
      </c>
      <c r="G4628" s="89">
        <v>81545765</v>
      </c>
      <c r="H4628" t="s">
        <v>42</v>
      </c>
      <c r="I4628" t="s">
        <v>133</v>
      </c>
      <c r="J4628" s="89">
        <v>2609464480</v>
      </c>
      <c r="K4628" t="s">
        <v>127</v>
      </c>
      <c r="L4628" t="s">
        <v>128</v>
      </c>
      <c r="M4628" t="s">
        <v>152</v>
      </c>
      <c r="N4628">
        <v>1</v>
      </c>
      <c r="O4628" s="89">
        <v>2446372.9500000002</v>
      </c>
      <c r="P4628" s="89">
        <v>57897493.149999999</v>
      </c>
      <c r="Q4628" t="s">
        <v>137</v>
      </c>
      <c r="R4628" t="s">
        <v>131</v>
      </c>
    </row>
    <row r="4629" spans="3:18" hidden="1" x14ac:dyDescent="0.25">
      <c r="C4629" t="s">
        <v>45</v>
      </c>
      <c r="D4629" t="s">
        <v>22</v>
      </c>
      <c r="E4629" t="s">
        <v>40</v>
      </c>
      <c r="F4629" t="s">
        <v>41</v>
      </c>
      <c r="G4629" s="89">
        <v>29219672</v>
      </c>
      <c r="H4629" t="s">
        <v>146</v>
      </c>
      <c r="I4629" t="s">
        <v>126</v>
      </c>
      <c r="J4629" s="89">
        <v>467514752</v>
      </c>
      <c r="K4629" t="s">
        <v>127</v>
      </c>
      <c r="L4629" t="s">
        <v>128</v>
      </c>
      <c r="N4629">
        <v>1</v>
      </c>
      <c r="O4629" s="89">
        <v>876590.16</v>
      </c>
      <c r="P4629" s="89">
        <v>14317639.279999999</v>
      </c>
      <c r="Q4629" t="s">
        <v>142</v>
      </c>
      <c r="R4629" t="s">
        <v>131</v>
      </c>
    </row>
    <row r="4630" spans="3:18" hidden="1" x14ac:dyDescent="0.25">
      <c r="C4630" t="s">
        <v>45</v>
      </c>
      <c r="D4630" t="s">
        <v>21</v>
      </c>
      <c r="E4630" t="s">
        <v>43</v>
      </c>
      <c r="F4630" t="s">
        <v>53</v>
      </c>
      <c r="G4630" s="89">
        <v>129778</v>
      </c>
      <c r="H4630" t="s">
        <v>42</v>
      </c>
      <c r="I4630" t="s">
        <v>126</v>
      </c>
      <c r="J4630" s="89">
        <v>2206226</v>
      </c>
      <c r="K4630" t="s">
        <v>144</v>
      </c>
      <c r="N4630">
        <v>1</v>
      </c>
      <c r="O4630" s="89">
        <v>3893.34</v>
      </c>
      <c r="P4630" s="89">
        <v>68782.34</v>
      </c>
      <c r="Q4630" t="s">
        <v>142</v>
      </c>
      <c r="R4630" t="s">
        <v>131</v>
      </c>
    </row>
    <row r="4631" spans="3:18" x14ac:dyDescent="0.25">
      <c r="C4631" t="s">
        <v>47</v>
      </c>
      <c r="D4631" t="s">
        <v>19</v>
      </c>
      <c r="E4631" t="s">
        <v>43</v>
      </c>
      <c r="F4631" t="s">
        <v>41</v>
      </c>
      <c r="G4631" s="89">
        <v>4625342</v>
      </c>
      <c r="H4631" t="s">
        <v>140</v>
      </c>
      <c r="I4631" t="s">
        <v>141</v>
      </c>
      <c r="J4631" s="89">
        <v>41628078</v>
      </c>
      <c r="K4631" t="s">
        <v>127</v>
      </c>
      <c r="L4631" t="s">
        <v>128</v>
      </c>
      <c r="N4631">
        <v>1</v>
      </c>
      <c r="O4631" s="89">
        <v>231267.1</v>
      </c>
      <c r="P4631" s="89">
        <v>3469006.5</v>
      </c>
      <c r="Q4631" t="s">
        <v>137</v>
      </c>
      <c r="R4631" t="s">
        <v>131</v>
      </c>
    </row>
    <row r="4632" spans="3:18" hidden="1" x14ac:dyDescent="0.25">
      <c r="C4632" t="s">
        <v>45</v>
      </c>
      <c r="D4632" t="s">
        <v>21</v>
      </c>
      <c r="E4632" t="s">
        <v>40</v>
      </c>
      <c r="F4632" t="s">
        <v>41</v>
      </c>
      <c r="G4632" s="89">
        <v>3054161</v>
      </c>
      <c r="H4632" t="s">
        <v>146</v>
      </c>
      <c r="I4632" t="s">
        <v>133</v>
      </c>
      <c r="J4632" s="89">
        <v>70245703</v>
      </c>
      <c r="K4632" t="s">
        <v>127</v>
      </c>
      <c r="L4632" t="s">
        <v>128</v>
      </c>
      <c r="N4632">
        <v>1</v>
      </c>
      <c r="O4632" s="89">
        <v>91624.83</v>
      </c>
      <c r="P4632" s="89">
        <v>763540.25</v>
      </c>
      <c r="Q4632" t="s">
        <v>130</v>
      </c>
      <c r="R4632" t="s">
        <v>131</v>
      </c>
    </row>
    <row r="4633" spans="3:18" hidden="1" x14ac:dyDescent="0.25">
      <c r="C4633" t="s">
        <v>45</v>
      </c>
      <c r="D4633" t="s">
        <v>22</v>
      </c>
      <c r="E4633" t="s">
        <v>40</v>
      </c>
      <c r="F4633" t="s">
        <v>53</v>
      </c>
      <c r="G4633" s="89">
        <v>140673</v>
      </c>
      <c r="H4633" t="s">
        <v>145</v>
      </c>
      <c r="I4633" t="s">
        <v>133</v>
      </c>
      <c r="J4633" s="89">
        <v>4923555</v>
      </c>
      <c r="K4633" t="s">
        <v>144</v>
      </c>
      <c r="N4633">
        <v>1</v>
      </c>
      <c r="O4633" s="89">
        <v>5626.92</v>
      </c>
      <c r="P4633" s="89">
        <v>105504.75</v>
      </c>
      <c r="Q4633" t="s">
        <v>137</v>
      </c>
      <c r="R4633" t="s">
        <v>131</v>
      </c>
    </row>
    <row r="4634" spans="3:18" x14ac:dyDescent="0.25">
      <c r="C4634" t="s">
        <v>47</v>
      </c>
      <c r="D4634" t="s">
        <v>138</v>
      </c>
      <c r="E4634" t="s">
        <v>43</v>
      </c>
      <c r="F4634" t="s">
        <v>41</v>
      </c>
      <c r="G4634" s="89">
        <v>794438</v>
      </c>
      <c r="H4634" t="s">
        <v>42</v>
      </c>
      <c r="I4634" t="s">
        <v>141</v>
      </c>
      <c r="J4634" s="89">
        <v>5561066</v>
      </c>
      <c r="K4634" t="s">
        <v>127</v>
      </c>
      <c r="L4634" t="s">
        <v>128</v>
      </c>
      <c r="M4634" t="s">
        <v>139</v>
      </c>
      <c r="N4634">
        <v>1</v>
      </c>
      <c r="O4634" s="89">
        <v>39721.9</v>
      </c>
      <c r="P4634" s="89">
        <v>484607.18</v>
      </c>
      <c r="Q4634" t="s">
        <v>137</v>
      </c>
      <c r="R4634" t="s">
        <v>131</v>
      </c>
    </row>
    <row r="4635" spans="3:18" hidden="1" x14ac:dyDescent="0.25">
      <c r="C4635" t="s">
        <v>45</v>
      </c>
      <c r="D4635" t="s">
        <v>22</v>
      </c>
      <c r="E4635" t="s">
        <v>44</v>
      </c>
      <c r="F4635" t="s">
        <v>41</v>
      </c>
      <c r="G4635" s="89">
        <v>746741</v>
      </c>
      <c r="H4635" t="s">
        <v>42</v>
      </c>
      <c r="I4635" t="s">
        <v>126</v>
      </c>
      <c r="J4635" s="89">
        <v>11947856</v>
      </c>
      <c r="K4635" t="s">
        <v>127</v>
      </c>
      <c r="L4635" t="s">
        <v>128</v>
      </c>
      <c r="M4635" t="s">
        <v>143</v>
      </c>
      <c r="N4635">
        <v>1</v>
      </c>
      <c r="O4635" s="89">
        <v>22402.23</v>
      </c>
      <c r="P4635" s="89">
        <v>179217.84</v>
      </c>
      <c r="Q4635" t="s">
        <v>130</v>
      </c>
      <c r="R4635" t="s">
        <v>42</v>
      </c>
    </row>
    <row r="4636" spans="3:18" hidden="1" x14ac:dyDescent="0.25">
      <c r="C4636" t="s">
        <v>45</v>
      </c>
      <c r="D4636" t="s">
        <v>20</v>
      </c>
      <c r="E4636" t="s">
        <v>43</v>
      </c>
      <c r="F4636" t="s">
        <v>41</v>
      </c>
      <c r="G4636" s="89">
        <v>24107</v>
      </c>
      <c r="H4636" t="s">
        <v>146</v>
      </c>
      <c r="I4636" t="s">
        <v>147</v>
      </c>
      <c r="J4636" s="89">
        <v>96428</v>
      </c>
      <c r="K4636" t="s">
        <v>144</v>
      </c>
      <c r="N4636">
        <v>1</v>
      </c>
      <c r="O4636" s="89">
        <v>723.21</v>
      </c>
      <c r="P4636" s="89">
        <v>3616.05</v>
      </c>
      <c r="Q4636" t="s">
        <v>130</v>
      </c>
      <c r="R4636" t="s">
        <v>131</v>
      </c>
    </row>
    <row r="4637" spans="3:18" hidden="1" x14ac:dyDescent="0.25">
      <c r="C4637" t="s">
        <v>45</v>
      </c>
      <c r="D4637" t="s">
        <v>25</v>
      </c>
      <c r="E4637" t="s">
        <v>44</v>
      </c>
      <c r="F4637" t="s">
        <v>41</v>
      </c>
      <c r="G4637" s="89">
        <v>147807</v>
      </c>
      <c r="H4637" t="s">
        <v>146</v>
      </c>
      <c r="I4637" t="s">
        <v>126</v>
      </c>
      <c r="J4637" s="89">
        <v>2364912</v>
      </c>
      <c r="K4637" t="s">
        <v>127</v>
      </c>
      <c r="L4637" t="s">
        <v>128</v>
      </c>
      <c r="N4637">
        <v>1</v>
      </c>
      <c r="O4637" s="89">
        <v>5912.28</v>
      </c>
      <c r="P4637" s="89">
        <v>94596.479999999996</v>
      </c>
      <c r="Q4637" t="s">
        <v>137</v>
      </c>
      <c r="R4637" t="s">
        <v>131</v>
      </c>
    </row>
    <row r="4638" spans="3:18" x14ac:dyDescent="0.25">
      <c r="C4638" t="s">
        <v>47</v>
      </c>
      <c r="D4638" t="s">
        <v>25</v>
      </c>
      <c r="E4638" t="s">
        <v>44</v>
      </c>
      <c r="F4638" t="s">
        <v>41</v>
      </c>
      <c r="G4638" s="89">
        <v>29485</v>
      </c>
      <c r="H4638" t="s">
        <v>140</v>
      </c>
      <c r="I4638" t="s">
        <v>141</v>
      </c>
      <c r="J4638" s="89">
        <v>265365</v>
      </c>
      <c r="K4638" t="s">
        <v>127</v>
      </c>
      <c r="L4638" t="s">
        <v>128</v>
      </c>
      <c r="N4638">
        <v>1</v>
      </c>
      <c r="O4638" s="89">
        <v>1179.4000000000001</v>
      </c>
      <c r="P4638" s="89">
        <v>7960.95</v>
      </c>
      <c r="Q4638" t="s">
        <v>130</v>
      </c>
      <c r="R4638" t="s">
        <v>131</v>
      </c>
    </row>
    <row r="4639" spans="3:18" hidden="1" x14ac:dyDescent="0.25">
      <c r="C4639" t="s">
        <v>45</v>
      </c>
      <c r="D4639" t="s">
        <v>20</v>
      </c>
      <c r="E4639" t="s">
        <v>43</v>
      </c>
      <c r="F4639" t="s">
        <v>41</v>
      </c>
      <c r="G4639" s="89">
        <v>42671</v>
      </c>
      <c r="H4639" t="s">
        <v>146</v>
      </c>
      <c r="I4639" t="s">
        <v>141</v>
      </c>
      <c r="J4639" s="89">
        <v>384039</v>
      </c>
      <c r="K4639" t="s">
        <v>134</v>
      </c>
      <c r="L4639" t="s">
        <v>128</v>
      </c>
      <c r="N4639">
        <v>1</v>
      </c>
      <c r="O4639" s="89">
        <v>1280.1300000000001</v>
      </c>
      <c r="P4639" s="89">
        <v>12801.3</v>
      </c>
      <c r="Q4639" t="s">
        <v>130</v>
      </c>
      <c r="R4639" t="s">
        <v>131</v>
      </c>
    </row>
    <row r="4640" spans="3:18" hidden="1" x14ac:dyDescent="0.25">
      <c r="C4640" t="s">
        <v>45</v>
      </c>
      <c r="D4640" t="s">
        <v>21</v>
      </c>
      <c r="E4640" t="s">
        <v>40</v>
      </c>
      <c r="F4640" t="s">
        <v>41</v>
      </c>
      <c r="G4640" s="89">
        <v>5411570</v>
      </c>
      <c r="H4640" t="s">
        <v>42</v>
      </c>
      <c r="I4640" t="s">
        <v>126</v>
      </c>
      <c r="J4640" s="89">
        <v>81173550</v>
      </c>
      <c r="K4640" t="s">
        <v>127</v>
      </c>
      <c r="L4640" t="s">
        <v>128</v>
      </c>
      <c r="M4640" t="s">
        <v>129</v>
      </c>
      <c r="N4640">
        <v>1</v>
      </c>
      <c r="O4640" s="89">
        <v>216462.8</v>
      </c>
      <c r="P4640" s="89">
        <v>1407008.2</v>
      </c>
      <c r="Q4640" t="s">
        <v>130</v>
      </c>
      <c r="R4640" t="s">
        <v>42</v>
      </c>
    </row>
    <row r="4641" spans="3:18" hidden="1" x14ac:dyDescent="0.25">
      <c r="C4641" t="s">
        <v>45</v>
      </c>
      <c r="D4641" t="s">
        <v>22</v>
      </c>
      <c r="E4641" t="s">
        <v>40</v>
      </c>
      <c r="F4641" t="s">
        <v>41</v>
      </c>
      <c r="G4641" s="89">
        <v>22279589</v>
      </c>
      <c r="H4641" t="s">
        <v>140</v>
      </c>
      <c r="I4641" t="s">
        <v>133</v>
      </c>
      <c r="J4641" s="89">
        <v>668387670</v>
      </c>
      <c r="K4641" t="s">
        <v>144</v>
      </c>
      <c r="N4641">
        <v>1</v>
      </c>
      <c r="O4641" s="89">
        <v>668387.67000000004</v>
      </c>
      <c r="P4641" s="89">
        <v>15595712.300000001</v>
      </c>
      <c r="Q4641" t="s">
        <v>137</v>
      </c>
      <c r="R4641" t="s">
        <v>131</v>
      </c>
    </row>
    <row r="4642" spans="3:18" hidden="1" x14ac:dyDescent="0.25">
      <c r="C4642" t="s">
        <v>45</v>
      </c>
      <c r="D4642" t="s">
        <v>22</v>
      </c>
      <c r="E4642" t="s">
        <v>43</v>
      </c>
      <c r="F4642" t="s">
        <v>41</v>
      </c>
      <c r="G4642" s="89">
        <v>31588</v>
      </c>
      <c r="H4642" t="s">
        <v>145</v>
      </c>
      <c r="I4642" t="s">
        <v>147</v>
      </c>
      <c r="J4642" s="89">
        <v>157940</v>
      </c>
      <c r="K4642" t="s">
        <v>144</v>
      </c>
      <c r="N4642">
        <v>1</v>
      </c>
      <c r="O4642" s="89">
        <v>947.64</v>
      </c>
      <c r="P4642" s="89">
        <v>3474.68</v>
      </c>
      <c r="Q4642" t="s">
        <v>130</v>
      </c>
      <c r="R4642" t="s">
        <v>131</v>
      </c>
    </row>
    <row r="4643" spans="3:18" hidden="1" x14ac:dyDescent="0.25">
      <c r="C4643" t="s">
        <v>45</v>
      </c>
      <c r="D4643" t="s">
        <v>22</v>
      </c>
      <c r="E4643" t="s">
        <v>43</v>
      </c>
      <c r="F4643" t="s">
        <v>41</v>
      </c>
      <c r="G4643" s="89">
        <v>131496</v>
      </c>
      <c r="H4643" t="s">
        <v>42</v>
      </c>
      <c r="I4643" t="s">
        <v>126</v>
      </c>
      <c r="J4643" s="89">
        <v>2366928</v>
      </c>
      <c r="K4643" t="s">
        <v>134</v>
      </c>
      <c r="L4643" t="s">
        <v>128</v>
      </c>
      <c r="M4643" t="s">
        <v>143</v>
      </c>
      <c r="N4643">
        <v>1</v>
      </c>
      <c r="O4643" s="89">
        <v>3944.88</v>
      </c>
      <c r="P4643" s="89">
        <v>27614.16</v>
      </c>
      <c r="Q4643" t="s">
        <v>130</v>
      </c>
      <c r="R4643" t="s">
        <v>131</v>
      </c>
    </row>
    <row r="4644" spans="3:18" hidden="1" x14ac:dyDescent="0.25">
      <c r="C4644" t="s">
        <v>45</v>
      </c>
      <c r="D4644" t="s">
        <v>138</v>
      </c>
      <c r="E4644" t="s">
        <v>43</v>
      </c>
      <c r="F4644" t="s">
        <v>41</v>
      </c>
      <c r="G4644" s="89">
        <v>157378</v>
      </c>
      <c r="H4644" t="s">
        <v>140</v>
      </c>
      <c r="I4644" t="s">
        <v>141</v>
      </c>
      <c r="J4644" s="89">
        <v>1101646</v>
      </c>
      <c r="K4644" t="s">
        <v>127</v>
      </c>
      <c r="L4644" t="s">
        <v>128</v>
      </c>
      <c r="N4644">
        <v>1</v>
      </c>
      <c r="O4644" s="89">
        <v>4721.34</v>
      </c>
      <c r="P4644" s="89">
        <v>97574.36</v>
      </c>
      <c r="Q4644" t="s">
        <v>137</v>
      </c>
      <c r="R4644" t="s">
        <v>131</v>
      </c>
    </row>
    <row r="4645" spans="3:18" hidden="1" x14ac:dyDescent="0.25">
      <c r="C4645" t="s">
        <v>45</v>
      </c>
      <c r="D4645" t="s">
        <v>138</v>
      </c>
      <c r="E4645" t="s">
        <v>40</v>
      </c>
      <c r="F4645" t="s">
        <v>41</v>
      </c>
      <c r="G4645" s="89">
        <v>502573</v>
      </c>
      <c r="H4645" t="s">
        <v>42</v>
      </c>
      <c r="I4645" t="s">
        <v>126</v>
      </c>
      <c r="J4645" s="89">
        <v>7538595</v>
      </c>
      <c r="K4645" t="s">
        <v>144</v>
      </c>
      <c r="N4645">
        <v>1</v>
      </c>
      <c r="O4645" s="89">
        <v>15077.19</v>
      </c>
      <c r="P4645" s="89">
        <v>160823.35999999999</v>
      </c>
      <c r="Q4645" t="s">
        <v>130</v>
      </c>
      <c r="R4645" t="s">
        <v>42</v>
      </c>
    </row>
    <row r="4646" spans="3:18" hidden="1" x14ac:dyDescent="0.25">
      <c r="C4646" t="s">
        <v>45</v>
      </c>
      <c r="D4646" t="s">
        <v>22</v>
      </c>
      <c r="E4646" t="s">
        <v>40</v>
      </c>
      <c r="F4646" t="s">
        <v>41</v>
      </c>
      <c r="G4646" s="89">
        <v>40539</v>
      </c>
      <c r="H4646" t="s">
        <v>132</v>
      </c>
      <c r="I4646" t="s">
        <v>147</v>
      </c>
      <c r="J4646" s="89">
        <v>121617</v>
      </c>
      <c r="K4646" t="s">
        <v>127</v>
      </c>
      <c r="L4646" t="s">
        <v>128</v>
      </c>
      <c r="N4646">
        <v>1</v>
      </c>
      <c r="O4646" s="89">
        <v>1216.17</v>
      </c>
      <c r="P4646" s="89">
        <v>28377.3</v>
      </c>
      <c r="Q4646" t="s">
        <v>137</v>
      </c>
      <c r="R4646" t="s">
        <v>131</v>
      </c>
    </row>
    <row r="4647" spans="3:18" x14ac:dyDescent="0.25">
      <c r="C4647" t="s">
        <v>47</v>
      </c>
      <c r="D4647" t="s">
        <v>23</v>
      </c>
      <c r="E4647" t="s">
        <v>48</v>
      </c>
      <c r="F4647" t="s">
        <v>41</v>
      </c>
      <c r="G4647" s="89">
        <v>2369859</v>
      </c>
      <c r="H4647" t="s">
        <v>140</v>
      </c>
      <c r="I4647" t="s">
        <v>147</v>
      </c>
      <c r="J4647" s="89">
        <v>7109577</v>
      </c>
      <c r="K4647" t="s">
        <v>127</v>
      </c>
      <c r="L4647" t="s">
        <v>128</v>
      </c>
      <c r="N4647">
        <v>1</v>
      </c>
      <c r="O4647" s="89">
        <v>118492.95</v>
      </c>
      <c r="P4647" s="89">
        <v>331780.26</v>
      </c>
      <c r="Q4647" t="s">
        <v>130</v>
      </c>
      <c r="R4647" t="s">
        <v>131</v>
      </c>
    </row>
    <row r="4648" spans="3:18" hidden="1" x14ac:dyDescent="0.25">
      <c r="C4648" t="s">
        <v>45</v>
      </c>
      <c r="D4648" t="s">
        <v>22</v>
      </c>
      <c r="E4648" t="s">
        <v>48</v>
      </c>
      <c r="F4648" t="s">
        <v>41</v>
      </c>
      <c r="G4648" s="89">
        <v>88385</v>
      </c>
      <c r="H4648" t="s">
        <v>42</v>
      </c>
      <c r="I4648" t="s">
        <v>126</v>
      </c>
      <c r="J4648" s="89">
        <v>1767700</v>
      </c>
      <c r="K4648" t="s">
        <v>134</v>
      </c>
      <c r="L4648" t="s">
        <v>128</v>
      </c>
      <c r="M4648" t="s">
        <v>143</v>
      </c>
      <c r="N4648">
        <v>1</v>
      </c>
      <c r="O4648" s="89">
        <v>2651.55</v>
      </c>
      <c r="P4648" s="89">
        <v>53914.85</v>
      </c>
      <c r="Q4648" t="s">
        <v>137</v>
      </c>
      <c r="R4648" t="s">
        <v>42</v>
      </c>
    </row>
    <row r="4649" spans="3:18" x14ac:dyDescent="0.25">
      <c r="C4649" t="s">
        <v>47</v>
      </c>
      <c r="D4649" t="s">
        <v>21</v>
      </c>
      <c r="E4649" t="s">
        <v>43</v>
      </c>
      <c r="F4649" t="s">
        <v>41</v>
      </c>
      <c r="G4649" s="89">
        <v>22597972</v>
      </c>
      <c r="H4649" t="s">
        <v>140</v>
      </c>
      <c r="I4649" t="s">
        <v>126</v>
      </c>
      <c r="J4649" s="89">
        <v>271175664</v>
      </c>
      <c r="K4649" t="s">
        <v>127</v>
      </c>
      <c r="L4649" t="s">
        <v>128</v>
      </c>
      <c r="N4649">
        <v>1</v>
      </c>
      <c r="O4649" s="89">
        <v>903918.88</v>
      </c>
      <c r="P4649" s="89">
        <v>5649493</v>
      </c>
      <c r="Q4649" t="s">
        <v>130</v>
      </c>
      <c r="R4649" t="s">
        <v>131</v>
      </c>
    </row>
    <row r="4650" spans="3:18" hidden="1" x14ac:dyDescent="0.25">
      <c r="C4650" t="s">
        <v>45</v>
      </c>
      <c r="D4650" t="s">
        <v>19</v>
      </c>
      <c r="E4650" t="s">
        <v>40</v>
      </c>
      <c r="F4650" t="s">
        <v>41</v>
      </c>
      <c r="G4650" s="89">
        <v>155145</v>
      </c>
      <c r="H4650" t="s">
        <v>42</v>
      </c>
      <c r="I4650" t="s">
        <v>133</v>
      </c>
      <c r="J4650" s="89">
        <v>5740365</v>
      </c>
      <c r="K4650" t="s">
        <v>127</v>
      </c>
      <c r="L4650" t="s">
        <v>128</v>
      </c>
      <c r="M4650" t="s">
        <v>136</v>
      </c>
      <c r="N4650">
        <v>1</v>
      </c>
      <c r="O4650" s="89">
        <v>6205.8</v>
      </c>
      <c r="P4650" s="89">
        <v>156696.45000000001</v>
      </c>
      <c r="Q4650" t="s">
        <v>150</v>
      </c>
      <c r="R4650" t="s">
        <v>131</v>
      </c>
    </row>
    <row r="4651" spans="3:18" x14ac:dyDescent="0.25">
      <c r="C4651" t="s">
        <v>47</v>
      </c>
      <c r="D4651" t="s">
        <v>20</v>
      </c>
      <c r="E4651" t="s">
        <v>40</v>
      </c>
      <c r="F4651" t="s">
        <v>41</v>
      </c>
      <c r="G4651" s="89">
        <v>877163</v>
      </c>
      <c r="H4651" t="s">
        <v>140</v>
      </c>
      <c r="I4651" t="s">
        <v>141</v>
      </c>
      <c r="J4651" s="89">
        <v>7017304</v>
      </c>
      <c r="K4651" t="s">
        <v>144</v>
      </c>
      <c r="N4651">
        <v>1</v>
      </c>
      <c r="O4651" s="89">
        <v>26314.89</v>
      </c>
      <c r="P4651" s="89">
        <v>192975.86</v>
      </c>
      <c r="Q4651" t="s">
        <v>130</v>
      </c>
      <c r="R4651" t="s">
        <v>131</v>
      </c>
    </row>
    <row r="4652" spans="3:18" hidden="1" x14ac:dyDescent="0.25">
      <c r="C4652" t="s">
        <v>45</v>
      </c>
      <c r="D4652" t="s">
        <v>23</v>
      </c>
      <c r="E4652" t="s">
        <v>40</v>
      </c>
      <c r="F4652" t="s">
        <v>53</v>
      </c>
      <c r="G4652" s="89">
        <v>105703</v>
      </c>
      <c r="H4652" t="s">
        <v>42</v>
      </c>
      <c r="I4652" t="s">
        <v>133</v>
      </c>
      <c r="J4652" s="89">
        <v>4228120</v>
      </c>
      <c r="K4652" t="s">
        <v>144</v>
      </c>
      <c r="N4652">
        <v>1</v>
      </c>
      <c r="O4652" s="89">
        <v>3171.09</v>
      </c>
      <c r="P4652" s="89">
        <v>89847.55</v>
      </c>
      <c r="Q4652" t="s">
        <v>135</v>
      </c>
      <c r="R4652" t="s">
        <v>131</v>
      </c>
    </row>
    <row r="4653" spans="3:18" x14ac:dyDescent="0.25">
      <c r="C4653" t="s">
        <v>47</v>
      </c>
      <c r="D4653" t="s">
        <v>21</v>
      </c>
      <c r="E4653" t="s">
        <v>48</v>
      </c>
      <c r="F4653" t="s">
        <v>41</v>
      </c>
      <c r="G4653" s="89">
        <v>762678</v>
      </c>
      <c r="H4653" t="s">
        <v>146</v>
      </c>
      <c r="I4653" t="s">
        <v>147</v>
      </c>
      <c r="J4653" s="89">
        <v>3050712</v>
      </c>
      <c r="K4653" t="s">
        <v>127</v>
      </c>
      <c r="L4653" t="s">
        <v>128</v>
      </c>
      <c r="N4653">
        <v>1</v>
      </c>
      <c r="O4653" s="89">
        <v>7626.78</v>
      </c>
      <c r="P4653" s="89">
        <v>381339</v>
      </c>
      <c r="Q4653" t="s">
        <v>142</v>
      </c>
      <c r="R4653" t="s">
        <v>131</v>
      </c>
    </row>
    <row r="4654" spans="3:18" hidden="1" x14ac:dyDescent="0.25">
      <c r="C4654" t="s">
        <v>45</v>
      </c>
      <c r="D4654" t="s">
        <v>22</v>
      </c>
      <c r="E4654" t="s">
        <v>43</v>
      </c>
      <c r="F4654" t="s">
        <v>41</v>
      </c>
      <c r="G4654" s="89">
        <v>941251</v>
      </c>
      <c r="H4654" t="s">
        <v>132</v>
      </c>
      <c r="I4654" t="s">
        <v>147</v>
      </c>
      <c r="J4654" s="89">
        <v>2823753</v>
      </c>
      <c r="K4654" t="s">
        <v>127</v>
      </c>
      <c r="L4654" t="s">
        <v>128</v>
      </c>
      <c r="N4654">
        <v>1</v>
      </c>
      <c r="O4654" s="89">
        <v>28237.53</v>
      </c>
      <c r="P4654" s="89">
        <v>122362.63</v>
      </c>
      <c r="Q4654" t="s">
        <v>130</v>
      </c>
      <c r="R4654" t="s">
        <v>131</v>
      </c>
    </row>
    <row r="4655" spans="3:18" hidden="1" x14ac:dyDescent="0.25">
      <c r="C4655" t="s">
        <v>45</v>
      </c>
      <c r="D4655" t="s">
        <v>21</v>
      </c>
      <c r="E4655" t="s">
        <v>40</v>
      </c>
      <c r="F4655" t="s">
        <v>41</v>
      </c>
      <c r="G4655" s="89">
        <v>278009</v>
      </c>
      <c r="H4655" t="s">
        <v>42</v>
      </c>
      <c r="I4655" t="s">
        <v>126</v>
      </c>
      <c r="J4655" s="89">
        <v>4170135</v>
      </c>
      <c r="K4655" t="s">
        <v>134</v>
      </c>
      <c r="L4655" t="s">
        <v>128</v>
      </c>
      <c r="M4655" t="s">
        <v>129</v>
      </c>
      <c r="N4655">
        <v>1</v>
      </c>
      <c r="O4655" s="89">
        <v>8340.27</v>
      </c>
      <c r="P4655" s="89">
        <v>105643.42</v>
      </c>
      <c r="Q4655" t="s">
        <v>130</v>
      </c>
      <c r="R4655" t="s">
        <v>42</v>
      </c>
    </row>
    <row r="4656" spans="3:18" hidden="1" x14ac:dyDescent="0.25">
      <c r="C4656" t="s">
        <v>45</v>
      </c>
      <c r="D4656" t="s">
        <v>149</v>
      </c>
      <c r="E4656" t="s">
        <v>43</v>
      </c>
      <c r="F4656" t="s">
        <v>53</v>
      </c>
      <c r="G4656" s="89">
        <v>38107</v>
      </c>
      <c r="H4656" t="s">
        <v>140</v>
      </c>
      <c r="I4656" t="s">
        <v>126</v>
      </c>
      <c r="J4656" s="89">
        <v>724033</v>
      </c>
      <c r="K4656" t="s">
        <v>144</v>
      </c>
      <c r="N4656">
        <v>1</v>
      </c>
      <c r="O4656" s="89">
        <v>1143.21</v>
      </c>
      <c r="P4656" s="89">
        <v>3810.7</v>
      </c>
      <c r="Q4656" t="s">
        <v>130</v>
      </c>
      <c r="R4656" t="s">
        <v>131</v>
      </c>
    </row>
    <row r="4657" spans="3:18" hidden="1" x14ac:dyDescent="0.25">
      <c r="C4657" t="s">
        <v>45</v>
      </c>
      <c r="D4657" t="s">
        <v>21</v>
      </c>
      <c r="E4657" t="s">
        <v>43</v>
      </c>
      <c r="F4657" t="s">
        <v>53</v>
      </c>
      <c r="G4657" s="89">
        <v>144140</v>
      </c>
      <c r="H4657" t="s">
        <v>145</v>
      </c>
      <c r="I4657" t="s">
        <v>133</v>
      </c>
      <c r="J4657" s="89">
        <v>5044900</v>
      </c>
      <c r="K4657" t="s">
        <v>144</v>
      </c>
      <c r="N4657">
        <v>1</v>
      </c>
      <c r="O4657" s="89">
        <v>4324.2</v>
      </c>
      <c r="P4657" s="89">
        <v>79277</v>
      </c>
      <c r="Q4657" t="s">
        <v>142</v>
      </c>
      <c r="R4657" t="s">
        <v>131</v>
      </c>
    </row>
    <row r="4658" spans="3:18" hidden="1" x14ac:dyDescent="0.25">
      <c r="C4658" t="s">
        <v>45</v>
      </c>
      <c r="D4658" t="s">
        <v>21</v>
      </c>
      <c r="E4658" t="s">
        <v>43</v>
      </c>
      <c r="F4658" t="s">
        <v>53</v>
      </c>
      <c r="G4658" s="89">
        <v>42398</v>
      </c>
      <c r="H4658" t="s">
        <v>146</v>
      </c>
      <c r="I4658" t="s">
        <v>126</v>
      </c>
      <c r="J4658" s="89">
        <v>551174</v>
      </c>
      <c r="K4658" t="s">
        <v>127</v>
      </c>
      <c r="L4658" t="s">
        <v>128</v>
      </c>
      <c r="N4658">
        <v>1</v>
      </c>
      <c r="O4658" s="89">
        <v>1271.94</v>
      </c>
      <c r="P4658" s="89">
        <v>16959.2</v>
      </c>
      <c r="Q4658" t="s">
        <v>130</v>
      </c>
      <c r="R4658" t="s">
        <v>131</v>
      </c>
    </row>
    <row r="4659" spans="3:18" hidden="1" x14ac:dyDescent="0.25">
      <c r="C4659" t="s">
        <v>45</v>
      </c>
      <c r="D4659" t="s">
        <v>24</v>
      </c>
      <c r="E4659" t="s">
        <v>46</v>
      </c>
      <c r="F4659" t="s">
        <v>53</v>
      </c>
      <c r="G4659" s="89">
        <v>217715</v>
      </c>
      <c r="H4659" t="s">
        <v>42</v>
      </c>
      <c r="I4659" t="s">
        <v>133</v>
      </c>
      <c r="J4659" s="89">
        <v>5225160</v>
      </c>
      <c r="K4659" t="s">
        <v>144</v>
      </c>
      <c r="N4659">
        <v>1</v>
      </c>
      <c r="O4659" s="89">
        <v>6531.45</v>
      </c>
      <c r="P4659" s="89">
        <v>128451.85</v>
      </c>
      <c r="Q4659" t="s">
        <v>142</v>
      </c>
      <c r="R4659" t="s">
        <v>42</v>
      </c>
    </row>
    <row r="4660" spans="3:18" hidden="1" x14ac:dyDescent="0.25">
      <c r="C4660" t="s">
        <v>45</v>
      </c>
      <c r="D4660" t="s">
        <v>23</v>
      </c>
      <c r="E4660" t="s">
        <v>43</v>
      </c>
      <c r="F4660" t="s">
        <v>41</v>
      </c>
      <c r="G4660" s="89">
        <v>65040</v>
      </c>
      <c r="H4660" t="s">
        <v>145</v>
      </c>
      <c r="I4660" t="s">
        <v>141</v>
      </c>
      <c r="J4660" s="89">
        <v>520320</v>
      </c>
      <c r="K4660" t="s">
        <v>144</v>
      </c>
      <c r="N4660">
        <v>1</v>
      </c>
      <c r="O4660" s="89">
        <v>1951.2</v>
      </c>
      <c r="P4660" s="89">
        <v>1300.8</v>
      </c>
      <c r="Q4660" t="s">
        <v>130</v>
      </c>
      <c r="R4660" t="s">
        <v>131</v>
      </c>
    </row>
    <row r="4661" spans="3:18" hidden="1" x14ac:dyDescent="0.25">
      <c r="C4661" t="s">
        <v>45</v>
      </c>
      <c r="D4661" t="s">
        <v>19</v>
      </c>
      <c r="E4661" t="s">
        <v>48</v>
      </c>
      <c r="F4661" t="s">
        <v>41</v>
      </c>
      <c r="G4661" s="89">
        <v>285514</v>
      </c>
      <c r="H4661" t="s">
        <v>42</v>
      </c>
      <c r="I4661" t="s">
        <v>126</v>
      </c>
      <c r="J4661" s="89">
        <v>4282710</v>
      </c>
      <c r="K4661" t="s">
        <v>127</v>
      </c>
      <c r="L4661" t="s">
        <v>128</v>
      </c>
      <c r="M4661" t="s">
        <v>136</v>
      </c>
      <c r="N4661">
        <v>1</v>
      </c>
      <c r="O4661" s="89">
        <v>11420.56</v>
      </c>
      <c r="P4661" s="89">
        <v>71378.5</v>
      </c>
      <c r="Q4661" t="s">
        <v>130</v>
      </c>
      <c r="R4661" t="s">
        <v>131</v>
      </c>
    </row>
    <row r="4662" spans="3:18" hidden="1" x14ac:dyDescent="0.25">
      <c r="C4662" t="s">
        <v>45</v>
      </c>
      <c r="D4662" t="s">
        <v>24</v>
      </c>
      <c r="E4662" t="s">
        <v>46</v>
      </c>
      <c r="F4662" t="s">
        <v>41</v>
      </c>
      <c r="G4662" s="89">
        <v>40216</v>
      </c>
      <c r="H4662" t="s">
        <v>140</v>
      </c>
      <c r="I4662" t="s">
        <v>126</v>
      </c>
      <c r="J4662" s="89">
        <v>603240</v>
      </c>
      <c r="K4662" t="s">
        <v>127</v>
      </c>
      <c r="L4662" t="s">
        <v>128</v>
      </c>
      <c r="N4662">
        <v>1</v>
      </c>
      <c r="O4662" s="89">
        <v>1206.48</v>
      </c>
      <c r="P4662" s="89">
        <v>13271.28</v>
      </c>
      <c r="Q4662" t="s">
        <v>130</v>
      </c>
      <c r="R4662" t="s">
        <v>131</v>
      </c>
    </row>
    <row r="4663" spans="3:18" hidden="1" x14ac:dyDescent="0.25">
      <c r="C4663" t="s">
        <v>45</v>
      </c>
      <c r="D4663" t="s">
        <v>23</v>
      </c>
      <c r="E4663" t="s">
        <v>46</v>
      </c>
      <c r="F4663" t="s">
        <v>41</v>
      </c>
      <c r="G4663" s="89">
        <v>6240798</v>
      </c>
      <c r="H4663" t="s">
        <v>42</v>
      </c>
      <c r="I4663" t="s">
        <v>133</v>
      </c>
      <c r="J4663" s="89">
        <v>187223940</v>
      </c>
      <c r="K4663" t="s">
        <v>127</v>
      </c>
      <c r="L4663" t="s">
        <v>128</v>
      </c>
      <c r="M4663" t="s">
        <v>152</v>
      </c>
      <c r="N4663">
        <v>1</v>
      </c>
      <c r="O4663" s="89">
        <v>187223.94</v>
      </c>
      <c r="P4663" s="89">
        <v>3307622.94</v>
      </c>
      <c r="Q4663" t="s">
        <v>142</v>
      </c>
      <c r="R4663" t="s">
        <v>42</v>
      </c>
    </row>
    <row r="4664" spans="3:18" hidden="1" x14ac:dyDescent="0.25">
      <c r="C4664" t="s">
        <v>45</v>
      </c>
      <c r="D4664" t="s">
        <v>23</v>
      </c>
      <c r="E4664" t="s">
        <v>43</v>
      </c>
      <c r="F4664" t="s">
        <v>41</v>
      </c>
      <c r="G4664" s="89">
        <v>17818</v>
      </c>
      <c r="H4664" t="s">
        <v>42</v>
      </c>
      <c r="I4664" t="s">
        <v>141</v>
      </c>
      <c r="J4664" s="89">
        <v>142544</v>
      </c>
      <c r="K4664" t="s">
        <v>127</v>
      </c>
      <c r="L4664" t="s">
        <v>128</v>
      </c>
      <c r="M4664" t="s">
        <v>152</v>
      </c>
      <c r="N4664">
        <v>1</v>
      </c>
      <c r="O4664" s="89">
        <v>890.9</v>
      </c>
      <c r="P4664" s="89">
        <v>3563.6</v>
      </c>
      <c r="Q4664" t="s">
        <v>130</v>
      </c>
      <c r="R4664" t="s">
        <v>42</v>
      </c>
    </row>
    <row r="4665" spans="3:18" x14ac:dyDescent="0.25">
      <c r="C4665" t="s">
        <v>47</v>
      </c>
      <c r="D4665" t="s">
        <v>24</v>
      </c>
      <c r="E4665" t="s">
        <v>48</v>
      </c>
      <c r="F4665" t="s">
        <v>41</v>
      </c>
      <c r="G4665" s="89">
        <v>174827</v>
      </c>
      <c r="H4665" t="s">
        <v>146</v>
      </c>
      <c r="I4665" t="s">
        <v>147</v>
      </c>
      <c r="J4665" s="89">
        <v>0</v>
      </c>
      <c r="K4665" t="s">
        <v>144</v>
      </c>
      <c r="N4665">
        <v>1</v>
      </c>
      <c r="O4665" s="89">
        <v>6993.08</v>
      </c>
      <c r="P4665" s="89">
        <v>55944.639999999999</v>
      </c>
      <c r="Q4665" t="s">
        <v>130</v>
      </c>
      <c r="R4665" t="s">
        <v>131</v>
      </c>
    </row>
    <row r="4666" spans="3:18" x14ac:dyDescent="0.25">
      <c r="C4666" t="s">
        <v>47</v>
      </c>
      <c r="D4666" t="s">
        <v>22</v>
      </c>
      <c r="E4666" t="s">
        <v>40</v>
      </c>
      <c r="F4666" t="s">
        <v>41</v>
      </c>
      <c r="G4666" s="89">
        <v>368588</v>
      </c>
      <c r="H4666" t="s">
        <v>42</v>
      </c>
      <c r="I4666" t="s">
        <v>133</v>
      </c>
      <c r="J4666" s="89">
        <v>12900580</v>
      </c>
      <c r="K4666" t="s">
        <v>127</v>
      </c>
      <c r="L4666" t="s">
        <v>128</v>
      </c>
      <c r="M4666" t="s">
        <v>143</v>
      </c>
      <c r="N4666">
        <v>1</v>
      </c>
      <c r="O4666" s="89">
        <v>11057.64</v>
      </c>
      <c r="P4666" s="89">
        <v>239582.2</v>
      </c>
      <c r="Q4666" t="s">
        <v>137</v>
      </c>
      <c r="R4666" t="s">
        <v>131</v>
      </c>
    </row>
    <row r="4667" spans="3:18" hidden="1" x14ac:dyDescent="0.25">
      <c r="C4667" t="s">
        <v>45</v>
      </c>
      <c r="D4667" t="s">
        <v>21</v>
      </c>
      <c r="E4667" t="s">
        <v>43</v>
      </c>
      <c r="F4667" t="s">
        <v>41</v>
      </c>
      <c r="G4667" s="89">
        <v>1514626</v>
      </c>
      <c r="H4667" t="s">
        <v>132</v>
      </c>
      <c r="I4667" t="s">
        <v>126</v>
      </c>
      <c r="J4667" s="89">
        <v>24234016</v>
      </c>
      <c r="K4667" t="s">
        <v>127</v>
      </c>
      <c r="L4667" t="s">
        <v>128</v>
      </c>
      <c r="N4667">
        <v>1</v>
      </c>
      <c r="O4667" s="89">
        <v>45438.78</v>
      </c>
      <c r="P4667" s="89">
        <v>1317724.6200000001</v>
      </c>
      <c r="Q4667" t="s">
        <v>135</v>
      </c>
      <c r="R4667" t="s">
        <v>131</v>
      </c>
    </row>
    <row r="4668" spans="3:18" x14ac:dyDescent="0.25">
      <c r="C4668" t="s">
        <v>47</v>
      </c>
      <c r="D4668" t="s">
        <v>21</v>
      </c>
      <c r="E4668" t="s">
        <v>40</v>
      </c>
      <c r="F4668" t="s">
        <v>41</v>
      </c>
      <c r="G4668" s="89">
        <v>2513074</v>
      </c>
      <c r="H4668" t="s">
        <v>145</v>
      </c>
      <c r="I4668" t="s">
        <v>126</v>
      </c>
      <c r="J4668" s="89">
        <v>37696110</v>
      </c>
      <c r="K4668" t="s">
        <v>127</v>
      </c>
      <c r="L4668" t="s">
        <v>128</v>
      </c>
      <c r="N4668">
        <v>1</v>
      </c>
      <c r="O4668" s="89">
        <v>75392.22</v>
      </c>
      <c r="P4668" s="89">
        <v>2136112.9</v>
      </c>
      <c r="Q4668" t="s">
        <v>135</v>
      </c>
      <c r="R4668" t="s">
        <v>131</v>
      </c>
    </row>
    <row r="4669" spans="3:18" hidden="1" x14ac:dyDescent="0.25">
      <c r="C4669" t="s">
        <v>45</v>
      </c>
      <c r="D4669" t="s">
        <v>22</v>
      </c>
      <c r="E4669" t="s">
        <v>43</v>
      </c>
      <c r="F4669" t="s">
        <v>41</v>
      </c>
      <c r="G4669" s="89">
        <v>93941</v>
      </c>
      <c r="H4669" t="s">
        <v>140</v>
      </c>
      <c r="I4669" t="s">
        <v>126</v>
      </c>
      <c r="J4669" s="89">
        <v>1127292</v>
      </c>
      <c r="K4669" t="s">
        <v>127</v>
      </c>
      <c r="L4669" t="s">
        <v>151</v>
      </c>
      <c r="N4669">
        <v>1</v>
      </c>
      <c r="O4669" s="89">
        <v>3757.64</v>
      </c>
      <c r="P4669" s="89">
        <v>4697.05</v>
      </c>
      <c r="Q4669" t="s">
        <v>130</v>
      </c>
      <c r="R4669" t="s">
        <v>131</v>
      </c>
    </row>
    <row r="4670" spans="3:18" x14ac:dyDescent="0.25">
      <c r="C4670" t="s">
        <v>47</v>
      </c>
      <c r="D4670" t="s">
        <v>25</v>
      </c>
      <c r="E4670" t="s">
        <v>48</v>
      </c>
      <c r="F4670" t="s">
        <v>41</v>
      </c>
      <c r="G4670" s="89">
        <v>81616</v>
      </c>
      <c r="H4670" t="s">
        <v>145</v>
      </c>
      <c r="I4670" t="s">
        <v>126</v>
      </c>
      <c r="J4670" s="89">
        <v>1142624</v>
      </c>
      <c r="K4670" t="s">
        <v>127</v>
      </c>
      <c r="L4670" t="s">
        <v>128</v>
      </c>
      <c r="N4670">
        <v>1</v>
      </c>
      <c r="O4670" s="89">
        <v>2448.48</v>
      </c>
      <c r="P4670" s="89">
        <v>48153.440000000002</v>
      </c>
      <c r="Q4670" t="s">
        <v>142</v>
      </c>
      <c r="R4670" t="s">
        <v>131</v>
      </c>
    </row>
    <row r="4671" spans="3:18" x14ac:dyDescent="0.25">
      <c r="C4671" t="s">
        <v>47</v>
      </c>
      <c r="D4671" t="s">
        <v>22</v>
      </c>
      <c r="E4671" t="s">
        <v>40</v>
      </c>
      <c r="F4671" t="s">
        <v>41</v>
      </c>
      <c r="G4671" s="89">
        <v>6047526</v>
      </c>
      <c r="H4671" t="s">
        <v>146</v>
      </c>
      <c r="I4671" t="s">
        <v>147</v>
      </c>
      <c r="J4671" s="89">
        <v>12095052</v>
      </c>
      <c r="K4671" t="s">
        <v>127</v>
      </c>
      <c r="L4671" t="s">
        <v>128</v>
      </c>
      <c r="N4671">
        <v>1</v>
      </c>
      <c r="O4671" s="89">
        <v>302376.3</v>
      </c>
      <c r="P4671" s="89">
        <v>907128.9</v>
      </c>
      <c r="Q4671" t="s">
        <v>130</v>
      </c>
      <c r="R4671" t="s">
        <v>131</v>
      </c>
    </row>
    <row r="4672" spans="3:18" hidden="1" x14ac:dyDescent="0.25">
      <c r="C4672" t="s">
        <v>45</v>
      </c>
      <c r="D4672" t="s">
        <v>21</v>
      </c>
      <c r="E4672" t="s">
        <v>43</v>
      </c>
      <c r="F4672" t="s">
        <v>41</v>
      </c>
      <c r="G4672" s="89">
        <v>152216</v>
      </c>
      <c r="H4672" t="s">
        <v>42</v>
      </c>
      <c r="I4672" t="s">
        <v>141</v>
      </c>
      <c r="J4672" s="89">
        <v>1217728</v>
      </c>
      <c r="K4672" t="s">
        <v>144</v>
      </c>
      <c r="N4672">
        <v>1</v>
      </c>
      <c r="O4672" s="89">
        <v>4566.4799999999996</v>
      </c>
      <c r="P4672" s="89">
        <v>76108</v>
      </c>
      <c r="Q4672" t="s">
        <v>142</v>
      </c>
      <c r="R4672" t="s">
        <v>131</v>
      </c>
    </row>
    <row r="4673" spans="3:18" x14ac:dyDescent="0.25">
      <c r="C4673" t="s">
        <v>47</v>
      </c>
      <c r="D4673" t="s">
        <v>23</v>
      </c>
      <c r="E4673" t="s">
        <v>48</v>
      </c>
      <c r="F4673" t="s">
        <v>41</v>
      </c>
      <c r="G4673" s="89">
        <v>16311712</v>
      </c>
      <c r="H4673" t="s">
        <v>146</v>
      </c>
      <c r="I4673" t="s">
        <v>126</v>
      </c>
      <c r="J4673" s="89">
        <v>179428832</v>
      </c>
      <c r="K4673" t="s">
        <v>127</v>
      </c>
      <c r="L4673" t="s">
        <v>128</v>
      </c>
      <c r="N4673">
        <v>1</v>
      </c>
      <c r="O4673" s="89">
        <v>489351.36</v>
      </c>
      <c r="P4673" s="89">
        <v>3751693.76</v>
      </c>
      <c r="Q4673" t="s">
        <v>130</v>
      </c>
      <c r="R4673" t="s">
        <v>131</v>
      </c>
    </row>
    <row r="4674" spans="3:18" x14ac:dyDescent="0.25">
      <c r="C4674" t="s">
        <v>47</v>
      </c>
      <c r="D4674" t="s">
        <v>21</v>
      </c>
      <c r="E4674" t="s">
        <v>40</v>
      </c>
      <c r="F4674" t="s">
        <v>41</v>
      </c>
      <c r="G4674" s="89">
        <v>436395</v>
      </c>
      <c r="H4674" t="s">
        <v>140</v>
      </c>
      <c r="I4674" t="s">
        <v>147</v>
      </c>
      <c r="J4674" s="89"/>
      <c r="K4674" t="s">
        <v>127</v>
      </c>
      <c r="L4674" t="s">
        <v>128</v>
      </c>
      <c r="N4674">
        <v>0</v>
      </c>
      <c r="O4674" s="89">
        <v>17455.8</v>
      </c>
      <c r="P4674" s="89">
        <v>301112.55</v>
      </c>
      <c r="Q4674" t="s">
        <v>137</v>
      </c>
      <c r="R4674" t="s">
        <v>131</v>
      </c>
    </row>
    <row r="4675" spans="3:18" hidden="1" x14ac:dyDescent="0.25">
      <c r="C4675" t="s">
        <v>45</v>
      </c>
      <c r="D4675" t="s">
        <v>138</v>
      </c>
      <c r="E4675" t="s">
        <v>43</v>
      </c>
      <c r="F4675" t="s">
        <v>41</v>
      </c>
      <c r="G4675" s="89">
        <v>76945</v>
      </c>
      <c r="H4675" t="s">
        <v>42</v>
      </c>
      <c r="I4675" t="s">
        <v>133</v>
      </c>
      <c r="J4675" s="89">
        <v>2231405</v>
      </c>
      <c r="K4675" t="s">
        <v>127</v>
      </c>
      <c r="L4675" t="s">
        <v>151</v>
      </c>
      <c r="M4675" t="s">
        <v>156</v>
      </c>
      <c r="N4675">
        <v>1</v>
      </c>
      <c r="O4675" s="89">
        <v>2308.35</v>
      </c>
      <c r="P4675" s="89">
        <v>39241.949999999997</v>
      </c>
      <c r="Q4675" t="s">
        <v>142</v>
      </c>
      <c r="R4675" t="s">
        <v>131</v>
      </c>
    </row>
    <row r="4676" spans="3:18" hidden="1" x14ac:dyDescent="0.25">
      <c r="C4676" t="s">
        <v>45</v>
      </c>
      <c r="D4676" t="s">
        <v>22</v>
      </c>
      <c r="E4676" t="s">
        <v>40</v>
      </c>
      <c r="F4676" t="s">
        <v>53</v>
      </c>
      <c r="G4676" s="89">
        <v>72527</v>
      </c>
      <c r="H4676" t="s">
        <v>140</v>
      </c>
      <c r="I4676" t="s">
        <v>147</v>
      </c>
      <c r="J4676" s="89">
        <v>290108</v>
      </c>
      <c r="K4676" t="s">
        <v>127</v>
      </c>
      <c r="L4676" t="s">
        <v>128</v>
      </c>
      <c r="N4676">
        <v>1</v>
      </c>
      <c r="O4676" s="89">
        <v>2901.08</v>
      </c>
      <c r="P4676" s="89">
        <v>11604.32</v>
      </c>
      <c r="Q4676" t="s">
        <v>130</v>
      </c>
      <c r="R4676" t="s">
        <v>131</v>
      </c>
    </row>
    <row r="4677" spans="3:18" hidden="1" x14ac:dyDescent="0.25">
      <c r="C4677" t="s">
        <v>45</v>
      </c>
      <c r="D4677" t="s">
        <v>149</v>
      </c>
      <c r="E4677" t="s">
        <v>43</v>
      </c>
      <c r="F4677" t="s">
        <v>41</v>
      </c>
      <c r="G4677" s="89">
        <v>118202</v>
      </c>
      <c r="H4677" t="s">
        <v>132</v>
      </c>
      <c r="I4677" t="s">
        <v>133</v>
      </c>
      <c r="J4677" s="89">
        <v>3427858</v>
      </c>
      <c r="K4677" t="s">
        <v>144</v>
      </c>
      <c r="N4677">
        <v>1</v>
      </c>
      <c r="O4677" s="89">
        <v>3546.06</v>
      </c>
      <c r="P4677" s="89">
        <v>35460.6</v>
      </c>
      <c r="Q4677" t="s">
        <v>130</v>
      </c>
      <c r="R4677" t="s">
        <v>131</v>
      </c>
    </row>
    <row r="4678" spans="3:18" hidden="1" x14ac:dyDescent="0.25">
      <c r="C4678" t="s">
        <v>45</v>
      </c>
      <c r="D4678" t="s">
        <v>23</v>
      </c>
      <c r="E4678" t="s">
        <v>40</v>
      </c>
      <c r="F4678" t="s">
        <v>41</v>
      </c>
      <c r="G4678" s="89">
        <v>515478</v>
      </c>
      <c r="H4678" t="s">
        <v>42</v>
      </c>
      <c r="I4678" t="s">
        <v>141</v>
      </c>
      <c r="J4678" s="89">
        <v>4639302</v>
      </c>
      <c r="K4678" t="s">
        <v>127</v>
      </c>
      <c r="L4678" t="s">
        <v>128</v>
      </c>
      <c r="M4678" t="s">
        <v>152</v>
      </c>
      <c r="N4678">
        <v>1</v>
      </c>
      <c r="O4678" s="89">
        <v>15464.34</v>
      </c>
      <c r="P4678" s="89">
        <v>329905.91999999998</v>
      </c>
      <c r="Q4678" t="s">
        <v>137</v>
      </c>
      <c r="R4678" t="s">
        <v>131</v>
      </c>
    </row>
    <row r="4679" spans="3:18" hidden="1" x14ac:dyDescent="0.25">
      <c r="C4679" t="s">
        <v>45</v>
      </c>
      <c r="D4679" t="s">
        <v>19</v>
      </c>
      <c r="E4679" t="s">
        <v>43</v>
      </c>
      <c r="F4679" t="s">
        <v>41</v>
      </c>
      <c r="G4679" s="89">
        <v>191055</v>
      </c>
      <c r="H4679" t="s">
        <v>140</v>
      </c>
      <c r="I4679" t="s">
        <v>153</v>
      </c>
      <c r="J4679" s="89"/>
      <c r="K4679" t="s">
        <v>127</v>
      </c>
      <c r="L4679" t="s">
        <v>128</v>
      </c>
      <c r="N4679">
        <v>0</v>
      </c>
      <c r="O4679" s="89">
        <v>7642.2</v>
      </c>
      <c r="P4679" s="89">
        <v>93616.95</v>
      </c>
      <c r="Q4679" t="s">
        <v>142</v>
      </c>
      <c r="R4679" t="s">
        <v>131</v>
      </c>
    </row>
    <row r="4680" spans="3:18" hidden="1" x14ac:dyDescent="0.25">
      <c r="C4680" t="s">
        <v>45</v>
      </c>
      <c r="D4680" t="s">
        <v>25</v>
      </c>
      <c r="E4680" t="s">
        <v>40</v>
      </c>
      <c r="F4680" t="s">
        <v>41</v>
      </c>
      <c r="G4680" s="89">
        <v>505205</v>
      </c>
      <c r="H4680" t="s">
        <v>145</v>
      </c>
      <c r="I4680" t="s">
        <v>133</v>
      </c>
      <c r="J4680" s="89">
        <v>12630125</v>
      </c>
      <c r="K4680" t="s">
        <v>127</v>
      </c>
      <c r="L4680" t="s">
        <v>128</v>
      </c>
      <c r="N4680">
        <v>1</v>
      </c>
      <c r="O4680" s="89">
        <v>15156.15</v>
      </c>
      <c r="P4680" s="89">
        <v>257654.55</v>
      </c>
      <c r="Q4680" t="s">
        <v>142</v>
      </c>
      <c r="R4680" t="s">
        <v>131</v>
      </c>
    </row>
    <row r="4681" spans="3:18" x14ac:dyDescent="0.25">
      <c r="C4681" t="s">
        <v>47</v>
      </c>
      <c r="D4681" t="s">
        <v>24</v>
      </c>
      <c r="E4681" t="s">
        <v>43</v>
      </c>
      <c r="F4681" t="s">
        <v>41</v>
      </c>
      <c r="G4681" s="89">
        <v>46386</v>
      </c>
      <c r="H4681" t="s">
        <v>42</v>
      </c>
      <c r="I4681" t="s">
        <v>126</v>
      </c>
      <c r="J4681" s="89">
        <v>556632</v>
      </c>
      <c r="K4681" t="s">
        <v>127</v>
      </c>
      <c r="L4681" t="s">
        <v>128</v>
      </c>
      <c r="M4681" t="s">
        <v>148</v>
      </c>
      <c r="N4681">
        <v>1</v>
      </c>
      <c r="O4681" s="89">
        <v>1855.44</v>
      </c>
      <c r="P4681" s="89">
        <v>5102.46</v>
      </c>
      <c r="Q4681" t="s">
        <v>130</v>
      </c>
      <c r="R4681" t="s">
        <v>131</v>
      </c>
    </row>
    <row r="4682" spans="3:18" hidden="1" x14ac:dyDescent="0.25">
      <c r="C4682" t="s">
        <v>45</v>
      </c>
      <c r="D4682" t="s">
        <v>23</v>
      </c>
      <c r="E4682" t="s">
        <v>48</v>
      </c>
      <c r="F4682" t="s">
        <v>41</v>
      </c>
      <c r="G4682" s="89">
        <v>1299872</v>
      </c>
      <c r="H4682" t="s">
        <v>132</v>
      </c>
      <c r="I4682" t="s">
        <v>126</v>
      </c>
      <c r="J4682" s="89">
        <v>19498080</v>
      </c>
      <c r="K4682" t="s">
        <v>127</v>
      </c>
      <c r="L4682" t="s">
        <v>128</v>
      </c>
      <c r="N4682">
        <v>1</v>
      </c>
      <c r="O4682" s="89">
        <v>51994.879999999997</v>
      </c>
      <c r="P4682" s="89">
        <v>415959.03999999998</v>
      </c>
      <c r="Q4682" t="s">
        <v>130</v>
      </c>
      <c r="R4682" t="s">
        <v>131</v>
      </c>
    </row>
    <row r="4683" spans="3:18" x14ac:dyDescent="0.25">
      <c r="C4683" t="s">
        <v>47</v>
      </c>
      <c r="D4683" t="s">
        <v>138</v>
      </c>
      <c r="E4683" t="s">
        <v>40</v>
      </c>
      <c r="F4683" t="s">
        <v>41</v>
      </c>
      <c r="G4683" s="89">
        <v>3802174</v>
      </c>
      <c r="H4683" t="s">
        <v>140</v>
      </c>
      <c r="I4683" t="s">
        <v>126</v>
      </c>
      <c r="J4683" s="89">
        <v>53230436</v>
      </c>
      <c r="K4683" t="s">
        <v>144</v>
      </c>
      <c r="N4683">
        <v>1</v>
      </c>
      <c r="O4683" s="89">
        <v>152086.96</v>
      </c>
      <c r="P4683" s="89">
        <v>2699543.54</v>
      </c>
      <c r="Q4683" t="s">
        <v>137</v>
      </c>
      <c r="R4683" t="s">
        <v>131</v>
      </c>
    </row>
    <row r="4684" spans="3:18" hidden="1" x14ac:dyDescent="0.25">
      <c r="C4684" t="s">
        <v>45</v>
      </c>
      <c r="D4684" t="s">
        <v>24</v>
      </c>
      <c r="E4684" t="s">
        <v>43</v>
      </c>
      <c r="F4684" t="s">
        <v>41</v>
      </c>
      <c r="G4684" s="89">
        <v>148841</v>
      </c>
      <c r="H4684" t="s">
        <v>42</v>
      </c>
      <c r="I4684" t="s">
        <v>133</v>
      </c>
      <c r="J4684" s="89">
        <v>5358276</v>
      </c>
      <c r="K4684" t="s">
        <v>127</v>
      </c>
      <c r="L4684" t="s">
        <v>128</v>
      </c>
      <c r="M4684" t="s">
        <v>148</v>
      </c>
      <c r="N4684">
        <v>1</v>
      </c>
      <c r="O4684" s="89">
        <v>4465.2299999999996</v>
      </c>
      <c r="P4684" s="89">
        <v>53582.76</v>
      </c>
      <c r="Q4684" t="s">
        <v>130</v>
      </c>
      <c r="R4684" t="s">
        <v>42</v>
      </c>
    </row>
    <row r="4685" spans="3:18" hidden="1" x14ac:dyDescent="0.25">
      <c r="C4685" t="s">
        <v>45</v>
      </c>
      <c r="D4685" t="s">
        <v>25</v>
      </c>
      <c r="E4685" t="s">
        <v>48</v>
      </c>
      <c r="F4685" t="s">
        <v>41</v>
      </c>
      <c r="G4685" s="89">
        <v>113490</v>
      </c>
      <c r="H4685" t="s">
        <v>146</v>
      </c>
      <c r="I4685" t="s">
        <v>133</v>
      </c>
      <c r="J4685" s="89">
        <v>4085640</v>
      </c>
      <c r="K4685" t="s">
        <v>144</v>
      </c>
      <c r="N4685">
        <v>1</v>
      </c>
      <c r="O4685" s="89">
        <v>3404.7</v>
      </c>
      <c r="P4685" s="89">
        <v>82847.7</v>
      </c>
      <c r="Q4685" t="s">
        <v>137</v>
      </c>
      <c r="R4685" t="s">
        <v>131</v>
      </c>
    </row>
    <row r="4686" spans="3:18" hidden="1" x14ac:dyDescent="0.25">
      <c r="C4686" t="s">
        <v>45</v>
      </c>
      <c r="D4686" t="s">
        <v>22</v>
      </c>
      <c r="E4686" t="s">
        <v>40</v>
      </c>
      <c r="F4686" t="s">
        <v>41</v>
      </c>
      <c r="G4686" s="89">
        <v>6246723</v>
      </c>
      <c r="H4686" t="s">
        <v>146</v>
      </c>
      <c r="I4686" t="s">
        <v>133</v>
      </c>
      <c r="J4686" s="89">
        <v>181154967</v>
      </c>
      <c r="K4686" t="s">
        <v>127</v>
      </c>
      <c r="L4686" t="s">
        <v>128</v>
      </c>
      <c r="N4686">
        <v>1</v>
      </c>
      <c r="O4686" s="89">
        <v>249868.92</v>
      </c>
      <c r="P4686" s="89">
        <v>5372181.7800000003</v>
      </c>
      <c r="Q4686" t="s">
        <v>135</v>
      </c>
      <c r="R4686" t="s">
        <v>131</v>
      </c>
    </row>
    <row r="4687" spans="3:18" hidden="1" x14ac:dyDescent="0.25">
      <c r="C4687" t="s">
        <v>45</v>
      </c>
      <c r="D4687" t="s">
        <v>138</v>
      </c>
      <c r="E4687" t="s">
        <v>43</v>
      </c>
      <c r="F4687" t="s">
        <v>41</v>
      </c>
      <c r="G4687" s="89">
        <v>2932998</v>
      </c>
      <c r="H4687" t="s">
        <v>140</v>
      </c>
      <c r="I4687" t="s">
        <v>133</v>
      </c>
      <c r="J4687" s="89">
        <v>90922938</v>
      </c>
      <c r="K4687" t="s">
        <v>144</v>
      </c>
      <c r="N4687">
        <v>1</v>
      </c>
      <c r="O4687" s="89">
        <v>87989.94</v>
      </c>
      <c r="P4687" s="89">
        <v>703919.52</v>
      </c>
      <c r="Q4687" t="s">
        <v>130</v>
      </c>
      <c r="R4687" t="s">
        <v>131</v>
      </c>
    </row>
    <row r="4688" spans="3:18" hidden="1" x14ac:dyDescent="0.25">
      <c r="C4688" t="s">
        <v>45</v>
      </c>
      <c r="D4688" t="s">
        <v>21</v>
      </c>
      <c r="E4688" t="s">
        <v>43</v>
      </c>
      <c r="F4688" t="s">
        <v>41</v>
      </c>
      <c r="G4688" s="89">
        <v>2629383</v>
      </c>
      <c r="H4688" t="s">
        <v>146</v>
      </c>
      <c r="I4688" t="s">
        <v>133</v>
      </c>
      <c r="J4688" s="89">
        <v>70993341</v>
      </c>
      <c r="K4688" t="s">
        <v>134</v>
      </c>
      <c r="L4688" t="s">
        <v>128</v>
      </c>
      <c r="N4688">
        <v>1</v>
      </c>
      <c r="O4688" s="89">
        <v>78881.490000000005</v>
      </c>
      <c r="P4688" s="89">
        <v>1340985.33</v>
      </c>
      <c r="Q4688" t="s">
        <v>142</v>
      </c>
      <c r="R4688" t="s">
        <v>131</v>
      </c>
    </row>
    <row r="4689" spans="3:18" hidden="1" x14ac:dyDescent="0.25">
      <c r="C4689" t="s">
        <v>45</v>
      </c>
      <c r="D4689" t="s">
        <v>25</v>
      </c>
      <c r="E4689" t="s">
        <v>48</v>
      </c>
      <c r="F4689" t="s">
        <v>41</v>
      </c>
      <c r="G4689" s="89">
        <v>926983</v>
      </c>
      <c r="H4689" t="s">
        <v>140</v>
      </c>
      <c r="I4689" t="s">
        <v>133</v>
      </c>
      <c r="J4689" s="89">
        <v>23174575</v>
      </c>
      <c r="K4689" t="s">
        <v>127</v>
      </c>
      <c r="L4689" t="s">
        <v>128</v>
      </c>
      <c r="N4689">
        <v>1</v>
      </c>
      <c r="O4689" s="89">
        <v>27809.49</v>
      </c>
      <c r="P4689" s="89">
        <v>305904.39</v>
      </c>
      <c r="Q4689" t="s">
        <v>130</v>
      </c>
      <c r="R4689" t="s">
        <v>131</v>
      </c>
    </row>
    <row r="4690" spans="3:18" hidden="1" x14ac:dyDescent="0.25">
      <c r="C4690" t="s">
        <v>45</v>
      </c>
      <c r="D4690" t="s">
        <v>23</v>
      </c>
      <c r="E4690" t="s">
        <v>52</v>
      </c>
      <c r="F4690" t="s">
        <v>41</v>
      </c>
      <c r="G4690" s="89">
        <v>19870</v>
      </c>
      <c r="H4690" t="s">
        <v>42</v>
      </c>
      <c r="I4690" t="s">
        <v>147</v>
      </c>
      <c r="J4690" s="89">
        <v>99350</v>
      </c>
      <c r="K4690" t="s">
        <v>127</v>
      </c>
      <c r="L4690" t="s">
        <v>128</v>
      </c>
      <c r="M4690" t="s">
        <v>152</v>
      </c>
      <c r="N4690">
        <v>1</v>
      </c>
      <c r="O4690" s="89">
        <v>794.8</v>
      </c>
      <c r="P4690" s="89">
        <v>6159.7</v>
      </c>
      <c r="Q4690" t="s">
        <v>130</v>
      </c>
      <c r="R4690" t="s">
        <v>42</v>
      </c>
    </row>
    <row r="4691" spans="3:18" hidden="1" x14ac:dyDescent="0.25">
      <c r="C4691" t="s">
        <v>45</v>
      </c>
      <c r="D4691" t="s">
        <v>25</v>
      </c>
      <c r="E4691" t="s">
        <v>48</v>
      </c>
      <c r="F4691" t="s">
        <v>41</v>
      </c>
      <c r="G4691" s="89">
        <v>67461</v>
      </c>
      <c r="H4691" t="s">
        <v>42</v>
      </c>
      <c r="I4691" t="s">
        <v>126</v>
      </c>
      <c r="J4691" s="89">
        <v>1011915</v>
      </c>
      <c r="K4691" t="s">
        <v>127</v>
      </c>
      <c r="L4691" t="s">
        <v>128</v>
      </c>
      <c r="M4691" t="s">
        <v>155</v>
      </c>
      <c r="N4691">
        <v>1</v>
      </c>
      <c r="O4691" s="89">
        <v>2023.83</v>
      </c>
      <c r="P4691" s="89">
        <v>50595.75</v>
      </c>
      <c r="Q4691" t="s">
        <v>137</v>
      </c>
      <c r="R4691" t="s">
        <v>131</v>
      </c>
    </row>
    <row r="4692" spans="3:18" hidden="1" x14ac:dyDescent="0.25">
      <c r="C4692" t="s">
        <v>45</v>
      </c>
      <c r="D4692" t="s">
        <v>138</v>
      </c>
      <c r="E4692" t="s">
        <v>43</v>
      </c>
      <c r="F4692" t="s">
        <v>53</v>
      </c>
      <c r="G4692" s="89">
        <v>230128</v>
      </c>
      <c r="H4692" t="s">
        <v>42</v>
      </c>
      <c r="I4692" t="s">
        <v>133</v>
      </c>
      <c r="J4692" s="89">
        <v>6443584</v>
      </c>
      <c r="K4692" t="s">
        <v>144</v>
      </c>
      <c r="N4692">
        <v>1</v>
      </c>
      <c r="O4692" s="89">
        <v>6903.84</v>
      </c>
      <c r="P4692" s="89">
        <v>181801.12</v>
      </c>
      <c r="Q4692" t="s">
        <v>137</v>
      </c>
      <c r="R4692" t="s">
        <v>131</v>
      </c>
    </row>
    <row r="4693" spans="3:18" hidden="1" x14ac:dyDescent="0.25">
      <c r="C4693" t="s">
        <v>45</v>
      </c>
      <c r="D4693" t="s">
        <v>149</v>
      </c>
      <c r="E4693" t="s">
        <v>43</v>
      </c>
      <c r="F4693" t="s">
        <v>41</v>
      </c>
      <c r="G4693" s="89">
        <v>235687</v>
      </c>
      <c r="H4693" t="s">
        <v>42</v>
      </c>
      <c r="I4693" t="s">
        <v>133</v>
      </c>
      <c r="J4693" s="89">
        <v>8249045</v>
      </c>
      <c r="K4693" t="s">
        <v>134</v>
      </c>
      <c r="L4693" t="s">
        <v>128</v>
      </c>
      <c r="M4693" t="s">
        <v>136</v>
      </c>
      <c r="N4693">
        <v>1</v>
      </c>
      <c r="O4693" s="89">
        <v>7070.61</v>
      </c>
      <c r="P4693" s="89">
        <v>148482.81</v>
      </c>
      <c r="Q4693" t="s">
        <v>137</v>
      </c>
      <c r="R4693" t="s">
        <v>42</v>
      </c>
    </row>
    <row r="4694" spans="3:18" hidden="1" x14ac:dyDescent="0.25">
      <c r="C4694" t="s">
        <v>45</v>
      </c>
      <c r="D4694" t="s">
        <v>21</v>
      </c>
      <c r="E4694" t="s">
        <v>48</v>
      </c>
      <c r="F4694" t="s">
        <v>41</v>
      </c>
      <c r="G4694" s="89">
        <v>2621200</v>
      </c>
      <c r="H4694" t="s">
        <v>42</v>
      </c>
      <c r="I4694" t="s">
        <v>133</v>
      </c>
      <c r="J4694" s="89">
        <v>99605600</v>
      </c>
      <c r="K4694" t="s">
        <v>144</v>
      </c>
      <c r="N4694">
        <v>1</v>
      </c>
      <c r="O4694" s="89">
        <v>78636</v>
      </c>
      <c r="P4694" s="89">
        <v>2621200</v>
      </c>
      <c r="Q4694" t="s">
        <v>150</v>
      </c>
      <c r="R4694" t="s">
        <v>42</v>
      </c>
    </row>
    <row r="4695" spans="3:18" hidden="1" x14ac:dyDescent="0.25">
      <c r="C4695" t="s">
        <v>45</v>
      </c>
      <c r="D4695" t="s">
        <v>22</v>
      </c>
      <c r="E4695" t="s">
        <v>40</v>
      </c>
      <c r="F4695" t="s">
        <v>41</v>
      </c>
      <c r="G4695" s="89">
        <v>870981</v>
      </c>
      <c r="H4695" t="s">
        <v>42</v>
      </c>
      <c r="I4695" t="s">
        <v>147</v>
      </c>
      <c r="J4695" s="89">
        <v>1741962</v>
      </c>
      <c r="K4695" t="s">
        <v>127</v>
      </c>
      <c r="L4695" t="s">
        <v>128</v>
      </c>
      <c r="M4695" t="s">
        <v>143</v>
      </c>
      <c r="N4695">
        <v>1</v>
      </c>
      <c r="O4695" s="89">
        <v>34839.24</v>
      </c>
      <c r="P4695" s="89">
        <v>139356.96</v>
      </c>
      <c r="Q4695" t="s">
        <v>130</v>
      </c>
      <c r="R4695" t="s">
        <v>42</v>
      </c>
    </row>
    <row r="4696" spans="3:18" x14ac:dyDescent="0.25">
      <c r="C4696" t="s">
        <v>47</v>
      </c>
      <c r="D4696" t="s">
        <v>24</v>
      </c>
      <c r="E4696" t="s">
        <v>48</v>
      </c>
      <c r="F4696" t="s">
        <v>41</v>
      </c>
      <c r="G4696" s="89">
        <v>634912</v>
      </c>
      <c r="H4696" t="s">
        <v>145</v>
      </c>
      <c r="I4696" t="s">
        <v>141</v>
      </c>
      <c r="J4696" s="89">
        <v>5079296</v>
      </c>
      <c r="K4696" t="s">
        <v>127</v>
      </c>
      <c r="L4696" t="s">
        <v>128</v>
      </c>
      <c r="N4696">
        <v>1</v>
      </c>
      <c r="O4696" s="89">
        <v>25396.48</v>
      </c>
      <c r="P4696" s="89">
        <v>171426.24</v>
      </c>
      <c r="Q4696" t="s">
        <v>130</v>
      </c>
      <c r="R4696" t="s">
        <v>131</v>
      </c>
    </row>
    <row r="4697" spans="3:18" hidden="1" x14ac:dyDescent="0.25">
      <c r="C4697" t="s">
        <v>45</v>
      </c>
      <c r="D4697" t="s">
        <v>22</v>
      </c>
      <c r="E4697" t="s">
        <v>40</v>
      </c>
      <c r="F4697" t="s">
        <v>41</v>
      </c>
      <c r="G4697" s="89">
        <v>49304</v>
      </c>
      <c r="H4697" t="s">
        <v>42</v>
      </c>
      <c r="I4697" t="s">
        <v>147</v>
      </c>
      <c r="J4697" s="89">
        <v>246520</v>
      </c>
      <c r="K4697" t="s">
        <v>144</v>
      </c>
      <c r="N4697">
        <v>1</v>
      </c>
      <c r="O4697" s="89">
        <v>986.08</v>
      </c>
      <c r="P4697" s="89">
        <v>18735.52</v>
      </c>
      <c r="Q4697" t="s">
        <v>130</v>
      </c>
      <c r="R4697" t="s">
        <v>131</v>
      </c>
    </row>
    <row r="4698" spans="3:18" hidden="1" x14ac:dyDescent="0.25">
      <c r="C4698" t="s">
        <v>45</v>
      </c>
      <c r="D4698" t="s">
        <v>24</v>
      </c>
      <c r="E4698" t="s">
        <v>48</v>
      </c>
      <c r="F4698" t="s">
        <v>41</v>
      </c>
      <c r="G4698" s="89">
        <v>232605</v>
      </c>
      <c r="H4698" t="s">
        <v>140</v>
      </c>
      <c r="I4698" t="s">
        <v>133</v>
      </c>
      <c r="J4698" s="89">
        <v>6978150</v>
      </c>
      <c r="K4698" t="s">
        <v>134</v>
      </c>
      <c r="L4698" t="s">
        <v>128</v>
      </c>
      <c r="N4698">
        <v>1</v>
      </c>
      <c r="O4698" s="89">
        <v>6978.15</v>
      </c>
      <c r="P4698" s="89">
        <v>300060.45</v>
      </c>
      <c r="Q4698" t="s">
        <v>150</v>
      </c>
      <c r="R4698" t="s">
        <v>131</v>
      </c>
    </row>
    <row r="4699" spans="3:18" hidden="1" x14ac:dyDescent="0.25">
      <c r="C4699" t="s">
        <v>45</v>
      </c>
      <c r="D4699" t="s">
        <v>138</v>
      </c>
      <c r="E4699" t="s">
        <v>40</v>
      </c>
      <c r="F4699" t="s">
        <v>41</v>
      </c>
      <c r="G4699" s="89">
        <v>144522</v>
      </c>
      <c r="H4699" t="s">
        <v>42</v>
      </c>
      <c r="I4699" t="s">
        <v>141</v>
      </c>
      <c r="J4699" s="89">
        <v>867132</v>
      </c>
      <c r="K4699" t="s">
        <v>144</v>
      </c>
      <c r="N4699">
        <v>1</v>
      </c>
      <c r="O4699" s="89">
        <v>4335.66</v>
      </c>
      <c r="P4699" s="89">
        <v>73706.22</v>
      </c>
      <c r="Q4699" t="s">
        <v>142</v>
      </c>
      <c r="R4699" t="s">
        <v>42</v>
      </c>
    </row>
    <row r="4700" spans="3:18" hidden="1" x14ac:dyDescent="0.25">
      <c r="C4700" t="s">
        <v>45</v>
      </c>
      <c r="D4700" t="s">
        <v>22</v>
      </c>
      <c r="E4700" t="s">
        <v>40</v>
      </c>
      <c r="F4700" t="s">
        <v>41</v>
      </c>
      <c r="G4700" s="89">
        <v>4771254</v>
      </c>
      <c r="H4700" t="s">
        <v>42</v>
      </c>
      <c r="I4700" t="s">
        <v>147</v>
      </c>
      <c r="J4700" s="89">
        <v>14313762</v>
      </c>
      <c r="K4700" t="s">
        <v>127</v>
      </c>
      <c r="L4700" t="s">
        <v>128</v>
      </c>
      <c r="M4700" t="s">
        <v>143</v>
      </c>
      <c r="N4700">
        <v>1</v>
      </c>
      <c r="O4700" s="89">
        <v>190850.16</v>
      </c>
      <c r="P4700" s="89">
        <v>620263.02</v>
      </c>
      <c r="Q4700" t="s">
        <v>130</v>
      </c>
      <c r="R4700" t="s">
        <v>131</v>
      </c>
    </row>
    <row r="4701" spans="3:18" hidden="1" x14ac:dyDescent="0.25">
      <c r="C4701" t="s">
        <v>45</v>
      </c>
      <c r="D4701" t="s">
        <v>21</v>
      </c>
      <c r="E4701" t="s">
        <v>43</v>
      </c>
      <c r="F4701" t="s">
        <v>41</v>
      </c>
      <c r="G4701" s="89">
        <v>3755726</v>
      </c>
      <c r="H4701" t="s">
        <v>140</v>
      </c>
      <c r="I4701" t="s">
        <v>141</v>
      </c>
      <c r="J4701" s="89">
        <v>30045808</v>
      </c>
      <c r="K4701" t="s">
        <v>127</v>
      </c>
      <c r="L4701" t="s">
        <v>128</v>
      </c>
      <c r="N4701">
        <v>1</v>
      </c>
      <c r="O4701" s="89">
        <v>150229.04</v>
      </c>
      <c r="P4701" s="89">
        <v>2516336.42</v>
      </c>
      <c r="Q4701" t="s">
        <v>137</v>
      </c>
      <c r="R4701" t="s">
        <v>131</v>
      </c>
    </row>
    <row r="4702" spans="3:18" hidden="1" x14ac:dyDescent="0.25">
      <c r="C4702" t="s">
        <v>45</v>
      </c>
      <c r="D4702" t="s">
        <v>19</v>
      </c>
      <c r="E4702" t="s">
        <v>43</v>
      </c>
      <c r="F4702" t="s">
        <v>41</v>
      </c>
      <c r="G4702" s="89">
        <v>363666</v>
      </c>
      <c r="H4702" t="s">
        <v>145</v>
      </c>
      <c r="I4702" t="s">
        <v>147</v>
      </c>
      <c r="J4702" s="89">
        <v>1090998</v>
      </c>
      <c r="K4702" t="s">
        <v>127</v>
      </c>
      <c r="L4702" t="s">
        <v>128</v>
      </c>
      <c r="N4702">
        <v>1</v>
      </c>
      <c r="O4702" s="89">
        <v>14546.64</v>
      </c>
      <c r="P4702" s="89">
        <v>40003.26</v>
      </c>
      <c r="Q4702" t="s">
        <v>130</v>
      </c>
      <c r="R4702" t="s">
        <v>131</v>
      </c>
    </row>
    <row r="4703" spans="3:18" hidden="1" x14ac:dyDescent="0.25">
      <c r="C4703" t="s">
        <v>45</v>
      </c>
      <c r="D4703" t="s">
        <v>21</v>
      </c>
      <c r="E4703" t="s">
        <v>48</v>
      </c>
      <c r="F4703" t="s">
        <v>41</v>
      </c>
      <c r="G4703" s="89">
        <v>668587</v>
      </c>
      <c r="H4703" t="s">
        <v>42</v>
      </c>
      <c r="I4703" t="s">
        <v>126</v>
      </c>
      <c r="J4703" s="89">
        <v>11365979</v>
      </c>
      <c r="K4703" t="s">
        <v>144</v>
      </c>
      <c r="N4703">
        <v>1</v>
      </c>
      <c r="O4703" s="89">
        <v>20057.61</v>
      </c>
      <c r="P4703" s="89">
        <v>314235.89</v>
      </c>
      <c r="Q4703" t="s">
        <v>142</v>
      </c>
      <c r="R4703" t="s">
        <v>42</v>
      </c>
    </row>
    <row r="4704" spans="3:18" hidden="1" x14ac:dyDescent="0.25">
      <c r="C4704" t="s">
        <v>45</v>
      </c>
      <c r="D4704" t="s">
        <v>23</v>
      </c>
      <c r="E4704" t="s">
        <v>40</v>
      </c>
      <c r="F4704" t="s">
        <v>41</v>
      </c>
      <c r="G4704" s="89">
        <v>1226845</v>
      </c>
      <c r="H4704" t="s">
        <v>132</v>
      </c>
      <c r="I4704" t="s">
        <v>133</v>
      </c>
      <c r="J4704" s="89">
        <v>29444280</v>
      </c>
      <c r="K4704" t="s">
        <v>144</v>
      </c>
      <c r="N4704">
        <v>1</v>
      </c>
      <c r="O4704" s="89">
        <v>36805.35</v>
      </c>
      <c r="P4704" s="89">
        <v>331248.15000000002</v>
      </c>
      <c r="Q4704" t="s">
        <v>130</v>
      </c>
      <c r="R4704" t="s">
        <v>131</v>
      </c>
    </row>
    <row r="4705" spans="3:18" hidden="1" x14ac:dyDescent="0.25">
      <c r="C4705" t="s">
        <v>45</v>
      </c>
      <c r="D4705" t="s">
        <v>23</v>
      </c>
      <c r="E4705" t="s">
        <v>48</v>
      </c>
      <c r="F4705" t="s">
        <v>41</v>
      </c>
      <c r="G4705" s="89">
        <v>43076</v>
      </c>
      <c r="H4705" t="s">
        <v>42</v>
      </c>
      <c r="I4705" t="s">
        <v>147</v>
      </c>
      <c r="J4705" s="89"/>
      <c r="K4705" t="s">
        <v>127</v>
      </c>
      <c r="L4705" t="s">
        <v>128</v>
      </c>
      <c r="M4705" t="s">
        <v>152</v>
      </c>
      <c r="N4705">
        <v>0</v>
      </c>
      <c r="O4705" s="89">
        <v>861.52</v>
      </c>
      <c r="P4705" s="89">
        <v>0</v>
      </c>
      <c r="Q4705" t="s">
        <v>130</v>
      </c>
      <c r="R4705" t="s">
        <v>131</v>
      </c>
    </row>
    <row r="4706" spans="3:18" hidden="1" x14ac:dyDescent="0.25">
      <c r="C4706" t="s">
        <v>45</v>
      </c>
      <c r="D4706" t="s">
        <v>23</v>
      </c>
      <c r="E4706" t="s">
        <v>48</v>
      </c>
      <c r="F4706" t="s">
        <v>41</v>
      </c>
      <c r="G4706" s="89">
        <v>135676</v>
      </c>
      <c r="H4706" t="s">
        <v>146</v>
      </c>
      <c r="I4706" t="s">
        <v>133</v>
      </c>
      <c r="J4706" s="89">
        <v>4748660</v>
      </c>
      <c r="K4706" t="s">
        <v>144</v>
      </c>
      <c r="N4706">
        <v>1</v>
      </c>
      <c r="O4706" s="89">
        <v>4070.28</v>
      </c>
      <c r="P4706" s="89">
        <v>113967.84</v>
      </c>
      <c r="Q4706" t="s">
        <v>135</v>
      </c>
      <c r="R4706" t="s">
        <v>131</v>
      </c>
    </row>
    <row r="4707" spans="3:18" hidden="1" x14ac:dyDescent="0.25">
      <c r="C4707" t="s">
        <v>45</v>
      </c>
      <c r="D4707" t="s">
        <v>23</v>
      </c>
      <c r="E4707" t="s">
        <v>43</v>
      </c>
      <c r="F4707" t="s">
        <v>41</v>
      </c>
      <c r="G4707" s="89">
        <v>342242</v>
      </c>
      <c r="H4707" t="s">
        <v>140</v>
      </c>
      <c r="I4707" t="s">
        <v>133</v>
      </c>
      <c r="J4707" s="89">
        <v>10951744</v>
      </c>
      <c r="K4707" t="s">
        <v>127</v>
      </c>
      <c r="L4707" t="s">
        <v>128</v>
      </c>
      <c r="N4707">
        <v>1</v>
      </c>
      <c r="O4707" s="89">
        <v>10267.26</v>
      </c>
      <c r="P4707" s="89">
        <v>424380.08</v>
      </c>
      <c r="Q4707" t="s">
        <v>150</v>
      </c>
      <c r="R4707" t="s">
        <v>131</v>
      </c>
    </row>
    <row r="4708" spans="3:18" hidden="1" x14ac:dyDescent="0.25">
      <c r="C4708" t="s">
        <v>45</v>
      </c>
      <c r="D4708" t="s">
        <v>138</v>
      </c>
      <c r="E4708" t="s">
        <v>43</v>
      </c>
      <c r="F4708" t="s">
        <v>41</v>
      </c>
      <c r="G4708" s="89">
        <v>264323</v>
      </c>
      <c r="H4708" t="s">
        <v>132</v>
      </c>
      <c r="I4708" t="s">
        <v>126</v>
      </c>
      <c r="J4708" s="89">
        <v>4493491</v>
      </c>
      <c r="K4708" t="s">
        <v>134</v>
      </c>
      <c r="L4708" t="s">
        <v>128</v>
      </c>
      <c r="N4708">
        <v>1</v>
      </c>
      <c r="O4708" s="89">
        <v>7929.69</v>
      </c>
      <c r="P4708" s="89">
        <v>89869.82</v>
      </c>
      <c r="Q4708" t="s">
        <v>130</v>
      </c>
      <c r="R4708" t="s">
        <v>131</v>
      </c>
    </row>
    <row r="4709" spans="3:18" x14ac:dyDescent="0.25">
      <c r="C4709" t="s">
        <v>47</v>
      </c>
      <c r="D4709" t="s">
        <v>24</v>
      </c>
      <c r="E4709" t="s">
        <v>40</v>
      </c>
      <c r="F4709" t="s">
        <v>41</v>
      </c>
      <c r="G4709" s="89">
        <v>46488</v>
      </c>
      <c r="H4709" t="s">
        <v>145</v>
      </c>
      <c r="I4709" t="s">
        <v>147</v>
      </c>
      <c r="J4709" s="89">
        <v>139464</v>
      </c>
      <c r="K4709" t="s">
        <v>127</v>
      </c>
      <c r="L4709" t="s">
        <v>128</v>
      </c>
      <c r="N4709">
        <v>1</v>
      </c>
      <c r="O4709" s="89">
        <v>2324.4</v>
      </c>
      <c r="P4709" s="89">
        <v>15805.92</v>
      </c>
      <c r="Q4709" t="s">
        <v>130</v>
      </c>
      <c r="R4709" t="s">
        <v>131</v>
      </c>
    </row>
    <row r="4710" spans="3:18" x14ac:dyDescent="0.25">
      <c r="C4710" t="s">
        <v>47</v>
      </c>
      <c r="D4710" t="s">
        <v>20</v>
      </c>
      <c r="E4710" t="s">
        <v>43</v>
      </c>
      <c r="F4710" t="s">
        <v>41</v>
      </c>
      <c r="G4710" s="89">
        <v>528</v>
      </c>
      <c r="H4710" t="s">
        <v>140</v>
      </c>
      <c r="I4710" t="s">
        <v>147</v>
      </c>
      <c r="J4710" s="89"/>
      <c r="K4710" t="s">
        <v>127</v>
      </c>
      <c r="L4710" t="s">
        <v>128</v>
      </c>
      <c r="N4710">
        <v>0</v>
      </c>
      <c r="O4710" s="89">
        <v>0</v>
      </c>
      <c r="P4710" s="89">
        <v>237.6</v>
      </c>
      <c r="Q4710" t="s">
        <v>142</v>
      </c>
      <c r="R4710" t="s">
        <v>131</v>
      </c>
    </row>
    <row r="4711" spans="3:18" hidden="1" x14ac:dyDescent="0.25">
      <c r="C4711" t="s">
        <v>45</v>
      </c>
      <c r="D4711" t="s">
        <v>21</v>
      </c>
      <c r="E4711" t="s">
        <v>43</v>
      </c>
      <c r="F4711" t="s">
        <v>41</v>
      </c>
      <c r="G4711" s="89">
        <v>25070</v>
      </c>
      <c r="H4711" t="s">
        <v>42</v>
      </c>
      <c r="I4711" t="s">
        <v>126</v>
      </c>
      <c r="J4711" s="89">
        <v>501400</v>
      </c>
      <c r="K4711" t="s">
        <v>127</v>
      </c>
      <c r="L4711" t="s">
        <v>128</v>
      </c>
      <c r="M4711" t="s">
        <v>136</v>
      </c>
      <c r="N4711">
        <v>1</v>
      </c>
      <c r="O4711" s="89">
        <v>752.1</v>
      </c>
      <c r="P4711" s="89">
        <v>16546.2</v>
      </c>
      <c r="Q4711" t="s">
        <v>137</v>
      </c>
      <c r="R4711" t="s">
        <v>42</v>
      </c>
    </row>
    <row r="4712" spans="3:18" hidden="1" x14ac:dyDescent="0.25">
      <c r="C4712" t="s">
        <v>45</v>
      </c>
      <c r="D4712" t="s">
        <v>21</v>
      </c>
      <c r="E4712" t="s">
        <v>43</v>
      </c>
      <c r="F4712" t="s">
        <v>41</v>
      </c>
      <c r="G4712" s="89">
        <v>94431</v>
      </c>
      <c r="H4712" t="s">
        <v>42</v>
      </c>
      <c r="I4712" t="s">
        <v>133</v>
      </c>
      <c r="J4712" s="89">
        <v>2738499</v>
      </c>
      <c r="K4712" t="s">
        <v>134</v>
      </c>
      <c r="L4712" t="s">
        <v>128</v>
      </c>
      <c r="M4712" t="s">
        <v>143</v>
      </c>
      <c r="N4712">
        <v>1</v>
      </c>
      <c r="O4712" s="89">
        <v>2832.93</v>
      </c>
      <c r="P4712" s="89">
        <v>73656.179999999993</v>
      </c>
      <c r="Q4712" t="s">
        <v>137</v>
      </c>
      <c r="R4712" t="s">
        <v>42</v>
      </c>
    </row>
    <row r="4713" spans="3:18" hidden="1" x14ac:dyDescent="0.25">
      <c r="C4713" t="s">
        <v>45</v>
      </c>
      <c r="D4713" t="s">
        <v>22</v>
      </c>
      <c r="E4713" t="s">
        <v>40</v>
      </c>
      <c r="F4713" t="s">
        <v>41</v>
      </c>
      <c r="G4713" s="89">
        <v>122791</v>
      </c>
      <c r="H4713" t="s">
        <v>132</v>
      </c>
      <c r="I4713" t="s">
        <v>126</v>
      </c>
      <c r="J4713" s="89">
        <v>2210238</v>
      </c>
      <c r="K4713" t="s">
        <v>134</v>
      </c>
      <c r="L4713" t="s">
        <v>128</v>
      </c>
      <c r="N4713">
        <v>1</v>
      </c>
      <c r="O4713" s="89">
        <v>4911.6400000000003</v>
      </c>
      <c r="P4713" s="89">
        <v>83497.88</v>
      </c>
      <c r="Q4713" t="s">
        <v>137</v>
      </c>
      <c r="R4713" t="s">
        <v>131</v>
      </c>
    </row>
    <row r="4714" spans="3:18" hidden="1" x14ac:dyDescent="0.25">
      <c r="C4714" t="s">
        <v>45</v>
      </c>
      <c r="D4714" t="s">
        <v>24</v>
      </c>
      <c r="E4714" t="s">
        <v>43</v>
      </c>
      <c r="F4714" t="s">
        <v>53</v>
      </c>
      <c r="G4714" s="89">
        <v>114918</v>
      </c>
      <c r="H4714" t="s">
        <v>42</v>
      </c>
      <c r="I4714" t="s">
        <v>126</v>
      </c>
      <c r="J4714" s="89">
        <v>2298360</v>
      </c>
      <c r="K4714" t="s">
        <v>144</v>
      </c>
      <c r="N4714">
        <v>1</v>
      </c>
      <c r="O4714" s="89">
        <v>3447.54</v>
      </c>
      <c r="P4714" s="89">
        <v>93083.58</v>
      </c>
      <c r="Q4714" t="s">
        <v>135</v>
      </c>
      <c r="R4714" t="s">
        <v>42</v>
      </c>
    </row>
    <row r="4715" spans="3:18" x14ac:dyDescent="0.25">
      <c r="C4715" t="s">
        <v>47</v>
      </c>
      <c r="D4715" t="s">
        <v>138</v>
      </c>
      <c r="E4715" t="s">
        <v>40</v>
      </c>
      <c r="F4715" t="s">
        <v>41</v>
      </c>
      <c r="G4715" s="89">
        <v>84756</v>
      </c>
      <c r="H4715" t="s">
        <v>145</v>
      </c>
      <c r="I4715" t="s">
        <v>141</v>
      </c>
      <c r="J4715" s="89">
        <v>508536</v>
      </c>
      <c r="K4715" t="s">
        <v>127</v>
      </c>
      <c r="L4715" t="s">
        <v>128</v>
      </c>
      <c r="N4715">
        <v>1</v>
      </c>
      <c r="O4715" s="89">
        <v>5085.3599999999997</v>
      </c>
      <c r="P4715" s="89">
        <v>127134</v>
      </c>
      <c r="Q4715" t="s">
        <v>150</v>
      </c>
      <c r="R4715" t="s">
        <v>131</v>
      </c>
    </row>
    <row r="4716" spans="3:18" hidden="1" x14ac:dyDescent="0.25">
      <c r="C4716" t="s">
        <v>45</v>
      </c>
      <c r="D4716" t="s">
        <v>19</v>
      </c>
      <c r="E4716" t="s">
        <v>40</v>
      </c>
      <c r="F4716" t="s">
        <v>41</v>
      </c>
      <c r="G4716" s="89">
        <v>1407149</v>
      </c>
      <c r="H4716" t="s">
        <v>42</v>
      </c>
      <c r="I4716" t="s">
        <v>147</v>
      </c>
      <c r="J4716" s="89">
        <v>2814298</v>
      </c>
      <c r="K4716" t="s">
        <v>144</v>
      </c>
      <c r="N4716">
        <v>1</v>
      </c>
      <c r="O4716" s="89">
        <v>56285.96</v>
      </c>
      <c r="P4716" s="89">
        <v>253286.82</v>
      </c>
      <c r="Q4716" t="s">
        <v>130</v>
      </c>
      <c r="R4716" t="s">
        <v>42</v>
      </c>
    </row>
    <row r="4717" spans="3:18" hidden="1" x14ac:dyDescent="0.25">
      <c r="C4717" t="s">
        <v>45</v>
      </c>
      <c r="D4717" t="s">
        <v>23</v>
      </c>
      <c r="E4717" t="s">
        <v>43</v>
      </c>
      <c r="F4717" t="s">
        <v>41</v>
      </c>
      <c r="G4717" s="89">
        <v>276332</v>
      </c>
      <c r="H4717" t="s">
        <v>146</v>
      </c>
      <c r="I4717" t="s">
        <v>147</v>
      </c>
      <c r="J4717" s="89">
        <v>552664</v>
      </c>
      <c r="K4717" t="s">
        <v>127</v>
      </c>
      <c r="L4717" t="s">
        <v>128</v>
      </c>
      <c r="N4717">
        <v>1</v>
      </c>
      <c r="O4717" s="89">
        <v>8289.9599999999991</v>
      </c>
      <c r="P4717" s="89">
        <v>24869.88</v>
      </c>
      <c r="Q4717" t="s">
        <v>130</v>
      </c>
      <c r="R4717" t="s">
        <v>131</v>
      </c>
    </row>
    <row r="4718" spans="3:18" hidden="1" x14ac:dyDescent="0.25">
      <c r="C4718" t="s">
        <v>45</v>
      </c>
      <c r="D4718" t="s">
        <v>20</v>
      </c>
      <c r="E4718" t="s">
        <v>43</v>
      </c>
      <c r="F4718" t="s">
        <v>41</v>
      </c>
      <c r="G4718" s="89">
        <v>157273</v>
      </c>
      <c r="H4718" t="s">
        <v>140</v>
      </c>
      <c r="I4718" t="s">
        <v>133</v>
      </c>
      <c r="J4718" s="89">
        <v>3774552</v>
      </c>
      <c r="K4718" t="s">
        <v>127</v>
      </c>
      <c r="L4718" t="s">
        <v>151</v>
      </c>
      <c r="N4718">
        <v>1</v>
      </c>
      <c r="O4718" s="89">
        <v>4718.1899999999996</v>
      </c>
      <c r="P4718" s="89">
        <v>80209.23</v>
      </c>
      <c r="Q4718" t="s">
        <v>142</v>
      </c>
      <c r="R4718" t="s">
        <v>131</v>
      </c>
    </row>
    <row r="4719" spans="3:18" hidden="1" x14ac:dyDescent="0.25">
      <c r="C4719" t="s">
        <v>45</v>
      </c>
      <c r="D4719" t="s">
        <v>50</v>
      </c>
      <c r="E4719" t="s">
        <v>50</v>
      </c>
      <c r="F4719" t="s">
        <v>41</v>
      </c>
      <c r="G4719" s="89">
        <v>34617</v>
      </c>
      <c r="H4719" t="s">
        <v>79</v>
      </c>
      <c r="I4719" t="s">
        <v>126</v>
      </c>
      <c r="J4719" s="89">
        <v>519255</v>
      </c>
      <c r="K4719" t="s">
        <v>127</v>
      </c>
      <c r="N4719">
        <v>1</v>
      </c>
      <c r="O4719" s="89">
        <v>1384.68</v>
      </c>
      <c r="P4719" s="89">
        <v>24924.240000000002</v>
      </c>
      <c r="Q4719" t="s">
        <v>137</v>
      </c>
      <c r="R4719" t="s">
        <v>79</v>
      </c>
    </row>
    <row r="4720" spans="3:18" hidden="1" x14ac:dyDescent="0.25">
      <c r="C4720" t="s">
        <v>45</v>
      </c>
      <c r="D4720" t="s">
        <v>21</v>
      </c>
      <c r="E4720" t="s">
        <v>43</v>
      </c>
      <c r="F4720" t="s">
        <v>41</v>
      </c>
      <c r="G4720" s="89">
        <v>7225743</v>
      </c>
      <c r="H4720" t="s">
        <v>42</v>
      </c>
      <c r="I4720" t="s">
        <v>141</v>
      </c>
      <c r="J4720" s="89">
        <v>57805944</v>
      </c>
      <c r="K4720" t="s">
        <v>127</v>
      </c>
      <c r="L4720" t="s">
        <v>128</v>
      </c>
      <c r="M4720" t="s">
        <v>129</v>
      </c>
      <c r="N4720">
        <v>1</v>
      </c>
      <c r="O4720" s="89">
        <v>216772.29</v>
      </c>
      <c r="P4720" s="89">
        <v>3468356.64</v>
      </c>
      <c r="Q4720" t="s">
        <v>142</v>
      </c>
      <c r="R4720" t="s">
        <v>131</v>
      </c>
    </row>
    <row r="4721" spans="3:18" x14ac:dyDescent="0.25">
      <c r="C4721" t="s">
        <v>47</v>
      </c>
      <c r="D4721" t="s">
        <v>21</v>
      </c>
      <c r="E4721" t="s">
        <v>40</v>
      </c>
      <c r="F4721" t="s">
        <v>41</v>
      </c>
      <c r="G4721" s="89">
        <v>9557612</v>
      </c>
      <c r="H4721" t="s">
        <v>145</v>
      </c>
      <c r="I4721" t="s">
        <v>126</v>
      </c>
      <c r="J4721" s="89">
        <v>124248956</v>
      </c>
      <c r="K4721" t="s">
        <v>144</v>
      </c>
      <c r="N4721">
        <v>1</v>
      </c>
      <c r="O4721" s="89">
        <v>382304.48</v>
      </c>
      <c r="P4721" s="89">
        <v>6594752.2800000003</v>
      </c>
      <c r="Q4721" t="s">
        <v>137</v>
      </c>
      <c r="R4721" t="s">
        <v>131</v>
      </c>
    </row>
    <row r="4722" spans="3:18" hidden="1" x14ac:dyDescent="0.25">
      <c r="C4722" t="s">
        <v>45</v>
      </c>
      <c r="D4722" t="s">
        <v>24</v>
      </c>
      <c r="E4722" t="s">
        <v>48</v>
      </c>
      <c r="F4722" t="s">
        <v>41</v>
      </c>
      <c r="G4722" s="89">
        <v>552876</v>
      </c>
      <c r="H4722" t="s">
        <v>146</v>
      </c>
      <c r="I4722" t="s">
        <v>147</v>
      </c>
      <c r="J4722" s="89">
        <v>1105752</v>
      </c>
      <c r="K4722" t="s">
        <v>127</v>
      </c>
      <c r="L4722" t="s">
        <v>128</v>
      </c>
      <c r="N4722">
        <v>1</v>
      </c>
      <c r="O4722" s="89">
        <v>16586.28</v>
      </c>
      <c r="P4722" s="89">
        <v>420185.76</v>
      </c>
      <c r="Q4722" t="s">
        <v>137</v>
      </c>
      <c r="R4722" t="s">
        <v>131</v>
      </c>
    </row>
    <row r="4723" spans="3:18" hidden="1" x14ac:dyDescent="0.25">
      <c r="C4723" t="s">
        <v>45</v>
      </c>
      <c r="D4723" t="s">
        <v>22</v>
      </c>
      <c r="E4723" t="s">
        <v>48</v>
      </c>
      <c r="F4723" t="s">
        <v>53</v>
      </c>
      <c r="G4723" s="89">
        <v>65738</v>
      </c>
      <c r="H4723" t="s">
        <v>146</v>
      </c>
      <c r="I4723" t="s">
        <v>133</v>
      </c>
      <c r="J4723" s="89">
        <v>2366568</v>
      </c>
      <c r="K4723" t="s">
        <v>144</v>
      </c>
      <c r="N4723">
        <v>1</v>
      </c>
      <c r="O4723" s="89">
        <v>1972.14</v>
      </c>
      <c r="P4723" s="89">
        <v>13147.6</v>
      </c>
      <c r="Q4723" t="s">
        <v>130</v>
      </c>
      <c r="R4723" t="s">
        <v>131</v>
      </c>
    </row>
    <row r="4724" spans="3:18" x14ac:dyDescent="0.25">
      <c r="C4724" t="s">
        <v>47</v>
      </c>
      <c r="D4724" t="s">
        <v>20</v>
      </c>
      <c r="E4724" t="s">
        <v>40</v>
      </c>
      <c r="F4724" t="s">
        <v>41</v>
      </c>
      <c r="G4724" s="89">
        <v>273422</v>
      </c>
      <c r="H4724" t="s">
        <v>146</v>
      </c>
      <c r="I4724" t="s">
        <v>141</v>
      </c>
      <c r="J4724" s="89">
        <v>2460798</v>
      </c>
      <c r="K4724" t="s">
        <v>144</v>
      </c>
      <c r="N4724">
        <v>1</v>
      </c>
      <c r="O4724" s="89">
        <v>10936.88</v>
      </c>
      <c r="P4724" s="89">
        <v>205066.5</v>
      </c>
      <c r="Q4724" t="s">
        <v>137</v>
      </c>
      <c r="R4724" t="s">
        <v>131</v>
      </c>
    </row>
    <row r="4725" spans="3:18" hidden="1" x14ac:dyDescent="0.25">
      <c r="C4725" t="s">
        <v>45</v>
      </c>
      <c r="D4725" t="s">
        <v>23</v>
      </c>
      <c r="E4725" t="s">
        <v>40</v>
      </c>
      <c r="F4725" t="s">
        <v>41</v>
      </c>
      <c r="G4725" s="89">
        <v>39965</v>
      </c>
      <c r="H4725" t="s">
        <v>140</v>
      </c>
      <c r="I4725" t="s">
        <v>141</v>
      </c>
      <c r="J4725" s="89">
        <v>279755</v>
      </c>
      <c r="K4725" t="s">
        <v>127</v>
      </c>
      <c r="L4725" t="s">
        <v>128</v>
      </c>
      <c r="N4725">
        <v>1</v>
      </c>
      <c r="O4725" s="89">
        <v>1198.95</v>
      </c>
      <c r="P4725" s="89">
        <v>53952.75</v>
      </c>
      <c r="Q4725" t="s">
        <v>150</v>
      </c>
      <c r="R4725" t="s">
        <v>131</v>
      </c>
    </row>
    <row r="4726" spans="3:18" x14ac:dyDescent="0.25">
      <c r="C4726" t="s">
        <v>47</v>
      </c>
      <c r="D4726" t="s">
        <v>22</v>
      </c>
      <c r="E4726" t="s">
        <v>43</v>
      </c>
      <c r="F4726" t="s">
        <v>41</v>
      </c>
      <c r="G4726" s="89">
        <v>457707</v>
      </c>
      <c r="H4726" t="s">
        <v>42</v>
      </c>
      <c r="I4726" t="s">
        <v>141</v>
      </c>
      <c r="J4726" s="89">
        <v>3661656</v>
      </c>
      <c r="K4726" t="s">
        <v>127</v>
      </c>
      <c r="L4726" t="s">
        <v>128</v>
      </c>
      <c r="M4726" t="s">
        <v>143</v>
      </c>
      <c r="N4726">
        <v>1</v>
      </c>
      <c r="O4726" s="89">
        <v>18308.28</v>
      </c>
      <c r="P4726" s="89">
        <v>297509.55</v>
      </c>
      <c r="Q4726" t="s">
        <v>137</v>
      </c>
      <c r="R4726" t="s">
        <v>131</v>
      </c>
    </row>
    <row r="4727" spans="3:18" hidden="1" x14ac:dyDescent="0.25">
      <c r="C4727" t="s">
        <v>45</v>
      </c>
      <c r="D4727" t="s">
        <v>149</v>
      </c>
      <c r="E4727" t="s">
        <v>43</v>
      </c>
      <c r="F4727" t="s">
        <v>41</v>
      </c>
      <c r="G4727" s="89">
        <v>87632</v>
      </c>
      <c r="H4727" t="s">
        <v>146</v>
      </c>
      <c r="I4727" t="s">
        <v>126</v>
      </c>
      <c r="J4727" s="89">
        <v>1665008</v>
      </c>
      <c r="K4727" t="s">
        <v>127</v>
      </c>
      <c r="L4727" t="s">
        <v>128</v>
      </c>
      <c r="N4727">
        <v>1</v>
      </c>
      <c r="O4727" s="89">
        <v>3505.28</v>
      </c>
      <c r="P4727" s="89">
        <v>58713.440000000002</v>
      </c>
      <c r="Q4727" t="s">
        <v>137</v>
      </c>
      <c r="R4727" t="s">
        <v>131</v>
      </c>
    </row>
    <row r="4728" spans="3:18" hidden="1" x14ac:dyDescent="0.25">
      <c r="C4728" t="s">
        <v>45</v>
      </c>
      <c r="D4728" t="s">
        <v>19</v>
      </c>
      <c r="E4728" t="s">
        <v>43</v>
      </c>
      <c r="F4728" t="s">
        <v>41</v>
      </c>
      <c r="G4728" s="89">
        <v>3596</v>
      </c>
      <c r="H4728" t="s">
        <v>140</v>
      </c>
      <c r="I4728" t="s">
        <v>141</v>
      </c>
      <c r="J4728" s="89">
        <v>17980</v>
      </c>
      <c r="K4728" t="s">
        <v>127</v>
      </c>
      <c r="L4728" t="s">
        <v>128</v>
      </c>
      <c r="N4728">
        <v>1</v>
      </c>
      <c r="O4728" s="89">
        <v>215.76</v>
      </c>
      <c r="P4728" s="89">
        <v>3164.48</v>
      </c>
      <c r="Q4728" t="s">
        <v>135</v>
      </c>
      <c r="R4728" t="s">
        <v>131</v>
      </c>
    </row>
    <row r="4729" spans="3:18" hidden="1" x14ac:dyDescent="0.25">
      <c r="C4729" t="s">
        <v>45</v>
      </c>
      <c r="D4729" t="s">
        <v>22</v>
      </c>
      <c r="E4729" t="s">
        <v>40</v>
      </c>
      <c r="F4729" t="s">
        <v>41</v>
      </c>
      <c r="G4729" s="89">
        <v>783370</v>
      </c>
      <c r="H4729" t="s">
        <v>42</v>
      </c>
      <c r="I4729" t="s">
        <v>126</v>
      </c>
      <c r="J4729" s="89">
        <v>11750550</v>
      </c>
      <c r="K4729" t="s">
        <v>144</v>
      </c>
      <c r="N4729">
        <v>1</v>
      </c>
      <c r="O4729" s="89">
        <v>31334.799999999999</v>
      </c>
      <c r="P4729" s="89">
        <v>634529.69999999995</v>
      </c>
      <c r="Q4729" t="s">
        <v>135</v>
      </c>
      <c r="R4729" t="s">
        <v>131</v>
      </c>
    </row>
    <row r="4730" spans="3:18" hidden="1" x14ac:dyDescent="0.25">
      <c r="C4730" t="s">
        <v>45</v>
      </c>
      <c r="D4730" t="s">
        <v>24</v>
      </c>
      <c r="E4730" t="s">
        <v>46</v>
      </c>
      <c r="F4730" t="s">
        <v>41</v>
      </c>
      <c r="G4730" s="89">
        <v>411559</v>
      </c>
      <c r="H4730" t="s">
        <v>42</v>
      </c>
      <c r="I4730" t="s">
        <v>133</v>
      </c>
      <c r="J4730" s="89">
        <v>13581447</v>
      </c>
      <c r="K4730" t="s">
        <v>134</v>
      </c>
      <c r="L4730" t="s">
        <v>128</v>
      </c>
      <c r="M4730" t="s">
        <v>148</v>
      </c>
      <c r="N4730">
        <v>1</v>
      </c>
      <c r="O4730" s="89">
        <v>8231.18</v>
      </c>
      <c r="P4730" s="89">
        <v>246935.4</v>
      </c>
      <c r="Q4730" t="s">
        <v>137</v>
      </c>
      <c r="R4730" t="s">
        <v>42</v>
      </c>
    </row>
    <row r="4731" spans="3:18" hidden="1" x14ac:dyDescent="0.25">
      <c r="C4731" t="s">
        <v>45</v>
      </c>
      <c r="D4731" t="s">
        <v>21</v>
      </c>
      <c r="E4731" t="s">
        <v>48</v>
      </c>
      <c r="F4731" t="s">
        <v>53</v>
      </c>
      <c r="G4731" s="89">
        <v>152626</v>
      </c>
      <c r="H4731" t="s">
        <v>42</v>
      </c>
      <c r="I4731" t="s">
        <v>133</v>
      </c>
      <c r="J4731" s="89">
        <v>3968276</v>
      </c>
      <c r="K4731" t="s">
        <v>134</v>
      </c>
      <c r="N4731">
        <v>1</v>
      </c>
      <c r="O4731" s="89">
        <v>4578.78</v>
      </c>
      <c r="P4731" s="89">
        <v>105311.94</v>
      </c>
      <c r="Q4731" t="s">
        <v>137</v>
      </c>
      <c r="R4731" t="s">
        <v>42</v>
      </c>
    </row>
    <row r="4732" spans="3:18" x14ac:dyDescent="0.25">
      <c r="C4732" t="s">
        <v>47</v>
      </c>
      <c r="D4732" t="s">
        <v>22</v>
      </c>
      <c r="E4732" t="s">
        <v>48</v>
      </c>
      <c r="F4732" t="s">
        <v>41</v>
      </c>
      <c r="G4732" s="89">
        <v>118248</v>
      </c>
      <c r="H4732" t="s">
        <v>146</v>
      </c>
      <c r="I4732" t="s">
        <v>126</v>
      </c>
      <c r="J4732" s="89">
        <v>1418976</v>
      </c>
      <c r="K4732" t="s">
        <v>144</v>
      </c>
      <c r="N4732">
        <v>1</v>
      </c>
      <c r="O4732" s="89">
        <v>3547.44</v>
      </c>
      <c r="P4732" s="89">
        <v>78043.679999999993</v>
      </c>
      <c r="Q4732" t="s">
        <v>137</v>
      </c>
      <c r="R4732" t="s">
        <v>131</v>
      </c>
    </row>
    <row r="4733" spans="3:18" hidden="1" x14ac:dyDescent="0.25">
      <c r="C4733" t="s">
        <v>45</v>
      </c>
      <c r="D4733" t="s">
        <v>23</v>
      </c>
      <c r="E4733" t="s">
        <v>52</v>
      </c>
      <c r="F4733" t="s">
        <v>41</v>
      </c>
      <c r="G4733" s="89">
        <v>1217969</v>
      </c>
      <c r="H4733" t="s">
        <v>42</v>
      </c>
      <c r="I4733" t="s">
        <v>133</v>
      </c>
      <c r="J4733" s="89">
        <v>43846884</v>
      </c>
      <c r="K4733" t="s">
        <v>144</v>
      </c>
      <c r="N4733">
        <v>1</v>
      </c>
      <c r="O4733" s="89">
        <v>36539.07</v>
      </c>
      <c r="P4733" s="89">
        <v>1388484.66</v>
      </c>
      <c r="Q4733" t="s">
        <v>150</v>
      </c>
      <c r="R4733" t="s">
        <v>42</v>
      </c>
    </row>
    <row r="4734" spans="3:18" hidden="1" x14ac:dyDescent="0.25">
      <c r="C4734" t="s">
        <v>45</v>
      </c>
      <c r="D4734" t="s">
        <v>138</v>
      </c>
      <c r="E4734" t="s">
        <v>40</v>
      </c>
      <c r="F4734" t="s">
        <v>41</v>
      </c>
      <c r="G4734" s="89">
        <v>333200</v>
      </c>
      <c r="H4734" t="s">
        <v>42</v>
      </c>
      <c r="I4734" t="s">
        <v>133</v>
      </c>
      <c r="J4734" s="89">
        <v>13328000</v>
      </c>
      <c r="K4734" t="s">
        <v>144</v>
      </c>
      <c r="N4734">
        <v>1</v>
      </c>
      <c r="O4734" s="89">
        <v>9996</v>
      </c>
      <c r="P4734" s="89">
        <v>333200</v>
      </c>
      <c r="Q4734" t="s">
        <v>150</v>
      </c>
      <c r="R4734" t="s">
        <v>42</v>
      </c>
    </row>
    <row r="4735" spans="3:18" hidden="1" x14ac:dyDescent="0.25">
      <c r="C4735" t="s">
        <v>45</v>
      </c>
      <c r="D4735" t="s">
        <v>21</v>
      </c>
      <c r="E4735" t="s">
        <v>43</v>
      </c>
      <c r="F4735" t="s">
        <v>41</v>
      </c>
      <c r="G4735" s="89">
        <v>127973</v>
      </c>
      <c r="H4735" t="s">
        <v>42</v>
      </c>
      <c r="I4735" t="s">
        <v>153</v>
      </c>
      <c r="J4735" s="89"/>
      <c r="K4735" t="s">
        <v>127</v>
      </c>
      <c r="L4735" t="s">
        <v>128</v>
      </c>
      <c r="M4735" t="s">
        <v>129</v>
      </c>
      <c r="N4735">
        <v>0</v>
      </c>
      <c r="O4735" s="89">
        <v>3839.19</v>
      </c>
      <c r="P4735" s="89">
        <v>61427.040000000001</v>
      </c>
      <c r="Q4735" t="s">
        <v>142</v>
      </c>
      <c r="R4735" t="s">
        <v>131</v>
      </c>
    </row>
    <row r="4736" spans="3:18" hidden="1" x14ac:dyDescent="0.25">
      <c r="C4736" t="s">
        <v>45</v>
      </c>
      <c r="D4736" t="s">
        <v>149</v>
      </c>
      <c r="E4736" t="s">
        <v>43</v>
      </c>
      <c r="F4736" t="s">
        <v>41</v>
      </c>
      <c r="G4736" s="89">
        <v>198320</v>
      </c>
      <c r="H4736" t="s">
        <v>146</v>
      </c>
      <c r="I4736" t="s">
        <v>133</v>
      </c>
      <c r="J4736" s="89">
        <v>6346240</v>
      </c>
      <c r="K4736" t="s">
        <v>134</v>
      </c>
      <c r="L4736" t="s">
        <v>128</v>
      </c>
      <c r="N4736">
        <v>1</v>
      </c>
      <c r="O4736" s="89">
        <v>3966.4</v>
      </c>
      <c r="P4736" s="89">
        <v>142790.39999999999</v>
      </c>
      <c r="Q4736" t="s">
        <v>137</v>
      </c>
      <c r="R4736" t="s">
        <v>131</v>
      </c>
    </row>
    <row r="4737" spans="3:18" hidden="1" x14ac:dyDescent="0.25">
      <c r="C4737" t="s">
        <v>45</v>
      </c>
      <c r="D4737" t="s">
        <v>21</v>
      </c>
      <c r="E4737" t="s">
        <v>40</v>
      </c>
      <c r="F4737" t="s">
        <v>41</v>
      </c>
      <c r="G4737" s="89">
        <v>464871</v>
      </c>
      <c r="H4737" t="s">
        <v>42</v>
      </c>
      <c r="I4737" t="s">
        <v>133</v>
      </c>
      <c r="J4737" s="89">
        <v>14875872</v>
      </c>
      <c r="K4737" t="s">
        <v>127</v>
      </c>
      <c r="L4737" t="s">
        <v>128</v>
      </c>
      <c r="M4737" t="s">
        <v>143</v>
      </c>
      <c r="N4737">
        <v>1</v>
      </c>
      <c r="O4737" s="89">
        <v>18594.84</v>
      </c>
      <c r="P4737" s="89">
        <v>316112.28000000003</v>
      </c>
      <c r="Q4737" t="s">
        <v>137</v>
      </c>
      <c r="R4737" t="s">
        <v>42</v>
      </c>
    </row>
    <row r="4738" spans="3:18" hidden="1" x14ac:dyDescent="0.25">
      <c r="C4738" t="s">
        <v>45</v>
      </c>
      <c r="D4738" t="s">
        <v>19</v>
      </c>
      <c r="E4738" t="s">
        <v>44</v>
      </c>
      <c r="F4738" t="s">
        <v>41</v>
      </c>
      <c r="G4738" s="89">
        <v>116273</v>
      </c>
      <c r="H4738" t="s">
        <v>42</v>
      </c>
      <c r="I4738" t="s">
        <v>133</v>
      </c>
      <c r="J4738" s="89">
        <v>3371917</v>
      </c>
      <c r="K4738" t="s">
        <v>127</v>
      </c>
      <c r="L4738" t="s">
        <v>128</v>
      </c>
      <c r="M4738" t="s">
        <v>136</v>
      </c>
      <c r="N4738">
        <v>1</v>
      </c>
      <c r="O4738" s="89">
        <v>4650.92</v>
      </c>
      <c r="P4738" s="89">
        <v>62787.42</v>
      </c>
      <c r="Q4738" t="s">
        <v>142</v>
      </c>
      <c r="R4738" t="s">
        <v>131</v>
      </c>
    </row>
    <row r="4739" spans="3:18" hidden="1" x14ac:dyDescent="0.25">
      <c r="C4739" t="s">
        <v>39</v>
      </c>
      <c r="D4739" t="s">
        <v>21</v>
      </c>
      <c r="E4739" t="s">
        <v>40</v>
      </c>
      <c r="F4739" t="s">
        <v>41</v>
      </c>
      <c r="G4739" s="89">
        <v>6495573</v>
      </c>
      <c r="H4739" t="s">
        <v>140</v>
      </c>
      <c r="I4739" t="s">
        <v>133</v>
      </c>
      <c r="J4739" s="89"/>
      <c r="N4739">
        <v>0</v>
      </c>
      <c r="O4739" s="89"/>
      <c r="P4739" s="89"/>
      <c r="R4739" t="s">
        <v>131</v>
      </c>
    </row>
    <row r="4740" spans="3:18" hidden="1" x14ac:dyDescent="0.25">
      <c r="C4740" t="s">
        <v>45</v>
      </c>
      <c r="D4740" t="s">
        <v>23</v>
      </c>
      <c r="E4740" t="s">
        <v>43</v>
      </c>
      <c r="F4740" t="s">
        <v>41</v>
      </c>
      <c r="G4740" s="89">
        <v>145618</v>
      </c>
      <c r="H4740" t="s">
        <v>146</v>
      </c>
      <c r="I4740" t="s">
        <v>141</v>
      </c>
      <c r="J4740" s="89">
        <v>1310562</v>
      </c>
      <c r="K4740" t="s">
        <v>127</v>
      </c>
      <c r="L4740" t="s">
        <v>128</v>
      </c>
      <c r="N4740">
        <v>1</v>
      </c>
      <c r="O4740" s="89">
        <v>5824.72</v>
      </c>
      <c r="P4740" s="89">
        <v>71352.820000000007</v>
      </c>
      <c r="Q4740" t="s">
        <v>142</v>
      </c>
      <c r="R4740" t="s">
        <v>131</v>
      </c>
    </row>
    <row r="4741" spans="3:18" hidden="1" x14ac:dyDescent="0.25">
      <c r="C4741" t="s">
        <v>45</v>
      </c>
      <c r="D4741" t="s">
        <v>21</v>
      </c>
      <c r="E4741" t="s">
        <v>40</v>
      </c>
      <c r="F4741" t="s">
        <v>41</v>
      </c>
      <c r="G4741" s="89">
        <v>44114440</v>
      </c>
      <c r="H4741" t="s">
        <v>42</v>
      </c>
      <c r="I4741" t="s">
        <v>133</v>
      </c>
      <c r="J4741" s="89">
        <v>1544005400</v>
      </c>
      <c r="K4741" t="s">
        <v>127</v>
      </c>
      <c r="L4741" t="s">
        <v>128</v>
      </c>
      <c r="M4741" t="s">
        <v>129</v>
      </c>
      <c r="N4741">
        <v>1</v>
      </c>
      <c r="O4741" s="89">
        <v>1323433.2</v>
      </c>
      <c r="P4741" s="89">
        <v>36614985.200000003</v>
      </c>
      <c r="Q4741" t="s">
        <v>135</v>
      </c>
      <c r="R4741" t="s">
        <v>42</v>
      </c>
    </row>
    <row r="4742" spans="3:18" hidden="1" x14ac:dyDescent="0.25">
      <c r="C4742" t="s">
        <v>45</v>
      </c>
      <c r="D4742" t="s">
        <v>138</v>
      </c>
      <c r="E4742" t="s">
        <v>48</v>
      </c>
      <c r="F4742" t="s">
        <v>41</v>
      </c>
      <c r="G4742" s="89">
        <v>391330</v>
      </c>
      <c r="H4742" t="s">
        <v>42</v>
      </c>
      <c r="I4742" t="s">
        <v>133</v>
      </c>
      <c r="J4742" s="89">
        <v>13305220</v>
      </c>
      <c r="K4742" t="s">
        <v>127</v>
      </c>
      <c r="L4742" t="s">
        <v>128</v>
      </c>
      <c r="M4742" t="s">
        <v>139</v>
      </c>
      <c r="N4742">
        <v>1</v>
      </c>
      <c r="O4742" s="89">
        <v>11739.9</v>
      </c>
      <c r="P4742" s="89">
        <v>324803.90000000002</v>
      </c>
      <c r="Q4742" t="s">
        <v>135</v>
      </c>
      <c r="R4742" t="s">
        <v>42</v>
      </c>
    </row>
    <row r="4743" spans="3:18" x14ac:dyDescent="0.25">
      <c r="C4743" t="s">
        <v>47</v>
      </c>
      <c r="D4743" t="s">
        <v>19</v>
      </c>
      <c r="E4743" t="s">
        <v>40</v>
      </c>
      <c r="F4743" t="s">
        <v>41</v>
      </c>
      <c r="G4743" s="89">
        <v>4548279</v>
      </c>
      <c r="H4743" t="s">
        <v>146</v>
      </c>
      <c r="I4743" t="s">
        <v>126</v>
      </c>
      <c r="J4743" s="89">
        <v>59127627</v>
      </c>
      <c r="K4743" t="s">
        <v>127</v>
      </c>
      <c r="L4743" t="s">
        <v>128</v>
      </c>
      <c r="N4743">
        <v>1</v>
      </c>
      <c r="O4743" s="89">
        <v>136448.37</v>
      </c>
      <c r="P4743" s="89">
        <v>3365726.46</v>
      </c>
      <c r="Q4743" t="s">
        <v>137</v>
      </c>
      <c r="R4743" t="s">
        <v>131</v>
      </c>
    </row>
    <row r="4744" spans="3:18" hidden="1" x14ac:dyDescent="0.25">
      <c r="C4744" t="s">
        <v>39</v>
      </c>
      <c r="D4744" t="s">
        <v>22</v>
      </c>
      <c r="E4744" t="s">
        <v>40</v>
      </c>
      <c r="F4744" t="s">
        <v>41</v>
      </c>
      <c r="G4744" s="89">
        <v>190770</v>
      </c>
      <c r="H4744" t="s">
        <v>42</v>
      </c>
      <c r="I4744" t="s">
        <v>133</v>
      </c>
      <c r="J4744" s="89"/>
      <c r="N4744">
        <v>0</v>
      </c>
      <c r="O4744" s="89"/>
      <c r="P4744" s="89"/>
      <c r="R4744" t="s">
        <v>131</v>
      </c>
    </row>
    <row r="4745" spans="3:18" hidden="1" x14ac:dyDescent="0.25">
      <c r="C4745" t="s">
        <v>45</v>
      </c>
      <c r="D4745" t="s">
        <v>24</v>
      </c>
      <c r="E4745" t="s">
        <v>48</v>
      </c>
      <c r="F4745" t="s">
        <v>41</v>
      </c>
      <c r="G4745" s="89">
        <v>20968283</v>
      </c>
      <c r="H4745" t="s">
        <v>42</v>
      </c>
      <c r="I4745" t="s">
        <v>133</v>
      </c>
      <c r="J4745" s="89">
        <v>608080207</v>
      </c>
      <c r="K4745" t="s">
        <v>127</v>
      </c>
      <c r="L4745" t="s">
        <v>128</v>
      </c>
      <c r="M4745" t="s">
        <v>148</v>
      </c>
      <c r="N4745">
        <v>1</v>
      </c>
      <c r="O4745" s="89">
        <v>629048.49</v>
      </c>
      <c r="P4745" s="89">
        <v>6290484.9000000004</v>
      </c>
      <c r="Q4745" t="s">
        <v>130</v>
      </c>
      <c r="R4745" t="s">
        <v>131</v>
      </c>
    </row>
    <row r="4746" spans="3:18" hidden="1" x14ac:dyDescent="0.25">
      <c r="C4746" t="s">
        <v>45</v>
      </c>
      <c r="D4746" t="s">
        <v>24</v>
      </c>
      <c r="E4746" t="s">
        <v>52</v>
      </c>
      <c r="F4746" t="s">
        <v>41</v>
      </c>
      <c r="G4746" s="89">
        <v>544054</v>
      </c>
      <c r="H4746" t="s">
        <v>42</v>
      </c>
      <c r="I4746" t="s">
        <v>126</v>
      </c>
      <c r="J4746" s="89">
        <v>8160810</v>
      </c>
      <c r="K4746" t="s">
        <v>144</v>
      </c>
      <c r="N4746">
        <v>1</v>
      </c>
      <c r="O4746" s="89">
        <v>16321.62</v>
      </c>
      <c r="P4746" s="89">
        <v>462445.9</v>
      </c>
      <c r="Q4746" t="s">
        <v>135</v>
      </c>
      <c r="R4746" t="s">
        <v>42</v>
      </c>
    </row>
    <row r="4747" spans="3:18" hidden="1" x14ac:dyDescent="0.25">
      <c r="C4747" t="s">
        <v>45</v>
      </c>
      <c r="D4747" t="s">
        <v>21</v>
      </c>
      <c r="E4747" t="s">
        <v>43</v>
      </c>
      <c r="F4747" t="s">
        <v>41</v>
      </c>
      <c r="G4747" s="89">
        <v>273163</v>
      </c>
      <c r="H4747" t="s">
        <v>132</v>
      </c>
      <c r="I4747" t="s">
        <v>133</v>
      </c>
      <c r="J4747" s="89">
        <v>7375401</v>
      </c>
      <c r="K4747" t="s">
        <v>127</v>
      </c>
      <c r="L4747" t="s">
        <v>151</v>
      </c>
      <c r="N4747">
        <v>1</v>
      </c>
      <c r="O4747" s="89">
        <v>5463.26</v>
      </c>
      <c r="P4747" s="89">
        <v>133849.87</v>
      </c>
      <c r="Q4747" t="s">
        <v>142</v>
      </c>
      <c r="R4747" t="s">
        <v>131</v>
      </c>
    </row>
    <row r="4748" spans="3:18" hidden="1" x14ac:dyDescent="0.25">
      <c r="C4748" t="s">
        <v>45</v>
      </c>
      <c r="D4748" t="s">
        <v>23</v>
      </c>
      <c r="E4748" t="s">
        <v>40</v>
      </c>
      <c r="F4748" t="s">
        <v>41</v>
      </c>
      <c r="G4748" s="89">
        <v>266691</v>
      </c>
      <c r="H4748" t="s">
        <v>146</v>
      </c>
      <c r="I4748" t="s">
        <v>133</v>
      </c>
      <c r="J4748" s="89">
        <v>7734039</v>
      </c>
      <c r="K4748" t="s">
        <v>144</v>
      </c>
      <c r="N4748">
        <v>1</v>
      </c>
      <c r="O4748" s="89">
        <v>8000.73</v>
      </c>
      <c r="P4748" s="89">
        <v>130678.59</v>
      </c>
      <c r="Q4748" t="s">
        <v>142</v>
      </c>
      <c r="R4748" t="s">
        <v>131</v>
      </c>
    </row>
    <row r="4749" spans="3:18" hidden="1" x14ac:dyDescent="0.25">
      <c r="C4749" t="s">
        <v>45</v>
      </c>
      <c r="D4749" t="s">
        <v>21</v>
      </c>
      <c r="E4749" t="s">
        <v>43</v>
      </c>
      <c r="F4749" t="s">
        <v>41</v>
      </c>
      <c r="G4749" s="89">
        <v>1590555</v>
      </c>
      <c r="H4749" t="s">
        <v>146</v>
      </c>
      <c r="I4749" t="s">
        <v>126</v>
      </c>
      <c r="J4749" s="89">
        <v>27039435</v>
      </c>
      <c r="K4749" t="s">
        <v>144</v>
      </c>
      <c r="N4749">
        <v>1</v>
      </c>
      <c r="O4749" s="89">
        <v>47716.65</v>
      </c>
      <c r="P4749" s="89">
        <v>1049766.3</v>
      </c>
      <c r="Q4749" t="s">
        <v>137</v>
      </c>
      <c r="R4749" t="s">
        <v>131</v>
      </c>
    </row>
    <row r="4750" spans="3:18" hidden="1" x14ac:dyDescent="0.25">
      <c r="C4750" t="s">
        <v>45</v>
      </c>
      <c r="D4750" t="s">
        <v>19</v>
      </c>
      <c r="E4750" t="s">
        <v>43</v>
      </c>
      <c r="F4750" t="s">
        <v>53</v>
      </c>
      <c r="G4750" s="89">
        <v>1089244</v>
      </c>
      <c r="H4750" t="s">
        <v>42</v>
      </c>
      <c r="I4750" t="s">
        <v>126</v>
      </c>
      <c r="J4750" s="89">
        <v>18517148</v>
      </c>
      <c r="K4750" t="s">
        <v>144</v>
      </c>
      <c r="N4750">
        <v>1</v>
      </c>
      <c r="O4750" s="89">
        <v>32677.32</v>
      </c>
      <c r="P4750" s="89">
        <v>795148.12</v>
      </c>
      <c r="Q4750" t="s">
        <v>137</v>
      </c>
      <c r="R4750" t="s">
        <v>42</v>
      </c>
    </row>
    <row r="4751" spans="3:18" hidden="1" x14ac:dyDescent="0.25">
      <c r="C4751" t="s">
        <v>45</v>
      </c>
      <c r="D4751" t="s">
        <v>21</v>
      </c>
      <c r="E4751" t="s">
        <v>40</v>
      </c>
      <c r="F4751" t="s">
        <v>41</v>
      </c>
      <c r="G4751" s="89">
        <v>24361</v>
      </c>
      <c r="H4751" t="s">
        <v>42</v>
      </c>
      <c r="I4751" t="s">
        <v>133</v>
      </c>
      <c r="J4751" s="89">
        <v>803913</v>
      </c>
      <c r="K4751" t="s">
        <v>127</v>
      </c>
      <c r="L4751" t="s">
        <v>128</v>
      </c>
      <c r="M4751" t="s">
        <v>148</v>
      </c>
      <c r="N4751">
        <v>1</v>
      </c>
      <c r="O4751" s="89">
        <v>974.44</v>
      </c>
      <c r="P4751" s="89">
        <v>6333.86</v>
      </c>
      <c r="Q4751" t="s">
        <v>130</v>
      </c>
      <c r="R4751" t="s">
        <v>42</v>
      </c>
    </row>
    <row r="4752" spans="3:18" hidden="1" x14ac:dyDescent="0.25">
      <c r="C4752" t="s">
        <v>45</v>
      </c>
      <c r="D4752" t="s">
        <v>21</v>
      </c>
      <c r="E4752" t="s">
        <v>43</v>
      </c>
      <c r="F4752" t="s">
        <v>41</v>
      </c>
      <c r="G4752" s="89">
        <v>31136639</v>
      </c>
      <c r="H4752" t="s">
        <v>42</v>
      </c>
      <c r="I4752" t="s">
        <v>133</v>
      </c>
      <c r="J4752" s="89">
        <v>996372448</v>
      </c>
      <c r="K4752" t="s">
        <v>144</v>
      </c>
      <c r="N4752">
        <v>1</v>
      </c>
      <c r="O4752" s="89">
        <v>934099.17</v>
      </c>
      <c r="P4752" s="89">
        <v>15879685.890000001</v>
      </c>
      <c r="Q4752" t="s">
        <v>142</v>
      </c>
      <c r="R4752" t="s">
        <v>42</v>
      </c>
    </row>
    <row r="4753" spans="3:18" hidden="1" x14ac:dyDescent="0.25">
      <c r="C4753" t="s">
        <v>45</v>
      </c>
      <c r="D4753" t="s">
        <v>23</v>
      </c>
      <c r="E4753" t="s">
        <v>52</v>
      </c>
      <c r="F4753" t="s">
        <v>53</v>
      </c>
      <c r="G4753" s="89">
        <v>168907</v>
      </c>
      <c r="H4753" t="s">
        <v>42</v>
      </c>
      <c r="I4753" t="s">
        <v>126</v>
      </c>
      <c r="J4753" s="89">
        <v>3378140</v>
      </c>
      <c r="K4753" t="s">
        <v>144</v>
      </c>
      <c r="N4753">
        <v>1</v>
      </c>
      <c r="O4753" s="89">
        <v>5067.21</v>
      </c>
      <c r="P4753" s="89">
        <v>143570.95000000001</v>
      </c>
      <c r="Q4753" t="s">
        <v>135</v>
      </c>
      <c r="R4753" t="s">
        <v>42</v>
      </c>
    </row>
    <row r="4754" spans="3:18" x14ac:dyDescent="0.25">
      <c r="C4754" t="s">
        <v>47</v>
      </c>
      <c r="D4754" t="s">
        <v>22</v>
      </c>
      <c r="E4754" t="s">
        <v>40</v>
      </c>
      <c r="F4754" t="s">
        <v>41</v>
      </c>
      <c r="G4754" s="89">
        <v>611892</v>
      </c>
      <c r="H4754" t="s">
        <v>145</v>
      </c>
      <c r="I4754" t="s">
        <v>126</v>
      </c>
      <c r="J4754" s="89">
        <v>7954596</v>
      </c>
      <c r="K4754" t="s">
        <v>127</v>
      </c>
      <c r="L4754" t="s">
        <v>128</v>
      </c>
      <c r="N4754">
        <v>1</v>
      </c>
      <c r="O4754" s="89">
        <v>24475.68</v>
      </c>
      <c r="P4754" s="89">
        <v>409967.64</v>
      </c>
      <c r="Q4754" t="s">
        <v>137</v>
      </c>
      <c r="R4754" t="s">
        <v>131</v>
      </c>
    </row>
    <row r="4755" spans="3:18" hidden="1" x14ac:dyDescent="0.25">
      <c r="C4755" t="s">
        <v>45</v>
      </c>
      <c r="D4755" t="s">
        <v>24</v>
      </c>
      <c r="E4755" t="s">
        <v>40</v>
      </c>
      <c r="F4755" t="s">
        <v>41</v>
      </c>
      <c r="G4755" s="89">
        <v>164113</v>
      </c>
      <c r="H4755" t="s">
        <v>42</v>
      </c>
      <c r="I4755" t="s">
        <v>126</v>
      </c>
      <c r="J4755" s="89">
        <v>2625808</v>
      </c>
      <c r="K4755" t="s">
        <v>144</v>
      </c>
      <c r="N4755">
        <v>1</v>
      </c>
      <c r="O4755" s="89">
        <v>4923.3900000000003</v>
      </c>
      <c r="P4755" s="89">
        <v>42669.38</v>
      </c>
      <c r="Q4755" t="s">
        <v>130</v>
      </c>
      <c r="R4755" t="s">
        <v>131</v>
      </c>
    </row>
    <row r="4756" spans="3:18" hidden="1" x14ac:dyDescent="0.25">
      <c r="C4756" t="s">
        <v>45</v>
      </c>
      <c r="D4756" t="s">
        <v>19</v>
      </c>
      <c r="E4756" t="s">
        <v>43</v>
      </c>
      <c r="F4756" t="s">
        <v>53</v>
      </c>
      <c r="G4756" s="89">
        <v>146939</v>
      </c>
      <c r="H4756" t="s">
        <v>42</v>
      </c>
      <c r="I4756" t="s">
        <v>133</v>
      </c>
      <c r="J4756" s="89">
        <v>3820414</v>
      </c>
      <c r="K4756" t="s">
        <v>127</v>
      </c>
      <c r="L4756" t="s">
        <v>128</v>
      </c>
      <c r="M4756" t="s">
        <v>136</v>
      </c>
      <c r="N4756">
        <v>1</v>
      </c>
      <c r="O4756" s="89">
        <v>4408.17</v>
      </c>
      <c r="P4756" s="89">
        <v>80816.45</v>
      </c>
      <c r="Q4756" t="s">
        <v>142</v>
      </c>
      <c r="R4756" t="s">
        <v>42</v>
      </c>
    </row>
    <row r="4757" spans="3:18" hidden="1" x14ac:dyDescent="0.25">
      <c r="C4757" t="s">
        <v>45</v>
      </c>
      <c r="D4757" t="s">
        <v>21</v>
      </c>
      <c r="E4757" t="s">
        <v>43</v>
      </c>
      <c r="F4757" t="s">
        <v>41</v>
      </c>
      <c r="G4757" s="89">
        <v>8389097</v>
      </c>
      <c r="H4757" t="s">
        <v>42</v>
      </c>
      <c r="I4757" t="s">
        <v>133</v>
      </c>
      <c r="J4757" s="89">
        <v>251672910</v>
      </c>
      <c r="K4757" t="s">
        <v>144</v>
      </c>
      <c r="N4757">
        <v>1</v>
      </c>
      <c r="O4757" s="89">
        <v>251672.91</v>
      </c>
      <c r="P4757" s="89">
        <v>2432838.13</v>
      </c>
      <c r="Q4757" t="s">
        <v>130</v>
      </c>
      <c r="R4757" t="s">
        <v>42</v>
      </c>
    </row>
    <row r="4758" spans="3:18" hidden="1" x14ac:dyDescent="0.25">
      <c r="C4758" t="s">
        <v>45</v>
      </c>
      <c r="D4758" t="s">
        <v>19</v>
      </c>
      <c r="E4758" t="s">
        <v>43</v>
      </c>
      <c r="F4758" t="s">
        <v>53</v>
      </c>
      <c r="G4758" s="89">
        <v>1660784</v>
      </c>
      <c r="H4758" t="s">
        <v>42</v>
      </c>
      <c r="I4758" t="s">
        <v>133</v>
      </c>
      <c r="J4758" s="89">
        <v>59788224</v>
      </c>
      <c r="K4758" t="s">
        <v>144</v>
      </c>
      <c r="N4758">
        <v>1</v>
      </c>
      <c r="O4758" s="89">
        <v>49823.519999999997</v>
      </c>
      <c r="P4758" s="89">
        <v>1378450.72</v>
      </c>
      <c r="Q4758" t="s">
        <v>135</v>
      </c>
      <c r="R4758" t="s">
        <v>42</v>
      </c>
    </row>
    <row r="4759" spans="3:18" hidden="1" x14ac:dyDescent="0.25">
      <c r="C4759" t="s">
        <v>45</v>
      </c>
      <c r="D4759" t="s">
        <v>24</v>
      </c>
      <c r="E4759" t="s">
        <v>44</v>
      </c>
      <c r="F4759" t="s">
        <v>41</v>
      </c>
      <c r="G4759" s="89">
        <v>0</v>
      </c>
      <c r="H4759" t="s">
        <v>154</v>
      </c>
      <c r="I4759" t="s">
        <v>147</v>
      </c>
      <c r="J4759" s="89">
        <v>0</v>
      </c>
      <c r="K4759" t="s">
        <v>127</v>
      </c>
      <c r="L4759" t="s">
        <v>128</v>
      </c>
      <c r="N4759">
        <v>1</v>
      </c>
      <c r="O4759" s="89">
        <v>0</v>
      </c>
      <c r="P4759" s="89">
        <v>0</v>
      </c>
      <c r="Q4759" t="s">
        <v>150</v>
      </c>
      <c r="R4759" t="s">
        <v>131</v>
      </c>
    </row>
    <row r="4760" spans="3:18" x14ac:dyDescent="0.25">
      <c r="C4760" t="s">
        <v>47</v>
      </c>
      <c r="D4760" t="s">
        <v>20</v>
      </c>
      <c r="E4760" t="s">
        <v>40</v>
      </c>
      <c r="F4760" t="s">
        <v>41</v>
      </c>
      <c r="G4760" s="89">
        <v>1486961</v>
      </c>
      <c r="H4760" t="s">
        <v>132</v>
      </c>
      <c r="I4760" t="s">
        <v>147</v>
      </c>
      <c r="J4760" s="89">
        <v>7434805</v>
      </c>
      <c r="K4760" t="s">
        <v>144</v>
      </c>
      <c r="N4760">
        <v>1</v>
      </c>
      <c r="O4760" s="89">
        <v>44608.83</v>
      </c>
      <c r="P4760" s="89">
        <v>1189568.8</v>
      </c>
      <c r="Q4760" t="s">
        <v>135</v>
      </c>
      <c r="R4760" t="s">
        <v>131</v>
      </c>
    </row>
    <row r="4761" spans="3:18" hidden="1" x14ac:dyDescent="0.25">
      <c r="C4761" t="s">
        <v>45</v>
      </c>
      <c r="D4761" t="s">
        <v>22</v>
      </c>
      <c r="E4761" t="s">
        <v>40</v>
      </c>
      <c r="F4761" t="s">
        <v>41</v>
      </c>
      <c r="G4761" s="89">
        <v>124255</v>
      </c>
      <c r="H4761" t="s">
        <v>42</v>
      </c>
      <c r="I4761" t="s">
        <v>133</v>
      </c>
      <c r="J4761" s="89">
        <v>3354885</v>
      </c>
      <c r="K4761" t="s">
        <v>127</v>
      </c>
      <c r="L4761" t="s">
        <v>128</v>
      </c>
      <c r="M4761" t="s">
        <v>148</v>
      </c>
      <c r="N4761">
        <v>1</v>
      </c>
      <c r="O4761" s="89">
        <v>3727.65</v>
      </c>
      <c r="P4761" s="89">
        <v>96918.9</v>
      </c>
      <c r="Q4761" t="s">
        <v>137</v>
      </c>
      <c r="R4761" t="s">
        <v>131</v>
      </c>
    </row>
    <row r="4762" spans="3:18" hidden="1" x14ac:dyDescent="0.25">
      <c r="C4762" t="s">
        <v>45</v>
      </c>
      <c r="D4762" t="s">
        <v>21</v>
      </c>
      <c r="E4762" t="s">
        <v>40</v>
      </c>
      <c r="F4762" t="s">
        <v>41</v>
      </c>
      <c r="G4762" s="89">
        <v>426710</v>
      </c>
      <c r="H4762" t="s">
        <v>42</v>
      </c>
      <c r="I4762" t="s">
        <v>133</v>
      </c>
      <c r="J4762" s="89">
        <v>12801300</v>
      </c>
      <c r="K4762" t="s">
        <v>134</v>
      </c>
      <c r="L4762" t="s">
        <v>128</v>
      </c>
      <c r="M4762" t="s">
        <v>129</v>
      </c>
      <c r="N4762">
        <v>1</v>
      </c>
      <c r="O4762" s="89">
        <v>12801.3</v>
      </c>
      <c r="P4762" s="89">
        <v>209087.9</v>
      </c>
      <c r="Q4762" t="s">
        <v>142</v>
      </c>
      <c r="R4762" t="s">
        <v>131</v>
      </c>
    </row>
    <row r="4763" spans="3:18" hidden="1" x14ac:dyDescent="0.25">
      <c r="C4763" t="s">
        <v>45</v>
      </c>
      <c r="D4763" t="s">
        <v>23</v>
      </c>
      <c r="E4763" t="s">
        <v>52</v>
      </c>
      <c r="F4763" t="s">
        <v>41</v>
      </c>
      <c r="G4763" s="89">
        <v>2786636</v>
      </c>
      <c r="H4763" t="s">
        <v>42</v>
      </c>
      <c r="I4763" t="s">
        <v>126</v>
      </c>
      <c r="J4763" s="89">
        <v>47372812</v>
      </c>
      <c r="K4763" t="s">
        <v>144</v>
      </c>
      <c r="N4763">
        <v>1</v>
      </c>
      <c r="O4763" s="89">
        <v>83599.08</v>
      </c>
      <c r="P4763" s="89">
        <v>1950645.2</v>
      </c>
      <c r="Q4763" t="s">
        <v>137</v>
      </c>
      <c r="R4763" t="s">
        <v>42</v>
      </c>
    </row>
    <row r="4764" spans="3:18" x14ac:dyDescent="0.25">
      <c r="C4764" t="s">
        <v>47</v>
      </c>
      <c r="D4764" t="s">
        <v>19</v>
      </c>
      <c r="E4764" t="s">
        <v>43</v>
      </c>
      <c r="F4764" t="s">
        <v>41</v>
      </c>
      <c r="G4764" s="89">
        <v>99451</v>
      </c>
      <c r="H4764" t="s">
        <v>145</v>
      </c>
      <c r="I4764" t="s">
        <v>141</v>
      </c>
      <c r="J4764" s="89">
        <v>994510</v>
      </c>
      <c r="K4764" t="s">
        <v>144</v>
      </c>
      <c r="N4764">
        <v>1</v>
      </c>
      <c r="O4764" s="89">
        <v>3978.04</v>
      </c>
      <c r="P4764" s="89">
        <v>78566.289999999994</v>
      </c>
      <c r="Q4764" t="s">
        <v>137</v>
      </c>
      <c r="R4764" t="s">
        <v>131</v>
      </c>
    </row>
    <row r="4765" spans="3:18" x14ac:dyDescent="0.25">
      <c r="C4765" t="s">
        <v>47</v>
      </c>
      <c r="D4765" t="s">
        <v>21</v>
      </c>
      <c r="E4765" t="s">
        <v>40</v>
      </c>
      <c r="F4765" t="s">
        <v>41</v>
      </c>
      <c r="G4765" s="89">
        <v>35631</v>
      </c>
      <c r="H4765" t="s">
        <v>146</v>
      </c>
      <c r="I4765" t="s">
        <v>133</v>
      </c>
      <c r="J4765" s="89">
        <v>855144</v>
      </c>
      <c r="K4765" t="s">
        <v>127</v>
      </c>
      <c r="L4765" t="s">
        <v>128</v>
      </c>
      <c r="N4765">
        <v>1</v>
      </c>
      <c r="O4765" s="89">
        <v>1068.93</v>
      </c>
      <c r="P4765" s="89">
        <v>9620.3700000000008</v>
      </c>
      <c r="Q4765" t="s">
        <v>130</v>
      </c>
      <c r="R4765" t="s">
        <v>131</v>
      </c>
    </row>
    <row r="4766" spans="3:18" hidden="1" x14ac:dyDescent="0.25">
      <c r="C4766" t="s">
        <v>45</v>
      </c>
      <c r="D4766" t="s">
        <v>22</v>
      </c>
      <c r="E4766" t="s">
        <v>48</v>
      </c>
      <c r="F4766" t="s">
        <v>41</v>
      </c>
      <c r="G4766" s="89">
        <v>70039</v>
      </c>
      <c r="H4766" t="s">
        <v>42</v>
      </c>
      <c r="I4766" t="s">
        <v>133</v>
      </c>
      <c r="J4766" s="89">
        <v>2451365</v>
      </c>
      <c r="K4766" t="s">
        <v>134</v>
      </c>
      <c r="L4766" t="s">
        <v>128</v>
      </c>
      <c r="M4766" t="s">
        <v>143</v>
      </c>
      <c r="N4766">
        <v>1</v>
      </c>
      <c r="O4766" s="89">
        <v>2101.17</v>
      </c>
      <c r="P4766" s="89">
        <v>53229.64</v>
      </c>
      <c r="Q4766" t="s">
        <v>137</v>
      </c>
      <c r="R4766" t="s">
        <v>131</v>
      </c>
    </row>
    <row r="4767" spans="3:18" hidden="1" x14ac:dyDescent="0.25">
      <c r="C4767" t="s">
        <v>45</v>
      </c>
      <c r="D4767" t="s">
        <v>23</v>
      </c>
      <c r="E4767" t="s">
        <v>48</v>
      </c>
      <c r="F4767" t="s">
        <v>41</v>
      </c>
      <c r="G4767" s="89">
        <v>56861</v>
      </c>
      <c r="H4767" t="s">
        <v>145</v>
      </c>
      <c r="I4767" t="s">
        <v>133</v>
      </c>
      <c r="J4767" s="89">
        <v>1933274</v>
      </c>
      <c r="K4767" t="s">
        <v>144</v>
      </c>
      <c r="N4767">
        <v>1</v>
      </c>
      <c r="O4767" s="89">
        <v>1705.83</v>
      </c>
      <c r="P4767" s="89">
        <v>67095.98</v>
      </c>
      <c r="Q4767" t="s">
        <v>150</v>
      </c>
      <c r="R4767" t="s">
        <v>131</v>
      </c>
    </row>
    <row r="4768" spans="3:18" hidden="1" x14ac:dyDescent="0.25">
      <c r="C4768" t="s">
        <v>45</v>
      </c>
      <c r="D4768" t="s">
        <v>24</v>
      </c>
      <c r="E4768" t="s">
        <v>44</v>
      </c>
      <c r="F4768" t="s">
        <v>41</v>
      </c>
      <c r="G4768" s="89">
        <v>45948</v>
      </c>
      <c r="H4768" t="s">
        <v>145</v>
      </c>
      <c r="I4768" t="s">
        <v>133</v>
      </c>
      <c r="J4768" s="89">
        <v>1240596</v>
      </c>
      <c r="K4768" t="s">
        <v>127</v>
      </c>
      <c r="L4768" t="s">
        <v>128</v>
      </c>
      <c r="N4768">
        <v>1</v>
      </c>
      <c r="O4768" s="89">
        <v>1378.44</v>
      </c>
      <c r="P4768" s="89">
        <v>62029.8</v>
      </c>
      <c r="Q4768" t="s">
        <v>150</v>
      </c>
      <c r="R4768" t="s">
        <v>131</v>
      </c>
    </row>
    <row r="4769" spans="3:18" hidden="1" x14ac:dyDescent="0.25">
      <c r="C4769" t="s">
        <v>45</v>
      </c>
      <c r="D4769" t="s">
        <v>21</v>
      </c>
      <c r="E4769" t="s">
        <v>43</v>
      </c>
      <c r="F4769" t="s">
        <v>53</v>
      </c>
      <c r="G4769" s="89">
        <v>426749</v>
      </c>
      <c r="H4769" t="s">
        <v>42</v>
      </c>
      <c r="I4769" t="s">
        <v>126</v>
      </c>
      <c r="J4769" s="89">
        <v>7254733</v>
      </c>
      <c r="K4769" t="s">
        <v>144</v>
      </c>
      <c r="N4769">
        <v>1</v>
      </c>
      <c r="O4769" s="89">
        <v>12802.47</v>
      </c>
      <c r="P4769" s="89">
        <v>196304.54</v>
      </c>
      <c r="Q4769" t="s">
        <v>142</v>
      </c>
      <c r="R4769" t="s">
        <v>42</v>
      </c>
    </row>
    <row r="4770" spans="3:18" x14ac:dyDescent="0.25">
      <c r="C4770" t="s">
        <v>47</v>
      </c>
      <c r="D4770" t="s">
        <v>149</v>
      </c>
      <c r="E4770" t="s">
        <v>43</v>
      </c>
      <c r="F4770" t="s">
        <v>41</v>
      </c>
      <c r="G4770" s="89">
        <v>13804</v>
      </c>
      <c r="H4770" t="s">
        <v>146</v>
      </c>
      <c r="I4770" t="s">
        <v>141</v>
      </c>
      <c r="J4770" s="89">
        <v>82824</v>
      </c>
      <c r="K4770" t="s">
        <v>127</v>
      </c>
      <c r="L4770" t="s">
        <v>128</v>
      </c>
      <c r="N4770">
        <v>1</v>
      </c>
      <c r="O4770" s="89">
        <v>552.16</v>
      </c>
      <c r="P4770" s="89">
        <v>4693.3599999999997</v>
      </c>
      <c r="Q4770" t="s">
        <v>130</v>
      </c>
      <c r="R4770" t="s">
        <v>131</v>
      </c>
    </row>
    <row r="4771" spans="3:18" hidden="1" x14ac:dyDescent="0.25">
      <c r="C4771" t="s">
        <v>45</v>
      </c>
      <c r="D4771" t="s">
        <v>19</v>
      </c>
      <c r="E4771" t="s">
        <v>43</v>
      </c>
      <c r="F4771" t="s">
        <v>41</v>
      </c>
      <c r="G4771" s="89">
        <v>16726</v>
      </c>
      <c r="H4771" t="s">
        <v>140</v>
      </c>
      <c r="I4771" t="s">
        <v>141</v>
      </c>
      <c r="J4771" s="89">
        <v>100356</v>
      </c>
      <c r="K4771" t="s">
        <v>127</v>
      </c>
      <c r="L4771" t="s">
        <v>151</v>
      </c>
      <c r="N4771">
        <v>1</v>
      </c>
      <c r="O4771" s="89">
        <v>501.78</v>
      </c>
      <c r="P4771" s="89">
        <v>3679.72</v>
      </c>
      <c r="Q4771" t="s">
        <v>130</v>
      </c>
      <c r="R4771" t="s">
        <v>131</v>
      </c>
    </row>
    <row r="4772" spans="3:18" hidden="1" x14ac:dyDescent="0.25">
      <c r="C4772" t="s">
        <v>45</v>
      </c>
      <c r="D4772" t="s">
        <v>24</v>
      </c>
      <c r="E4772" t="s">
        <v>43</v>
      </c>
      <c r="F4772" t="s">
        <v>41</v>
      </c>
      <c r="G4772" s="89">
        <v>140782</v>
      </c>
      <c r="H4772" t="s">
        <v>145</v>
      </c>
      <c r="I4772" t="s">
        <v>133</v>
      </c>
      <c r="J4772" s="89">
        <v>4223460</v>
      </c>
      <c r="K4772" t="s">
        <v>127</v>
      </c>
      <c r="L4772" t="s">
        <v>128</v>
      </c>
      <c r="N4772">
        <v>1</v>
      </c>
      <c r="O4772" s="89">
        <v>4223.46</v>
      </c>
      <c r="P4772" s="89">
        <v>98547.4</v>
      </c>
      <c r="Q4772" t="s">
        <v>137</v>
      </c>
      <c r="R4772" t="s">
        <v>131</v>
      </c>
    </row>
    <row r="4773" spans="3:18" hidden="1" x14ac:dyDescent="0.25">
      <c r="C4773" t="s">
        <v>45</v>
      </c>
      <c r="D4773" t="s">
        <v>138</v>
      </c>
      <c r="E4773" t="s">
        <v>40</v>
      </c>
      <c r="F4773" t="s">
        <v>41</v>
      </c>
      <c r="G4773" s="89">
        <v>22047551</v>
      </c>
      <c r="H4773" t="s">
        <v>42</v>
      </c>
      <c r="I4773" t="s">
        <v>133</v>
      </c>
      <c r="J4773" s="89">
        <v>815759387</v>
      </c>
      <c r="K4773" t="s">
        <v>144</v>
      </c>
      <c r="N4773">
        <v>1</v>
      </c>
      <c r="O4773" s="89">
        <v>661426.53</v>
      </c>
      <c r="P4773" s="89">
        <v>19842795.899999999</v>
      </c>
      <c r="Q4773" t="s">
        <v>135</v>
      </c>
      <c r="R4773" t="s">
        <v>42</v>
      </c>
    </row>
    <row r="4774" spans="3:18" hidden="1" x14ac:dyDescent="0.25">
      <c r="C4774" t="s">
        <v>45</v>
      </c>
      <c r="D4774" t="s">
        <v>23</v>
      </c>
      <c r="E4774" t="s">
        <v>40</v>
      </c>
      <c r="F4774" t="s">
        <v>53</v>
      </c>
      <c r="G4774" s="89">
        <v>86084</v>
      </c>
      <c r="H4774" t="s">
        <v>140</v>
      </c>
      <c r="I4774" t="s">
        <v>133</v>
      </c>
      <c r="J4774" s="89">
        <v>3012940</v>
      </c>
      <c r="K4774" t="s">
        <v>144</v>
      </c>
      <c r="N4774">
        <v>1</v>
      </c>
      <c r="O4774" s="89">
        <v>2582.52</v>
      </c>
      <c r="P4774" s="89">
        <v>68867.199999999997</v>
      </c>
      <c r="Q4774" t="s">
        <v>137</v>
      </c>
      <c r="R4774" t="s">
        <v>131</v>
      </c>
    </row>
    <row r="4775" spans="3:18" hidden="1" x14ac:dyDescent="0.25">
      <c r="C4775" t="s">
        <v>45</v>
      </c>
      <c r="D4775" t="s">
        <v>138</v>
      </c>
      <c r="E4775" t="s">
        <v>43</v>
      </c>
      <c r="F4775" t="s">
        <v>41</v>
      </c>
      <c r="G4775" s="89">
        <v>2463231</v>
      </c>
      <c r="H4775" t="s">
        <v>132</v>
      </c>
      <c r="I4775" t="s">
        <v>133</v>
      </c>
      <c r="J4775" s="89">
        <v>76360161</v>
      </c>
      <c r="K4775" t="s">
        <v>144</v>
      </c>
      <c r="N4775">
        <v>1</v>
      </c>
      <c r="O4775" s="89">
        <v>73896.929999999993</v>
      </c>
      <c r="P4775" s="89">
        <v>1773526.32</v>
      </c>
      <c r="Q4775" t="s">
        <v>137</v>
      </c>
      <c r="R4775" t="s">
        <v>131</v>
      </c>
    </row>
    <row r="4776" spans="3:18" hidden="1" x14ac:dyDescent="0.25">
      <c r="C4776" t="s">
        <v>45</v>
      </c>
      <c r="D4776" t="s">
        <v>24</v>
      </c>
      <c r="E4776" t="s">
        <v>44</v>
      </c>
      <c r="F4776" t="s">
        <v>41</v>
      </c>
      <c r="G4776" s="89">
        <v>24049</v>
      </c>
      <c r="H4776" t="s">
        <v>42</v>
      </c>
      <c r="I4776" t="s">
        <v>141</v>
      </c>
      <c r="J4776" s="89">
        <v>216441</v>
      </c>
      <c r="K4776" t="s">
        <v>144</v>
      </c>
      <c r="N4776">
        <v>1</v>
      </c>
      <c r="O4776" s="89">
        <v>721.47</v>
      </c>
      <c r="P4776" s="89">
        <v>5531.27</v>
      </c>
      <c r="Q4776" t="s">
        <v>130</v>
      </c>
      <c r="R4776" t="s">
        <v>131</v>
      </c>
    </row>
    <row r="4777" spans="3:18" hidden="1" x14ac:dyDescent="0.25">
      <c r="C4777" t="s">
        <v>45</v>
      </c>
      <c r="D4777" t="s">
        <v>22</v>
      </c>
      <c r="E4777" t="s">
        <v>43</v>
      </c>
      <c r="F4777" t="s">
        <v>41</v>
      </c>
      <c r="G4777" s="89">
        <v>227194</v>
      </c>
      <c r="H4777" t="s">
        <v>42</v>
      </c>
      <c r="I4777" t="s">
        <v>141</v>
      </c>
      <c r="J4777" s="89">
        <v>1590358</v>
      </c>
      <c r="K4777" t="s">
        <v>134</v>
      </c>
      <c r="L4777" t="s">
        <v>128</v>
      </c>
      <c r="M4777" t="s">
        <v>143</v>
      </c>
      <c r="N4777">
        <v>1</v>
      </c>
      <c r="O4777" s="89">
        <v>6815.82</v>
      </c>
      <c r="P4777" s="89">
        <v>70430.14</v>
      </c>
      <c r="Q4777" t="s">
        <v>130</v>
      </c>
      <c r="R4777" t="s">
        <v>131</v>
      </c>
    </row>
    <row r="4778" spans="3:18" hidden="1" x14ac:dyDescent="0.25">
      <c r="C4778" t="s">
        <v>45</v>
      </c>
      <c r="D4778" t="s">
        <v>22</v>
      </c>
      <c r="E4778" t="s">
        <v>40</v>
      </c>
      <c r="F4778" t="s">
        <v>41</v>
      </c>
      <c r="G4778" s="89">
        <v>227869</v>
      </c>
      <c r="H4778" t="s">
        <v>42</v>
      </c>
      <c r="I4778" t="s">
        <v>133</v>
      </c>
      <c r="J4778" s="89">
        <v>5696725</v>
      </c>
      <c r="K4778" t="s">
        <v>127</v>
      </c>
      <c r="L4778" t="s">
        <v>128</v>
      </c>
      <c r="M4778" t="s">
        <v>129</v>
      </c>
      <c r="N4778">
        <v>1</v>
      </c>
      <c r="O4778" s="89">
        <v>6836.07</v>
      </c>
      <c r="P4778" s="89">
        <v>102541.05</v>
      </c>
      <c r="Q4778" t="s">
        <v>142</v>
      </c>
      <c r="R4778" t="s">
        <v>131</v>
      </c>
    </row>
    <row r="4779" spans="3:18" hidden="1" x14ac:dyDescent="0.25">
      <c r="C4779" t="s">
        <v>45</v>
      </c>
      <c r="D4779" t="s">
        <v>24</v>
      </c>
      <c r="E4779" t="s">
        <v>48</v>
      </c>
      <c r="F4779" t="s">
        <v>41</v>
      </c>
      <c r="G4779" s="89">
        <v>107580</v>
      </c>
      <c r="H4779" t="s">
        <v>42</v>
      </c>
      <c r="I4779" t="s">
        <v>126</v>
      </c>
      <c r="J4779" s="89">
        <v>1398540</v>
      </c>
      <c r="K4779" t="s">
        <v>134</v>
      </c>
      <c r="L4779" t="s">
        <v>128</v>
      </c>
      <c r="M4779" t="s">
        <v>148</v>
      </c>
      <c r="N4779">
        <v>1</v>
      </c>
      <c r="O4779" s="89">
        <v>3227.4</v>
      </c>
      <c r="P4779" s="89">
        <v>47335.199999999997</v>
      </c>
      <c r="Q4779" t="s">
        <v>142</v>
      </c>
      <c r="R4779" t="s">
        <v>131</v>
      </c>
    </row>
    <row r="4780" spans="3:18" x14ac:dyDescent="0.25">
      <c r="C4780" t="s">
        <v>47</v>
      </c>
      <c r="D4780" t="s">
        <v>20</v>
      </c>
      <c r="E4780" t="s">
        <v>43</v>
      </c>
      <c r="F4780" t="s">
        <v>41</v>
      </c>
      <c r="G4780" s="89">
        <v>261753</v>
      </c>
      <c r="H4780" t="s">
        <v>146</v>
      </c>
      <c r="I4780" t="s">
        <v>126</v>
      </c>
      <c r="J4780" s="89">
        <v>2879283</v>
      </c>
      <c r="K4780" t="s">
        <v>127</v>
      </c>
      <c r="L4780" t="s">
        <v>128</v>
      </c>
      <c r="N4780">
        <v>1</v>
      </c>
      <c r="O4780" s="89">
        <v>10470.120000000001</v>
      </c>
      <c r="P4780" s="89">
        <v>125641.44</v>
      </c>
      <c r="Q4780" t="s">
        <v>142</v>
      </c>
      <c r="R4780" t="s">
        <v>131</v>
      </c>
    </row>
    <row r="4781" spans="3:18" hidden="1" x14ac:dyDescent="0.25">
      <c r="C4781" t="s">
        <v>45</v>
      </c>
      <c r="D4781" t="s">
        <v>19</v>
      </c>
      <c r="E4781" t="s">
        <v>43</v>
      </c>
      <c r="F4781" t="s">
        <v>53</v>
      </c>
      <c r="G4781" s="89">
        <v>1581272</v>
      </c>
      <c r="H4781" t="s">
        <v>42</v>
      </c>
      <c r="I4781" t="s">
        <v>126</v>
      </c>
      <c r="J4781" s="89">
        <v>23719080</v>
      </c>
      <c r="K4781" t="s">
        <v>144</v>
      </c>
      <c r="N4781">
        <v>1</v>
      </c>
      <c r="O4781" s="89">
        <v>47438.16</v>
      </c>
      <c r="P4781" s="89">
        <v>822261.44</v>
      </c>
      <c r="Q4781" t="s">
        <v>142</v>
      </c>
      <c r="R4781" t="s">
        <v>42</v>
      </c>
    </row>
    <row r="4782" spans="3:18" hidden="1" x14ac:dyDescent="0.25">
      <c r="C4782" t="s">
        <v>45</v>
      </c>
      <c r="D4782" t="s">
        <v>19</v>
      </c>
      <c r="E4782" t="s">
        <v>43</v>
      </c>
      <c r="F4782" t="s">
        <v>41</v>
      </c>
      <c r="G4782" s="89">
        <v>113700</v>
      </c>
      <c r="H4782" t="s">
        <v>132</v>
      </c>
      <c r="I4782" t="s">
        <v>133</v>
      </c>
      <c r="J4782" s="89">
        <v>2728800</v>
      </c>
      <c r="K4782" t="s">
        <v>127</v>
      </c>
      <c r="L4782" t="s">
        <v>128</v>
      </c>
      <c r="N4782">
        <v>1</v>
      </c>
      <c r="O4782" s="89">
        <v>2274</v>
      </c>
      <c r="P4782" s="89">
        <v>127344</v>
      </c>
      <c r="Q4782" t="s">
        <v>150</v>
      </c>
      <c r="R4782" t="s">
        <v>131</v>
      </c>
    </row>
    <row r="4783" spans="3:18" x14ac:dyDescent="0.25">
      <c r="C4783" t="s">
        <v>47</v>
      </c>
      <c r="D4783" t="s">
        <v>19</v>
      </c>
      <c r="E4783" t="s">
        <v>43</v>
      </c>
      <c r="F4783" t="s">
        <v>41</v>
      </c>
      <c r="G4783" s="89">
        <v>1663434</v>
      </c>
      <c r="H4783" t="s">
        <v>146</v>
      </c>
      <c r="I4783" t="s">
        <v>126</v>
      </c>
      <c r="J4783" s="89">
        <v>19961208</v>
      </c>
      <c r="K4783" t="s">
        <v>127</v>
      </c>
      <c r="L4783" t="s">
        <v>128</v>
      </c>
      <c r="N4783">
        <v>1</v>
      </c>
      <c r="O4783" s="89">
        <v>49903.02</v>
      </c>
      <c r="P4783" s="89">
        <v>1164403.8</v>
      </c>
      <c r="Q4783" t="s">
        <v>137</v>
      </c>
      <c r="R4783" t="s">
        <v>131</v>
      </c>
    </row>
    <row r="4784" spans="3:18" hidden="1" x14ac:dyDescent="0.25">
      <c r="C4784" t="s">
        <v>45</v>
      </c>
      <c r="D4784" t="s">
        <v>23</v>
      </c>
      <c r="E4784" t="s">
        <v>40</v>
      </c>
      <c r="F4784" t="s">
        <v>41</v>
      </c>
      <c r="G4784" s="89">
        <v>3806332</v>
      </c>
      <c r="H4784" t="s">
        <v>146</v>
      </c>
      <c r="I4784" t="s">
        <v>133</v>
      </c>
      <c r="J4784" s="89">
        <v>95158300</v>
      </c>
      <c r="K4784" t="s">
        <v>127</v>
      </c>
      <c r="L4784" t="s">
        <v>128</v>
      </c>
      <c r="N4784">
        <v>1</v>
      </c>
      <c r="O4784" s="89">
        <v>114189.96</v>
      </c>
      <c r="P4784" s="89">
        <v>951583</v>
      </c>
      <c r="Q4784" t="s">
        <v>130</v>
      </c>
      <c r="R4784" t="s">
        <v>131</v>
      </c>
    </row>
    <row r="4785" spans="3:18" x14ac:dyDescent="0.25">
      <c r="C4785" t="s">
        <v>47</v>
      </c>
      <c r="D4785" t="s">
        <v>21</v>
      </c>
      <c r="E4785" t="s">
        <v>40</v>
      </c>
      <c r="F4785" t="s">
        <v>41</v>
      </c>
      <c r="G4785" s="89">
        <v>19310261</v>
      </c>
      <c r="H4785" t="s">
        <v>146</v>
      </c>
      <c r="I4785" t="s">
        <v>147</v>
      </c>
      <c r="J4785" s="89">
        <v>57930783</v>
      </c>
      <c r="K4785" t="s">
        <v>127</v>
      </c>
      <c r="L4785" t="s">
        <v>128</v>
      </c>
      <c r="N4785">
        <v>1</v>
      </c>
      <c r="O4785" s="89">
        <v>965513.05</v>
      </c>
      <c r="P4785" s="89">
        <v>2896539.15</v>
      </c>
      <c r="Q4785" t="s">
        <v>130</v>
      </c>
      <c r="R4785" t="s">
        <v>131</v>
      </c>
    </row>
    <row r="4786" spans="3:18" hidden="1" x14ac:dyDescent="0.25">
      <c r="C4786" t="s">
        <v>45</v>
      </c>
      <c r="D4786" t="s">
        <v>22</v>
      </c>
      <c r="E4786" t="s">
        <v>40</v>
      </c>
      <c r="F4786" t="s">
        <v>41</v>
      </c>
      <c r="G4786" s="89">
        <v>2885444</v>
      </c>
      <c r="H4786" t="s">
        <v>42</v>
      </c>
      <c r="I4786" t="s">
        <v>126</v>
      </c>
      <c r="J4786" s="89">
        <v>46167104</v>
      </c>
      <c r="K4786" t="s">
        <v>144</v>
      </c>
      <c r="N4786">
        <v>1</v>
      </c>
      <c r="O4786" s="89">
        <v>86563.32</v>
      </c>
      <c r="P4786" s="89">
        <v>750215.44</v>
      </c>
      <c r="Q4786" t="s">
        <v>130</v>
      </c>
      <c r="R4786" t="s">
        <v>131</v>
      </c>
    </row>
    <row r="4787" spans="3:18" hidden="1" x14ac:dyDescent="0.25">
      <c r="C4787" t="s">
        <v>45</v>
      </c>
      <c r="D4787" t="s">
        <v>21</v>
      </c>
      <c r="E4787" t="s">
        <v>52</v>
      </c>
      <c r="F4787" t="s">
        <v>41</v>
      </c>
      <c r="G4787" s="89">
        <v>567176</v>
      </c>
      <c r="H4787" t="s">
        <v>42</v>
      </c>
      <c r="I4787" t="s">
        <v>133</v>
      </c>
      <c r="J4787" s="89">
        <v>19283984</v>
      </c>
      <c r="K4787" t="s">
        <v>144</v>
      </c>
      <c r="N4787">
        <v>1</v>
      </c>
      <c r="O4787" s="89">
        <v>17015.28</v>
      </c>
      <c r="P4787" s="89">
        <v>380007.92</v>
      </c>
      <c r="Q4787" t="s">
        <v>137</v>
      </c>
      <c r="R4787" t="s">
        <v>42</v>
      </c>
    </row>
    <row r="4788" spans="3:18" hidden="1" x14ac:dyDescent="0.25">
      <c r="C4788" t="s">
        <v>45</v>
      </c>
      <c r="D4788" t="s">
        <v>149</v>
      </c>
      <c r="E4788" t="s">
        <v>43</v>
      </c>
      <c r="F4788" t="s">
        <v>41</v>
      </c>
      <c r="G4788" s="89">
        <v>714207</v>
      </c>
      <c r="H4788" t="s">
        <v>42</v>
      </c>
      <c r="I4788" t="s">
        <v>133</v>
      </c>
      <c r="J4788" s="89">
        <v>22140417</v>
      </c>
      <c r="K4788" t="s">
        <v>127</v>
      </c>
      <c r="L4788" t="s">
        <v>128</v>
      </c>
      <c r="M4788" t="s">
        <v>139</v>
      </c>
      <c r="N4788">
        <v>1</v>
      </c>
      <c r="O4788" s="89">
        <v>21426.21</v>
      </c>
      <c r="P4788" s="89">
        <v>478518.69</v>
      </c>
      <c r="Q4788" t="s">
        <v>137</v>
      </c>
      <c r="R4788" t="s">
        <v>131</v>
      </c>
    </row>
    <row r="4789" spans="3:18" hidden="1" x14ac:dyDescent="0.25">
      <c r="C4789" t="s">
        <v>45</v>
      </c>
      <c r="D4789" t="s">
        <v>24</v>
      </c>
      <c r="E4789" t="s">
        <v>46</v>
      </c>
      <c r="F4789" t="s">
        <v>41</v>
      </c>
      <c r="G4789" s="89">
        <v>1248692</v>
      </c>
      <c r="H4789" t="s">
        <v>42</v>
      </c>
      <c r="I4789" t="s">
        <v>133</v>
      </c>
      <c r="J4789" s="89">
        <v>33714684</v>
      </c>
      <c r="K4789" t="s">
        <v>127</v>
      </c>
      <c r="L4789" t="s">
        <v>128</v>
      </c>
      <c r="M4789" t="s">
        <v>148</v>
      </c>
      <c r="N4789">
        <v>1</v>
      </c>
      <c r="O4789" s="89">
        <v>37460.76</v>
      </c>
      <c r="P4789" s="89">
        <v>349633.76</v>
      </c>
      <c r="Q4789" t="s">
        <v>130</v>
      </c>
      <c r="R4789" t="s">
        <v>42</v>
      </c>
    </row>
    <row r="4790" spans="3:18" hidden="1" x14ac:dyDescent="0.25">
      <c r="C4790" t="s">
        <v>45</v>
      </c>
      <c r="D4790" t="s">
        <v>24</v>
      </c>
      <c r="E4790" t="s">
        <v>48</v>
      </c>
      <c r="F4790" t="s">
        <v>41</v>
      </c>
      <c r="G4790" s="89">
        <v>173460</v>
      </c>
      <c r="H4790" t="s">
        <v>132</v>
      </c>
      <c r="I4790" t="s">
        <v>126</v>
      </c>
      <c r="J4790" s="89">
        <v>2948820</v>
      </c>
      <c r="K4790" t="s">
        <v>144</v>
      </c>
      <c r="N4790">
        <v>1</v>
      </c>
      <c r="O4790" s="89">
        <v>5203.8</v>
      </c>
      <c r="P4790" s="89">
        <v>52038</v>
      </c>
      <c r="Q4790" t="s">
        <v>130</v>
      </c>
      <c r="R4790" t="s">
        <v>131</v>
      </c>
    </row>
    <row r="4791" spans="3:18" hidden="1" x14ac:dyDescent="0.25">
      <c r="C4791" t="s">
        <v>45</v>
      </c>
      <c r="D4791" t="s">
        <v>23</v>
      </c>
      <c r="E4791" t="s">
        <v>48</v>
      </c>
      <c r="F4791" t="s">
        <v>41</v>
      </c>
      <c r="G4791" s="89">
        <v>5218186</v>
      </c>
      <c r="H4791" t="s">
        <v>132</v>
      </c>
      <c r="I4791" t="s">
        <v>133</v>
      </c>
      <c r="J4791" s="89">
        <v>135672836</v>
      </c>
      <c r="K4791" t="s">
        <v>127</v>
      </c>
      <c r="L4791" t="s">
        <v>128</v>
      </c>
      <c r="N4791">
        <v>1</v>
      </c>
      <c r="O4791" s="89">
        <v>156545.57999999999</v>
      </c>
      <c r="P4791" s="89">
        <v>2661274.86</v>
      </c>
      <c r="Q4791" t="s">
        <v>142</v>
      </c>
      <c r="R4791" t="s">
        <v>131</v>
      </c>
    </row>
    <row r="4792" spans="3:18" x14ac:dyDescent="0.25">
      <c r="C4792" t="s">
        <v>47</v>
      </c>
      <c r="D4792" t="s">
        <v>138</v>
      </c>
      <c r="E4792" t="s">
        <v>43</v>
      </c>
      <c r="F4792" t="s">
        <v>41</v>
      </c>
      <c r="G4792" s="89">
        <v>3296596</v>
      </c>
      <c r="H4792" t="s">
        <v>145</v>
      </c>
      <c r="I4792" t="s">
        <v>141</v>
      </c>
      <c r="J4792" s="89">
        <v>29669364</v>
      </c>
      <c r="K4792" t="s">
        <v>127</v>
      </c>
      <c r="L4792" t="s">
        <v>128</v>
      </c>
      <c r="N4792">
        <v>1</v>
      </c>
      <c r="O4792" s="89">
        <v>98897.88</v>
      </c>
      <c r="P4792" s="89">
        <v>1318638.3999999999</v>
      </c>
      <c r="Q4792" t="s">
        <v>142</v>
      </c>
      <c r="R4792" t="s">
        <v>131</v>
      </c>
    </row>
    <row r="4793" spans="3:18" hidden="1" x14ac:dyDescent="0.25">
      <c r="C4793" t="s">
        <v>45</v>
      </c>
      <c r="D4793" t="s">
        <v>149</v>
      </c>
      <c r="E4793" t="s">
        <v>40</v>
      </c>
      <c r="F4793" t="s">
        <v>41</v>
      </c>
      <c r="G4793" s="89">
        <v>309479</v>
      </c>
      <c r="H4793" t="s">
        <v>42</v>
      </c>
      <c r="I4793" t="s">
        <v>133</v>
      </c>
      <c r="J4793" s="89">
        <v>7736975</v>
      </c>
      <c r="K4793" t="s">
        <v>134</v>
      </c>
      <c r="L4793" t="s">
        <v>128</v>
      </c>
      <c r="M4793" t="s">
        <v>136</v>
      </c>
      <c r="N4793">
        <v>1</v>
      </c>
      <c r="O4793" s="89">
        <v>9284.3700000000008</v>
      </c>
      <c r="P4793" s="89">
        <v>201161.35</v>
      </c>
      <c r="Q4793" t="s">
        <v>137</v>
      </c>
      <c r="R4793" t="s">
        <v>131</v>
      </c>
    </row>
    <row r="4794" spans="3:18" x14ac:dyDescent="0.25">
      <c r="C4794" t="s">
        <v>47</v>
      </c>
      <c r="D4794" t="s">
        <v>21</v>
      </c>
      <c r="E4794" t="s">
        <v>40</v>
      </c>
      <c r="F4794" t="s">
        <v>41</v>
      </c>
      <c r="G4794" s="89">
        <v>164500</v>
      </c>
      <c r="H4794" t="s">
        <v>146</v>
      </c>
      <c r="I4794" t="s">
        <v>126</v>
      </c>
      <c r="J4794" s="89">
        <v>2467500</v>
      </c>
      <c r="K4794" t="s">
        <v>144</v>
      </c>
      <c r="N4794">
        <v>1</v>
      </c>
      <c r="O4794" s="89">
        <v>6580</v>
      </c>
      <c r="P4794" s="89">
        <v>197400</v>
      </c>
      <c r="Q4794" t="s">
        <v>150</v>
      </c>
      <c r="R4794" t="s">
        <v>131</v>
      </c>
    </row>
    <row r="4795" spans="3:18" hidden="1" x14ac:dyDescent="0.25">
      <c r="C4795" t="s">
        <v>45</v>
      </c>
      <c r="D4795" t="s">
        <v>24</v>
      </c>
      <c r="E4795" t="s">
        <v>40</v>
      </c>
      <c r="F4795" t="s">
        <v>41</v>
      </c>
      <c r="G4795" s="89">
        <v>383719</v>
      </c>
      <c r="H4795" t="s">
        <v>145</v>
      </c>
      <c r="I4795" t="s">
        <v>147</v>
      </c>
      <c r="J4795" s="89">
        <v>1151157</v>
      </c>
      <c r="K4795" t="s">
        <v>127</v>
      </c>
      <c r="L4795" t="s">
        <v>128</v>
      </c>
      <c r="N4795">
        <v>1</v>
      </c>
      <c r="O4795" s="89">
        <v>11511.57</v>
      </c>
      <c r="P4795" s="89">
        <v>46046.28</v>
      </c>
      <c r="Q4795" t="s">
        <v>130</v>
      </c>
      <c r="R4795" t="s">
        <v>131</v>
      </c>
    </row>
    <row r="4796" spans="3:18" hidden="1" x14ac:dyDescent="0.25">
      <c r="C4796" t="s">
        <v>45</v>
      </c>
      <c r="D4796" t="s">
        <v>138</v>
      </c>
      <c r="E4796" t="s">
        <v>43</v>
      </c>
      <c r="F4796" t="s">
        <v>41</v>
      </c>
      <c r="G4796" s="89">
        <v>777025</v>
      </c>
      <c r="H4796" t="s">
        <v>145</v>
      </c>
      <c r="I4796" t="s">
        <v>126</v>
      </c>
      <c r="J4796" s="89">
        <v>13209425</v>
      </c>
      <c r="K4796" t="s">
        <v>144</v>
      </c>
      <c r="N4796">
        <v>1</v>
      </c>
      <c r="O4796" s="89">
        <v>23310.75</v>
      </c>
      <c r="P4796" s="89">
        <v>372972</v>
      </c>
      <c r="Q4796" t="s">
        <v>142</v>
      </c>
      <c r="R4796" t="s">
        <v>131</v>
      </c>
    </row>
    <row r="4797" spans="3:18" hidden="1" x14ac:dyDescent="0.25">
      <c r="C4797" t="s">
        <v>45</v>
      </c>
      <c r="D4797" t="s">
        <v>22</v>
      </c>
      <c r="E4797" t="s">
        <v>44</v>
      </c>
      <c r="F4797" t="s">
        <v>41</v>
      </c>
      <c r="G4797" s="89">
        <v>405731</v>
      </c>
      <c r="H4797" t="s">
        <v>42</v>
      </c>
      <c r="I4797" t="s">
        <v>133</v>
      </c>
      <c r="J4797" s="89">
        <v>13794854</v>
      </c>
      <c r="K4797" t="s">
        <v>127</v>
      </c>
      <c r="L4797" t="s">
        <v>128</v>
      </c>
      <c r="M4797" t="s">
        <v>143</v>
      </c>
      <c r="N4797">
        <v>1</v>
      </c>
      <c r="O4797" s="89">
        <v>12171.93</v>
      </c>
      <c r="P4797" s="89">
        <v>417902.93</v>
      </c>
      <c r="Q4797" t="s">
        <v>150</v>
      </c>
      <c r="R4797" t="s">
        <v>42</v>
      </c>
    </row>
    <row r="4798" spans="3:18" hidden="1" x14ac:dyDescent="0.25">
      <c r="C4798" t="s">
        <v>45</v>
      </c>
      <c r="D4798" t="s">
        <v>22</v>
      </c>
      <c r="E4798" t="s">
        <v>43</v>
      </c>
      <c r="F4798" t="s">
        <v>41</v>
      </c>
      <c r="G4798" s="89">
        <v>233361</v>
      </c>
      <c r="H4798" t="s">
        <v>140</v>
      </c>
      <c r="I4798" t="s">
        <v>147</v>
      </c>
      <c r="J4798" s="89">
        <v>466722</v>
      </c>
      <c r="K4798" t="s">
        <v>127</v>
      </c>
      <c r="L4798" t="s">
        <v>128</v>
      </c>
      <c r="N4798">
        <v>1</v>
      </c>
      <c r="O4798" s="89">
        <v>7000.83</v>
      </c>
      <c r="P4798" s="89">
        <v>123681.33</v>
      </c>
      <c r="Q4798" t="s">
        <v>142</v>
      </c>
      <c r="R4798" t="s">
        <v>131</v>
      </c>
    </row>
    <row r="4799" spans="3:18" hidden="1" x14ac:dyDescent="0.25">
      <c r="C4799" t="s">
        <v>45</v>
      </c>
      <c r="D4799" t="s">
        <v>149</v>
      </c>
      <c r="E4799" t="s">
        <v>43</v>
      </c>
      <c r="F4799" t="s">
        <v>41</v>
      </c>
      <c r="G4799" s="89">
        <v>20372</v>
      </c>
      <c r="H4799" t="s">
        <v>42</v>
      </c>
      <c r="I4799" t="s">
        <v>141</v>
      </c>
      <c r="J4799" s="89">
        <v>122232</v>
      </c>
      <c r="K4799" t="s">
        <v>144</v>
      </c>
      <c r="N4799">
        <v>1</v>
      </c>
      <c r="O4799" s="89">
        <v>611.16</v>
      </c>
      <c r="P4799" s="89">
        <v>8352.52</v>
      </c>
      <c r="Q4799" t="s">
        <v>142</v>
      </c>
      <c r="R4799" t="s">
        <v>42</v>
      </c>
    </row>
    <row r="4800" spans="3:18" hidden="1" x14ac:dyDescent="0.25">
      <c r="C4800" t="s">
        <v>45</v>
      </c>
      <c r="D4800" t="s">
        <v>25</v>
      </c>
      <c r="E4800" t="s">
        <v>48</v>
      </c>
      <c r="F4800" t="s">
        <v>41</v>
      </c>
      <c r="G4800" s="89">
        <v>1659002</v>
      </c>
      <c r="H4800" t="s">
        <v>140</v>
      </c>
      <c r="I4800" t="s">
        <v>126</v>
      </c>
      <c r="J4800" s="89">
        <v>28203034</v>
      </c>
      <c r="K4800" t="s">
        <v>127</v>
      </c>
      <c r="L4800" t="s">
        <v>128</v>
      </c>
      <c r="N4800">
        <v>1</v>
      </c>
      <c r="O4800" s="89">
        <v>49770.06</v>
      </c>
      <c r="P4800" s="89">
        <v>812910.98</v>
      </c>
      <c r="Q4800" t="s">
        <v>142</v>
      </c>
      <c r="R4800" t="s">
        <v>131</v>
      </c>
    </row>
    <row r="4801" spans="3:18" hidden="1" x14ac:dyDescent="0.25">
      <c r="C4801" t="s">
        <v>45</v>
      </c>
      <c r="D4801" t="s">
        <v>24</v>
      </c>
      <c r="E4801" t="s">
        <v>44</v>
      </c>
      <c r="F4801" t="s">
        <v>41</v>
      </c>
      <c r="G4801" s="89">
        <v>250302</v>
      </c>
      <c r="H4801" t="s">
        <v>140</v>
      </c>
      <c r="I4801" t="s">
        <v>126</v>
      </c>
      <c r="J4801" s="89">
        <v>4255134</v>
      </c>
      <c r="K4801" t="s">
        <v>127</v>
      </c>
      <c r="L4801" t="s">
        <v>128</v>
      </c>
      <c r="N4801">
        <v>1</v>
      </c>
      <c r="O4801" s="89">
        <v>10012.08</v>
      </c>
      <c r="P4801" s="89">
        <v>217762.74</v>
      </c>
      <c r="Q4801" t="s">
        <v>135</v>
      </c>
      <c r="R4801" t="s">
        <v>131</v>
      </c>
    </row>
    <row r="4802" spans="3:18" hidden="1" x14ac:dyDescent="0.25">
      <c r="C4802" t="s">
        <v>45</v>
      </c>
      <c r="D4802" t="s">
        <v>138</v>
      </c>
      <c r="E4802" t="s">
        <v>44</v>
      </c>
      <c r="F4802" t="s">
        <v>41</v>
      </c>
      <c r="G4802" s="89">
        <v>105902</v>
      </c>
      <c r="H4802" t="s">
        <v>42</v>
      </c>
      <c r="I4802" t="s">
        <v>133</v>
      </c>
      <c r="J4802" s="89">
        <v>2541648</v>
      </c>
      <c r="K4802" t="s">
        <v>127</v>
      </c>
      <c r="L4802" t="s">
        <v>128</v>
      </c>
      <c r="M4802" t="s">
        <v>139</v>
      </c>
      <c r="N4802">
        <v>1</v>
      </c>
      <c r="O4802" s="89">
        <v>4236.08</v>
      </c>
      <c r="P4802" s="89">
        <v>65659.240000000005</v>
      </c>
      <c r="Q4802" t="s">
        <v>137</v>
      </c>
      <c r="R4802" t="s">
        <v>131</v>
      </c>
    </row>
    <row r="4803" spans="3:18" x14ac:dyDescent="0.25">
      <c r="C4803" t="s">
        <v>47</v>
      </c>
      <c r="D4803" t="s">
        <v>22</v>
      </c>
      <c r="E4803" t="s">
        <v>40</v>
      </c>
      <c r="F4803" t="s">
        <v>41</v>
      </c>
      <c r="G4803" s="89">
        <v>2770758</v>
      </c>
      <c r="H4803" t="s">
        <v>140</v>
      </c>
      <c r="I4803" t="s">
        <v>147</v>
      </c>
      <c r="J4803" s="89"/>
      <c r="K4803" t="s">
        <v>127</v>
      </c>
      <c r="L4803" t="s">
        <v>128</v>
      </c>
      <c r="N4803">
        <v>0</v>
      </c>
      <c r="O4803" s="89">
        <v>55415.16</v>
      </c>
      <c r="P4803" s="89">
        <v>83122.740000000005</v>
      </c>
      <c r="Q4803" t="s">
        <v>130</v>
      </c>
      <c r="R4803" t="s">
        <v>131</v>
      </c>
    </row>
    <row r="4804" spans="3:18" hidden="1" x14ac:dyDescent="0.25">
      <c r="C4804" t="s">
        <v>45</v>
      </c>
      <c r="D4804" t="s">
        <v>21</v>
      </c>
      <c r="E4804" t="s">
        <v>40</v>
      </c>
      <c r="F4804" t="s">
        <v>41</v>
      </c>
      <c r="G4804" s="89">
        <v>210171</v>
      </c>
      <c r="H4804" t="s">
        <v>42</v>
      </c>
      <c r="I4804" t="s">
        <v>133</v>
      </c>
      <c r="J4804" s="89">
        <v>5884788</v>
      </c>
      <c r="K4804" t="s">
        <v>127</v>
      </c>
      <c r="L4804" t="s">
        <v>128</v>
      </c>
      <c r="M4804" t="s">
        <v>143</v>
      </c>
      <c r="N4804">
        <v>1</v>
      </c>
      <c r="O4804" s="89">
        <v>6305.13</v>
      </c>
      <c r="P4804" s="89">
        <v>50441.04</v>
      </c>
      <c r="Q4804" t="s">
        <v>130</v>
      </c>
      <c r="R4804" t="s">
        <v>42</v>
      </c>
    </row>
    <row r="4805" spans="3:18" hidden="1" x14ac:dyDescent="0.25">
      <c r="C4805" t="s">
        <v>45</v>
      </c>
      <c r="D4805" t="s">
        <v>24</v>
      </c>
      <c r="E4805" t="s">
        <v>44</v>
      </c>
      <c r="F4805" t="s">
        <v>41</v>
      </c>
      <c r="G4805" s="89">
        <v>869742</v>
      </c>
      <c r="H4805" t="s">
        <v>42</v>
      </c>
      <c r="I4805" t="s">
        <v>133</v>
      </c>
      <c r="J4805" s="89">
        <v>26092260</v>
      </c>
      <c r="K4805" t="s">
        <v>144</v>
      </c>
      <c r="N4805">
        <v>1</v>
      </c>
      <c r="O4805" s="89">
        <v>26092.26</v>
      </c>
      <c r="P4805" s="89">
        <v>469660.68</v>
      </c>
      <c r="Q4805" t="s">
        <v>142</v>
      </c>
      <c r="R4805" t="s">
        <v>131</v>
      </c>
    </row>
    <row r="4806" spans="3:18" hidden="1" x14ac:dyDescent="0.25">
      <c r="C4806" t="s">
        <v>45</v>
      </c>
      <c r="D4806" t="s">
        <v>23</v>
      </c>
      <c r="E4806" t="s">
        <v>52</v>
      </c>
      <c r="F4806" t="s">
        <v>41</v>
      </c>
      <c r="G4806" s="89">
        <v>804030</v>
      </c>
      <c r="H4806" t="s">
        <v>42</v>
      </c>
      <c r="I4806" t="s">
        <v>126</v>
      </c>
      <c r="J4806" s="89">
        <v>12864480</v>
      </c>
      <c r="K4806" t="s">
        <v>127</v>
      </c>
      <c r="L4806" t="s">
        <v>128</v>
      </c>
      <c r="M4806" t="s">
        <v>152</v>
      </c>
      <c r="N4806">
        <v>1</v>
      </c>
      <c r="O4806" s="89">
        <v>24120.9</v>
      </c>
      <c r="P4806" s="89">
        <v>538700.1</v>
      </c>
      <c r="Q4806" t="s">
        <v>137</v>
      </c>
      <c r="R4806" t="s">
        <v>42</v>
      </c>
    </row>
    <row r="4807" spans="3:18" hidden="1" x14ac:dyDescent="0.25">
      <c r="C4807" t="s">
        <v>45</v>
      </c>
      <c r="D4807" t="s">
        <v>20</v>
      </c>
      <c r="E4807" t="s">
        <v>43</v>
      </c>
      <c r="F4807" t="s">
        <v>41</v>
      </c>
      <c r="G4807" s="89">
        <v>244472</v>
      </c>
      <c r="H4807" t="s">
        <v>42</v>
      </c>
      <c r="I4807" t="s">
        <v>133</v>
      </c>
      <c r="J4807" s="89">
        <v>7823104</v>
      </c>
      <c r="K4807" t="s">
        <v>127</v>
      </c>
      <c r="L4807" t="s">
        <v>128</v>
      </c>
      <c r="M4807" t="s">
        <v>136</v>
      </c>
      <c r="N4807">
        <v>1</v>
      </c>
      <c r="O4807" s="89">
        <v>9778.8799999999992</v>
      </c>
      <c r="P4807" s="89">
        <v>124680.72</v>
      </c>
      <c r="Q4807" t="s">
        <v>142</v>
      </c>
      <c r="R4807" t="s">
        <v>42</v>
      </c>
    </row>
    <row r="4808" spans="3:18" hidden="1" x14ac:dyDescent="0.25">
      <c r="C4808" t="s">
        <v>45</v>
      </c>
      <c r="D4808" t="s">
        <v>24</v>
      </c>
      <c r="E4808" t="s">
        <v>52</v>
      </c>
      <c r="F4808" t="s">
        <v>41</v>
      </c>
      <c r="G4808" s="89">
        <v>1577409</v>
      </c>
      <c r="H4808" t="s">
        <v>42</v>
      </c>
      <c r="I4808" t="s">
        <v>126</v>
      </c>
      <c r="J4808" s="89">
        <v>23661135</v>
      </c>
      <c r="K4808" t="s">
        <v>127</v>
      </c>
      <c r="L4808" t="s">
        <v>128</v>
      </c>
      <c r="M4808" t="s">
        <v>148</v>
      </c>
      <c r="N4808">
        <v>1</v>
      </c>
      <c r="O4808" s="89">
        <v>63096.36</v>
      </c>
      <c r="P4808" s="89">
        <v>425900.43</v>
      </c>
      <c r="Q4808" t="s">
        <v>130</v>
      </c>
      <c r="R4808" t="s">
        <v>42</v>
      </c>
    </row>
    <row r="4809" spans="3:18" hidden="1" x14ac:dyDescent="0.25">
      <c r="C4809" t="s">
        <v>45</v>
      </c>
      <c r="D4809" t="s">
        <v>21</v>
      </c>
      <c r="E4809" t="s">
        <v>40</v>
      </c>
      <c r="F4809" t="s">
        <v>41</v>
      </c>
      <c r="G4809" s="89">
        <v>1180046</v>
      </c>
      <c r="H4809" t="s">
        <v>42</v>
      </c>
      <c r="I4809" t="s">
        <v>126</v>
      </c>
      <c r="J4809" s="89">
        <v>21240828</v>
      </c>
      <c r="K4809" t="s">
        <v>144</v>
      </c>
      <c r="N4809">
        <v>1</v>
      </c>
      <c r="O4809" s="89">
        <v>35401.379999999997</v>
      </c>
      <c r="P4809" s="89">
        <v>979438.18</v>
      </c>
      <c r="Q4809" t="s">
        <v>135</v>
      </c>
      <c r="R4809" t="s">
        <v>42</v>
      </c>
    </row>
    <row r="4810" spans="3:18" hidden="1" x14ac:dyDescent="0.25">
      <c r="C4810" t="s">
        <v>45</v>
      </c>
      <c r="D4810" t="s">
        <v>138</v>
      </c>
      <c r="E4810" t="s">
        <v>43</v>
      </c>
      <c r="F4810" t="s">
        <v>41</v>
      </c>
      <c r="G4810" s="89">
        <v>27454420</v>
      </c>
      <c r="H4810" t="s">
        <v>42</v>
      </c>
      <c r="I4810" t="s">
        <v>126</v>
      </c>
      <c r="J4810" s="89">
        <v>439270720</v>
      </c>
      <c r="K4810" t="s">
        <v>127</v>
      </c>
      <c r="L4810" t="s">
        <v>128</v>
      </c>
      <c r="M4810" t="s">
        <v>139</v>
      </c>
      <c r="N4810">
        <v>1</v>
      </c>
      <c r="O4810" s="89">
        <v>823632.6</v>
      </c>
      <c r="P4810" s="89">
        <v>13452665.800000001</v>
      </c>
      <c r="Q4810" t="s">
        <v>142</v>
      </c>
      <c r="R4810" t="s">
        <v>131</v>
      </c>
    </row>
    <row r="4811" spans="3:18" hidden="1" x14ac:dyDescent="0.25">
      <c r="C4811" t="s">
        <v>45</v>
      </c>
      <c r="D4811" t="s">
        <v>23</v>
      </c>
      <c r="E4811" t="s">
        <v>43</v>
      </c>
      <c r="F4811" t="s">
        <v>41</v>
      </c>
      <c r="G4811" s="89">
        <v>256644</v>
      </c>
      <c r="H4811" t="s">
        <v>145</v>
      </c>
      <c r="I4811" t="s">
        <v>141</v>
      </c>
      <c r="J4811" s="89">
        <v>1796508</v>
      </c>
      <c r="K4811" t="s">
        <v>127</v>
      </c>
      <c r="L4811" t="s">
        <v>128</v>
      </c>
      <c r="N4811">
        <v>1</v>
      </c>
      <c r="O4811" s="89">
        <v>7699.32</v>
      </c>
      <c r="P4811" s="89">
        <v>56461.68</v>
      </c>
      <c r="Q4811" t="s">
        <v>130</v>
      </c>
      <c r="R4811" t="s">
        <v>131</v>
      </c>
    </row>
    <row r="4812" spans="3:18" hidden="1" x14ac:dyDescent="0.25">
      <c r="C4812" t="s">
        <v>45</v>
      </c>
      <c r="D4812" t="s">
        <v>22</v>
      </c>
      <c r="E4812" t="s">
        <v>43</v>
      </c>
      <c r="F4812" t="s">
        <v>41</v>
      </c>
      <c r="G4812" s="89">
        <v>79772</v>
      </c>
      <c r="H4812" t="s">
        <v>145</v>
      </c>
      <c r="I4812" t="s">
        <v>126</v>
      </c>
      <c r="J4812" s="89">
        <v>1116808</v>
      </c>
      <c r="K4812" t="s">
        <v>144</v>
      </c>
      <c r="N4812">
        <v>1</v>
      </c>
      <c r="O4812" s="89">
        <v>2393.16</v>
      </c>
      <c r="P4812" s="89">
        <v>33504.239999999998</v>
      </c>
      <c r="Q4812" t="s">
        <v>142</v>
      </c>
      <c r="R4812" t="s">
        <v>131</v>
      </c>
    </row>
    <row r="4813" spans="3:18" hidden="1" x14ac:dyDescent="0.25">
      <c r="C4813" t="s">
        <v>45</v>
      </c>
      <c r="D4813" t="s">
        <v>24</v>
      </c>
      <c r="E4813" t="s">
        <v>48</v>
      </c>
      <c r="F4813" t="s">
        <v>41</v>
      </c>
      <c r="G4813" s="89">
        <v>1963199</v>
      </c>
      <c r="H4813" t="s">
        <v>42</v>
      </c>
      <c r="I4813" t="s">
        <v>133</v>
      </c>
      <c r="J4813" s="89">
        <v>56932771</v>
      </c>
      <c r="K4813" t="s">
        <v>127</v>
      </c>
      <c r="L4813" t="s">
        <v>128</v>
      </c>
      <c r="M4813" t="s">
        <v>148</v>
      </c>
      <c r="N4813">
        <v>1</v>
      </c>
      <c r="O4813" s="89">
        <v>58895.97</v>
      </c>
      <c r="P4813" s="89">
        <v>1040495.47</v>
      </c>
      <c r="Q4813" t="s">
        <v>142</v>
      </c>
      <c r="R4813" t="s">
        <v>42</v>
      </c>
    </row>
    <row r="4814" spans="3:18" hidden="1" x14ac:dyDescent="0.25">
      <c r="C4814" t="s">
        <v>45</v>
      </c>
      <c r="D4814" t="s">
        <v>24</v>
      </c>
      <c r="E4814" t="s">
        <v>44</v>
      </c>
      <c r="F4814" t="s">
        <v>41</v>
      </c>
      <c r="G4814" s="89">
        <v>10895539</v>
      </c>
      <c r="H4814" t="s">
        <v>42</v>
      </c>
      <c r="I4814" t="s">
        <v>133</v>
      </c>
      <c r="J4814" s="89">
        <v>337761709</v>
      </c>
      <c r="K4814" t="s">
        <v>127</v>
      </c>
      <c r="L4814" t="s">
        <v>128</v>
      </c>
      <c r="M4814" t="s">
        <v>148</v>
      </c>
      <c r="N4814">
        <v>1</v>
      </c>
      <c r="O4814" s="89">
        <v>326866.17</v>
      </c>
      <c r="P4814" s="89">
        <v>7626877.2999999998</v>
      </c>
      <c r="Q4814" t="s">
        <v>137</v>
      </c>
      <c r="R4814" t="s">
        <v>42</v>
      </c>
    </row>
    <row r="4815" spans="3:18" x14ac:dyDescent="0.25">
      <c r="C4815" t="s">
        <v>47</v>
      </c>
      <c r="D4815" t="s">
        <v>138</v>
      </c>
      <c r="E4815" t="s">
        <v>40</v>
      </c>
      <c r="F4815" t="s">
        <v>41</v>
      </c>
      <c r="G4815" s="89">
        <v>636034</v>
      </c>
      <c r="H4815" t="s">
        <v>140</v>
      </c>
      <c r="I4815" t="s">
        <v>147</v>
      </c>
      <c r="J4815" s="89"/>
      <c r="K4815" t="s">
        <v>127</v>
      </c>
      <c r="L4815" t="s">
        <v>128</v>
      </c>
      <c r="N4815">
        <v>0</v>
      </c>
      <c r="O4815" s="89">
        <v>19081.02</v>
      </c>
      <c r="P4815" s="89">
        <v>50882.720000000001</v>
      </c>
      <c r="Q4815" t="s">
        <v>130</v>
      </c>
      <c r="R4815" t="s">
        <v>131</v>
      </c>
    </row>
    <row r="4816" spans="3:18" x14ac:dyDescent="0.25">
      <c r="C4816" t="s">
        <v>47</v>
      </c>
      <c r="D4816" t="s">
        <v>21</v>
      </c>
      <c r="E4816" t="s">
        <v>40</v>
      </c>
      <c r="F4816" t="s">
        <v>41</v>
      </c>
      <c r="G4816" s="89">
        <v>2829755</v>
      </c>
      <c r="H4816" t="s">
        <v>132</v>
      </c>
      <c r="I4816" t="s">
        <v>126</v>
      </c>
      <c r="J4816" s="89">
        <v>31127305</v>
      </c>
      <c r="K4816" t="s">
        <v>127</v>
      </c>
      <c r="L4816" t="s">
        <v>128</v>
      </c>
      <c r="N4816">
        <v>1</v>
      </c>
      <c r="O4816" s="89">
        <v>113190.2</v>
      </c>
      <c r="P4816" s="89">
        <v>1895935.85</v>
      </c>
      <c r="Q4816" t="s">
        <v>137</v>
      </c>
      <c r="R4816" t="s">
        <v>131</v>
      </c>
    </row>
    <row r="4817" spans="3:18" hidden="1" x14ac:dyDescent="0.25">
      <c r="C4817" t="s">
        <v>45</v>
      </c>
      <c r="D4817" t="s">
        <v>21</v>
      </c>
      <c r="E4817" t="s">
        <v>48</v>
      </c>
      <c r="F4817" t="s">
        <v>41</v>
      </c>
      <c r="G4817" s="89">
        <v>31100</v>
      </c>
      <c r="H4817" t="s">
        <v>42</v>
      </c>
      <c r="I4817" t="s">
        <v>126</v>
      </c>
      <c r="J4817" s="89">
        <v>435400</v>
      </c>
      <c r="K4817" t="s">
        <v>134</v>
      </c>
      <c r="L4817" t="s">
        <v>128</v>
      </c>
      <c r="M4817" t="s">
        <v>129</v>
      </c>
      <c r="N4817">
        <v>1</v>
      </c>
      <c r="O4817" s="89">
        <v>933</v>
      </c>
      <c r="P4817" s="89">
        <v>8708</v>
      </c>
      <c r="Q4817" t="s">
        <v>130</v>
      </c>
      <c r="R4817" t="s">
        <v>42</v>
      </c>
    </row>
    <row r="4818" spans="3:18" x14ac:dyDescent="0.25">
      <c r="C4818" t="s">
        <v>47</v>
      </c>
      <c r="D4818" t="s">
        <v>138</v>
      </c>
      <c r="E4818" t="s">
        <v>43</v>
      </c>
      <c r="F4818" t="s">
        <v>41</v>
      </c>
      <c r="G4818" s="89">
        <v>3192329</v>
      </c>
      <c r="H4818" t="s">
        <v>146</v>
      </c>
      <c r="I4818" t="s">
        <v>141</v>
      </c>
      <c r="J4818" s="89">
        <v>25538632</v>
      </c>
      <c r="K4818" t="s">
        <v>127</v>
      </c>
      <c r="L4818" t="s">
        <v>128</v>
      </c>
      <c r="N4818">
        <v>1</v>
      </c>
      <c r="O4818" s="89">
        <v>95769.87</v>
      </c>
      <c r="P4818" s="89">
        <v>255386.32</v>
      </c>
      <c r="Q4818" t="s">
        <v>130</v>
      </c>
      <c r="R4818" t="s">
        <v>131</v>
      </c>
    </row>
    <row r="4819" spans="3:18" hidden="1" x14ac:dyDescent="0.25">
      <c r="C4819" t="s">
        <v>45</v>
      </c>
      <c r="D4819" t="s">
        <v>22</v>
      </c>
      <c r="E4819" t="s">
        <v>43</v>
      </c>
      <c r="F4819" t="s">
        <v>41</v>
      </c>
      <c r="G4819" s="89">
        <v>260538</v>
      </c>
      <c r="H4819" t="s">
        <v>146</v>
      </c>
      <c r="I4819" t="s">
        <v>133</v>
      </c>
      <c r="J4819" s="89">
        <v>7295064</v>
      </c>
      <c r="K4819" t="s">
        <v>144</v>
      </c>
      <c r="N4819">
        <v>1</v>
      </c>
      <c r="O4819" s="89">
        <v>7816.14</v>
      </c>
      <c r="P4819" s="89">
        <v>208430.4</v>
      </c>
      <c r="Q4819" t="s">
        <v>135</v>
      </c>
      <c r="R4819" t="s">
        <v>131</v>
      </c>
    </row>
    <row r="4820" spans="3:18" hidden="1" x14ac:dyDescent="0.25">
      <c r="C4820" t="s">
        <v>45</v>
      </c>
      <c r="D4820" t="s">
        <v>22</v>
      </c>
      <c r="E4820" t="s">
        <v>40</v>
      </c>
      <c r="F4820" t="s">
        <v>41</v>
      </c>
      <c r="G4820" s="89">
        <v>608001</v>
      </c>
      <c r="H4820" t="s">
        <v>140</v>
      </c>
      <c r="I4820" t="s">
        <v>147</v>
      </c>
      <c r="J4820" s="89">
        <v>2432004</v>
      </c>
      <c r="K4820" t="s">
        <v>144</v>
      </c>
      <c r="N4820">
        <v>1</v>
      </c>
      <c r="O4820" s="89">
        <v>24320.04</v>
      </c>
      <c r="P4820" s="89">
        <v>577600.94999999995</v>
      </c>
      <c r="Q4820" t="s">
        <v>135</v>
      </c>
      <c r="R4820" t="s">
        <v>131</v>
      </c>
    </row>
    <row r="4821" spans="3:18" x14ac:dyDescent="0.25">
      <c r="C4821" t="s">
        <v>47</v>
      </c>
      <c r="D4821" t="s">
        <v>138</v>
      </c>
      <c r="E4821" t="s">
        <v>40</v>
      </c>
      <c r="F4821" t="s">
        <v>41</v>
      </c>
      <c r="G4821" s="89">
        <v>2505575</v>
      </c>
      <c r="H4821" t="s">
        <v>132</v>
      </c>
      <c r="I4821" t="s">
        <v>147</v>
      </c>
      <c r="J4821" s="89">
        <v>7516725</v>
      </c>
      <c r="K4821" t="s">
        <v>127</v>
      </c>
      <c r="L4821" t="s">
        <v>128</v>
      </c>
      <c r="N4821">
        <v>1</v>
      </c>
      <c r="O4821" s="89">
        <v>100223</v>
      </c>
      <c r="P4821" s="89">
        <v>526170.75</v>
      </c>
      <c r="Q4821" t="s">
        <v>130</v>
      </c>
      <c r="R4821" t="s">
        <v>131</v>
      </c>
    </row>
    <row r="4822" spans="3:18" hidden="1" x14ac:dyDescent="0.25">
      <c r="C4822" t="s">
        <v>45</v>
      </c>
      <c r="D4822" t="s">
        <v>24</v>
      </c>
      <c r="E4822" t="s">
        <v>48</v>
      </c>
      <c r="F4822" t="s">
        <v>41</v>
      </c>
      <c r="G4822" s="89">
        <v>2070096</v>
      </c>
      <c r="H4822" t="s">
        <v>132</v>
      </c>
      <c r="I4822" t="s">
        <v>133</v>
      </c>
      <c r="J4822" s="89">
        <v>55892592</v>
      </c>
      <c r="K4822" t="s">
        <v>127</v>
      </c>
      <c r="L4822" t="s">
        <v>128</v>
      </c>
      <c r="N4822">
        <v>1</v>
      </c>
      <c r="O4822" s="89">
        <v>62102.879999999997</v>
      </c>
      <c r="P4822" s="89">
        <v>579626.88</v>
      </c>
      <c r="Q4822" t="s">
        <v>130</v>
      </c>
      <c r="R4822" t="s">
        <v>131</v>
      </c>
    </row>
    <row r="4823" spans="3:18" x14ac:dyDescent="0.25">
      <c r="C4823" t="s">
        <v>47</v>
      </c>
      <c r="D4823" t="s">
        <v>22</v>
      </c>
      <c r="E4823" t="s">
        <v>43</v>
      </c>
      <c r="F4823" t="s">
        <v>41</v>
      </c>
      <c r="G4823" s="89">
        <v>38118</v>
      </c>
      <c r="H4823" t="s">
        <v>146</v>
      </c>
      <c r="I4823" t="s">
        <v>147</v>
      </c>
      <c r="J4823" s="89">
        <v>152472</v>
      </c>
      <c r="K4823" t="s">
        <v>127</v>
      </c>
      <c r="L4823" t="s">
        <v>128</v>
      </c>
      <c r="N4823">
        <v>1</v>
      </c>
      <c r="O4823" s="89">
        <v>1905.9</v>
      </c>
      <c r="P4823" s="89">
        <v>15628.38</v>
      </c>
      <c r="Q4823" t="s">
        <v>142</v>
      </c>
      <c r="R4823" t="s">
        <v>131</v>
      </c>
    </row>
    <row r="4824" spans="3:18" hidden="1" x14ac:dyDescent="0.25">
      <c r="C4824" t="s">
        <v>45</v>
      </c>
      <c r="D4824" t="s">
        <v>22</v>
      </c>
      <c r="E4824" t="s">
        <v>40</v>
      </c>
      <c r="F4824" t="s">
        <v>41</v>
      </c>
      <c r="G4824" s="89">
        <v>315833</v>
      </c>
      <c r="H4824" t="s">
        <v>132</v>
      </c>
      <c r="I4824" t="s">
        <v>141</v>
      </c>
      <c r="J4824" s="89">
        <v>2842497</v>
      </c>
      <c r="K4824" t="s">
        <v>144</v>
      </c>
      <c r="N4824">
        <v>1</v>
      </c>
      <c r="O4824" s="89">
        <v>9474.99</v>
      </c>
      <c r="P4824" s="89">
        <v>157916.5</v>
      </c>
      <c r="Q4824" t="s">
        <v>142</v>
      </c>
      <c r="R4824" t="s">
        <v>131</v>
      </c>
    </row>
    <row r="4825" spans="3:18" hidden="1" x14ac:dyDescent="0.25">
      <c r="C4825" t="s">
        <v>45</v>
      </c>
      <c r="D4825" t="s">
        <v>22</v>
      </c>
      <c r="E4825" t="s">
        <v>40</v>
      </c>
      <c r="F4825" t="s">
        <v>41</v>
      </c>
      <c r="G4825" s="89">
        <v>59157</v>
      </c>
      <c r="H4825" t="s">
        <v>145</v>
      </c>
      <c r="I4825" t="s">
        <v>141</v>
      </c>
      <c r="J4825" s="89">
        <v>354942</v>
      </c>
      <c r="K4825" t="s">
        <v>144</v>
      </c>
      <c r="N4825">
        <v>1</v>
      </c>
      <c r="O4825" s="89">
        <v>1774.71</v>
      </c>
      <c r="P4825" s="89">
        <v>27803.79</v>
      </c>
      <c r="Q4825" t="s">
        <v>142</v>
      </c>
      <c r="R4825" t="s">
        <v>131</v>
      </c>
    </row>
    <row r="4826" spans="3:18" x14ac:dyDescent="0.25">
      <c r="C4826" t="s">
        <v>47</v>
      </c>
      <c r="D4826" t="s">
        <v>20</v>
      </c>
      <c r="E4826" t="s">
        <v>40</v>
      </c>
      <c r="F4826" t="s">
        <v>41</v>
      </c>
      <c r="G4826" s="89">
        <v>1477248</v>
      </c>
      <c r="H4826" t="s">
        <v>146</v>
      </c>
      <c r="I4826" t="s">
        <v>141</v>
      </c>
      <c r="J4826" s="89">
        <v>8863488</v>
      </c>
      <c r="K4826" t="s">
        <v>127</v>
      </c>
      <c r="L4826" t="s">
        <v>128</v>
      </c>
      <c r="N4826">
        <v>1</v>
      </c>
      <c r="O4826" s="89">
        <v>59089.919999999998</v>
      </c>
      <c r="P4826" s="89">
        <v>369312</v>
      </c>
      <c r="Q4826" t="s">
        <v>130</v>
      </c>
      <c r="R4826" t="s">
        <v>131</v>
      </c>
    </row>
    <row r="4827" spans="3:18" hidden="1" x14ac:dyDescent="0.25">
      <c r="C4827" t="s">
        <v>45</v>
      </c>
      <c r="D4827" t="s">
        <v>22</v>
      </c>
      <c r="E4827" t="s">
        <v>40</v>
      </c>
      <c r="F4827" t="s">
        <v>41</v>
      </c>
      <c r="G4827" s="89">
        <v>2098834</v>
      </c>
      <c r="H4827" t="s">
        <v>42</v>
      </c>
      <c r="I4827" t="s">
        <v>133</v>
      </c>
      <c r="J4827" s="89">
        <v>58767352</v>
      </c>
      <c r="K4827" t="s">
        <v>134</v>
      </c>
      <c r="L4827" t="s">
        <v>128</v>
      </c>
      <c r="M4827" t="s">
        <v>143</v>
      </c>
      <c r="N4827">
        <v>1</v>
      </c>
      <c r="O4827" s="89">
        <v>62965.02</v>
      </c>
      <c r="P4827" s="89">
        <v>1070405.3400000001</v>
      </c>
      <c r="Q4827" t="s">
        <v>142</v>
      </c>
      <c r="R4827" t="s">
        <v>131</v>
      </c>
    </row>
    <row r="4828" spans="3:18" hidden="1" x14ac:dyDescent="0.25">
      <c r="C4828" t="s">
        <v>45</v>
      </c>
      <c r="D4828" t="s">
        <v>149</v>
      </c>
      <c r="E4828" t="s">
        <v>43</v>
      </c>
      <c r="F4828" t="s">
        <v>41</v>
      </c>
      <c r="G4828" s="89">
        <v>54406</v>
      </c>
      <c r="H4828" t="s">
        <v>146</v>
      </c>
      <c r="I4828" t="s">
        <v>126</v>
      </c>
      <c r="J4828" s="89">
        <v>1088120</v>
      </c>
      <c r="K4828" t="s">
        <v>144</v>
      </c>
      <c r="N4828">
        <v>1</v>
      </c>
      <c r="O4828" s="89">
        <v>1632.18</v>
      </c>
      <c r="P4828" s="89">
        <v>11969.32</v>
      </c>
      <c r="Q4828" t="s">
        <v>130</v>
      </c>
      <c r="R4828" t="s">
        <v>131</v>
      </c>
    </row>
    <row r="4829" spans="3:18" hidden="1" x14ac:dyDescent="0.25">
      <c r="C4829" t="s">
        <v>45</v>
      </c>
      <c r="D4829" t="s">
        <v>21</v>
      </c>
      <c r="E4829" t="s">
        <v>40</v>
      </c>
      <c r="F4829" t="s">
        <v>41</v>
      </c>
      <c r="G4829" s="89">
        <v>243117</v>
      </c>
      <c r="H4829" t="s">
        <v>145</v>
      </c>
      <c r="I4829" t="s">
        <v>133</v>
      </c>
      <c r="J4829" s="89">
        <v>6564159</v>
      </c>
      <c r="K4829" t="s">
        <v>144</v>
      </c>
      <c r="N4829">
        <v>1</v>
      </c>
      <c r="O4829" s="89">
        <v>7293.51</v>
      </c>
      <c r="P4829" s="89">
        <v>206649.45</v>
      </c>
      <c r="Q4829" t="s">
        <v>135</v>
      </c>
      <c r="R4829" t="s">
        <v>131</v>
      </c>
    </row>
    <row r="4830" spans="3:18" hidden="1" x14ac:dyDescent="0.25">
      <c r="C4830" t="s">
        <v>39</v>
      </c>
      <c r="D4830" t="s">
        <v>20</v>
      </c>
      <c r="E4830" t="s">
        <v>40</v>
      </c>
      <c r="F4830" t="s">
        <v>41</v>
      </c>
      <c r="G4830" s="89">
        <v>320234</v>
      </c>
      <c r="H4830" t="s">
        <v>146</v>
      </c>
      <c r="I4830" t="s">
        <v>133</v>
      </c>
      <c r="J4830" s="89"/>
      <c r="N4830">
        <v>0</v>
      </c>
      <c r="O4830" s="89"/>
      <c r="P4830" s="89"/>
      <c r="R4830" t="s">
        <v>131</v>
      </c>
    </row>
    <row r="4831" spans="3:18" hidden="1" x14ac:dyDescent="0.25">
      <c r="C4831" t="s">
        <v>45</v>
      </c>
      <c r="D4831" t="s">
        <v>22</v>
      </c>
      <c r="E4831" t="s">
        <v>46</v>
      </c>
      <c r="F4831" t="s">
        <v>41</v>
      </c>
      <c r="G4831" s="89">
        <v>2875517</v>
      </c>
      <c r="H4831" t="s">
        <v>42</v>
      </c>
      <c r="I4831" t="s">
        <v>133</v>
      </c>
      <c r="J4831" s="89">
        <v>100643095</v>
      </c>
      <c r="K4831" t="s">
        <v>127</v>
      </c>
      <c r="L4831" t="s">
        <v>128</v>
      </c>
      <c r="M4831" t="s">
        <v>143</v>
      </c>
      <c r="N4831">
        <v>1</v>
      </c>
      <c r="O4831" s="89">
        <v>86265.51</v>
      </c>
      <c r="P4831" s="89">
        <v>2444189.4500000002</v>
      </c>
      <c r="Q4831" t="s">
        <v>135</v>
      </c>
      <c r="R4831" t="s">
        <v>42</v>
      </c>
    </row>
    <row r="4832" spans="3:18" hidden="1" x14ac:dyDescent="0.25">
      <c r="C4832" t="s">
        <v>45</v>
      </c>
      <c r="D4832" t="s">
        <v>22</v>
      </c>
      <c r="E4832" t="s">
        <v>40</v>
      </c>
      <c r="F4832" t="s">
        <v>41</v>
      </c>
      <c r="G4832" s="89">
        <v>51357</v>
      </c>
      <c r="H4832" t="s">
        <v>42</v>
      </c>
      <c r="I4832" t="s">
        <v>126</v>
      </c>
      <c r="J4832" s="89">
        <v>975783</v>
      </c>
      <c r="K4832" t="s">
        <v>134</v>
      </c>
      <c r="L4832" t="s">
        <v>128</v>
      </c>
      <c r="M4832" t="s">
        <v>148</v>
      </c>
      <c r="N4832">
        <v>1</v>
      </c>
      <c r="O4832" s="89">
        <v>1027.1400000000001</v>
      </c>
      <c r="P4832" s="89">
        <v>28246.35</v>
      </c>
      <c r="Q4832" t="s">
        <v>142</v>
      </c>
      <c r="R4832" t="s">
        <v>42</v>
      </c>
    </row>
    <row r="4833" spans="3:18" hidden="1" x14ac:dyDescent="0.25">
      <c r="C4833" t="s">
        <v>45</v>
      </c>
      <c r="D4833" t="s">
        <v>23</v>
      </c>
      <c r="E4833" t="s">
        <v>48</v>
      </c>
      <c r="F4833" t="s">
        <v>53</v>
      </c>
      <c r="G4833" s="89">
        <v>1632798</v>
      </c>
      <c r="H4833" t="s">
        <v>42</v>
      </c>
      <c r="I4833" t="s">
        <v>133</v>
      </c>
      <c r="J4833" s="89">
        <v>40819950</v>
      </c>
      <c r="K4833" t="s">
        <v>144</v>
      </c>
      <c r="N4833">
        <v>1</v>
      </c>
      <c r="O4833" s="89">
        <v>48983.94</v>
      </c>
      <c r="P4833" s="89">
        <v>1142958.6000000001</v>
      </c>
      <c r="Q4833" t="s">
        <v>137</v>
      </c>
      <c r="R4833" t="s">
        <v>42</v>
      </c>
    </row>
    <row r="4834" spans="3:18" hidden="1" x14ac:dyDescent="0.25">
      <c r="C4834" t="s">
        <v>45</v>
      </c>
      <c r="D4834" t="s">
        <v>22</v>
      </c>
      <c r="E4834" t="s">
        <v>43</v>
      </c>
      <c r="F4834" t="s">
        <v>41</v>
      </c>
      <c r="G4834" s="89">
        <v>62935</v>
      </c>
      <c r="H4834" t="s">
        <v>42</v>
      </c>
      <c r="I4834" t="s">
        <v>126</v>
      </c>
      <c r="J4834" s="89">
        <v>1195765</v>
      </c>
      <c r="K4834" t="s">
        <v>127</v>
      </c>
      <c r="L4834" t="s">
        <v>128</v>
      </c>
      <c r="M4834" t="s">
        <v>152</v>
      </c>
      <c r="N4834">
        <v>1</v>
      </c>
      <c r="O4834" s="89">
        <v>2517.4</v>
      </c>
      <c r="P4834" s="89">
        <v>35243.599999999999</v>
      </c>
      <c r="Q4834" t="s">
        <v>142</v>
      </c>
      <c r="R4834" t="s">
        <v>42</v>
      </c>
    </row>
    <row r="4835" spans="3:18" hidden="1" x14ac:dyDescent="0.25">
      <c r="C4835" t="s">
        <v>45</v>
      </c>
      <c r="D4835" t="s">
        <v>23</v>
      </c>
      <c r="E4835" t="s">
        <v>40</v>
      </c>
      <c r="F4835" t="s">
        <v>41</v>
      </c>
      <c r="G4835" s="89">
        <v>901232</v>
      </c>
      <c r="H4835" t="s">
        <v>42</v>
      </c>
      <c r="I4835" t="s">
        <v>133</v>
      </c>
      <c r="J4835" s="89">
        <v>27938192</v>
      </c>
      <c r="K4835" t="s">
        <v>127</v>
      </c>
      <c r="L4835" t="s">
        <v>128</v>
      </c>
      <c r="M4835" t="s">
        <v>143</v>
      </c>
      <c r="N4835">
        <v>1</v>
      </c>
      <c r="O4835" s="89">
        <v>27036.959999999999</v>
      </c>
      <c r="P4835" s="89">
        <v>495677.6</v>
      </c>
      <c r="Q4835" t="s">
        <v>142</v>
      </c>
      <c r="R4835" t="s">
        <v>131</v>
      </c>
    </row>
    <row r="4836" spans="3:18" x14ac:dyDescent="0.25">
      <c r="C4836" t="s">
        <v>47</v>
      </c>
      <c r="D4836" t="s">
        <v>19</v>
      </c>
      <c r="E4836" t="s">
        <v>43</v>
      </c>
      <c r="F4836" t="s">
        <v>41</v>
      </c>
      <c r="G4836" s="89">
        <v>20600</v>
      </c>
      <c r="H4836" t="s">
        <v>146</v>
      </c>
      <c r="I4836" t="s">
        <v>141</v>
      </c>
      <c r="J4836" s="89">
        <v>206000</v>
      </c>
      <c r="K4836" t="s">
        <v>127</v>
      </c>
      <c r="L4836" t="s">
        <v>128</v>
      </c>
      <c r="N4836">
        <v>1</v>
      </c>
      <c r="O4836" s="89">
        <v>1236</v>
      </c>
      <c r="P4836" s="89">
        <v>24102</v>
      </c>
      <c r="Q4836" t="s">
        <v>150</v>
      </c>
      <c r="R4836" t="s">
        <v>131</v>
      </c>
    </row>
    <row r="4837" spans="3:18" x14ac:dyDescent="0.25">
      <c r="C4837" t="s">
        <v>47</v>
      </c>
      <c r="D4837" t="s">
        <v>20</v>
      </c>
      <c r="E4837" t="s">
        <v>43</v>
      </c>
      <c r="F4837" t="s">
        <v>41</v>
      </c>
      <c r="G4837" s="89">
        <v>109666</v>
      </c>
      <c r="H4837" t="s">
        <v>146</v>
      </c>
      <c r="I4837" t="s">
        <v>133</v>
      </c>
      <c r="J4837" s="89">
        <v>2741650</v>
      </c>
      <c r="K4837" t="s">
        <v>144</v>
      </c>
      <c r="N4837">
        <v>1</v>
      </c>
      <c r="O4837" s="89">
        <v>3289.98</v>
      </c>
      <c r="P4837" s="89">
        <v>55929.66</v>
      </c>
      <c r="Q4837" t="s">
        <v>142</v>
      </c>
      <c r="R4837" t="s">
        <v>131</v>
      </c>
    </row>
    <row r="4838" spans="3:18" hidden="1" x14ac:dyDescent="0.25">
      <c r="C4838" t="s">
        <v>45</v>
      </c>
      <c r="D4838" t="s">
        <v>23</v>
      </c>
      <c r="E4838" t="s">
        <v>44</v>
      </c>
      <c r="F4838" t="s">
        <v>41</v>
      </c>
      <c r="G4838" s="89">
        <v>89975</v>
      </c>
      <c r="H4838" t="s">
        <v>140</v>
      </c>
      <c r="I4838" t="s">
        <v>133</v>
      </c>
      <c r="J4838" s="89">
        <v>2969175</v>
      </c>
      <c r="K4838" t="s">
        <v>144</v>
      </c>
      <c r="N4838">
        <v>1</v>
      </c>
      <c r="O4838" s="89">
        <v>2699.25</v>
      </c>
      <c r="P4838" s="89">
        <v>76478.75</v>
      </c>
      <c r="Q4838" t="s">
        <v>135</v>
      </c>
      <c r="R4838" t="s">
        <v>131</v>
      </c>
    </row>
    <row r="4839" spans="3:18" hidden="1" x14ac:dyDescent="0.25">
      <c r="C4839" t="s">
        <v>45</v>
      </c>
      <c r="D4839" t="s">
        <v>22</v>
      </c>
      <c r="E4839" t="s">
        <v>43</v>
      </c>
      <c r="F4839" t="s">
        <v>53</v>
      </c>
      <c r="G4839" s="89">
        <v>360614</v>
      </c>
      <c r="H4839" t="s">
        <v>42</v>
      </c>
      <c r="I4839" t="s">
        <v>133</v>
      </c>
      <c r="J4839" s="89">
        <v>12982104</v>
      </c>
      <c r="K4839" t="s">
        <v>144</v>
      </c>
      <c r="N4839">
        <v>1</v>
      </c>
      <c r="O4839" s="89">
        <v>10818.42</v>
      </c>
      <c r="P4839" s="89">
        <v>259642.08</v>
      </c>
      <c r="Q4839" t="s">
        <v>137</v>
      </c>
      <c r="R4839" t="s">
        <v>131</v>
      </c>
    </row>
    <row r="4840" spans="3:18" hidden="1" x14ac:dyDescent="0.25">
      <c r="C4840" t="s">
        <v>45</v>
      </c>
      <c r="D4840" t="s">
        <v>24</v>
      </c>
      <c r="E4840" t="s">
        <v>40</v>
      </c>
      <c r="F4840" t="s">
        <v>41</v>
      </c>
      <c r="G4840" s="89">
        <v>148897</v>
      </c>
      <c r="H4840" t="s">
        <v>42</v>
      </c>
      <c r="I4840" t="s">
        <v>133</v>
      </c>
      <c r="J4840" s="89">
        <v>4318013</v>
      </c>
      <c r="K4840" t="s">
        <v>127</v>
      </c>
      <c r="L4840" t="s">
        <v>128</v>
      </c>
      <c r="M4840" t="s">
        <v>143</v>
      </c>
      <c r="N4840">
        <v>1</v>
      </c>
      <c r="O4840" s="89">
        <v>4466.91</v>
      </c>
      <c r="P4840" s="89">
        <v>67003.649999999994</v>
      </c>
      <c r="Q4840" t="s">
        <v>142</v>
      </c>
      <c r="R4840" t="s">
        <v>131</v>
      </c>
    </row>
    <row r="4841" spans="3:18" x14ac:dyDescent="0.25">
      <c r="C4841" t="s">
        <v>47</v>
      </c>
      <c r="D4841" t="s">
        <v>138</v>
      </c>
      <c r="E4841" t="s">
        <v>48</v>
      </c>
      <c r="F4841" t="s">
        <v>41</v>
      </c>
      <c r="G4841" s="89">
        <v>15051</v>
      </c>
      <c r="H4841" t="s">
        <v>146</v>
      </c>
      <c r="I4841" t="s">
        <v>147</v>
      </c>
      <c r="J4841" s="89">
        <v>30102</v>
      </c>
      <c r="K4841" t="s">
        <v>127</v>
      </c>
      <c r="L4841" t="s">
        <v>128</v>
      </c>
      <c r="N4841">
        <v>1</v>
      </c>
      <c r="O4841" s="89">
        <v>1354.59</v>
      </c>
      <c r="P4841" s="89">
        <v>1806.12</v>
      </c>
      <c r="Q4841" t="s">
        <v>130</v>
      </c>
      <c r="R4841" t="s">
        <v>131</v>
      </c>
    </row>
    <row r="4842" spans="3:18" hidden="1" x14ac:dyDescent="0.25">
      <c r="C4842" t="s">
        <v>45</v>
      </c>
      <c r="D4842" t="s">
        <v>20</v>
      </c>
      <c r="E4842" t="s">
        <v>40</v>
      </c>
      <c r="F4842" t="s">
        <v>41</v>
      </c>
      <c r="G4842" s="89">
        <v>102405</v>
      </c>
      <c r="H4842" t="s">
        <v>42</v>
      </c>
      <c r="I4842" t="s">
        <v>133</v>
      </c>
      <c r="J4842" s="89">
        <v>3481770</v>
      </c>
      <c r="K4842" t="s">
        <v>144</v>
      </c>
      <c r="N4842">
        <v>1</v>
      </c>
      <c r="O4842" s="89">
        <v>3072.15</v>
      </c>
      <c r="P4842" s="89">
        <v>39937.949999999997</v>
      </c>
      <c r="Q4842" t="s">
        <v>130</v>
      </c>
      <c r="R4842" t="s">
        <v>131</v>
      </c>
    </row>
    <row r="4843" spans="3:18" hidden="1" x14ac:dyDescent="0.25">
      <c r="C4843" t="s">
        <v>45</v>
      </c>
      <c r="D4843" t="s">
        <v>23</v>
      </c>
      <c r="E4843" t="s">
        <v>40</v>
      </c>
      <c r="F4843" t="s">
        <v>41</v>
      </c>
      <c r="G4843" s="89">
        <v>29531019</v>
      </c>
      <c r="H4843" t="s">
        <v>42</v>
      </c>
      <c r="I4843" t="s">
        <v>133</v>
      </c>
      <c r="J4843" s="89">
        <v>1092647703</v>
      </c>
      <c r="K4843" t="s">
        <v>144</v>
      </c>
      <c r="N4843">
        <v>1</v>
      </c>
      <c r="O4843" s="89">
        <v>885930.57</v>
      </c>
      <c r="P4843" s="89">
        <v>26282606.91</v>
      </c>
      <c r="Q4843" t="s">
        <v>135</v>
      </c>
      <c r="R4843" t="s">
        <v>42</v>
      </c>
    </row>
    <row r="4844" spans="3:18" hidden="1" x14ac:dyDescent="0.25">
      <c r="C4844" t="s">
        <v>45</v>
      </c>
      <c r="D4844" t="s">
        <v>23</v>
      </c>
      <c r="E4844" t="s">
        <v>48</v>
      </c>
      <c r="F4844" t="s">
        <v>41</v>
      </c>
      <c r="G4844" s="89">
        <v>98095</v>
      </c>
      <c r="H4844" t="s">
        <v>42</v>
      </c>
      <c r="I4844" t="s">
        <v>126</v>
      </c>
      <c r="J4844" s="89">
        <v>1569520</v>
      </c>
      <c r="K4844" t="s">
        <v>134</v>
      </c>
      <c r="L4844" t="s">
        <v>128</v>
      </c>
      <c r="M4844" t="s">
        <v>152</v>
      </c>
      <c r="N4844">
        <v>1</v>
      </c>
      <c r="O4844" s="89">
        <v>3923.8</v>
      </c>
      <c r="P4844" s="89">
        <v>53952.25</v>
      </c>
      <c r="Q4844" t="s">
        <v>142</v>
      </c>
      <c r="R4844" t="s">
        <v>131</v>
      </c>
    </row>
    <row r="4845" spans="3:18" hidden="1" x14ac:dyDescent="0.25">
      <c r="C4845" t="s">
        <v>45</v>
      </c>
      <c r="D4845" t="s">
        <v>21</v>
      </c>
      <c r="E4845" t="s">
        <v>40</v>
      </c>
      <c r="F4845" t="s">
        <v>41</v>
      </c>
      <c r="G4845" s="89">
        <v>3726913</v>
      </c>
      <c r="H4845" t="s">
        <v>140</v>
      </c>
      <c r="I4845" t="s">
        <v>126</v>
      </c>
      <c r="J4845" s="89">
        <v>67084434</v>
      </c>
      <c r="K4845" t="s">
        <v>127</v>
      </c>
      <c r="L4845" t="s">
        <v>128</v>
      </c>
      <c r="N4845">
        <v>1</v>
      </c>
      <c r="O4845" s="89">
        <v>111807.39</v>
      </c>
      <c r="P4845" s="89">
        <v>2497031.71</v>
      </c>
      <c r="Q4845" t="s">
        <v>137</v>
      </c>
      <c r="R4845" t="s">
        <v>131</v>
      </c>
    </row>
    <row r="4846" spans="3:18" hidden="1" x14ac:dyDescent="0.25">
      <c r="C4846" t="s">
        <v>45</v>
      </c>
      <c r="D4846" t="s">
        <v>19</v>
      </c>
      <c r="E4846" t="s">
        <v>43</v>
      </c>
      <c r="F4846" t="s">
        <v>53</v>
      </c>
      <c r="G4846" s="89">
        <v>370704</v>
      </c>
      <c r="H4846" t="s">
        <v>132</v>
      </c>
      <c r="I4846" t="s">
        <v>133</v>
      </c>
      <c r="J4846" s="89">
        <v>13716048</v>
      </c>
      <c r="K4846" t="s">
        <v>144</v>
      </c>
      <c r="N4846">
        <v>1</v>
      </c>
      <c r="O4846" s="89">
        <v>7414.08</v>
      </c>
      <c r="P4846" s="89">
        <v>233543.52</v>
      </c>
      <c r="Q4846" t="s">
        <v>137</v>
      </c>
      <c r="R4846" t="s">
        <v>131</v>
      </c>
    </row>
    <row r="4847" spans="3:18" x14ac:dyDescent="0.25">
      <c r="C4847" t="s">
        <v>47</v>
      </c>
      <c r="D4847" t="s">
        <v>50</v>
      </c>
      <c r="E4847" t="s">
        <v>50</v>
      </c>
      <c r="F4847" t="s">
        <v>41</v>
      </c>
      <c r="G4847" s="89">
        <v>0</v>
      </c>
      <c r="H4847" t="s">
        <v>51</v>
      </c>
      <c r="I4847" t="s">
        <v>126</v>
      </c>
      <c r="J4847" s="89">
        <v>0</v>
      </c>
      <c r="K4847" t="s">
        <v>127</v>
      </c>
      <c r="N4847">
        <v>1</v>
      </c>
      <c r="O4847" s="89">
        <v>0</v>
      </c>
      <c r="P4847" s="89">
        <v>0</v>
      </c>
      <c r="Q4847" t="s">
        <v>130</v>
      </c>
    </row>
    <row r="4848" spans="3:18" x14ac:dyDescent="0.25">
      <c r="C4848" t="s">
        <v>47</v>
      </c>
      <c r="D4848" t="s">
        <v>22</v>
      </c>
      <c r="E4848" t="s">
        <v>48</v>
      </c>
      <c r="F4848" t="s">
        <v>41</v>
      </c>
      <c r="G4848" s="89">
        <v>474314</v>
      </c>
      <c r="H4848" t="s">
        <v>146</v>
      </c>
      <c r="I4848" t="s">
        <v>141</v>
      </c>
      <c r="J4848" s="89">
        <v>3320198</v>
      </c>
      <c r="K4848" t="s">
        <v>127</v>
      </c>
      <c r="L4848" t="s">
        <v>128</v>
      </c>
      <c r="N4848">
        <v>1</v>
      </c>
      <c r="O4848" s="89">
        <v>18972.560000000001</v>
      </c>
      <c r="P4848" s="89">
        <v>241900.14</v>
      </c>
      <c r="Q4848" t="s">
        <v>142</v>
      </c>
      <c r="R4848" t="s">
        <v>131</v>
      </c>
    </row>
    <row r="4849" spans="3:18" hidden="1" x14ac:dyDescent="0.25">
      <c r="C4849" t="s">
        <v>45</v>
      </c>
      <c r="D4849" t="s">
        <v>24</v>
      </c>
      <c r="E4849" t="s">
        <v>48</v>
      </c>
      <c r="F4849" t="s">
        <v>41</v>
      </c>
      <c r="G4849" s="89">
        <v>12768923</v>
      </c>
      <c r="H4849" t="s">
        <v>140</v>
      </c>
      <c r="I4849" t="s">
        <v>126</v>
      </c>
      <c r="J4849" s="89">
        <v>217071691</v>
      </c>
      <c r="K4849" t="s">
        <v>127</v>
      </c>
      <c r="L4849" t="s">
        <v>128</v>
      </c>
      <c r="N4849">
        <v>1</v>
      </c>
      <c r="O4849" s="89">
        <v>383067.69</v>
      </c>
      <c r="P4849" s="89">
        <v>8555178.4100000001</v>
      </c>
      <c r="Q4849" t="s">
        <v>137</v>
      </c>
      <c r="R4849" t="s">
        <v>131</v>
      </c>
    </row>
    <row r="4850" spans="3:18" hidden="1" x14ac:dyDescent="0.25">
      <c r="C4850" t="s">
        <v>45</v>
      </c>
      <c r="D4850" t="s">
        <v>22</v>
      </c>
      <c r="E4850" t="s">
        <v>44</v>
      </c>
      <c r="F4850" t="s">
        <v>41</v>
      </c>
      <c r="G4850" s="89">
        <v>1707081</v>
      </c>
      <c r="H4850" t="s">
        <v>42</v>
      </c>
      <c r="I4850" t="s">
        <v>126</v>
      </c>
      <c r="J4850" s="89">
        <v>27313296</v>
      </c>
      <c r="K4850" t="s">
        <v>144</v>
      </c>
      <c r="N4850">
        <v>1</v>
      </c>
      <c r="O4850" s="89">
        <v>51212.43</v>
      </c>
      <c r="P4850" s="89">
        <v>1177885.8899999999</v>
      </c>
      <c r="Q4850" t="s">
        <v>137</v>
      </c>
      <c r="R4850" t="s">
        <v>42</v>
      </c>
    </row>
    <row r="4851" spans="3:18" hidden="1" x14ac:dyDescent="0.25">
      <c r="C4851" t="s">
        <v>45</v>
      </c>
      <c r="D4851" t="s">
        <v>24</v>
      </c>
      <c r="E4851" t="s">
        <v>48</v>
      </c>
      <c r="F4851" t="s">
        <v>41</v>
      </c>
      <c r="G4851" s="89">
        <v>696678</v>
      </c>
      <c r="H4851" t="s">
        <v>132</v>
      </c>
      <c r="I4851" t="s">
        <v>147</v>
      </c>
      <c r="J4851" s="89">
        <v>2090034</v>
      </c>
      <c r="K4851" t="s">
        <v>127</v>
      </c>
      <c r="L4851" t="s">
        <v>128</v>
      </c>
      <c r="N4851">
        <v>1</v>
      </c>
      <c r="O4851" s="89">
        <v>27867.119999999999</v>
      </c>
      <c r="P4851" s="89">
        <v>90568.14</v>
      </c>
      <c r="Q4851" t="s">
        <v>130</v>
      </c>
      <c r="R4851" t="s">
        <v>131</v>
      </c>
    </row>
    <row r="4852" spans="3:18" hidden="1" x14ac:dyDescent="0.25">
      <c r="C4852" t="s">
        <v>45</v>
      </c>
      <c r="D4852" t="s">
        <v>20</v>
      </c>
      <c r="E4852" t="s">
        <v>43</v>
      </c>
      <c r="F4852" t="s">
        <v>41</v>
      </c>
      <c r="G4852" s="89">
        <v>8933</v>
      </c>
      <c r="H4852" t="s">
        <v>146</v>
      </c>
      <c r="I4852" t="s">
        <v>147</v>
      </c>
      <c r="J4852" s="89">
        <v>35732</v>
      </c>
      <c r="K4852" t="s">
        <v>127</v>
      </c>
      <c r="L4852" t="s">
        <v>128</v>
      </c>
      <c r="N4852">
        <v>1</v>
      </c>
      <c r="O4852" s="89">
        <v>446.65</v>
      </c>
      <c r="P4852" s="89">
        <v>4198.51</v>
      </c>
      <c r="Q4852" t="s">
        <v>142</v>
      </c>
      <c r="R4852" t="s">
        <v>131</v>
      </c>
    </row>
    <row r="4853" spans="3:18" x14ac:dyDescent="0.25">
      <c r="C4853" t="s">
        <v>47</v>
      </c>
      <c r="D4853" t="s">
        <v>20</v>
      </c>
      <c r="E4853" t="s">
        <v>43</v>
      </c>
      <c r="F4853" t="s">
        <v>41</v>
      </c>
      <c r="G4853" s="89">
        <v>669</v>
      </c>
      <c r="H4853" t="s">
        <v>146</v>
      </c>
      <c r="I4853" t="s">
        <v>153</v>
      </c>
      <c r="J4853" s="89"/>
      <c r="K4853" t="s">
        <v>127</v>
      </c>
      <c r="L4853" t="s">
        <v>128</v>
      </c>
      <c r="N4853">
        <v>0</v>
      </c>
      <c r="O4853" s="89">
        <v>0</v>
      </c>
      <c r="P4853" s="89">
        <v>0</v>
      </c>
      <c r="Q4853" t="s">
        <v>130</v>
      </c>
      <c r="R4853" t="s">
        <v>131</v>
      </c>
    </row>
    <row r="4854" spans="3:18" x14ac:dyDescent="0.25">
      <c r="C4854" t="s">
        <v>47</v>
      </c>
      <c r="D4854" t="s">
        <v>22</v>
      </c>
      <c r="E4854" t="s">
        <v>43</v>
      </c>
      <c r="F4854" t="s">
        <v>41</v>
      </c>
      <c r="G4854" s="89">
        <v>2303</v>
      </c>
      <c r="H4854" t="s">
        <v>146</v>
      </c>
      <c r="I4854" t="s">
        <v>141</v>
      </c>
      <c r="J4854" s="89">
        <v>18424</v>
      </c>
      <c r="K4854" t="s">
        <v>127</v>
      </c>
      <c r="L4854" t="s">
        <v>128</v>
      </c>
      <c r="N4854">
        <v>1</v>
      </c>
      <c r="O4854" s="89">
        <v>69.09</v>
      </c>
      <c r="P4854" s="89">
        <v>0</v>
      </c>
      <c r="Q4854" t="s">
        <v>130</v>
      </c>
      <c r="R4854" t="s">
        <v>131</v>
      </c>
    </row>
    <row r="4855" spans="3:18" x14ac:dyDescent="0.25">
      <c r="C4855" t="s">
        <v>47</v>
      </c>
      <c r="D4855" t="s">
        <v>21</v>
      </c>
      <c r="E4855" t="s">
        <v>43</v>
      </c>
      <c r="F4855" t="s">
        <v>41</v>
      </c>
      <c r="G4855" s="89">
        <v>24081790</v>
      </c>
      <c r="H4855" t="s">
        <v>146</v>
      </c>
      <c r="I4855" t="s">
        <v>126</v>
      </c>
      <c r="J4855" s="89">
        <v>337145060</v>
      </c>
      <c r="K4855" t="s">
        <v>127</v>
      </c>
      <c r="L4855" t="s">
        <v>128</v>
      </c>
      <c r="N4855">
        <v>1</v>
      </c>
      <c r="O4855" s="89">
        <v>963271.6</v>
      </c>
      <c r="P4855" s="89">
        <v>4816358</v>
      </c>
      <c r="Q4855" t="s">
        <v>130</v>
      </c>
      <c r="R4855" t="s">
        <v>131</v>
      </c>
    </row>
    <row r="4856" spans="3:18" hidden="1" x14ac:dyDescent="0.25">
      <c r="C4856" t="s">
        <v>45</v>
      </c>
      <c r="D4856" t="s">
        <v>21</v>
      </c>
      <c r="E4856" t="s">
        <v>43</v>
      </c>
      <c r="F4856" t="s">
        <v>41</v>
      </c>
      <c r="G4856" s="89">
        <v>317803</v>
      </c>
      <c r="H4856" t="s">
        <v>145</v>
      </c>
      <c r="I4856" t="s">
        <v>126</v>
      </c>
      <c r="J4856" s="89">
        <v>4767045</v>
      </c>
      <c r="K4856" t="s">
        <v>134</v>
      </c>
      <c r="L4856" t="s">
        <v>128</v>
      </c>
      <c r="N4856">
        <v>1</v>
      </c>
      <c r="O4856" s="89">
        <v>9534.09</v>
      </c>
      <c r="P4856" s="89">
        <v>222462.1</v>
      </c>
      <c r="Q4856" t="s">
        <v>137</v>
      </c>
      <c r="R4856" t="s">
        <v>131</v>
      </c>
    </row>
    <row r="4857" spans="3:18" hidden="1" x14ac:dyDescent="0.25">
      <c r="C4857" t="s">
        <v>45</v>
      </c>
      <c r="D4857" t="s">
        <v>21</v>
      </c>
      <c r="E4857" t="s">
        <v>43</v>
      </c>
      <c r="F4857" t="s">
        <v>41</v>
      </c>
      <c r="G4857" s="89">
        <v>878025</v>
      </c>
      <c r="H4857" t="s">
        <v>42</v>
      </c>
      <c r="I4857" t="s">
        <v>126</v>
      </c>
      <c r="J4857" s="89">
        <v>13170375</v>
      </c>
      <c r="K4857" t="s">
        <v>134</v>
      </c>
      <c r="L4857" t="s">
        <v>128</v>
      </c>
      <c r="M4857" t="s">
        <v>129</v>
      </c>
      <c r="N4857">
        <v>1</v>
      </c>
      <c r="O4857" s="89">
        <v>26340.75</v>
      </c>
      <c r="P4857" s="89">
        <v>245847</v>
      </c>
      <c r="Q4857" t="s">
        <v>130</v>
      </c>
      <c r="R4857" t="s">
        <v>131</v>
      </c>
    </row>
    <row r="4858" spans="3:18" hidden="1" x14ac:dyDescent="0.25">
      <c r="C4858" t="s">
        <v>45</v>
      </c>
      <c r="D4858" t="s">
        <v>21</v>
      </c>
      <c r="E4858" t="s">
        <v>44</v>
      </c>
      <c r="F4858" t="s">
        <v>41</v>
      </c>
      <c r="G4858" s="89">
        <v>690734</v>
      </c>
      <c r="H4858" t="s">
        <v>42</v>
      </c>
      <c r="I4858" t="s">
        <v>133</v>
      </c>
      <c r="J4858" s="89">
        <v>22103488</v>
      </c>
      <c r="K4858" t="s">
        <v>144</v>
      </c>
      <c r="N4858">
        <v>1</v>
      </c>
      <c r="O4858" s="89">
        <v>20722.02</v>
      </c>
      <c r="P4858" s="89">
        <v>352274.34</v>
      </c>
      <c r="Q4858" t="s">
        <v>142</v>
      </c>
      <c r="R4858" t="s">
        <v>42</v>
      </c>
    </row>
    <row r="4859" spans="3:18" hidden="1" x14ac:dyDescent="0.25">
      <c r="C4859" t="s">
        <v>45</v>
      </c>
      <c r="D4859" t="s">
        <v>20</v>
      </c>
      <c r="E4859" t="s">
        <v>40</v>
      </c>
      <c r="F4859" t="s">
        <v>41</v>
      </c>
      <c r="G4859" s="89">
        <v>19694623</v>
      </c>
      <c r="H4859" t="s">
        <v>42</v>
      </c>
      <c r="I4859" t="s">
        <v>133</v>
      </c>
      <c r="J4859" s="89">
        <v>590838690</v>
      </c>
      <c r="K4859" t="s">
        <v>127</v>
      </c>
      <c r="L4859" t="s">
        <v>128</v>
      </c>
      <c r="M4859" t="s">
        <v>139</v>
      </c>
      <c r="N4859">
        <v>1</v>
      </c>
      <c r="O4859" s="89">
        <v>590838.68999999994</v>
      </c>
      <c r="P4859" s="89">
        <v>13786236.1</v>
      </c>
      <c r="Q4859" t="s">
        <v>137</v>
      </c>
      <c r="R4859" t="s">
        <v>131</v>
      </c>
    </row>
    <row r="4860" spans="3:18" hidden="1" x14ac:dyDescent="0.25">
      <c r="C4860" t="s">
        <v>45</v>
      </c>
      <c r="D4860" t="s">
        <v>24</v>
      </c>
      <c r="E4860" t="s">
        <v>48</v>
      </c>
      <c r="F4860" t="s">
        <v>41</v>
      </c>
      <c r="G4860" s="89">
        <v>14021220</v>
      </c>
      <c r="H4860" t="s">
        <v>42</v>
      </c>
      <c r="I4860" t="s">
        <v>126</v>
      </c>
      <c r="J4860" s="89">
        <v>224339520</v>
      </c>
      <c r="K4860" t="s">
        <v>127</v>
      </c>
      <c r="L4860" t="s">
        <v>128</v>
      </c>
      <c r="M4860" t="s">
        <v>148</v>
      </c>
      <c r="N4860">
        <v>1</v>
      </c>
      <c r="O4860" s="89">
        <v>560848.80000000005</v>
      </c>
      <c r="P4860" s="89">
        <v>7010610</v>
      </c>
      <c r="Q4860" t="s">
        <v>142</v>
      </c>
      <c r="R4860" t="s">
        <v>131</v>
      </c>
    </row>
    <row r="4861" spans="3:18" hidden="1" x14ac:dyDescent="0.25">
      <c r="C4861" t="s">
        <v>45</v>
      </c>
      <c r="D4861" t="s">
        <v>20</v>
      </c>
      <c r="E4861" t="s">
        <v>43</v>
      </c>
      <c r="F4861" t="s">
        <v>41</v>
      </c>
      <c r="G4861" s="89">
        <v>16809</v>
      </c>
      <c r="H4861" t="s">
        <v>140</v>
      </c>
      <c r="I4861" t="s">
        <v>147</v>
      </c>
      <c r="J4861" s="89">
        <v>16809</v>
      </c>
      <c r="K4861" t="s">
        <v>134</v>
      </c>
      <c r="L4861" t="s">
        <v>128</v>
      </c>
      <c r="N4861">
        <v>1</v>
      </c>
      <c r="O4861" s="89">
        <v>504.27</v>
      </c>
      <c r="P4861" s="89">
        <v>504.27</v>
      </c>
      <c r="Q4861" t="s">
        <v>130</v>
      </c>
      <c r="R4861" t="s">
        <v>131</v>
      </c>
    </row>
    <row r="4862" spans="3:18" x14ac:dyDescent="0.25">
      <c r="C4862" t="s">
        <v>47</v>
      </c>
      <c r="D4862" t="s">
        <v>22</v>
      </c>
      <c r="E4862" t="s">
        <v>48</v>
      </c>
      <c r="F4862" t="s">
        <v>41</v>
      </c>
      <c r="G4862" s="89">
        <v>14013</v>
      </c>
      <c r="H4862" t="s">
        <v>146</v>
      </c>
      <c r="I4862" t="s">
        <v>147</v>
      </c>
      <c r="J4862" s="89">
        <v>28026</v>
      </c>
      <c r="K4862" t="s">
        <v>127</v>
      </c>
      <c r="L4862" t="s">
        <v>128</v>
      </c>
      <c r="N4862">
        <v>1</v>
      </c>
      <c r="O4862" s="89">
        <v>560.52</v>
      </c>
      <c r="P4862" s="89">
        <v>5745.33</v>
      </c>
      <c r="Q4862" t="s">
        <v>142</v>
      </c>
      <c r="R4862" t="s">
        <v>131</v>
      </c>
    </row>
    <row r="4863" spans="3:18" x14ac:dyDescent="0.25">
      <c r="C4863" t="s">
        <v>47</v>
      </c>
      <c r="D4863" t="s">
        <v>149</v>
      </c>
      <c r="E4863" t="s">
        <v>43</v>
      </c>
      <c r="F4863" t="s">
        <v>41</v>
      </c>
      <c r="G4863" s="89">
        <v>2882516</v>
      </c>
      <c r="H4863" t="s">
        <v>146</v>
      </c>
      <c r="I4863" t="s">
        <v>126</v>
      </c>
      <c r="J4863" s="89">
        <v>28825160</v>
      </c>
      <c r="K4863" t="s">
        <v>127</v>
      </c>
      <c r="L4863" t="s">
        <v>128</v>
      </c>
      <c r="N4863">
        <v>1</v>
      </c>
      <c r="O4863" s="89">
        <v>144125.79999999999</v>
      </c>
      <c r="P4863" s="89">
        <v>2651914.7200000002</v>
      </c>
      <c r="Q4863" t="s">
        <v>135</v>
      </c>
      <c r="R4863" t="s">
        <v>131</v>
      </c>
    </row>
    <row r="4864" spans="3:18" hidden="1" x14ac:dyDescent="0.25">
      <c r="C4864" t="s">
        <v>45</v>
      </c>
      <c r="D4864" t="s">
        <v>21</v>
      </c>
      <c r="E4864" t="s">
        <v>43</v>
      </c>
      <c r="F4864" t="s">
        <v>53</v>
      </c>
      <c r="G4864" s="89">
        <v>22445</v>
      </c>
      <c r="H4864" t="s">
        <v>146</v>
      </c>
      <c r="I4864" t="s">
        <v>141</v>
      </c>
      <c r="J4864" s="89">
        <v>134670</v>
      </c>
      <c r="K4864" t="s">
        <v>127</v>
      </c>
      <c r="L4864" t="s">
        <v>128</v>
      </c>
      <c r="N4864">
        <v>1</v>
      </c>
      <c r="O4864" s="89">
        <v>673.35</v>
      </c>
      <c r="P4864" s="89">
        <v>2693.4</v>
      </c>
      <c r="Q4864" t="s">
        <v>130</v>
      </c>
      <c r="R4864" t="s">
        <v>131</v>
      </c>
    </row>
    <row r="4865" spans="3:18" x14ac:dyDescent="0.25">
      <c r="C4865" t="s">
        <v>47</v>
      </c>
      <c r="D4865" t="s">
        <v>21</v>
      </c>
      <c r="E4865" t="s">
        <v>40</v>
      </c>
      <c r="F4865" t="s">
        <v>41</v>
      </c>
      <c r="G4865" s="89">
        <v>1336175</v>
      </c>
      <c r="H4865" t="s">
        <v>42</v>
      </c>
      <c r="I4865" t="s">
        <v>141</v>
      </c>
      <c r="J4865" s="89">
        <v>12025575</v>
      </c>
      <c r="K4865" t="s">
        <v>127</v>
      </c>
      <c r="L4865" t="s">
        <v>128</v>
      </c>
      <c r="M4865" t="s">
        <v>129</v>
      </c>
      <c r="N4865">
        <v>1</v>
      </c>
      <c r="O4865" s="89">
        <v>53447</v>
      </c>
      <c r="P4865" s="89">
        <v>908599</v>
      </c>
      <c r="Q4865" t="s">
        <v>137</v>
      </c>
      <c r="R4865" t="s">
        <v>131</v>
      </c>
    </row>
    <row r="4866" spans="3:18" hidden="1" x14ac:dyDescent="0.25">
      <c r="C4866" t="s">
        <v>45</v>
      </c>
      <c r="D4866" t="s">
        <v>138</v>
      </c>
      <c r="E4866" t="s">
        <v>43</v>
      </c>
      <c r="F4866" t="s">
        <v>41</v>
      </c>
      <c r="G4866" s="89">
        <v>20702044</v>
      </c>
      <c r="H4866" t="s">
        <v>42</v>
      </c>
      <c r="I4866" t="s">
        <v>126</v>
      </c>
      <c r="J4866" s="89">
        <v>310530660</v>
      </c>
      <c r="K4866" t="s">
        <v>127</v>
      </c>
      <c r="L4866" t="s">
        <v>128</v>
      </c>
      <c r="M4866" t="s">
        <v>139</v>
      </c>
      <c r="N4866">
        <v>1</v>
      </c>
      <c r="O4866" s="89">
        <v>621061.31999999995</v>
      </c>
      <c r="P4866" s="89">
        <v>5382531.4400000004</v>
      </c>
      <c r="Q4866" t="s">
        <v>130</v>
      </c>
      <c r="R4866" t="s">
        <v>131</v>
      </c>
    </row>
    <row r="4867" spans="3:18" x14ac:dyDescent="0.25">
      <c r="C4867" t="s">
        <v>47</v>
      </c>
      <c r="D4867" t="s">
        <v>22</v>
      </c>
      <c r="E4867" t="s">
        <v>40</v>
      </c>
      <c r="F4867" t="s">
        <v>41</v>
      </c>
      <c r="G4867" s="89">
        <v>614219</v>
      </c>
      <c r="H4867" t="s">
        <v>145</v>
      </c>
      <c r="I4867" t="s">
        <v>141</v>
      </c>
      <c r="J4867" s="89">
        <v>5527971</v>
      </c>
      <c r="K4867" t="s">
        <v>127</v>
      </c>
      <c r="L4867" t="s">
        <v>128</v>
      </c>
      <c r="N4867">
        <v>1</v>
      </c>
      <c r="O4867" s="89">
        <v>24568.76</v>
      </c>
      <c r="P4867" s="89">
        <v>411526.73</v>
      </c>
      <c r="Q4867" t="s">
        <v>137</v>
      </c>
      <c r="R4867" t="s">
        <v>131</v>
      </c>
    </row>
    <row r="4868" spans="3:18" hidden="1" x14ac:dyDescent="0.25">
      <c r="C4868" t="s">
        <v>45</v>
      </c>
      <c r="D4868" t="s">
        <v>138</v>
      </c>
      <c r="E4868" t="s">
        <v>43</v>
      </c>
      <c r="F4868" t="s">
        <v>41</v>
      </c>
      <c r="G4868" s="89">
        <v>19162</v>
      </c>
      <c r="H4868" t="s">
        <v>42</v>
      </c>
      <c r="I4868" t="s">
        <v>141</v>
      </c>
      <c r="J4868" s="89">
        <v>172458</v>
      </c>
      <c r="K4868" t="s">
        <v>144</v>
      </c>
      <c r="N4868">
        <v>1</v>
      </c>
      <c r="O4868" s="89">
        <v>574.86</v>
      </c>
      <c r="P4868" s="89">
        <v>8239.66</v>
      </c>
      <c r="Q4868" t="s">
        <v>142</v>
      </c>
      <c r="R4868" t="s">
        <v>131</v>
      </c>
    </row>
    <row r="4869" spans="3:18" hidden="1" x14ac:dyDescent="0.25">
      <c r="C4869" t="s">
        <v>45</v>
      </c>
      <c r="D4869" t="s">
        <v>22</v>
      </c>
      <c r="E4869" t="s">
        <v>43</v>
      </c>
      <c r="F4869" t="s">
        <v>41</v>
      </c>
      <c r="G4869" s="89">
        <v>1864429</v>
      </c>
      <c r="H4869" t="s">
        <v>146</v>
      </c>
      <c r="I4869" t="s">
        <v>133</v>
      </c>
      <c r="J4869" s="89">
        <v>59661728</v>
      </c>
      <c r="K4869" t="s">
        <v>127</v>
      </c>
      <c r="L4869" t="s">
        <v>128</v>
      </c>
      <c r="N4869">
        <v>1</v>
      </c>
      <c r="O4869" s="89">
        <v>74577.16</v>
      </c>
      <c r="P4869" s="89">
        <v>1603408.94</v>
      </c>
      <c r="Q4869" t="s">
        <v>135</v>
      </c>
      <c r="R4869" t="s">
        <v>131</v>
      </c>
    </row>
    <row r="4870" spans="3:18" x14ac:dyDescent="0.25">
      <c r="C4870" t="s">
        <v>47</v>
      </c>
      <c r="D4870" t="s">
        <v>20</v>
      </c>
      <c r="E4870" t="s">
        <v>40</v>
      </c>
      <c r="F4870" t="s">
        <v>41</v>
      </c>
      <c r="G4870" s="89">
        <v>32906</v>
      </c>
      <c r="H4870" t="s">
        <v>140</v>
      </c>
      <c r="I4870" t="s">
        <v>147</v>
      </c>
      <c r="J4870" s="89">
        <v>131624</v>
      </c>
      <c r="K4870" t="s">
        <v>127</v>
      </c>
      <c r="L4870" t="s">
        <v>128</v>
      </c>
      <c r="N4870">
        <v>1</v>
      </c>
      <c r="O4870" s="89">
        <v>987.18</v>
      </c>
      <c r="P4870" s="89">
        <v>20730.78</v>
      </c>
      <c r="Q4870" t="s">
        <v>137</v>
      </c>
      <c r="R4870" t="s">
        <v>131</v>
      </c>
    </row>
    <row r="4871" spans="3:18" hidden="1" x14ac:dyDescent="0.25">
      <c r="C4871" t="s">
        <v>45</v>
      </c>
      <c r="D4871" t="s">
        <v>25</v>
      </c>
      <c r="E4871" t="s">
        <v>48</v>
      </c>
      <c r="F4871" t="s">
        <v>41</v>
      </c>
      <c r="G4871" s="89">
        <v>94868</v>
      </c>
      <c r="H4871" t="s">
        <v>145</v>
      </c>
      <c r="I4871" t="s">
        <v>133</v>
      </c>
      <c r="J4871" s="89">
        <v>2846040</v>
      </c>
      <c r="K4871" t="s">
        <v>127</v>
      </c>
      <c r="L4871" t="s">
        <v>128</v>
      </c>
      <c r="N4871">
        <v>1</v>
      </c>
      <c r="O4871" s="89">
        <v>2846.04</v>
      </c>
      <c r="P4871" s="89">
        <v>77791.759999999995</v>
      </c>
      <c r="Q4871" t="s">
        <v>135</v>
      </c>
      <c r="R4871" t="s">
        <v>131</v>
      </c>
    </row>
    <row r="4872" spans="3:18" hidden="1" x14ac:dyDescent="0.25">
      <c r="C4872" t="s">
        <v>45</v>
      </c>
      <c r="D4872" t="s">
        <v>149</v>
      </c>
      <c r="E4872" t="s">
        <v>43</v>
      </c>
      <c r="F4872" t="s">
        <v>41</v>
      </c>
      <c r="G4872" s="89">
        <v>273892</v>
      </c>
      <c r="H4872" t="s">
        <v>145</v>
      </c>
      <c r="I4872" t="s">
        <v>126</v>
      </c>
      <c r="J4872" s="89">
        <v>3834488</v>
      </c>
      <c r="K4872" t="s">
        <v>127</v>
      </c>
      <c r="L4872" t="s">
        <v>128</v>
      </c>
      <c r="N4872">
        <v>1</v>
      </c>
      <c r="O4872" s="89">
        <v>8216.76</v>
      </c>
      <c r="P4872" s="89">
        <v>197202.24</v>
      </c>
      <c r="Q4872" t="s">
        <v>137</v>
      </c>
      <c r="R4872" t="s">
        <v>131</v>
      </c>
    </row>
    <row r="4873" spans="3:18" hidden="1" x14ac:dyDescent="0.25">
      <c r="C4873" t="s">
        <v>45</v>
      </c>
      <c r="D4873" t="s">
        <v>20</v>
      </c>
      <c r="E4873" t="s">
        <v>43</v>
      </c>
      <c r="F4873" t="s">
        <v>53</v>
      </c>
      <c r="G4873" s="89">
        <v>361358</v>
      </c>
      <c r="H4873" t="s">
        <v>42</v>
      </c>
      <c r="I4873" t="s">
        <v>133</v>
      </c>
      <c r="J4873" s="89">
        <v>13008888</v>
      </c>
      <c r="K4873" t="s">
        <v>127</v>
      </c>
      <c r="L4873" t="s">
        <v>128</v>
      </c>
      <c r="M4873" t="s">
        <v>139</v>
      </c>
      <c r="N4873">
        <v>1</v>
      </c>
      <c r="O4873" s="89">
        <v>10840.74</v>
      </c>
      <c r="P4873" s="89">
        <v>158997.51999999999</v>
      </c>
      <c r="Q4873" t="s">
        <v>142</v>
      </c>
      <c r="R4873" t="s">
        <v>42</v>
      </c>
    </row>
    <row r="4874" spans="3:18" x14ac:dyDescent="0.25">
      <c r="C4874" t="s">
        <v>47</v>
      </c>
      <c r="D4874" t="s">
        <v>19</v>
      </c>
      <c r="E4874" t="s">
        <v>48</v>
      </c>
      <c r="F4874" t="s">
        <v>41</v>
      </c>
      <c r="G4874" s="89">
        <v>72101</v>
      </c>
      <c r="H4874" t="s">
        <v>42</v>
      </c>
      <c r="I4874" t="s">
        <v>126</v>
      </c>
      <c r="J4874" s="89">
        <v>721010</v>
      </c>
      <c r="K4874" t="s">
        <v>127</v>
      </c>
      <c r="L4874" t="s">
        <v>128</v>
      </c>
      <c r="M4874" t="s">
        <v>136</v>
      </c>
      <c r="N4874">
        <v>1</v>
      </c>
      <c r="O4874" s="89">
        <v>2163.0300000000002</v>
      </c>
      <c r="P4874" s="89">
        <v>51912.72</v>
      </c>
      <c r="Q4874" t="s">
        <v>137</v>
      </c>
      <c r="R4874" t="s">
        <v>131</v>
      </c>
    </row>
    <row r="4875" spans="3:18" x14ac:dyDescent="0.25">
      <c r="C4875" t="s">
        <v>47</v>
      </c>
      <c r="D4875" t="s">
        <v>22</v>
      </c>
      <c r="E4875" t="s">
        <v>48</v>
      </c>
      <c r="F4875" t="s">
        <v>41</v>
      </c>
      <c r="G4875" s="89">
        <v>78072</v>
      </c>
      <c r="H4875" t="s">
        <v>146</v>
      </c>
      <c r="I4875" t="s">
        <v>141</v>
      </c>
      <c r="J4875" s="89">
        <v>390360</v>
      </c>
      <c r="K4875" t="s">
        <v>127</v>
      </c>
      <c r="L4875" t="s">
        <v>128</v>
      </c>
      <c r="N4875">
        <v>1</v>
      </c>
      <c r="O4875" s="89">
        <v>3122.88</v>
      </c>
      <c r="P4875" s="89">
        <v>26544.48</v>
      </c>
      <c r="Q4875" t="s">
        <v>130</v>
      </c>
      <c r="R4875" t="s">
        <v>131</v>
      </c>
    </row>
    <row r="4876" spans="3:18" x14ac:dyDescent="0.25">
      <c r="C4876" t="s">
        <v>47</v>
      </c>
      <c r="D4876" t="s">
        <v>24</v>
      </c>
      <c r="E4876" t="s">
        <v>48</v>
      </c>
      <c r="F4876" t="s">
        <v>41</v>
      </c>
      <c r="G4876" s="89">
        <v>8003199</v>
      </c>
      <c r="H4876" t="s">
        <v>132</v>
      </c>
      <c r="I4876" t="s">
        <v>126</v>
      </c>
      <c r="J4876" s="89">
        <v>88035189</v>
      </c>
      <c r="K4876" t="s">
        <v>144</v>
      </c>
      <c r="N4876">
        <v>1</v>
      </c>
      <c r="O4876" s="89">
        <v>400159.95</v>
      </c>
      <c r="P4876" s="89">
        <v>6082431.2400000002</v>
      </c>
      <c r="Q4876" t="s">
        <v>137</v>
      </c>
      <c r="R4876" t="s">
        <v>131</v>
      </c>
    </row>
    <row r="4877" spans="3:18" x14ac:dyDescent="0.25">
      <c r="C4877" t="s">
        <v>47</v>
      </c>
      <c r="D4877" t="s">
        <v>23</v>
      </c>
      <c r="E4877" t="s">
        <v>40</v>
      </c>
      <c r="F4877" t="s">
        <v>41</v>
      </c>
      <c r="G4877" s="89">
        <v>385426</v>
      </c>
      <c r="H4877" t="s">
        <v>140</v>
      </c>
      <c r="I4877" t="s">
        <v>126</v>
      </c>
      <c r="J4877" s="89">
        <v>5010538</v>
      </c>
      <c r="K4877" t="s">
        <v>127</v>
      </c>
      <c r="L4877" t="s">
        <v>128</v>
      </c>
      <c r="N4877">
        <v>1</v>
      </c>
      <c r="O4877" s="89">
        <v>19271.3</v>
      </c>
      <c r="P4877" s="89">
        <v>185004.48</v>
      </c>
      <c r="Q4877" t="s">
        <v>142</v>
      </c>
      <c r="R4877" t="s">
        <v>131</v>
      </c>
    </row>
    <row r="4878" spans="3:18" hidden="1" x14ac:dyDescent="0.25">
      <c r="C4878" t="s">
        <v>45</v>
      </c>
      <c r="D4878" t="s">
        <v>23</v>
      </c>
      <c r="E4878" t="s">
        <v>48</v>
      </c>
      <c r="F4878" t="s">
        <v>41</v>
      </c>
      <c r="G4878" s="89">
        <v>1821</v>
      </c>
      <c r="H4878" t="s">
        <v>145</v>
      </c>
      <c r="I4878" t="s">
        <v>141</v>
      </c>
      <c r="J4878" s="89">
        <v>14568</v>
      </c>
      <c r="K4878" t="s">
        <v>127</v>
      </c>
      <c r="L4878" t="s">
        <v>128</v>
      </c>
      <c r="N4878">
        <v>1</v>
      </c>
      <c r="O4878" s="89">
        <v>54.63</v>
      </c>
      <c r="P4878" s="89">
        <v>1311.12</v>
      </c>
      <c r="Q4878" t="s">
        <v>137</v>
      </c>
      <c r="R4878" t="s">
        <v>131</v>
      </c>
    </row>
    <row r="4879" spans="3:18" hidden="1" x14ac:dyDescent="0.25">
      <c r="C4879" t="s">
        <v>45</v>
      </c>
      <c r="D4879" t="s">
        <v>21</v>
      </c>
      <c r="E4879" t="s">
        <v>43</v>
      </c>
      <c r="F4879" t="s">
        <v>41</v>
      </c>
      <c r="G4879" s="89">
        <v>9112</v>
      </c>
      <c r="H4879" t="s">
        <v>132</v>
      </c>
      <c r="I4879" t="s">
        <v>147</v>
      </c>
      <c r="J4879" s="89">
        <v>27336</v>
      </c>
      <c r="K4879" t="s">
        <v>134</v>
      </c>
      <c r="L4879" t="s">
        <v>128</v>
      </c>
      <c r="N4879">
        <v>1</v>
      </c>
      <c r="O4879" s="89">
        <v>273.36</v>
      </c>
      <c r="P4879" s="89">
        <v>911.2</v>
      </c>
      <c r="Q4879" t="s">
        <v>130</v>
      </c>
      <c r="R4879" t="s">
        <v>131</v>
      </c>
    </row>
    <row r="4880" spans="3:18" hidden="1" x14ac:dyDescent="0.25">
      <c r="C4880" t="s">
        <v>45</v>
      </c>
      <c r="D4880" t="s">
        <v>22</v>
      </c>
      <c r="E4880" t="s">
        <v>44</v>
      </c>
      <c r="F4880" t="s">
        <v>41</v>
      </c>
      <c r="G4880" s="89">
        <v>99345</v>
      </c>
      <c r="H4880" t="s">
        <v>42</v>
      </c>
      <c r="I4880" t="s">
        <v>126</v>
      </c>
      <c r="J4880" s="89">
        <v>1788210</v>
      </c>
      <c r="K4880" t="s">
        <v>127</v>
      </c>
      <c r="L4880" t="s">
        <v>128</v>
      </c>
      <c r="M4880" t="s">
        <v>152</v>
      </c>
      <c r="N4880">
        <v>1</v>
      </c>
      <c r="O4880" s="89">
        <v>1986.9</v>
      </c>
      <c r="P4880" s="89">
        <v>44705.25</v>
      </c>
      <c r="Q4880" t="s">
        <v>142</v>
      </c>
      <c r="R4880" t="s">
        <v>42</v>
      </c>
    </row>
    <row r="4881" spans="3:18" hidden="1" x14ac:dyDescent="0.25">
      <c r="C4881" t="s">
        <v>45</v>
      </c>
      <c r="D4881" t="s">
        <v>22</v>
      </c>
      <c r="E4881" t="s">
        <v>43</v>
      </c>
      <c r="F4881" t="s">
        <v>41</v>
      </c>
      <c r="G4881" s="89">
        <v>30157</v>
      </c>
      <c r="H4881" t="s">
        <v>132</v>
      </c>
      <c r="I4881" t="s">
        <v>141</v>
      </c>
      <c r="J4881" s="89">
        <v>150785</v>
      </c>
      <c r="K4881" t="s">
        <v>134</v>
      </c>
      <c r="L4881" t="s">
        <v>151</v>
      </c>
      <c r="N4881">
        <v>1</v>
      </c>
      <c r="O4881" s="89">
        <v>603.14</v>
      </c>
      <c r="P4881" s="89">
        <v>5428.26</v>
      </c>
      <c r="Q4881" t="s">
        <v>130</v>
      </c>
      <c r="R4881" t="s">
        <v>131</v>
      </c>
    </row>
    <row r="4882" spans="3:18" hidden="1" x14ac:dyDescent="0.25">
      <c r="C4882" t="s">
        <v>45</v>
      </c>
      <c r="D4882" t="s">
        <v>138</v>
      </c>
      <c r="E4882" t="s">
        <v>40</v>
      </c>
      <c r="F4882" t="s">
        <v>41</v>
      </c>
      <c r="G4882" s="89">
        <v>72180</v>
      </c>
      <c r="H4882" t="s">
        <v>145</v>
      </c>
      <c r="I4882" t="s">
        <v>133</v>
      </c>
      <c r="J4882" s="89">
        <v>2526300</v>
      </c>
      <c r="K4882" t="s">
        <v>144</v>
      </c>
      <c r="N4882">
        <v>1</v>
      </c>
      <c r="O4882" s="89">
        <v>2165.4</v>
      </c>
      <c r="P4882" s="89">
        <v>33202.800000000003</v>
      </c>
      <c r="Q4882" t="s">
        <v>142</v>
      </c>
      <c r="R4882" t="s">
        <v>131</v>
      </c>
    </row>
    <row r="4883" spans="3:18" x14ac:dyDescent="0.25">
      <c r="C4883" t="s">
        <v>47</v>
      </c>
      <c r="D4883" t="s">
        <v>22</v>
      </c>
      <c r="E4883" t="s">
        <v>43</v>
      </c>
      <c r="F4883" t="s">
        <v>41</v>
      </c>
      <c r="G4883" s="89">
        <v>69757</v>
      </c>
      <c r="H4883" t="s">
        <v>146</v>
      </c>
      <c r="I4883" t="s">
        <v>141</v>
      </c>
      <c r="J4883" s="89">
        <v>627813</v>
      </c>
      <c r="K4883" t="s">
        <v>127</v>
      </c>
      <c r="L4883" t="s">
        <v>128</v>
      </c>
      <c r="N4883">
        <v>1</v>
      </c>
      <c r="O4883" s="89">
        <v>5580.56</v>
      </c>
      <c r="P4883" s="89">
        <v>38366.35</v>
      </c>
      <c r="Q4883" t="s">
        <v>142</v>
      </c>
      <c r="R4883" t="s">
        <v>131</v>
      </c>
    </row>
    <row r="4884" spans="3:18" x14ac:dyDescent="0.25">
      <c r="C4884" t="s">
        <v>47</v>
      </c>
      <c r="D4884" t="s">
        <v>149</v>
      </c>
      <c r="E4884" t="s">
        <v>43</v>
      </c>
      <c r="F4884" t="s">
        <v>41</v>
      </c>
      <c r="G4884" s="89">
        <v>140567</v>
      </c>
      <c r="H4884" t="s">
        <v>140</v>
      </c>
      <c r="I4884" t="s">
        <v>141</v>
      </c>
      <c r="J4884" s="89">
        <v>983969</v>
      </c>
      <c r="K4884" t="s">
        <v>127</v>
      </c>
      <c r="L4884" t="s">
        <v>128</v>
      </c>
      <c r="N4884">
        <v>1</v>
      </c>
      <c r="O4884" s="89">
        <v>7028.35</v>
      </c>
      <c r="P4884" s="89">
        <v>74500.509999999995</v>
      </c>
      <c r="Q4884" t="s">
        <v>142</v>
      </c>
      <c r="R4884" t="s">
        <v>131</v>
      </c>
    </row>
    <row r="4885" spans="3:18" hidden="1" x14ac:dyDescent="0.25">
      <c r="C4885" t="s">
        <v>45</v>
      </c>
      <c r="D4885" t="s">
        <v>24</v>
      </c>
      <c r="E4885" t="s">
        <v>48</v>
      </c>
      <c r="F4885" t="s">
        <v>41</v>
      </c>
      <c r="G4885" s="89">
        <v>435000</v>
      </c>
      <c r="H4885" t="s">
        <v>42</v>
      </c>
      <c r="I4885" t="s">
        <v>133</v>
      </c>
      <c r="J4885" s="89">
        <v>16530000</v>
      </c>
      <c r="K4885" t="s">
        <v>144</v>
      </c>
      <c r="N4885">
        <v>1</v>
      </c>
      <c r="O4885" s="89">
        <v>8700</v>
      </c>
      <c r="P4885" s="89">
        <v>435000</v>
      </c>
      <c r="Q4885" t="s">
        <v>150</v>
      </c>
      <c r="R4885" t="s">
        <v>42</v>
      </c>
    </row>
    <row r="4886" spans="3:18" hidden="1" x14ac:dyDescent="0.25">
      <c r="C4886" t="s">
        <v>45</v>
      </c>
      <c r="D4886" t="s">
        <v>24</v>
      </c>
      <c r="E4886" t="s">
        <v>48</v>
      </c>
      <c r="F4886" t="s">
        <v>41</v>
      </c>
      <c r="G4886" s="89">
        <v>44257</v>
      </c>
      <c r="H4886" t="s">
        <v>42</v>
      </c>
      <c r="I4886" t="s">
        <v>133</v>
      </c>
      <c r="J4886" s="89">
        <v>1593252</v>
      </c>
      <c r="K4886" t="s">
        <v>134</v>
      </c>
      <c r="L4886" t="s">
        <v>128</v>
      </c>
      <c r="M4886" t="s">
        <v>148</v>
      </c>
      <c r="N4886">
        <v>1</v>
      </c>
      <c r="O4886" s="89">
        <v>1327.71</v>
      </c>
      <c r="P4886" s="89">
        <v>36733.31</v>
      </c>
      <c r="Q4886" t="s">
        <v>135</v>
      </c>
      <c r="R4886" t="s">
        <v>131</v>
      </c>
    </row>
    <row r="4887" spans="3:18" hidden="1" x14ac:dyDescent="0.25">
      <c r="C4887" t="s">
        <v>45</v>
      </c>
      <c r="D4887" t="s">
        <v>22</v>
      </c>
      <c r="E4887" t="s">
        <v>40</v>
      </c>
      <c r="F4887" t="s">
        <v>41</v>
      </c>
      <c r="G4887" s="89">
        <v>77996</v>
      </c>
      <c r="H4887" t="s">
        <v>140</v>
      </c>
      <c r="I4887" t="s">
        <v>126</v>
      </c>
      <c r="J4887" s="89">
        <v>857956</v>
      </c>
      <c r="K4887" t="s">
        <v>134</v>
      </c>
      <c r="L4887" t="s">
        <v>151</v>
      </c>
      <c r="N4887">
        <v>1</v>
      </c>
      <c r="O4887" s="89">
        <v>2339.88</v>
      </c>
      <c r="P4887" s="89">
        <v>21058.92</v>
      </c>
      <c r="Q4887" t="s">
        <v>130</v>
      </c>
      <c r="R4887" t="s">
        <v>131</v>
      </c>
    </row>
    <row r="4888" spans="3:18" hidden="1" x14ac:dyDescent="0.25">
      <c r="C4888" t="s">
        <v>45</v>
      </c>
      <c r="D4888" t="s">
        <v>21</v>
      </c>
      <c r="E4888" t="s">
        <v>43</v>
      </c>
      <c r="F4888" t="s">
        <v>41</v>
      </c>
      <c r="G4888" s="89">
        <v>90944</v>
      </c>
      <c r="H4888" t="s">
        <v>140</v>
      </c>
      <c r="I4888" t="s">
        <v>147</v>
      </c>
      <c r="J4888" s="89">
        <v>272832</v>
      </c>
      <c r="K4888" t="s">
        <v>127</v>
      </c>
      <c r="L4888" t="s">
        <v>128</v>
      </c>
      <c r="N4888">
        <v>1</v>
      </c>
      <c r="O4888" s="89">
        <v>5456.64</v>
      </c>
      <c r="P4888" s="89">
        <v>117317.75999999999</v>
      </c>
      <c r="Q4888" t="s">
        <v>150</v>
      </c>
      <c r="R4888" t="s">
        <v>131</v>
      </c>
    </row>
    <row r="4889" spans="3:18" hidden="1" x14ac:dyDescent="0.25">
      <c r="C4889" t="s">
        <v>45</v>
      </c>
      <c r="D4889" t="s">
        <v>21</v>
      </c>
      <c r="E4889" t="s">
        <v>43</v>
      </c>
      <c r="F4889" t="s">
        <v>53</v>
      </c>
      <c r="G4889" s="89">
        <v>35061</v>
      </c>
      <c r="H4889" t="s">
        <v>145</v>
      </c>
      <c r="I4889" t="s">
        <v>126</v>
      </c>
      <c r="J4889" s="89">
        <v>596037</v>
      </c>
      <c r="K4889" t="s">
        <v>127</v>
      </c>
      <c r="L4889" t="s">
        <v>128</v>
      </c>
      <c r="N4889">
        <v>1</v>
      </c>
      <c r="O4889" s="89">
        <v>1051.83</v>
      </c>
      <c r="P4889" s="89">
        <v>13673.79</v>
      </c>
      <c r="Q4889" t="s">
        <v>130</v>
      </c>
      <c r="R4889" t="s">
        <v>131</v>
      </c>
    </row>
    <row r="4890" spans="3:18" x14ac:dyDescent="0.25">
      <c r="C4890" t="s">
        <v>47</v>
      </c>
      <c r="D4890" t="s">
        <v>21</v>
      </c>
      <c r="E4890" t="s">
        <v>40</v>
      </c>
      <c r="F4890" t="s">
        <v>41</v>
      </c>
      <c r="G4890" s="89">
        <v>676965</v>
      </c>
      <c r="H4890" t="s">
        <v>140</v>
      </c>
      <c r="I4890" t="s">
        <v>153</v>
      </c>
      <c r="J4890" s="89"/>
      <c r="K4890" t="s">
        <v>127</v>
      </c>
      <c r="L4890" t="s">
        <v>128</v>
      </c>
      <c r="N4890">
        <v>0</v>
      </c>
      <c r="O4890" s="89">
        <v>27078.6</v>
      </c>
      <c r="P4890" s="89">
        <v>440027.25</v>
      </c>
      <c r="Q4890" t="s">
        <v>137</v>
      </c>
      <c r="R4890" t="s">
        <v>131</v>
      </c>
    </row>
    <row r="4891" spans="3:18" x14ac:dyDescent="0.25">
      <c r="C4891" t="s">
        <v>47</v>
      </c>
      <c r="D4891" t="s">
        <v>23</v>
      </c>
      <c r="E4891" t="s">
        <v>48</v>
      </c>
      <c r="F4891" t="s">
        <v>41</v>
      </c>
      <c r="G4891" s="89">
        <v>20048</v>
      </c>
      <c r="H4891" t="s">
        <v>146</v>
      </c>
      <c r="I4891" t="s">
        <v>147</v>
      </c>
      <c r="J4891" s="89">
        <v>80192</v>
      </c>
      <c r="K4891" t="s">
        <v>127</v>
      </c>
      <c r="L4891" t="s">
        <v>128</v>
      </c>
      <c r="N4891">
        <v>1</v>
      </c>
      <c r="O4891" s="89">
        <v>1403.36</v>
      </c>
      <c r="P4891" s="89">
        <v>8620.64</v>
      </c>
      <c r="Q4891" t="s">
        <v>142</v>
      </c>
      <c r="R4891" t="s">
        <v>131</v>
      </c>
    </row>
    <row r="4892" spans="3:18" hidden="1" x14ac:dyDescent="0.25">
      <c r="C4892" t="s">
        <v>45</v>
      </c>
      <c r="D4892" t="s">
        <v>23</v>
      </c>
      <c r="E4892" t="s">
        <v>46</v>
      </c>
      <c r="F4892" t="s">
        <v>41</v>
      </c>
      <c r="G4892" s="89">
        <v>91912</v>
      </c>
      <c r="H4892" t="s">
        <v>42</v>
      </c>
      <c r="I4892" t="s">
        <v>133</v>
      </c>
      <c r="J4892" s="89">
        <v>2205888</v>
      </c>
      <c r="K4892" t="s">
        <v>134</v>
      </c>
      <c r="L4892" t="s">
        <v>128</v>
      </c>
      <c r="M4892" t="s">
        <v>152</v>
      </c>
      <c r="N4892">
        <v>1</v>
      </c>
      <c r="O4892" s="89">
        <v>2757.36</v>
      </c>
      <c r="P4892" s="89">
        <v>69853.119999999995</v>
      </c>
      <c r="Q4892" t="s">
        <v>137</v>
      </c>
      <c r="R4892" t="s">
        <v>42</v>
      </c>
    </row>
    <row r="4893" spans="3:18" hidden="1" x14ac:dyDescent="0.25">
      <c r="C4893" t="s">
        <v>45</v>
      </c>
      <c r="D4893" t="s">
        <v>22</v>
      </c>
      <c r="E4893" t="s">
        <v>40</v>
      </c>
      <c r="F4893" t="s">
        <v>53</v>
      </c>
      <c r="G4893" s="89">
        <v>159828</v>
      </c>
      <c r="H4893" t="s">
        <v>42</v>
      </c>
      <c r="I4893" t="s">
        <v>126</v>
      </c>
      <c r="J4893" s="89">
        <v>2717076</v>
      </c>
      <c r="K4893" t="s">
        <v>144</v>
      </c>
      <c r="N4893">
        <v>1</v>
      </c>
      <c r="O4893" s="89">
        <v>4794.84</v>
      </c>
      <c r="P4893" s="89">
        <v>131058.96</v>
      </c>
      <c r="Q4893" t="s">
        <v>135</v>
      </c>
      <c r="R4893" t="s">
        <v>42</v>
      </c>
    </row>
    <row r="4894" spans="3:18" x14ac:dyDescent="0.25">
      <c r="C4894" t="s">
        <v>47</v>
      </c>
      <c r="D4894" t="s">
        <v>19</v>
      </c>
      <c r="E4894" t="s">
        <v>40</v>
      </c>
      <c r="F4894" t="s">
        <v>41</v>
      </c>
      <c r="G4894" s="89">
        <v>383</v>
      </c>
      <c r="H4894" t="s">
        <v>140</v>
      </c>
      <c r="I4894" t="s">
        <v>147</v>
      </c>
      <c r="J4894" s="89"/>
      <c r="K4894" t="s">
        <v>127</v>
      </c>
      <c r="L4894" t="s">
        <v>128</v>
      </c>
      <c r="N4894">
        <v>0</v>
      </c>
      <c r="O4894" s="89">
        <v>7.66</v>
      </c>
      <c r="P4894" s="89">
        <v>0</v>
      </c>
      <c r="Q4894" t="s">
        <v>130</v>
      </c>
      <c r="R4894" t="s">
        <v>131</v>
      </c>
    </row>
    <row r="4895" spans="3:18" hidden="1" x14ac:dyDescent="0.25">
      <c r="C4895" t="s">
        <v>45</v>
      </c>
      <c r="D4895" t="s">
        <v>21</v>
      </c>
      <c r="E4895" t="s">
        <v>43</v>
      </c>
      <c r="F4895" t="s">
        <v>41</v>
      </c>
      <c r="G4895" s="89">
        <v>35236572</v>
      </c>
      <c r="H4895" t="s">
        <v>140</v>
      </c>
      <c r="I4895" t="s">
        <v>126</v>
      </c>
      <c r="J4895" s="89">
        <v>599021724</v>
      </c>
      <c r="K4895" t="s">
        <v>127</v>
      </c>
      <c r="L4895" t="s">
        <v>128</v>
      </c>
      <c r="N4895">
        <v>1</v>
      </c>
      <c r="O4895" s="89">
        <v>1057097.1599999999</v>
      </c>
      <c r="P4895" s="89">
        <v>23608503.239999998</v>
      </c>
      <c r="Q4895" t="s">
        <v>137</v>
      </c>
      <c r="R4895" t="s">
        <v>131</v>
      </c>
    </row>
    <row r="4896" spans="3:18" hidden="1" x14ac:dyDescent="0.25">
      <c r="C4896" t="s">
        <v>45</v>
      </c>
      <c r="D4896" t="s">
        <v>20</v>
      </c>
      <c r="E4896" t="s">
        <v>43</v>
      </c>
      <c r="F4896" t="s">
        <v>41</v>
      </c>
      <c r="G4896" s="89">
        <v>1756948</v>
      </c>
      <c r="H4896" t="s">
        <v>132</v>
      </c>
      <c r="I4896" t="s">
        <v>126</v>
      </c>
      <c r="J4896" s="89">
        <v>29868116</v>
      </c>
      <c r="K4896" t="s">
        <v>127</v>
      </c>
      <c r="L4896" t="s">
        <v>128</v>
      </c>
      <c r="N4896">
        <v>1</v>
      </c>
      <c r="O4896" s="89">
        <v>52708.44</v>
      </c>
      <c r="P4896" s="89">
        <v>1159585.68</v>
      </c>
      <c r="Q4896" t="s">
        <v>137</v>
      </c>
      <c r="R4896" t="s">
        <v>131</v>
      </c>
    </row>
    <row r="4897" spans="3:18" hidden="1" x14ac:dyDescent="0.25">
      <c r="C4897" t="s">
        <v>45</v>
      </c>
      <c r="D4897" t="s">
        <v>22</v>
      </c>
      <c r="E4897" t="s">
        <v>40</v>
      </c>
      <c r="F4897" t="s">
        <v>41</v>
      </c>
      <c r="G4897" s="89">
        <v>133300</v>
      </c>
      <c r="H4897" t="s">
        <v>132</v>
      </c>
      <c r="I4897" t="s">
        <v>141</v>
      </c>
      <c r="J4897" s="89">
        <v>799800</v>
      </c>
      <c r="K4897" t="s">
        <v>127</v>
      </c>
      <c r="L4897" t="s">
        <v>128</v>
      </c>
      <c r="N4897">
        <v>1</v>
      </c>
      <c r="O4897" s="89">
        <v>6665</v>
      </c>
      <c r="P4897" s="89">
        <v>143964</v>
      </c>
      <c r="Q4897" t="s">
        <v>150</v>
      </c>
      <c r="R4897" t="s">
        <v>131</v>
      </c>
    </row>
    <row r="4898" spans="3:18" hidden="1" x14ac:dyDescent="0.25">
      <c r="C4898" t="s">
        <v>45</v>
      </c>
      <c r="D4898" t="s">
        <v>20</v>
      </c>
      <c r="E4898" t="s">
        <v>43</v>
      </c>
      <c r="F4898" t="s">
        <v>41</v>
      </c>
      <c r="G4898" s="89">
        <v>411312</v>
      </c>
      <c r="H4898" t="s">
        <v>42</v>
      </c>
      <c r="I4898" t="s">
        <v>141</v>
      </c>
      <c r="J4898" s="89">
        <v>3701808</v>
      </c>
      <c r="K4898" t="s">
        <v>127</v>
      </c>
      <c r="L4898" t="s">
        <v>128</v>
      </c>
      <c r="M4898" t="s">
        <v>139</v>
      </c>
      <c r="N4898">
        <v>1</v>
      </c>
      <c r="O4898" s="89">
        <v>16452.48</v>
      </c>
      <c r="P4898" s="89">
        <v>255013.44</v>
      </c>
      <c r="Q4898" t="s">
        <v>137</v>
      </c>
      <c r="R4898" t="s">
        <v>131</v>
      </c>
    </row>
    <row r="4899" spans="3:18" hidden="1" x14ac:dyDescent="0.25">
      <c r="C4899" t="s">
        <v>45</v>
      </c>
      <c r="D4899" t="s">
        <v>22</v>
      </c>
      <c r="E4899" t="s">
        <v>40</v>
      </c>
      <c r="F4899" t="s">
        <v>41</v>
      </c>
      <c r="G4899" s="89">
        <v>76735</v>
      </c>
      <c r="H4899" t="s">
        <v>42</v>
      </c>
      <c r="I4899" t="s">
        <v>141</v>
      </c>
      <c r="J4899" s="89">
        <v>690615</v>
      </c>
      <c r="K4899" t="s">
        <v>144</v>
      </c>
      <c r="N4899">
        <v>1</v>
      </c>
      <c r="O4899" s="89">
        <v>2302.0500000000002</v>
      </c>
      <c r="P4899" s="89">
        <v>14579.65</v>
      </c>
      <c r="Q4899" t="s">
        <v>130</v>
      </c>
      <c r="R4899" t="s">
        <v>42</v>
      </c>
    </row>
    <row r="4900" spans="3:18" hidden="1" x14ac:dyDescent="0.25">
      <c r="C4900" t="s">
        <v>45</v>
      </c>
      <c r="D4900" t="s">
        <v>138</v>
      </c>
      <c r="E4900" t="s">
        <v>52</v>
      </c>
      <c r="F4900" t="s">
        <v>41</v>
      </c>
      <c r="G4900" s="89">
        <v>398996</v>
      </c>
      <c r="H4900" t="s">
        <v>42</v>
      </c>
      <c r="I4900" t="s">
        <v>133</v>
      </c>
      <c r="J4900" s="89">
        <v>14762852</v>
      </c>
      <c r="K4900" t="s">
        <v>127</v>
      </c>
      <c r="L4900" t="s">
        <v>128</v>
      </c>
      <c r="M4900" t="s">
        <v>139</v>
      </c>
      <c r="N4900">
        <v>1</v>
      </c>
      <c r="O4900" s="89">
        <v>11969.88</v>
      </c>
      <c r="P4900" s="89">
        <v>303236.96000000002</v>
      </c>
      <c r="Q4900" t="s">
        <v>137</v>
      </c>
      <c r="R4900" t="s">
        <v>42</v>
      </c>
    </row>
    <row r="4901" spans="3:18" x14ac:dyDescent="0.25">
      <c r="C4901" t="s">
        <v>47</v>
      </c>
      <c r="D4901" t="s">
        <v>19</v>
      </c>
      <c r="E4901" t="s">
        <v>43</v>
      </c>
      <c r="F4901" t="s">
        <v>41</v>
      </c>
      <c r="G4901" s="89">
        <v>46927</v>
      </c>
      <c r="H4901" t="s">
        <v>145</v>
      </c>
      <c r="I4901" t="s">
        <v>141</v>
      </c>
      <c r="J4901" s="89">
        <v>375416</v>
      </c>
      <c r="K4901" t="s">
        <v>127</v>
      </c>
      <c r="L4901" t="s">
        <v>128</v>
      </c>
      <c r="N4901">
        <v>1</v>
      </c>
      <c r="O4901" s="89">
        <v>1877.08</v>
      </c>
      <c r="P4901" s="89">
        <v>26279.119999999999</v>
      </c>
      <c r="Q4901" t="s">
        <v>142</v>
      </c>
      <c r="R4901" t="s">
        <v>131</v>
      </c>
    </row>
    <row r="4902" spans="3:18" hidden="1" x14ac:dyDescent="0.25">
      <c r="C4902" t="s">
        <v>45</v>
      </c>
      <c r="D4902" t="s">
        <v>20</v>
      </c>
      <c r="E4902" t="s">
        <v>43</v>
      </c>
      <c r="F4902" t="s">
        <v>41</v>
      </c>
      <c r="G4902" s="89">
        <v>588575</v>
      </c>
      <c r="H4902" t="s">
        <v>132</v>
      </c>
      <c r="I4902" t="s">
        <v>126</v>
      </c>
      <c r="J4902" s="89">
        <v>9417200</v>
      </c>
      <c r="K4902" t="s">
        <v>144</v>
      </c>
      <c r="N4902">
        <v>1</v>
      </c>
      <c r="O4902" s="89">
        <v>17657.25</v>
      </c>
      <c r="P4902" s="89">
        <v>258973</v>
      </c>
      <c r="Q4902" t="s">
        <v>142</v>
      </c>
      <c r="R4902" t="s">
        <v>131</v>
      </c>
    </row>
    <row r="4903" spans="3:18" hidden="1" x14ac:dyDescent="0.25">
      <c r="C4903" t="s">
        <v>45</v>
      </c>
      <c r="D4903" t="s">
        <v>23</v>
      </c>
      <c r="E4903" t="s">
        <v>48</v>
      </c>
      <c r="F4903" t="s">
        <v>41</v>
      </c>
      <c r="G4903" s="89">
        <v>4645700</v>
      </c>
      <c r="H4903" t="s">
        <v>42</v>
      </c>
      <c r="I4903" t="s">
        <v>126</v>
      </c>
      <c r="J4903" s="89">
        <v>69685500</v>
      </c>
      <c r="K4903" t="s">
        <v>127</v>
      </c>
      <c r="L4903" t="s">
        <v>128</v>
      </c>
      <c r="M4903" t="s">
        <v>152</v>
      </c>
      <c r="N4903">
        <v>1</v>
      </c>
      <c r="O4903" s="89">
        <v>139371</v>
      </c>
      <c r="P4903" s="89">
        <v>1393710</v>
      </c>
      <c r="Q4903" t="s">
        <v>130</v>
      </c>
      <c r="R4903" t="s">
        <v>131</v>
      </c>
    </row>
    <row r="4904" spans="3:18" hidden="1" x14ac:dyDescent="0.25">
      <c r="C4904" t="s">
        <v>45</v>
      </c>
      <c r="D4904" t="s">
        <v>19</v>
      </c>
      <c r="E4904" t="s">
        <v>43</v>
      </c>
      <c r="F4904" t="s">
        <v>41</v>
      </c>
      <c r="G4904" s="89">
        <v>6836771</v>
      </c>
      <c r="H4904" t="s">
        <v>42</v>
      </c>
      <c r="I4904" t="s">
        <v>133</v>
      </c>
      <c r="J4904" s="89">
        <v>211939901</v>
      </c>
      <c r="K4904" t="s">
        <v>144</v>
      </c>
      <c r="N4904">
        <v>1</v>
      </c>
      <c r="O4904" s="89">
        <v>205103.13</v>
      </c>
      <c r="P4904" s="89">
        <v>3555120.92</v>
      </c>
      <c r="Q4904" t="s">
        <v>142</v>
      </c>
      <c r="R4904" t="s">
        <v>131</v>
      </c>
    </row>
    <row r="4905" spans="3:18" x14ac:dyDescent="0.25">
      <c r="C4905" t="s">
        <v>47</v>
      </c>
      <c r="D4905" t="s">
        <v>21</v>
      </c>
      <c r="E4905" t="s">
        <v>43</v>
      </c>
      <c r="F4905" t="s">
        <v>41</v>
      </c>
      <c r="G4905" s="89">
        <v>8103685</v>
      </c>
      <c r="H4905" t="s">
        <v>140</v>
      </c>
      <c r="I4905" t="s">
        <v>126</v>
      </c>
      <c r="J4905" s="89">
        <v>105347905</v>
      </c>
      <c r="K4905" t="s">
        <v>127</v>
      </c>
      <c r="L4905" t="s">
        <v>128</v>
      </c>
      <c r="N4905">
        <v>1</v>
      </c>
      <c r="O4905" s="89">
        <v>324147.40000000002</v>
      </c>
      <c r="P4905" s="89">
        <v>7860574.4500000002</v>
      </c>
      <c r="Q4905" t="s">
        <v>135</v>
      </c>
      <c r="R4905" t="s">
        <v>131</v>
      </c>
    </row>
    <row r="4906" spans="3:18" x14ac:dyDescent="0.25">
      <c r="C4906" t="s">
        <v>47</v>
      </c>
      <c r="D4906" t="s">
        <v>20</v>
      </c>
      <c r="E4906" t="s">
        <v>43</v>
      </c>
      <c r="F4906" t="s">
        <v>41</v>
      </c>
      <c r="G4906" s="89">
        <v>163840</v>
      </c>
      <c r="H4906" t="s">
        <v>140</v>
      </c>
      <c r="I4906" t="s">
        <v>141</v>
      </c>
      <c r="J4906" s="89">
        <v>1474560</v>
      </c>
      <c r="K4906" t="s">
        <v>127</v>
      </c>
      <c r="L4906" t="s">
        <v>128</v>
      </c>
      <c r="N4906">
        <v>1</v>
      </c>
      <c r="O4906" s="89">
        <v>11468.8</v>
      </c>
      <c r="P4906" s="89">
        <v>127795.2</v>
      </c>
      <c r="Q4906" t="s">
        <v>137</v>
      </c>
      <c r="R4906" t="s">
        <v>131</v>
      </c>
    </row>
    <row r="4907" spans="3:18" hidden="1" x14ac:dyDescent="0.25">
      <c r="C4907" t="s">
        <v>45</v>
      </c>
      <c r="D4907" t="s">
        <v>24</v>
      </c>
      <c r="E4907" t="s">
        <v>48</v>
      </c>
      <c r="F4907" t="s">
        <v>41</v>
      </c>
      <c r="G4907" s="89">
        <v>53686123</v>
      </c>
      <c r="H4907" t="s">
        <v>42</v>
      </c>
      <c r="I4907" t="s">
        <v>133</v>
      </c>
      <c r="J4907" s="89">
        <v>1771642059</v>
      </c>
      <c r="K4907" t="s">
        <v>127</v>
      </c>
      <c r="L4907" t="s">
        <v>128</v>
      </c>
      <c r="M4907" t="s">
        <v>148</v>
      </c>
      <c r="N4907">
        <v>1</v>
      </c>
      <c r="O4907" s="89">
        <v>1610583.69</v>
      </c>
      <c r="P4907" s="89">
        <v>44559482.090000004</v>
      </c>
      <c r="Q4907" t="s">
        <v>135</v>
      </c>
      <c r="R4907" t="s">
        <v>131</v>
      </c>
    </row>
    <row r="4908" spans="3:18" hidden="1" x14ac:dyDescent="0.25">
      <c r="C4908" t="s">
        <v>45</v>
      </c>
      <c r="D4908" t="s">
        <v>19</v>
      </c>
      <c r="E4908" t="s">
        <v>43</v>
      </c>
      <c r="F4908" t="s">
        <v>41</v>
      </c>
      <c r="G4908" s="89">
        <v>542752</v>
      </c>
      <c r="H4908" t="s">
        <v>140</v>
      </c>
      <c r="I4908" t="s">
        <v>126</v>
      </c>
      <c r="J4908" s="89">
        <v>7598528</v>
      </c>
      <c r="K4908" t="s">
        <v>134</v>
      </c>
      <c r="L4908" t="s">
        <v>128</v>
      </c>
      <c r="N4908">
        <v>1</v>
      </c>
      <c r="O4908" s="89">
        <v>21710.080000000002</v>
      </c>
      <c r="P4908" s="89">
        <v>260520.95999999999</v>
      </c>
      <c r="Q4908" t="s">
        <v>142</v>
      </c>
      <c r="R4908" t="s">
        <v>131</v>
      </c>
    </row>
    <row r="4909" spans="3:18" x14ac:dyDescent="0.25">
      <c r="C4909" t="s">
        <v>47</v>
      </c>
      <c r="D4909" t="s">
        <v>22</v>
      </c>
      <c r="E4909" t="s">
        <v>52</v>
      </c>
      <c r="F4909" t="s">
        <v>41</v>
      </c>
      <c r="G4909" s="89">
        <v>687455</v>
      </c>
      <c r="H4909" t="s">
        <v>42</v>
      </c>
      <c r="I4909" t="s">
        <v>126</v>
      </c>
      <c r="J4909" s="89">
        <v>9624370</v>
      </c>
      <c r="K4909" t="s">
        <v>144</v>
      </c>
      <c r="N4909">
        <v>1</v>
      </c>
      <c r="O4909" s="89">
        <v>27498.2</v>
      </c>
      <c r="P4909" s="89">
        <v>446845.75</v>
      </c>
      <c r="Q4909" t="s">
        <v>137</v>
      </c>
      <c r="R4909" t="s">
        <v>42</v>
      </c>
    </row>
    <row r="4910" spans="3:18" hidden="1" x14ac:dyDescent="0.25">
      <c r="C4910" t="s">
        <v>45</v>
      </c>
      <c r="D4910" t="s">
        <v>21</v>
      </c>
      <c r="E4910" t="s">
        <v>40</v>
      </c>
      <c r="F4910" t="s">
        <v>53</v>
      </c>
      <c r="G4910" s="89">
        <v>864250</v>
      </c>
      <c r="H4910" t="s">
        <v>42</v>
      </c>
      <c r="I4910" t="s">
        <v>126</v>
      </c>
      <c r="J4910" s="89">
        <v>14692250</v>
      </c>
      <c r="K4910" t="s">
        <v>144</v>
      </c>
      <c r="N4910">
        <v>1</v>
      </c>
      <c r="O4910" s="89">
        <v>25927.5</v>
      </c>
      <c r="P4910" s="89">
        <v>544477.5</v>
      </c>
      <c r="Q4910" t="s">
        <v>137</v>
      </c>
      <c r="R4910" t="s">
        <v>42</v>
      </c>
    </row>
    <row r="4911" spans="3:18" hidden="1" x14ac:dyDescent="0.25">
      <c r="C4911" t="s">
        <v>45</v>
      </c>
      <c r="D4911" t="s">
        <v>149</v>
      </c>
      <c r="E4911" t="s">
        <v>43</v>
      </c>
      <c r="F4911" t="s">
        <v>41</v>
      </c>
      <c r="G4911" s="89">
        <v>65993</v>
      </c>
      <c r="H4911" t="s">
        <v>42</v>
      </c>
      <c r="I4911" t="s">
        <v>133</v>
      </c>
      <c r="J4911" s="89">
        <v>2111776</v>
      </c>
      <c r="K4911" t="s">
        <v>127</v>
      </c>
      <c r="L4911" t="s">
        <v>128</v>
      </c>
      <c r="M4911" t="s">
        <v>139</v>
      </c>
      <c r="N4911">
        <v>1</v>
      </c>
      <c r="O4911" s="89">
        <v>1979.79</v>
      </c>
      <c r="P4911" s="89">
        <v>25077.34</v>
      </c>
      <c r="Q4911" t="s">
        <v>130</v>
      </c>
      <c r="R4911" t="s">
        <v>42</v>
      </c>
    </row>
    <row r="4912" spans="3:18" hidden="1" x14ac:dyDescent="0.25">
      <c r="C4912" t="s">
        <v>45</v>
      </c>
      <c r="D4912" t="s">
        <v>24</v>
      </c>
      <c r="E4912" t="s">
        <v>40</v>
      </c>
      <c r="F4912" t="s">
        <v>41</v>
      </c>
      <c r="G4912" s="89">
        <v>1174695</v>
      </c>
      <c r="H4912" t="s">
        <v>42</v>
      </c>
      <c r="I4912" t="s">
        <v>133</v>
      </c>
      <c r="J4912" s="89">
        <v>36415545</v>
      </c>
      <c r="K4912" t="s">
        <v>127</v>
      </c>
      <c r="L4912" t="s">
        <v>128</v>
      </c>
      <c r="M4912" t="s">
        <v>148</v>
      </c>
      <c r="N4912">
        <v>1</v>
      </c>
      <c r="O4912" s="89">
        <v>46987.8</v>
      </c>
      <c r="P4912" s="89">
        <v>810539.55</v>
      </c>
      <c r="Q4912" t="s">
        <v>137</v>
      </c>
      <c r="R4912" t="s">
        <v>42</v>
      </c>
    </row>
    <row r="4913" spans="3:18" hidden="1" x14ac:dyDescent="0.25">
      <c r="C4913" t="s">
        <v>45</v>
      </c>
      <c r="D4913" t="s">
        <v>24</v>
      </c>
      <c r="E4913" t="s">
        <v>43</v>
      </c>
      <c r="F4913" t="s">
        <v>41</v>
      </c>
      <c r="G4913" s="89">
        <v>173313</v>
      </c>
      <c r="H4913" t="s">
        <v>42</v>
      </c>
      <c r="I4913" t="s">
        <v>133</v>
      </c>
      <c r="J4913" s="89">
        <v>5546016</v>
      </c>
      <c r="K4913" t="s">
        <v>144</v>
      </c>
      <c r="N4913">
        <v>1</v>
      </c>
      <c r="O4913" s="89">
        <v>5199.3900000000003</v>
      </c>
      <c r="P4913" s="89">
        <v>38128.86</v>
      </c>
      <c r="Q4913" t="s">
        <v>130</v>
      </c>
      <c r="R4913" t="s">
        <v>42</v>
      </c>
    </row>
    <row r="4914" spans="3:18" hidden="1" x14ac:dyDescent="0.25">
      <c r="C4914" t="s">
        <v>45</v>
      </c>
      <c r="D4914" t="s">
        <v>19</v>
      </c>
      <c r="E4914" t="s">
        <v>43</v>
      </c>
      <c r="F4914" t="s">
        <v>41</v>
      </c>
      <c r="G4914" s="89">
        <v>43612</v>
      </c>
      <c r="H4914" t="s">
        <v>146</v>
      </c>
      <c r="I4914" t="s">
        <v>133</v>
      </c>
      <c r="J4914" s="89">
        <v>1133912</v>
      </c>
      <c r="K4914" t="s">
        <v>144</v>
      </c>
      <c r="N4914">
        <v>1</v>
      </c>
      <c r="O4914" s="89">
        <v>1308.3599999999999</v>
      </c>
      <c r="P4914" s="89">
        <v>65418</v>
      </c>
      <c r="Q4914" t="s">
        <v>150</v>
      </c>
      <c r="R4914" t="s">
        <v>131</v>
      </c>
    </row>
    <row r="4915" spans="3:18" x14ac:dyDescent="0.25">
      <c r="C4915" t="s">
        <v>47</v>
      </c>
      <c r="D4915" t="s">
        <v>138</v>
      </c>
      <c r="E4915" t="s">
        <v>40</v>
      </c>
      <c r="F4915" t="s">
        <v>41</v>
      </c>
      <c r="G4915" s="89">
        <v>1430658</v>
      </c>
      <c r="H4915" t="s">
        <v>140</v>
      </c>
      <c r="I4915" t="s">
        <v>126</v>
      </c>
      <c r="J4915" s="89">
        <v>17167896</v>
      </c>
      <c r="K4915" t="s">
        <v>127</v>
      </c>
      <c r="L4915" t="s">
        <v>128</v>
      </c>
      <c r="N4915">
        <v>1</v>
      </c>
      <c r="O4915" s="89">
        <v>71532.899999999994</v>
      </c>
      <c r="P4915" s="89">
        <v>1158832.98</v>
      </c>
      <c r="Q4915" t="s">
        <v>135</v>
      </c>
      <c r="R4915" t="s">
        <v>131</v>
      </c>
    </row>
    <row r="4916" spans="3:18" hidden="1" x14ac:dyDescent="0.25">
      <c r="C4916" t="s">
        <v>45</v>
      </c>
      <c r="D4916" t="s">
        <v>24</v>
      </c>
      <c r="E4916" t="s">
        <v>48</v>
      </c>
      <c r="F4916" t="s">
        <v>41</v>
      </c>
      <c r="G4916" s="89">
        <v>486238</v>
      </c>
      <c r="H4916" t="s">
        <v>132</v>
      </c>
      <c r="I4916" t="s">
        <v>133</v>
      </c>
      <c r="J4916" s="89">
        <v>16532092</v>
      </c>
      <c r="K4916" t="s">
        <v>134</v>
      </c>
      <c r="L4916" t="s">
        <v>128</v>
      </c>
      <c r="N4916">
        <v>1</v>
      </c>
      <c r="O4916" s="89">
        <v>9724.76</v>
      </c>
      <c r="P4916" s="89">
        <v>447338.96</v>
      </c>
      <c r="Q4916" t="s">
        <v>135</v>
      </c>
      <c r="R4916" t="s">
        <v>131</v>
      </c>
    </row>
    <row r="4917" spans="3:18" x14ac:dyDescent="0.25">
      <c r="C4917" t="s">
        <v>47</v>
      </c>
      <c r="D4917" t="s">
        <v>21</v>
      </c>
      <c r="E4917" t="s">
        <v>40</v>
      </c>
      <c r="F4917" t="s">
        <v>41</v>
      </c>
      <c r="G4917" s="89">
        <v>45177869</v>
      </c>
      <c r="H4917" t="s">
        <v>140</v>
      </c>
      <c r="I4917" t="s">
        <v>141</v>
      </c>
      <c r="J4917" s="89">
        <v>361422952</v>
      </c>
      <c r="K4917" t="s">
        <v>127</v>
      </c>
      <c r="L4917" t="s">
        <v>128</v>
      </c>
      <c r="N4917">
        <v>1</v>
      </c>
      <c r="O4917" s="89">
        <v>1807114.76</v>
      </c>
      <c r="P4917" s="89">
        <v>22137155.809999999</v>
      </c>
      <c r="Q4917" t="s">
        <v>142</v>
      </c>
      <c r="R4917" t="s">
        <v>131</v>
      </c>
    </row>
    <row r="4918" spans="3:18" hidden="1" x14ac:dyDescent="0.25">
      <c r="C4918" t="s">
        <v>45</v>
      </c>
      <c r="D4918" t="s">
        <v>23</v>
      </c>
      <c r="E4918" t="s">
        <v>48</v>
      </c>
      <c r="F4918" t="s">
        <v>41</v>
      </c>
      <c r="G4918" s="89">
        <v>274328</v>
      </c>
      <c r="H4918" t="s">
        <v>140</v>
      </c>
      <c r="I4918" t="s">
        <v>126</v>
      </c>
      <c r="J4918" s="89">
        <v>4937904</v>
      </c>
      <c r="K4918" t="s">
        <v>134</v>
      </c>
      <c r="L4918" t="s">
        <v>128</v>
      </c>
      <c r="N4918">
        <v>1</v>
      </c>
      <c r="O4918" s="89">
        <v>8229.84</v>
      </c>
      <c r="P4918" s="89">
        <v>181056.48</v>
      </c>
      <c r="Q4918" t="s">
        <v>137</v>
      </c>
      <c r="R4918" t="s">
        <v>131</v>
      </c>
    </row>
    <row r="4919" spans="3:18" hidden="1" x14ac:dyDescent="0.25">
      <c r="C4919" t="s">
        <v>45</v>
      </c>
      <c r="D4919" t="s">
        <v>22</v>
      </c>
      <c r="E4919" t="s">
        <v>40</v>
      </c>
      <c r="F4919" t="s">
        <v>41</v>
      </c>
      <c r="G4919" s="89">
        <v>100195227</v>
      </c>
      <c r="H4919" t="s">
        <v>42</v>
      </c>
      <c r="I4919" t="s">
        <v>133</v>
      </c>
      <c r="J4919" s="89">
        <v>2805466356</v>
      </c>
      <c r="K4919" t="s">
        <v>127</v>
      </c>
      <c r="L4919" t="s">
        <v>128</v>
      </c>
      <c r="M4919" t="s">
        <v>143</v>
      </c>
      <c r="N4919">
        <v>1</v>
      </c>
      <c r="O4919" s="89">
        <v>3005856.81</v>
      </c>
      <c r="P4919" s="89">
        <v>29056615.829999998</v>
      </c>
      <c r="Q4919" t="s">
        <v>130</v>
      </c>
      <c r="R4919" t="s">
        <v>131</v>
      </c>
    </row>
    <row r="4920" spans="3:18" hidden="1" x14ac:dyDescent="0.25">
      <c r="C4920" t="s">
        <v>45</v>
      </c>
      <c r="D4920" t="s">
        <v>21</v>
      </c>
      <c r="E4920" t="s">
        <v>43</v>
      </c>
      <c r="F4920" t="s">
        <v>53</v>
      </c>
      <c r="G4920" s="89">
        <v>1164664</v>
      </c>
      <c r="H4920" t="s">
        <v>42</v>
      </c>
      <c r="I4920" t="s">
        <v>133</v>
      </c>
      <c r="J4920" s="89">
        <v>38433912</v>
      </c>
      <c r="K4920" t="s">
        <v>144</v>
      </c>
      <c r="N4920">
        <v>1</v>
      </c>
      <c r="O4920" s="89">
        <v>34939.919999999998</v>
      </c>
      <c r="P4920" s="89">
        <v>826911.44</v>
      </c>
      <c r="Q4920" t="s">
        <v>137</v>
      </c>
      <c r="R4920" t="s">
        <v>131</v>
      </c>
    </row>
    <row r="4921" spans="3:18" x14ac:dyDescent="0.25">
      <c r="C4921" t="s">
        <v>47</v>
      </c>
      <c r="D4921" t="s">
        <v>20</v>
      </c>
      <c r="E4921" t="s">
        <v>43</v>
      </c>
      <c r="F4921" t="s">
        <v>41</v>
      </c>
      <c r="G4921" s="89">
        <v>2250859</v>
      </c>
      <c r="H4921" t="s">
        <v>42</v>
      </c>
      <c r="I4921" t="s">
        <v>126</v>
      </c>
      <c r="J4921" s="89">
        <v>33762885</v>
      </c>
      <c r="K4921" t="s">
        <v>144</v>
      </c>
      <c r="N4921">
        <v>1</v>
      </c>
      <c r="O4921" s="89">
        <v>67525.77</v>
      </c>
      <c r="P4921" s="89">
        <v>2048281.69</v>
      </c>
      <c r="Q4921" t="s">
        <v>135</v>
      </c>
      <c r="R4921" t="s">
        <v>42</v>
      </c>
    </row>
    <row r="4922" spans="3:18" hidden="1" x14ac:dyDescent="0.25">
      <c r="C4922" t="s">
        <v>45</v>
      </c>
      <c r="D4922" t="s">
        <v>22</v>
      </c>
      <c r="E4922" t="s">
        <v>40</v>
      </c>
      <c r="F4922" t="s">
        <v>41</v>
      </c>
      <c r="G4922" s="89">
        <v>95235</v>
      </c>
      <c r="H4922" t="s">
        <v>42</v>
      </c>
      <c r="I4922" t="s">
        <v>141</v>
      </c>
      <c r="J4922" s="89">
        <v>952350</v>
      </c>
      <c r="K4922" t="s">
        <v>134</v>
      </c>
      <c r="L4922" t="s">
        <v>128</v>
      </c>
      <c r="M4922" t="s">
        <v>143</v>
      </c>
      <c r="N4922">
        <v>1</v>
      </c>
      <c r="O4922" s="89">
        <v>3809.4</v>
      </c>
      <c r="P4922" s="89">
        <v>47617.5</v>
      </c>
      <c r="Q4922" t="s">
        <v>142</v>
      </c>
      <c r="R4922" t="s">
        <v>131</v>
      </c>
    </row>
    <row r="4923" spans="3:18" hidden="1" x14ac:dyDescent="0.25">
      <c r="C4923" t="s">
        <v>45</v>
      </c>
      <c r="D4923" t="s">
        <v>138</v>
      </c>
      <c r="E4923" t="s">
        <v>43</v>
      </c>
      <c r="F4923" t="s">
        <v>41</v>
      </c>
      <c r="G4923" s="89">
        <v>11575478</v>
      </c>
      <c r="H4923" t="s">
        <v>132</v>
      </c>
      <c r="I4923" t="s">
        <v>126</v>
      </c>
      <c r="J4923" s="89">
        <v>196783126</v>
      </c>
      <c r="K4923" t="s">
        <v>127</v>
      </c>
      <c r="L4923" t="s">
        <v>128</v>
      </c>
      <c r="N4923">
        <v>1</v>
      </c>
      <c r="O4923" s="89">
        <v>347264.34</v>
      </c>
      <c r="P4923" s="89">
        <v>5671984.2199999997</v>
      </c>
      <c r="Q4923" t="s">
        <v>142</v>
      </c>
      <c r="R4923" t="s">
        <v>131</v>
      </c>
    </row>
    <row r="4924" spans="3:18" hidden="1" x14ac:dyDescent="0.25">
      <c r="C4924" t="s">
        <v>45</v>
      </c>
      <c r="D4924" t="s">
        <v>24</v>
      </c>
      <c r="E4924" t="s">
        <v>48</v>
      </c>
      <c r="F4924" t="s">
        <v>41</v>
      </c>
      <c r="G4924" s="89">
        <v>306925</v>
      </c>
      <c r="H4924" t="s">
        <v>42</v>
      </c>
      <c r="I4924" t="s">
        <v>133</v>
      </c>
      <c r="J4924" s="89">
        <v>9514675</v>
      </c>
      <c r="K4924" t="s">
        <v>127</v>
      </c>
      <c r="L4924" t="s">
        <v>128</v>
      </c>
      <c r="M4924" t="s">
        <v>143</v>
      </c>
      <c r="N4924">
        <v>1</v>
      </c>
      <c r="O4924" s="89">
        <v>9207.75</v>
      </c>
      <c r="P4924" s="89">
        <v>217916.75</v>
      </c>
      <c r="Q4924" t="s">
        <v>137</v>
      </c>
      <c r="R4924" t="s">
        <v>131</v>
      </c>
    </row>
    <row r="4925" spans="3:18" hidden="1" x14ac:dyDescent="0.25">
      <c r="C4925" t="s">
        <v>45</v>
      </c>
      <c r="D4925" t="s">
        <v>19</v>
      </c>
      <c r="E4925" t="s">
        <v>48</v>
      </c>
      <c r="F4925" t="s">
        <v>41</v>
      </c>
      <c r="G4925" s="89">
        <v>248515</v>
      </c>
      <c r="H4925" t="s">
        <v>42</v>
      </c>
      <c r="I4925" t="s">
        <v>141</v>
      </c>
      <c r="J4925" s="89">
        <v>1739605</v>
      </c>
      <c r="K4925" t="s">
        <v>127</v>
      </c>
      <c r="L4925" t="s">
        <v>128</v>
      </c>
      <c r="M4925" t="s">
        <v>136</v>
      </c>
      <c r="N4925">
        <v>1</v>
      </c>
      <c r="O4925" s="89">
        <v>7455.45</v>
      </c>
      <c r="P4925" s="89">
        <v>77039.649999999994</v>
      </c>
      <c r="Q4925" t="s">
        <v>130</v>
      </c>
      <c r="R4925" t="s">
        <v>131</v>
      </c>
    </row>
    <row r="4926" spans="3:18" hidden="1" x14ac:dyDescent="0.25">
      <c r="C4926" t="s">
        <v>45</v>
      </c>
      <c r="D4926" t="s">
        <v>23</v>
      </c>
      <c r="E4926" t="s">
        <v>40</v>
      </c>
      <c r="F4926" t="s">
        <v>41</v>
      </c>
      <c r="G4926" s="89">
        <v>8875470</v>
      </c>
      <c r="H4926" t="s">
        <v>42</v>
      </c>
      <c r="I4926" t="s">
        <v>133</v>
      </c>
      <c r="J4926" s="89">
        <v>310641450</v>
      </c>
      <c r="K4926" t="s">
        <v>144</v>
      </c>
      <c r="N4926">
        <v>1</v>
      </c>
      <c r="O4926" s="89">
        <v>266264.09999999998</v>
      </c>
      <c r="P4926" s="89">
        <v>7632904.2000000002</v>
      </c>
      <c r="Q4926" t="s">
        <v>135</v>
      </c>
      <c r="R4926" t="s">
        <v>131</v>
      </c>
    </row>
    <row r="4927" spans="3:18" x14ac:dyDescent="0.25">
      <c r="C4927" t="s">
        <v>47</v>
      </c>
      <c r="D4927" t="s">
        <v>21</v>
      </c>
      <c r="E4927" t="s">
        <v>48</v>
      </c>
      <c r="F4927" t="s">
        <v>41</v>
      </c>
      <c r="G4927" s="89">
        <v>133078</v>
      </c>
      <c r="H4927" t="s">
        <v>140</v>
      </c>
      <c r="I4927" t="s">
        <v>147</v>
      </c>
      <c r="J4927" s="89">
        <v>266156</v>
      </c>
      <c r="K4927" t="s">
        <v>127</v>
      </c>
      <c r="L4927" t="s">
        <v>128</v>
      </c>
      <c r="N4927">
        <v>1</v>
      </c>
      <c r="O4927" s="89">
        <v>6653.9</v>
      </c>
      <c r="P4927" s="89">
        <v>14638.58</v>
      </c>
      <c r="Q4927" t="s">
        <v>130</v>
      </c>
      <c r="R4927" t="s">
        <v>131</v>
      </c>
    </row>
    <row r="4928" spans="3:18" hidden="1" x14ac:dyDescent="0.25">
      <c r="C4928" t="s">
        <v>45</v>
      </c>
      <c r="D4928" t="s">
        <v>24</v>
      </c>
      <c r="E4928" t="s">
        <v>48</v>
      </c>
      <c r="F4928" t="s">
        <v>41</v>
      </c>
      <c r="G4928" s="89">
        <v>384948</v>
      </c>
      <c r="H4928" t="s">
        <v>146</v>
      </c>
      <c r="I4928" t="s">
        <v>133</v>
      </c>
      <c r="J4928" s="89">
        <v>12703284</v>
      </c>
      <c r="K4928" t="s">
        <v>144</v>
      </c>
      <c r="N4928">
        <v>1</v>
      </c>
      <c r="O4928" s="89">
        <v>11548.44</v>
      </c>
      <c r="P4928" s="89">
        <v>103935.96</v>
      </c>
      <c r="Q4928" t="s">
        <v>130</v>
      </c>
      <c r="R4928" t="s">
        <v>131</v>
      </c>
    </row>
    <row r="4929" spans="3:18" hidden="1" x14ac:dyDescent="0.25">
      <c r="C4929" t="s">
        <v>45</v>
      </c>
      <c r="D4929" t="s">
        <v>22</v>
      </c>
      <c r="E4929" t="s">
        <v>43</v>
      </c>
      <c r="F4929" t="s">
        <v>41</v>
      </c>
      <c r="G4929" s="89">
        <v>1361690</v>
      </c>
      <c r="H4929" t="s">
        <v>132</v>
      </c>
      <c r="I4929" t="s">
        <v>133</v>
      </c>
      <c r="J4929" s="89">
        <v>39489010</v>
      </c>
      <c r="K4929" t="s">
        <v>127</v>
      </c>
      <c r="L4929" t="s">
        <v>128</v>
      </c>
      <c r="N4929">
        <v>1</v>
      </c>
      <c r="O4929" s="89">
        <v>40850.699999999997</v>
      </c>
      <c r="P4929" s="89">
        <v>1143819.6000000001</v>
      </c>
      <c r="Q4929" t="s">
        <v>135</v>
      </c>
      <c r="R4929" t="s">
        <v>131</v>
      </c>
    </row>
    <row r="4930" spans="3:18" x14ac:dyDescent="0.25">
      <c r="C4930" t="s">
        <v>47</v>
      </c>
      <c r="D4930" t="s">
        <v>21</v>
      </c>
      <c r="E4930" t="s">
        <v>40</v>
      </c>
      <c r="F4930" t="s">
        <v>41</v>
      </c>
      <c r="G4930" s="89">
        <v>3233232</v>
      </c>
      <c r="H4930" t="s">
        <v>140</v>
      </c>
      <c r="I4930" t="s">
        <v>126</v>
      </c>
      <c r="J4930" s="89">
        <v>45265248</v>
      </c>
      <c r="K4930" t="s">
        <v>144</v>
      </c>
      <c r="N4930">
        <v>1</v>
      </c>
      <c r="O4930" s="89">
        <v>129329.28</v>
      </c>
      <c r="P4930" s="89">
        <v>2715914.88</v>
      </c>
      <c r="Q4930" t="s">
        <v>135</v>
      </c>
      <c r="R4930" t="s">
        <v>131</v>
      </c>
    </row>
    <row r="4931" spans="3:18" hidden="1" x14ac:dyDescent="0.25">
      <c r="C4931" t="s">
        <v>45</v>
      </c>
      <c r="D4931" t="s">
        <v>19</v>
      </c>
      <c r="E4931" t="s">
        <v>43</v>
      </c>
      <c r="F4931" t="s">
        <v>41</v>
      </c>
      <c r="G4931" s="89">
        <v>437819</v>
      </c>
      <c r="H4931" t="s">
        <v>42</v>
      </c>
      <c r="I4931" t="s">
        <v>141</v>
      </c>
      <c r="J4931" s="89">
        <v>3502552</v>
      </c>
      <c r="K4931" t="s">
        <v>127</v>
      </c>
      <c r="L4931" t="s">
        <v>128</v>
      </c>
      <c r="M4931" t="s">
        <v>136</v>
      </c>
      <c r="N4931">
        <v>1</v>
      </c>
      <c r="O4931" s="89">
        <v>26269.14</v>
      </c>
      <c r="P4931" s="89">
        <v>315229.68</v>
      </c>
      <c r="Q4931" t="s">
        <v>137</v>
      </c>
      <c r="R4931" t="s">
        <v>42</v>
      </c>
    </row>
    <row r="4932" spans="3:18" hidden="1" x14ac:dyDescent="0.25">
      <c r="C4932" t="s">
        <v>45</v>
      </c>
      <c r="D4932" t="s">
        <v>24</v>
      </c>
      <c r="E4932" t="s">
        <v>48</v>
      </c>
      <c r="F4932" t="s">
        <v>41</v>
      </c>
      <c r="G4932" s="89">
        <v>539638</v>
      </c>
      <c r="H4932" t="s">
        <v>140</v>
      </c>
      <c r="I4932" t="s">
        <v>141</v>
      </c>
      <c r="J4932" s="89">
        <v>4856742</v>
      </c>
      <c r="K4932" t="s">
        <v>144</v>
      </c>
      <c r="N4932">
        <v>1</v>
      </c>
      <c r="O4932" s="89">
        <v>16189.14</v>
      </c>
      <c r="P4932" s="89">
        <v>145702.26</v>
      </c>
      <c r="Q4932" t="s">
        <v>130</v>
      </c>
      <c r="R4932" t="s">
        <v>131</v>
      </c>
    </row>
    <row r="4933" spans="3:18" hidden="1" x14ac:dyDescent="0.25">
      <c r="C4933" t="s">
        <v>45</v>
      </c>
      <c r="D4933" t="s">
        <v>20</v>
      </c>
      <c r="E4933" t="s">
        <v>43</v>
      </c>
      <c r="F4933" t="s">
        <v>41</v>
      </c>
      <c r="G4933" s="89">
        <v>990105</v>
      </c>
      <c r="H4933" t="s">
        <v>132</v>
      </c>
      <c r="I4933" t="s">
        <v>147</v>
      </c>
      <c r="J4933" s="89">
        <v>1980210</v>
      </c>
      <c r="K4933" t="s">
        <v>144</v>
      </c>
      <c r="N4933">
        <v>1</v>
      </c>
      <c r="O4933" s="89">
        <v>39604.199999999997</v>
      </c>
      <c r="P4933" s="89">
        <v>366338.85</v>
      </c>
      <c r="Q4933" t="s">
        <v>130</v>
      </c>
      <c r="R4933" t="s">
        <v>131</v>
      </c>
    </row>
    <row r="4934" spans="3:18" hidden="1" x14ac:dyDescent="0.25">
      <c r="C4934" t="s">
        <v>45</v>
      </c>
      <c r="D4934" t="s">
        <v>22</v>
      </c>
      <c r="E4934" t="s">
        <v>40</v>
      </c>
      <c r="F4934" t="s">
        <v>41</v>
      </c>
      <c r="G4934" s="89">
        <v>142697</v>
      </c>
      <c r="H4934" t="s">
        <v>145</v>
      </c>
      <c r="I4934" t="s">
        <v>126</v>
      </c>
      <c r="J4934" s="89">
        <v>2425849</v>
      </c>
      <c r="K4934" t="s">
        <v>127</v>
      </c>
      <c r="L4934" t="s">
        <v>128</v>
      </c>
      <c r="N4934">
        <v>1</v>
      </c>
      <c r="O4934" s="89">
        <v>5707.88</v>
      </c>
      <c r="P4934" s="89">
        <v>166955.49</v>
      </c>
      <c r="Q4934" t="s">
        <v>150</v>
      </c>
      <c r="R4934" t="s">
        <v>131</v>
      </c>
    </row>
    <row r="4935" spans="3:18" hidden="1" x14ac:dyDescent="0.25">
      <c r="C4935" t="s">
        <v>45</v>
      </c>
      <c r="D4935" t="s">
        <v>21</v>
      </c>
      <c r="E4935" t="s">
        <v>43</v>
      </c>
      <c r="F4935" t="s">
        <v>41</v>
      </c>
      <c r="G4935" s="89">
        <v>241059</v>
      </c>
      <c r="H4935" t="s">
        <v>140</v>
      </c>
      <c r="I4935" t="s">
        <v>147</v>
      </c>
      <c r="J4935" s="89">
        <v>723177</v>
      </c>
      <c r="K4935" t="s">
        <v>127</v>
      </c>
      <c r="L4935" t="s">
        <v>128</v>
      </c>
      <c r="N4935">
        <v>1</v>
      </c>
      <c r="O4935" s="89">
        <v>12052.95</v>
      </c>
      <c r="P4935" s="89">
        <v>161509.53</v>
      </c>
      <c r="Q4935" t="s">
        <v>137</v>
      </c>
      <c r="R4935" t="s">
        <v>131</v>
      </c>
    </row>
    <row r="4936" spans="3:18" x14ac:dyDescent="0.25">
      <c r="C4936" t="s">
        <v>47</v>
      </c>
      <c r="D4936" t="s">
        <v>22</v>
      </c>
      <c r="E4936" t="s">
        <v>40</v>
      </c>
      <c r="F4936" t="s">
        <v>41</v>
      </c>
      <c r="G4936" s="89">
        <v>5351176</v>
      </c>
      <c r="H4936" t="s">
        <v>146</v>
      </c>
      <c r="I4936" t="s">
        <v>147</v>
      </c>
      <c r="J4936" s="89">
        <v>21404704</v>
      </c>
      <c r="K4936" t="s">
        <v>127</v>
      </c>
      <c r="L4936" t="s">
        <v>128</v>
      </c>
      <c r="N4936">
        <v>1</v>
      </c>
      <c r="O4936" s="89">
        <v>214047.04</v>
      </c>
      <c r="P4936" s="89">
        <v>2729099.76</v>
      </c>
      <c r="Q4936" t="s">
        <v>142</v>
      </c>
      <c r="R4936" t="s">
        <v>131</v>
      </c>
    </row>
    <row r="4937" spans="3:18" hidden="1" x14ac:dyDescent="0.25">
      <c r="C4937" t="s">
        <v>45</v>
      </c>
      <c r="D4937" t="s">
        <v>24</v>
      </c>
      <c r="E4937" t="s">
        <v>40</v>
      </c>
      <c r="F4937" t="s">
        <v>41</v>
      </c>
      <c r="G4937" s="89">
        <v>44940</v>
      </c>
      <c r="H4937" t="s">
        <v>145</v>
      </c>
      <c r="I4937" t="s">
        <v>141</v>
      </c>
      <c r="J4937" s="89">
        <v>404460</v>
      </c>
      <c r="K4937" t="s">
        <v>134</v>
      </c>
      <c r="L4937" t="s">
        <v>128</v>
      </c>
      <c r="N4937">
        <v>1</v>
      </c>
      <c r="O4937" s="89">
        <v>1348.2</v>
      </c>
      <c r="P4937" s="89">
        <v>17976</v>
      </c>
      <c r="Q4937" t="s">
        <v>142</v>
      </c>
      <c r="R4937" t="s">
        <v>131</v>
      </c>
    </row>
    <row r="4938" spans="3:18" hidden="1" x14ac:dyDescent="0.25">
      <c r="C4938" t="s">
        <v>45</v>
      </c>
      <c r="D4938" t="s">
        <v>22</v>
      </c>
      <c r="E4938" t="s">
        <v>40</v>
      </c>
      <c r="F4938" t="s">
        <v>41</v>
      </c>
      <c r="G4938" s="89">
        <v>48147</v>
      </c>
      <c r="H4938" t="s">
        <v>42</v>
      </c>
      <c r="I4938" t="s">
        <v>133</v>
      </c>
      <c r="J4938" s="89">
        <v>1348116</v>
      </c>
      <c r="K4938" t="s">
        <v>127</v>
      </c>
      <c r="L4938" t="s">
        <v>128</v>
      </c>
      <c r="M4938" t="s">
        <v>136</v>
      </c>
      <c r="N4938">
        <v>1</v>
      </c>
      <c r="O4938" s="89">
        <v>1925.88</v>
      </c>
      <c r="P4938" s="89">
        <v>3851.76</v>
      </c>
      <c r="Q4938" t="s">
        <v>130</v>
      </c>
      <c r="R4938" t="s">
        <v>42</v>
      </c>
    </row>
    <row r="4939" spans="3:18" hidden="1" x14ac:dyDescent="0.25">
      <c r="C4939" t="s">
        <v>45</v>
      </c>
      <c r="D4939" t="s">
        <v>22</v>
      </c>
      <c r="E4939" t="s">
        <v>48</v>
      </c>
      <c r="F4939" t="s">
        <v>41</v>
      </c>
      <c r="G4939" s="89">
        <v>10396</v>
      </c>
      <c r="H4939" t="s">
        <v>146</v>
      </c>
      <c r="I4939" t="s">
        <v>147</v>
      </c>
      <c r="J4939" s="89">
        <v>20792</v>
      </c>
      <c r="K4939" t="s">
        <v>127</v>
      </c>
      <c r="L4939" t="s">
        <v>128</v>
      </c>
      <c r="N4939">
        <v>1</v>
      </c>
      <c r="O4939" s="89">
        <v>415.84</v>
      </c>
      <c r="P4939" s="89">
        <v>831.68</v>
      </c>
      <c r="Q4939" t="s">
        <v>130</v>
      </c>
      <c r="R4939" t="s">
        <v>131</v>
      </c>
    </row>
    <row r="4940" spans="3:18" hidden="1" x14ac:dyDescent="0.25">
      <c r="C4940" t="s">
        <v>45</v>
      </c>
      <c r="D4940" t="s">
        <v>24</v>
      </c>
      <c r="E4940" t="s">
        <v>48</v>
      </c>
      <c r="F4940" t="s">
        <v>41</v>
      </c>
      <c r="G4940" s="89">
        <v>10374140</v>
      </c>
      <c r="H4940" t="s">
        <v>145</v>
      </c>
      <c r="I4940" t="s">
        <v>126</v>
      </c>
      <c r="J4940" s="89">
        <v>165986240</v>
      </c>
      <c r="K4940" t="s">
        <v>127</v>
      </c>
      <c r="L4940" t="s">
        <v>128</v>
      </c>
      <c r="N4940">
        <v>1</v>
      </c>
      <c r="O4940" s="89">
        <v>311224.2</v>
      </c>
      <c r="P4940" s="89">
        <v>5187070</v>
      </c>
      <c r="Q4940" t="s">
        <v>142</v>
      </c>
      <c r="R4940" t="s">
        <v>131</v>
      </c>
    </row>
    <row r="4941" spans="3:18" hidden="1" x14ac:dyDescent="0.25">
      <c r="C4941" t="s">
        <v>45</v>
      </c>
      <c r="D4941" t="s">
        <v>50</v>
      </c>
      <c r="E4941" t="s">
        <v>50</v>
      </c>
      <c r="F4941" t="s">
        <v>41</v>
      </c>
      <c r="G4941" s="89">
        <v>43140</v>
      </c>
      <c r="H4941" t="s">
        <v>51</v>
      </c>
      <c r="I4941" t="s">
        <v>147</v>
      </c>
      <c r="J4941" s="89">
        <v>172560</v>
      </c>
      <c r="K4941" t="s">
        <v>127</v>
      </c>
      <c r="N4941">
        <v>1</v>
      </c>
      <c r="O4941" s="89">
        <v>2157</v>
      </c>
      <c r="P4941" s="89">
        <v>3882.6</v>
      </c>
      <c r="Q4941" t="s">
        <v>130</v>
      </c>
    </row>
    <row r="4942" spans="3:18" hidden="1" x14ac:dyDescent="0.25">
      <c r="C4942" t="s">
        <v>45</v>
      </c>
      <c r="D4942" t="s">
        <v>24</v>
      </c>
      <c r="E4942" t="s">
        <v>52</v>
      </c>
      <c r="F4942" t="s">
        <v>41</v>
      </c>
      <c r="G4942" s="89">
        <v>6736802</v>
      </c>
      <c r="H4942" t="s">
        <v>42</v>
      </c>
      <c r="I4942" t="s">
        <v>126</v>
      </c>
      <c r="J4942" s="89">
        <v>114525634</v>
      </c>
      <c r="K4942" t="s">
        <v>127</v>
      </c>
      <c r="L4942" t="s">
        <v>128</v>
      </c>
      <c r="M4942" t="s">
        <v>148</v>
      </c>
      <c r="N4942">
        <v>1</v>
      </c>
      <c r="O4942" s="89">
        <v>269472.08</v>
      </c>
      <c r="P4942" s="89">
        <v>4513657.34</v>
      </c>
      <c r="Q4942" t="s">
        <v>137</v>
      </c>
      <c r="R4942" t="s">
        <v>42</v>
      </c>
    </row>
    <row r="4943" spans="3:18" x14ac:dyDescent="0.25">
      <c r="C4943" t="s">
        <v>47</v>
      </c>
      <c r="D4943" t="s">
        <v>23</v>
      </c>
      <c r="E4943" t="s">
        <v>48</v>
      </c>
      <c r="F4943" t="s">
        <v>41</v>
      </c>
      <c r="G4943" s="89">
        <v>82214</v>
      </c>
      <c r="H4943" t="s">
        <v>146</v>
      </c>
      <c r="I4943" t="s">
        <v>126</v>
      </c>
      <c r="J4943" s="89">
        <v>904354</v>
      </c>
      <c r="K4943" t="s">
        <v>127</v>
      </c>
      <c r="L4943" t="s">
        <v>128</v>
      </c>
      <c r="N4943">
        <v>1</v>
      </c>
      <c r="O4943" s="89">
        <v>3288.56</v>
      </c>
      <c r="P4943" s="89">
        <v>47684.12</v>
      </c>
      <c r="Q4943" t="s">
        <v>142</v>
      </c>
      <c r="R4943" t="s">
        <v>131</v>
      </c>
    </row>
    <row r="4944" spans="3:18" x14ac:dyDescent="0.25">
      <c r="C4944" t="s">
        <v>47</v>
      </c>
      <c r="D4944" t="s">
        <v>50</v>
      </c>
      <c r="E4944" t="s">
        <v>50</v>
      </c>
      <c r="F4944" t="s">
        <v>41</v>
      </c>
      <c r="G4944" s="89">
        <v>0</v>
      </c>
      <c r="H4944" t="s">
        <v>51</v>
      </c>
      <c r="I4944" t="s">
        <v>126</v>
      </c>
      <c r="J4944" s="89">
        <v>0</v>
      </c>
      <c r="K4944" t="s">
        <v>144</v>
      </c>
      <c r="N4944">
        <v>1</v>
      </c>
      <c r="O4944" s="89">
        <v>0</v>
      </c>
      <c r="P4944" s="89">
        <v>0</v>
      </c>
      <c r="Q4944" t="s">
        <v>150</v>
      </c>
    </row>
    <row r="4945" spans="3:18" x14ac:dyDescent="0.25">
      <c r="C4945" t="s">
        <v>47</v>
      </c>
      <c r="D4945" t="s">
        <v>22</v>
      </c>
      <c r="E4945" t="s">
        <v>40</v>
      </c>
      <c r="F4945" t="s">
        <v>41</v>
      </c>
      <c r="G4945" s="89">
        <v>504</v>
      </c>
      <c r="H4945" t="s">
        <v>132</v>
      </c>
      <c r="I4945" t="s">
        <v>153</v>
      </c>
      <c r="J4945" s="89"/>
      <c r="K4945" t="s">
        <v>127</v>
      </c>
      <c r="L4945" t="s">
        <v>128</v>
      </c>
      <c r="N4945">
        <v>0</v>
      </c>
      <c r="O4945" s="89">
        <v>136.08000000000001</v>
      </c>
      <c r="P4945" s="89">
        <v>5.04</v>
      </c>
      <c r="Q4945" t="s">
        <v>130</v>
      </c>
      <c r="R4945" t="s">
        <v>131</v>
      </c>
    </row>
    <row r="4946" spans="3:18" hidden="1" x14ac:dyDescent="0.25">
      <c r="C4946" t="s">
        <v>45</v>
      </c>
      <c r="D4946" t="s">
        <v>19</v>
      </c>
      <c r="E4946" t="s">
        <v>43</v>
      </c>
      <c r="F4946" t="s">
        <v>41</v>
      </c>
      <c r="G4946" s="89">
        <v>131621</v>
      </c>
      <c r="H4946" t="s">
        <v>42</v>
      </c>
      <c r="I4946" t="s">
        <v>133</v>
      </c>
      <c r="J4946" s="89">
        <v>3422146</v>
      </c>
      <c r="K4946" t="s">
        <v>134</v>
      </c>
      <c r="L4946" t="s">
        <v>128</v>
      </c>
      <c r="M4946" t="s">
        <v>136</v>
      </c>
      <c r="N4946">
        <v>1</v>
      </c>
      <c r="O4946" s="89">
        <v>3948.63</v>
      </c>
      <c r="P4946" s="89">
        <v>190850.45</v>
      </c>
      <c r="Q4946" t="s">
        <v>150</v>
      </c>
      <c r="R4946" t="s">
        <v>131</v>
      </c>
    </row>
    <row r="4947" spans="3:18" hidden="1" x14ac:dyDescent="0.25">
      <c r="C4947" t="s">
        <v>45</v>
      </c>
      <c r="D4947" t="s">
        <v>24</v>
      </c>
      <c r="E4947" t="s">
        <v>44</v>
      </c>
      <c r="F4947" t="s">
        <v>41</v>
      </c>
      <c r="G4947" s="89">
        <v>129431</v>
      </c>
      <c r="H4947" t="s">
        <v>146</v>
      </c>
      <c r="I4947" t="s">
        <v>133</v>
      </c>
      <c r="J4947" s="89">
        <v>3753499</v>
      </c>
      <c r="K4947" t="s">
        <v>144</v>
      </c>
      <c r="N4947">
        <v>1</v>
      </c>
      <c r="O4947" s="89">
        <v>3882.93</v>
      </c>
      <c r="P4947" s="89">
        <v>24591.89</v>
      </c>
      <c r="Q4947" t="s">
        <v>130</v>
      </c>
      <c r="R4947" t="s">
        <v>131</v>
      </c>
    </row>
    <row r="4948" spans="3:18" hidden="1" x14ac:dyDescent="0.25">
      <c r="C4948" t="s">
        <v>45</v>
      </c>
      <c r="D4948" t="s">
        <v>21</v>
      </c>
      <c r="E4948" t="s">
        <v>43</v>
      </c>
      <c r="F4948" t="s">
        <v>41</v>
      </c>
      <c r="G4948" s="89">
        <v>7320</v>
      </c>
      <c r="H4948" t="s">
        <v>42</v>
      </c>
      <c r="I4948" t="s">
        <v>147</v>
      </c>
      <c r="J4948" s="89">
        <v>29280</v>
      </c>
      <c r="K4948" t="s">
        <v>127</v>
      </c>
      <c r="L4948" t="s">
        <v>128</v>
      </c>
      <c r="M4948" t="s">
        <v>129</v>
      </c>
      <c r="N4948">
        <v>1</v>
      </c>
      <c r="O4948" s="89">
        <v>219.6</v>
      </c>
      <c r="P4948" s="89">
        <v>4392</v>
      </c>
      <c r="Q4948" t="s">
        <v>142</v>
      </c>
      <c r="R4948" t="s">
        <v>42</v>
      </c>
    </row>
    <row r="4949" spans="3:18" hidden="1" x14ac:dyDescent="0.25">
      <c r="C4949" t="s">
        <v>45</v>
      </c>
      <c r="D4949" t="s">
        <v>138</v>
      </c>
      <c r="E4949" t="s">
        <v>40</v>
      </c>
      <c r="F4949" t="s">
        <v>41</v>
      </c>
      <c r="G4949" s="89">
        <v>187690</v>
      </c>
      <c r="H4949" t="s">
        <v>42</v>
      </c>
      <c r="I4949" t="s">
        <v>126</v>
      </c>
      <c r="J4949" s="89">
        <v>3190730</v>
      </c>
      <c r="K4949" t="s">
        <v>127</v>
      </c>
      <c r="L4949" t="s">
        <v>128</v>
      </c>
      <c r="M4949" t="s">
        <v>139</v>
      </c>
      <c r="N4949">
        <v>1</v>
      </c>
      <c r="O4949" s="89">
        <v>7507.6</v>
      </c>
      <c r="P4949" s="89">
        <v>131383</v>
      </c>
      <c r="Q4949" t="s">
        <v>137</v>
      </c>
      <c r="R4949" t="s">
        <v>42</v>
      </c>
    </row>
    <row r="4950" spans="3:18" hidden="1" x14ac:dyDescent="0.25">
      <c r="C4950" t="s">
        <v>45</v>
      </c>
      <c r="D4950" t="s">
        <v>19</v>
      </c>
      <c r="E4950" t="s">
        <v>43</v>
      </c>
      <c r="F4950" t="s">
        <v>41</v>
      </c>
      <c r="G4950" s="89">
        <v>1509672</v>
      </c>
      <c r="H4950" t="s">
        <v>140</v>
      </c>
      <c r="I4950" t="s">
        <v>133</v>
      </c>
      <c r="J4950" s="89">
        <v>43780488</v>
      </c>
      <c r="K4950" t="s">
        <v>134</v>
      </c>
      <c r="L4950" t="s">
        <v>128</v>
      </c>
      <c r="N4950">
        <v>1</v>
      </c>
      <c r="O4950" s="89">
        <v>45290.16</v>
      </c>
      <c r="P4950" s="89">
        <v>785029.44</v>
      </c>
      <c r="Q4950" t="s">
        <v>142</v>
      </c>
      <c r="R4950" t="s">
        <v>131</v>
      </c>
    </row>
    <row r="4951" spans="3:18" hidden="1" x14ac:dyDescent="0.25">
      <c r="C4951" t="s">
        <v>45</v>
      </c>
      <c r="D4951" t="s">
        <v>23</v>
      </c>
      <c r="E4951" t="s">
        <v>48</v>
      </c>
      <c r="F4951" t="s">
        <v>41</v>
      </c>
      <c r="G4951" s="89">
        <v>187378</v>
      </c>
      <c r="H4951" t="s">
        <v>145</v>
      </c>
      <c r="I4951" t="s">
        <v>141</v>
      </c>
      <c r="J4951" s="89">
        <v>1686402</v>
      </c>
      <c r="K4951" t="s">
        <v>144</v>
      </c>
      <c r="N4951">
        <v>1</v>
      </c>
      <c r="O4951" s="89">
        <v>7495.12</v>
      </c>
      <c r="P4951" s="89">
        <v>121795.7</v>
      </c>
      <c r="Q4951" t="s">
        <v>137</v>
      </c>
      <c r="R4951" t="s">
        <v>131</v>
      </c>
    </row>
    <row r="4952" spans="3:18" hidden="1" x14ac:dyDescent="0.25">
      <c r="C4952" t="s">
        <v>45</v>
      </c>
      <c r="D4952" t="s">
        <v>19</v>
      </c>
      <c r="E4952" t="s">
        <v>43</v>
      </c>
      <c r="F4952" t="s">
        <v>41</v>
      </c>
      <c r="G4952" s="89">
        <v>113552</v>
      </c>
      <c r="H4952" t="s">
        <v>42</v>
      </c>
      <c r="I4952" t="s">
        <v>141</v>
      </c>
      <c r="J4952" s="89">
        <v>1135520</v>
      </c>
      <c r="K4952" t="s">
        <v>144</v>
      </c>
      <c r="N4952">
        <v>1</v>
      </c>
      <c r="O4952" s="89">
        <v>3406.56</v>
      </c>
      <c r="P4952" s="89">
        <v>61318.080000000002</v>
      </c>
      <c r="Q4952" t="s">
        <v>142</v>
      </c>
      <c r="R4952" t="s">
        <v>42</v>
      </c>
    </row>
    <row r="4953" spans="3:18" x14ac:dyDescent="0.25">
      <c r="C4953" t="s">
        <v>47</v>
      </c>
      <c r="D4953" t="s">
        <v>22</v>
      </c>
      <c r="E4953" t="s">
        <v>40</v>
      </c>
      <c r="F4953" t="s">
        <v>41</v>
      </c>
      <c r="G4953" s="89">
        <v>829873</v>
      </c>
      <c r="H4953" t="s">
        <v>140</v>
      </c>
      <c r="I4953" t="s">
        <v>141</v>
      </c>
      <c r="J4953" s="89">
        <v>8298730</v>
      </c>
      <c r="K4953" t="s">
        <v>144</v>
      </c>
      <c r="N4953">
        <v>1</v>
      </c>
      <c r="O4953" s="89">
        <v>41493.65</v>
      </c>
      <c r="P4953" s="89">
        <v>365144.12</v>
      </c>
      <c r="Q4953" t="s">
        <v>142</v>
      </c>
      <c r="R4953" t="s">
        <v>131</v>
      </c>
    </row>
    <row r="4954" spans="3:18" hidden="1" x14ac:dyDescent="0.25">
      <c r="C4954" t="s">
        <v>45</v>
      </c>
      <c r="D4954" t="s">
        <v>24</v>
      </c>
      <c r="E4954" t="s">
        <v>40</v>
      </c>
      <c r="F4954" t="s">
        <v>41</v>
      </c>
      <c r="G4954" s="89">
        <v>1931427</v>
      </c>
      <c r="H4954" t="s">
        <v>145</v>
      </c>
      <c r="I4954" t="s">
        <v>126</v>
      </c>
      <c r="J4954" s="89">
        <v>28971405</v>
      </c>
      <c r="K4954" t="s">
        <v>127</v>
      </c>
      <c r="L4954" t="s">
        <v>128</v>
      </c>
      <c r="N4954">
        <v>1</v>
      </c>
      <c r="O4954" s="89">
        <v>57942.81</v>
      </c>
      <c r="P4954" s="89">
        <v>463542.48</v>
      </c>
      <c r="Q4954" t="s">
        <v>130</v>
      </c>
      <c r="R4954" t="s">
        <v>131</v>
      </c>
    </row>
    <row r="4955" spans="3:18" hidden="1" x14ac:dyDescent="0.25">
      <c r="C4955" t="s">
        <v>45</v>
      </c>
      <c r="D4955" t="s">
        <v>23</v>
      </c>
      <c r="E4955" t="s">
        <v>48</v>
      </c>
      <c r="F4955" t="s">
        <v>41</v>
      </c>
      <c r="G4955" s="89">
        <v>1237777</v>
      </c>
      <c r="H4955" t="s">
        <v>132</v>
      </c>
      <c r="I4955" t="s">
        <v>133</v>
      </c>
      <c r="J4955" s="89">
        <v>35895533</v>
      </c>
      <c r="K4955" t="s">
        <v>144</v>
      </c>
      <c r="N4955">
        <v>1</v>
      </c>
      <c r="O4955" s="89">
        <v>37133.31</v>
      </c>
      <c r="P4955" s="89">
        <v>866443.9</v>
      </c>
      <c r="Q4955" t="s">
        <v>137</v>
      </c>
      <c r="R4955" t="s">
        <v>131</v>
      </c>
    </row>
    <row r="4956" spans="3:18" hidden="1" x14ac:dyDescent="0.25">
      <c r="C4956" t="s">
        <v>45</v>
      </c>
      <c r="D4956" t="s">
        <v>25</v>
      </c>
      <c r="E4956" t="s">
        <v>48</v>
      </c>
      <c r="F4956" t="s">
        <v>41</v>
      </c>
      <c r="G4956" s="89">
        <v>615464</v>
      </c>
      <c r="H4956" t="s">
        <v>145</v>
      </c>
      <c r="I4956" t="s">
        <v>133</v>
      </c>
      <c r="J4956" s="89">
        <v>17848456</v>
      </c>
      <c r="K4956" t="s">
        <v>127</v>
      </c>
      <c r="L4956" t="s">
        <v>128</v>
      </c>
      <c r="N4956">
        <v>1</v>
      </c>
      <c r="O4956" s="89">
        <v>18463.919999999998</v>
      </c>
      <c r="P4956" s="89">
        <v>332350.56</v>
      </c>
      <c r="Q4956" t="s">
        <v>142</v>
      </c>
      <c r="R4956" t="s">
        <v>131</v>
      </c>
    </row>
    <row r="4957" spans="3:18" hidden="1" x14ac:dyDescent="0.25">
      <c r="C4957" t="s">
        <v>45</v>
      </c>
      <c r="D4957" t="s">
        <v>22</v>
      </c>
      <c r="E4957" t="s">
        <v>46</v>
      </c>
      <c r="F4957" t="s">
        <v>41</v>
      </c>
      <c r="G4957" s="89">
        <v>363689</v>
      </c>
      <c r="H4957" t="s">
        <v>42</v>
      </c>
      <c r="I4957" t="s">
        <v>126</v>
      </c>
      <c r="J4957" s="89">
        <v>5819024</v>
      </c>
      <c r="K4957" t="s">
        <v>127</v>
      </c>
      <c r="L4957" t="s">
        <v>128</v>
      </c>
      <c r="M4957" t="s">
        <v>143</v>
      </c>
      <c r="N4957">
        <v>1</v>
      </c>
      <c r="O4957" s="89">
        <v>10910.67</v>
      </c>
      <c r="P4957" s="89">
        <v>254582.3</v>
      </c>
      <c r="Q4957" t="s">
        <v>137</v>
      </c>
      <c r="R4957" t="s">
        <v>42</v>
      </c>
    </row>
    <row r="4958" spans="3:18" x14ac:dyDescent="0.25">
      <c r="C4958" t="s">
        <v>47</v>
      </c>
      <c r="D4958" t="s">
        <v>20</v>
      </c>
      <c r="E4958" t="s">
        <v>48</v>
      </c>
      <c r="F4958" t="s">
        <v>41</v>
      </c>
      <c r="G4958" s="89">
        <v>162197</v>
      </c>
      <c r="H4958" t="s">
        <v>146</v>
      </c>
      <c r="I4958" t="s">
        <v>147</v>
      </c>
      <c r="J4958" s="89">
        <v>486591</v>
      </c>
      <c r="K4958" t="s">
        <v>127</v>
      </c>
      <c r="L4958" t="s">
        <v>128</v>
      </c>
      <c r="N4958">
        <v>1</v>
      </c>
      <c r="O4958" s="89">
        <v>6487.88</v>
      </c>
      <c r="P4958" s="89">
        <v>22707.58</v>
      </c>
      <c r="Q4958" t="s">
        <v>130</v>
      </c>
      <c r="R4958" t="s">
        <v>131</v>
      </c>
    </row>
    <row r="4959" spans="3:18" hidden="1" x14ac:dyDescent="0.25">
      <c r="C4959" t="s">
        <v>45</v>
      </c>
      <c r="D4959" t="s">
        <v>138</v>
      </c>
      <c r="E4959" t="s">
        <v>43</v>
      </c>
      <c r="F4959" t="s">
        <v>41</v>
      </c>
      <c r="G4959" s="89">
        <v>3199098</v>
      </c>
      <c r="H4959" t="s">
        <v>42</v>
      </c>
      <c r="I4959" t="s">
        <v>126</v>
      </c>
      <c r="J4959" s="89">
        <v>57583764</v>
      </c>
      <c r="K4959" t="s">
        <v>144</v>
      </c>
      <c r="N4959">
        <v>1</v>
      </c>
      <c r="O4959" s="89">
        <v>95972.94</v>
      </c>
      <c r="P4959" s="89">
        <v>1567558.02</v>
      </c>
      <c r="Q4959" t="s">
        <v>142</v>
      </c>
      <c r="R4959" t="s">
        <v>42</v>
      </c>
    </row>
    <row r="4960" spans="3:18" hidden="1" x14ac:dyDescent="0.25">
      <c r="C4960" t="s">
        <v>45</v>
      </c>
      <c r="D4960" t="s">
        <v>21</v>
      </c>
      <c r="E4960" t="s">
        <v>43</v>
      </c>
      <c r="F4960" t="s">
        <v>41</v>
      </c>
      <c r="G4960" s="89">
        <v>397896044</v>
      </c>
      <c r="H4960" t="s">
        <v>42</v>
      </c>
      <c r="I4960" t="s">
        <v>133</v>
      </c>
      <c r="J4960" s="89">
        <v>11538985276</v>
      </c>
      <c r="K4960" t="s">
        <v>127</v>
      </c>
      <c r="L4960" t="s">
        <v>128</v>
      </c>
      <c r="M4960" t="s">
        <v>129</v>
      </c>
      <c r="N4960">
        <v>1</v>
      </c>
      <c r="O4960" s="89">
        <v>11936881.32</v>
      </c>
      <c r="P4960" s="89">
        <v>202926982.44</v>
      </c>
      <c r="Q4960" t="s">
        <v>142</v>
      </c>
      <c r="R4960" t="s">
        <v>131</v>
      </c>
    </row>
    <row r="4961" spans="3:18" hidden="1" x14ac:dyDescent="0.25">
      <c r="C4961" t="s">
        <v>45</v>
      </c>
      <c r="D4961" t="s">
        <v>21</v>
      </c>
      <c r="E4961" t="s">
        <v>43</v>
      </c>
      <c r="F4961" t="s">
        <v>41</v>
      </c>
      <c r="G4961" s="89">
        <v>228686259</v>
      </c>
      <c r="H4961" t="s">
        <v>140</v>
      </c>
      <c r="I4961" t="s">
        <v>133</v>
      </c>
      <c r="J4961" s="89">
        <v>6403215252</v>
      </c>
      <c r="K4961" t="s">
        <v>127</v>
      </c>
      <c r="L4961" t="s">
        <v>128</v>
      </c>
      <c r="N4961">
        <v>1</v>
      </c>
      <c r="O4961" s="89">
        <v>6860587.7699999996</v>
      </c>
      <c r="P4961" s="89">
        <v>155506656.12</v>
      </c>
      <c r="Q4961" t="s">
        <v>137</v>
      </c>
      <c r="R4961" t="s">
        <v>131</v>
      </c>
    </row>
    <row r="4962" spans="3:18" hidden="1" x14ac:dyDescent="0.25">
      <c r="C4962" t="s">
        <v>45</v>
      </c>
      <c r="D4962" t="s">
        <v>19</v>
      </c>
      <c r="E4962" t="s">
        <v>43</v>
      </c>
      <c r="F4962" t="s">
        <v>41</v>
      </c>
      <c r="G4962" s="89">
        <v>1118879</v>
      </c>
      <c r="H4962" t="s">
        <v>42</v>
      </c>
      <c r="I4962" t="s">
        <v>141</v>
      </c>
      <c r="J4962" s="89">
        <v>8951032</v>
      </c>
      <c r="K4962" t="s">
        <v>144</v>
      </c>
      <c r="N4962">
        <v>1</v>
      </c>
      <c r="O4962" s="89">
        <v>33566.370000000003</v>
      </c>
      <c r="P4962" s="89">
        <v>268530.96000000002</v>
      </c>
      <c r="Q4962" t="s">
        <v>130</v>
      </c>
      <c r="R4962" t="s">
        <v>42</v>
      </c>
    </row>
    <row r="4963" spans="3:18" hidden="1" x14ac:dyDescent="0.25">
      <c r="C4963" t="s">
        <v>45</v>
      </c>
      <c r="D4963" t="s">
        <v>149</v>
      </c>
      <c r="E4963" t="s">
        <v>44</v>
      </c>
      <c r="F4963" t="s">
        <v>41</v>
      </c>
      <c r="G4963" s="89">
        <v>177027</v>
      </c>
      <c r="H4963" t="s">
        <v>42</v>
      </c>
      <c r="I4963" t="s">
        <v>133</v>
      </c>
      <c r="J4963" s="89">
        <v>6018918</v>
      </c>
      <c r="K4963" t="s">
        <v>127</v>
      </c>
      <c r="L4963" t="s">
        <v>128</v>
      </c>
      <c r="M4963" t="s">
        <v>136</v>
      </c>
      <c r="N4963">
        <v>1</v>
      </c>
      <c r="O4963" s="89">
        <v>5310.81</v>
      </c>
      <c r="P4963" s="89">
        <v>92054.04</v>
      </c>
      <c r="Q4963" t="s">
        <v>142</v>
      </c>
      <c r="R4963" t="s">
        <v>131</v>
      </c>
    </row>
    <row r="4964" spans="3:18" hidden="1" x14ac:dyDescent="0.25">
      <c r="C4964" t="s">
        <v>45</v>
      </c>
      <c r="D4964" t="s">
        <v>23</v>
      </c>
      <c r="E4964" t="s">
        <v>40</v>
      </c>
      <c r="F4964" t="s">
        <v>41</v>
      </c>
      <c r="G4964" s="89">
        <v>849184</v>
      </c>
      <c r="H4964" t="s">
        <v>145</v>
      </c>
      <c r="I4964" t="s">
        <v>133</v>
      </c>
      <c r="J4964" s="89">
        <v>22927968</v>
      </c>
      <c r="K4964" t="s">
        <v>127</v>
      </c>
      <c r="L4964" t="s">
        <v>128</v>
      </c>
      <c r="N4964">
        <v>1</v>
      </c>
      <c r="O4964" s="89">
        <v>33967.360000000001</v>
      </c>
      <c r="P4964" s="89">
        <v>959577.92</v>
      </c>
      <c r="Q4964" t="s">
        <v>150</v>
      </c>
      <c r="R4964" t="s">
        <v>131</v>
      </c>
    </row>
    <row r="4965" spans="3:18" hidden="1" x14ac:dyDescent="0.25">
      <c r="C4965" t="s">
        <v>45</v>
      </c>
      <c r="D4965" t="s">
        <v>24</v>
      </c>
      <c r="E4965" t="s">
        <v>48</v>
      </c>
      <c r="F4965" t="s">
        <v>53</v>
      </c>
      <c r="G4965" s="89">
        <v>133798</v>
      </c>
      <c r="H4965" t="s">
        <v>42</v>
      </c>
      <c r="I4965" t="s">
        <v>133</v>
      </c>
      <c r="J4965" s="89">
        <v>4549132</v>
      </c>
      <c r="K4965" t="s">
        <v>144</v>
      </c>
      <c r="N4965">
        <v>1</v>
      </c>
      <c r="O4965" s="89">
        <v>4013.94</v>
      </c>
      <c r="P4965" s="89">
        <v>24083.64</v>
      </c>
      <c r="Q4965" t="s">
        <v>130</v>
      </c>
      <c r="R4965" t="s">
        <v>131</v>
      </c>
    </row>
    <row r="4966" spans="3:18" hidden="1" x14ac:dyDescent="0.25">
      <c r="C4966" t="s">
        <v>45</v>
      </c>
      <c r="D4966" t="s">
        <v>22</v>
      </c>
      <c r="E4966" t="s">
        <v>43</v>
      </c>
      <c r="F4966" t="s">
        <v>41</v>
      </c>
      <c r="G4966" s="89">
        <v>1284231</v>
      </c>
      <c r="H4966" t="s">
        <v>146</v>
      </c>
      <c r="I4966" t="s">
        <v>147</v>
      </c>
      <c r="J4966" s="89">
        <v>3852693</v>
      </c>
      <c r="K4966" t="s">
        <v>127</v>
      </c>
      <c r="L4966" t="s">
        <v>128</v>
      </c>
      <c r="N4966">
        <v>1</v>
      </c>
      <c r="O4966" s="89">
        <v>51369.24</v>
      </c>
      <c r="P4966" s="89">
        <v>128423.1</v>
      </c>
      <c r="Q4966" t="s">
        <v>130</v>
      </c>
      <c r="R4966" t="s">
        <v>131</v>
      </c>
    </row>
    <row r="4967" spans="3:18" hidden="1" x14ac:dyDescent="0.25">
      <c r="C4967" t="s">
        <v>45</v>
      </c>
      <c r="D4967" t="s">
        <v>138</v>
      </c>
      <c r="E4967" t="s">
        <v>48</v>
      </c>
      <c r="F4967" t="s">
        <v>41</v>
      </c>
      <c r="G4967" s="89">
        <v>3818614</v>
      </c>
      <c r="H4967" t="s">
        <v>42</v>
      </c>
      <c r="I4967" t="s">
        <v>133</v>
      </c>
      <c r="J4967" s="89">
        <v>122195648</v>
      </c>
      <c r="K4967" t="s">
        <v>127</v>
      </c>
      <c r="L4967" t="s">
        <v>128</v>
      </c>
      <c r="M4967" t="s">
        <v>139</v>
      </c>
      <c r="N4967">
        <v>1</v>
      </c>
      <c r="O4967" s="89">
        <v>114558.42</v>
      </c>
      <c r="P4967" s="89">
        <v>2711215.94</v>
      </c>
      <c r="Q4967" t="s">
        <v>137</v>
      </c>
      <c r="R4967" t="s">
        <v>131</v>
      </c>
    </row>
    <row r="4968" spans="3:18" hidden="1" x14ac:dyDescent="0.25">
      <c r="C4968" t="s">
        <v>45</v>
      </c>
      <c r="D4968" t="s">
        <v>23</v>
      </c>
      <c r="E4968" t="s">
        <v>40</v>
      </c>
      <c r="F4968" t="s">
        <v>41</v>
      </c>
      <c r="G4968" s="89">
        <v>32030</v>
      </c>
      <c r="H4968" t="s">
        <v>42</v>
      </c>
      <c r="I4968" t="s">
        <v>141</v>
      </c>
      <c r="J4968" s="89">
        <v>288270</v>
      </c>
      <c r="K4968" t="s">
        <v>127</v>
      </c>
      <c r="L4968" t="s">
        <v>128</v>
      </c>
      <c r="M4968" t="s">
        <v>152</v>
      </c>
      <c r="N4968">
        <v>1</v>
      </c>
      <c r="O4968" s="89">
        <v>960.9</v>
      </c>
      <c r="P4968" s="89">
        <v>13132.3</v>
      </c>
      <c r="Q4968" t="s">
        <v>142</v>
      </c>
      <c r="R4968" t="s">
        <v>42</v>
      </c>
    </row>
    <row r="4969" spans="3:18" hidden="1" x14ac:dyDescent="0.25">
      <c r="C4969" t="s">
        <v>45</v>
      </c>
      <c r="D4969" t="s">
        <v>138</v>
      </c>
      <c r="E4969" t="s">
        <v>43</v>
      </c>
      <c r="F4969" t="s">
        <v>41</v>
      </c>
      <c r="G4969" s="89">
        <v>10781270</v>
      </c>
      <c r="H4969" t="s">
        <v>132</v>
      </c>
      <c r="I4969" t="s">
        <v>133</v>
      </c>
      <c r="J4969" s="89">
        <v>280313020</v>
      </c>
      <c r="K4969" t="s">
        <v>127</v>
      </c>
      <c r="L4969" t="s">
        <v>128</v>
      </c>
      <c r="N4969">
        <v>1</v>
      </c>
      <c r="O4969" s="89">
        <v>323438.09999999998</v>
      </c>
      <c r="P4969" s="89">
        <v>3126568.3</v>
      </c>
      <c r="Q4969" t="s">
        <v>130</v>
      </c>
      <c r="R4969" t="s">
        <v>131</v>
      </c>
    </row>
    <row r="4970" spans="3:18" hidden="1" x14ac:dyDescent="0.25">
      <c r="C4970" t="s">
        <v>45</v>
      </c>
      <c r="D4970" t="s">
        <v>23</v>
      </c>
      <c r="E4970" t="s">
        <v>40</v>
      </c>
      <c r="F4970" t="s">
        <v>41</v>
      </c>
      <c r="G4970" s="89">
        <v>275612</v>
      </c>
      <c r="H4970" t="s">
        <v>42</v>
      </c>
      <c r="I4970" t="s">
        <v>133</v>
      </c>
      <c r="J4970" s="89">
        <v>9922032</v>
      </c>
      <c r="K4970" t="s">
        <v>127</v>
      </c>
      <c r="L4970" t="s">
        <v>128</v>
      </c>
      <c r="M4970" t="s">
        <v>143</v>
      </c>
      <c r="N4970">
        <v>1</v>
      </c>
      <c r="O4970" s="89">
        <v>8268.36</v>
      </c>
      <c r="P4970" s="89">
        <v>228757.96</v>
      </c>
      <c r="Q4970" t="s">
        <v>135</v>
      </c>
      <c r="R4970" t="s">
        <v>131</v>
      </c>
    </row>
    <row r="4971" spans="3:18" hidden="1" x14ac:dyDescent="0.25">
      <c r="C4971" t="s">
        <v>45</v>
      </c>
      <c r="D4971" t="s">
        <v>23</v>
      </c>
      <c r="E4971" t="s">
        <v>40</v>
      </c>
      <c r="F4971" t="s">
        <v>41</v>
      </c>
      <c r="G4971" s="89">
        <v>5106643</v>
      </c>
      <c r="H4971" t="s">
        <v>146</v>
      </c>
      <c r="I4971" t="s">
        <v>126</v>
      </c>
      <c r="J4971" s="89">
        <v>81706288</v>
      </c>
      <c r="K4971" t="s">
        <v>127</v>
      </c>
      <c r="L4971" t="s">
        <v>128</v>
      </c>
      <c r="N4971">
        <v>1</v>
      </c>
      <c r="O4971" s="89">
        <v>153199.29</v>
      </c>
      <c r="P4971" s="89">
        <v>2451188.64</v>
      </c>
      <c r="Q4971" t="s">
        <v>142</v>
      </c>
      <c r="R4971" t="s">
        <v>131</v>
      </c>
    </row>
    <row r="4972" spans="3:18" x14ac:dyDescent="0.25">
      <c r="C4972" t="s">
        <v>47</v>
      </c>
      <c r="D4972" t="s">
        <v>138</v>
      </c>
      <c r="E4972" t="s">
        <v>48</v>
      </c>
      <c r="F4972" t="s">
        <v>41</v>
      </c>
      <c r="G4972" s="89">
        <v>369085</v>
      </c>
      <c r="H4972" t="s">
        <v>140</v>
      </c>
      <c r="I4972" t="s">
        <v>126</v>
      </c>
      <c r="J4972" s="89">
        <v>5167190</v>
      </c>
      <c r="K4972" t="s">
        <v>144</v>
      </c>
      <c r="N4972">
        <v>1</v>
      </c>
      <c r="O4972" s="89">
        <v>11072.55</v>
      </c>
      <c r="P4972" s="89">
        <v>155015.70000000001</v>
      </c>
      <c r="Q4972" t="s">
        <v>142</v>
      </c>
      <c r="R4972" t="s">
        <v>131</v>
      </c>
    </row>
    <row r="4973" spans="3:18" x14ac:dyDescent="0.25">
      <c r="C4973" t="s">
        <v>47</v>
      </c>
      <c r="D4973" t="s">
        <v>23</v>
      </c>
      <c r="E4973" t="s">
        <v>48</v>
      </c>
      <c r="F4973" t="s">
        <v>41</v>
      </c>
      <c r="G4973" s="89">
        <v>492515</v>
      </c>
      <c r="H4973" t="s">
        <v>140</v>
      </c>
      <c r="I4973" t="s">
        <v>141</v>
      </c>
      <c r="J4973" s="89">
        <v>4432635</v>
      </c>
      <c r="K4973" t="s">
        <v>144</v>
      </c>
      <c r="N4973">
        <v>1</v>
      </c>
      <c r="O4973" s="89">
        <v>19700.599999999999</v>
      </c>
      <c r="P4973" s="89">
        <v>275808.40000000002</v>
      </c>
      <c r="Q4973" t="s">
        <v>142</v>
      </c>
      <c r="R4973" t="s">
        <v>131</v>
      </c>
    </row>
    <row r="4974" spans="3:18" hidden="1" x14ac:dyDescent="0.25">
      <c r="C4974" t="s">
        <v>45</v>
      </c>
      <c r="D4974" t="s">
        <v>138</v>
      </c>
      <c r="E4974" t="s">
        <v>43</v>
      </c>
      <c r="F4974" t="s">
        <v>41</v>
      </c>
      <c r="G4974" s="89">
        <v>288197</v>
      </c>
      <c r="H4974" t="s">
        <v>145</v>
      </c>
      <c r="I4974" t="s">
        <v>141</v>
      </c>
      <c r="J4974" s="89">
        <v>2593773</v>
      </c>
      <c r="K4974" t="s">
        <v>144</v>
      </c>
      <c r="N4974">
        <v>1</v>
      </c>
      <c r="O4974" s="89">
        <v>11527.88</v>
      </c>
      <c r="P4974" s="89">
        <v>207501.84</v>
      </c>
      <c r="Q4974" t="s">
        <v>137</v>
      </c>
      <c r="R4974" t="s">
        <v>131</v>
      </c>
    </row>
    <row r="4975" spans="3:18" hidden="1" x14ac:dyDescent="0.25">
      <c r="C4975" t="s">
        <v>45</v>
      </c>
      <c r="D4975" t="s">
        <v>19</v>
      </c>
      <c r="E4975" t="s">
        <v>43</v>
      </c>
      <c r="F4975" t="s">
        <v>41</v>
      </c>
      <c r="G4975" s="89">
        <v>1225468</v>
      </c>
      <c r="H4975" t="s">
        <v>140</v>
      </c>
      <c r="I4975" t="s">
        <v>147</v>
      </c>
      <c r="J4975" s="89">
        <v>2450936</v>
      </c>
      <c r="K4975" t="s">
        <v>134</v>
      </c>
      <c r="L4975" t="s">
        <v>128</v>
      </c>
      <c r="N4975">
        <v>1</v>
      </c>
      <c r="O4975" s="89">
        <v>36764.04</v>
      </c>
      <c r="P4975" s="89">
        <v>294112.32</v>
      </c>
      <c r="Q4975" t="s">
        <v>130</v>
      </c>
      <c r="R4975" t="s">
        <v>131</v>
      </c>
    </row>
    <row r="4976" spans="3:18" hidden="1" x14ac:dyDescent="0.25">
      <c r="C4976" t="s">
        <v>45</v>
      </c>
      <c r="D4976" t="s">
        <v>22</v>
      </c>
      <c r="E4976" t="s">
        <v>43</v>
      </c>
      <c r="F4976" t="s">
        <v>41</v>
      </c>
      <c r="G4976" s="89">
        <v>33239</v>
      </c>
      <c r="H4976" t="s">
        <v>146</v>
      </c>
      <c r="I4976" t="s">
        <v>126</v>
      </c>
      <c r="J4976" s="89">
        <v>498585</v>
      </c>
      <c r="K4976" t="s">
        <v>134</v>
      </c>
      <c r="L4976" t="s">
        <v>128</v>
      </c>
      <c r="N4976">
        <v>1</v>
      </c>
      <c r="O4976" s="89">
        <v>1329.56</v>
      </c>
      <c r="P4976" s="89">
        <v>10636.48</v>
      </c>
      <c r="Q4976" t="s">
        <v>130</v>
      </c>
      <c r="R4976" t="s">
        <v>131</v>
      </c>
    </row>
    <row r="4977" spans="3:18" hidden="1" x14ac:dyDescent="0.25">
      <c r="C4977" t="s">
        <v>45</v>
      </c>
      <c r="D4977" t="s">
        <v>23</v>
      </c>
      <c r="E4977" t="s">
        <v>48</v>
      </c>
      <c r="F4977" t="s">
        <v>41</v>
      </c>
      <c r="G4977" s="89">
        <v>143464</v>
      </c>
      <c r="H4977" t="s">
        <v>145</v>
      </c>
      <c r="I4977" t="s">
        <v>133</v>
      </c>
      <c r="J4977" s="89">
        <v>4160456</v>
      </c>
      <c r="K4977" t="s">
        <v>127</v>
      </c>
      <c r="L4977" t="s">
        <v>128</v>
      </c>
      <c r="N4977">
        <v>1</v>
      </c>
      <c r="O4977" s="89">
        <v>4303.92</v>
      </c>
      <c r="P4977" s="89">
        <v>200849.6</v>
      </c>
      <c r="Q4977" t="s">
        <v>150</v>
      </c>
      <c r="R4977" t="s">
        <v>131</v>
      </c>
    </row>
    <row r="4978" spans="3:18" hidden="1" x14ac:dyDescent="0.25">
      <c r="C4978" t="s">
        <v>45</v>
      </c>
      <c r="D4978" t="s">
        <v>23</v>
      </c>
      <c r="E4978" t="s">
        <v>40</v>
      </c>
      <c r="F4978" t="s">
        <v>41</v>
      </c>
      <c r="G4978" s="89">
        <v>223903</v>
      </c>
      <c r="H4978" t="s">
        <v>42</v>
      </c>
      <c r="I4978" t="s">
        <v>141</v>
      </c>
      <c r="J4978" s="89">
        <v>1791224</v>
      </c>
      <c r="K4978" t="s">
        <v>127</v>
      </c>
      <c r="L4978" t="s">
        <v>128</v>
      </c>
      <c r="M4978" t="s">
        <v>152</v>
      </c>
      <c r="N4978">
        <v>1</v>
      </c>
      <c r="O4978" s="89">
        <v>8956.1200000000008</v>
      </c>
      <c r="P4978" s="89">
        <v>44780.6</v>
      </c>
      <c r="Q4978" t="s">
        <v>130</v>
      </c>
      <c r="R4978" t="s">
        <v>42</v>
      </c>
    </row>
    <row r="4979" spans="3:18" hidden="1" x14ac:dyDescent="0.25">
      <c r="C4979" t="s">
        <v>45</v>
      </c>
      <c r="D4979" t="s">
        <v>22</v>
      </c>
      <c r="E4979" t="s">
        <v>40</v>
      </c>
      <c r="F4979" t="s">
        <v>41</v>
      </c>
      <c r="G4979" s="89">
        <v>272099</v>
      </c>
      <c r="H4979" t="s">
        <v>140</v>
      </c>
      <c r="I4979" t="s">
        <v>141</v>
      </c>
      <c r="J4979" s="89">
        <v>2448891</v>
      </c>
      <c r="K4979" t="s">
        <v>144</v>
      </c>
      <c r="N4979">
        <v>1</v>
      </c>
      <c r="O4979" s="89">
        <v>8162.97</v>
      </c>
      <c r="P4979" s="89">
        <v>179585.34</v>
      </c>
      <c r="Q4979" t="s">
        <v>137</v>
      </c>
      <c r="R4979" t="s">
        <v>131</v>
      </c>
    </row>
    <row r="4980" spans="3:18" hidden="1" x14ac:dyDescent="0.25">
      <c r="C4980" t="s">
        <v>45</v>
      </c>
      <c r="D4980" t="s">
        <v>21</v>
      </c>
      <c r="E4980" t="s">
        <v>43</v>
      </c>
      <c r="F4980" t="s">
        <v>41</v>
      </c>
      <c r="G4980" s="89">
        <v>5488</v>
      </c>
      <c r="H4980" t="s">
        <v>42</v>
      </c>
      <c r="I4980" t="s">
        <v>126</v>
      </c>
      <c r="J4980" s="89">
        <v>76832</v>
      </c>
      <c r="K4980" t="s">
        <v>127</v>
      </c>
      <c r="L4980" t="s">
        <v>128</v>
      </c>
      <c r="M4980" t="s">
        <v>143</v>
      </c>
      <c r="N4980">
        <v>1</v>
      </c>
      <c r="O4980" s="89">
        <v>274.39999999999998</v>
      </c>
      <c r="P4980" s="89">
        <v>7134.4</v>
      </c>
      <c r="Q4980" t="s">
        <v>150</v>
      </c>
      <c r="R4980" t="s">
        <v>42</v>
      </c>
    </row>
    <row r="4981" spans="3:18" hidden="1" x14ac:dyDescent="0.25">
      <c r="C4981" t="s">
        <v>45</v>
      </c>
      <c r="D4981" t="s">
        <v>138</v>
      </c>
      <c r="E4981" t="s">
        <v>43</v>
      </c>
      <c r="F4981" t="s">
        <v>41</v>
      </c>
      <c r="G4981" s="89">
        <v>1746</v>
      </c>
      <c r="H4981" t="s">
        <v>42</v>
      </c>
      <c r="I4981" t="s">
        <v>147</v>
      </c>
      <c r="J4981" s="89">
        <v>1746</v>
      </c>
      <c r="K4981" t="s">
        <v>127</v>
      </c>
      <c r="L4981" t="s">
        <v>128</v>
      </c>
      <c r="M4981" t="s">
        <v>129</v>
      </c>
      <c r="N4981">
        <v>1</v>
      </c>
      <c r="O4981" s="89">
        <v>69.84</v>
      </c>
      <c r="P4981" s="89">
        <v>17.46</v>
      </c>
      <c r="Q4981" t="s">
        <v>130</v>
      </c>
      <c r="R4981" t="s">
        <v>42</v>
      </c>
    </row>
    <row r="4982" spans="3:18" hidden="1" x14ac:dyDescent="0.25">
      <c r="C4982" t="s">
        <v>45</v>
      </c>
      <c r="D4982" t="s">
        <v>25</v>
      </c>
      <c r="E4982" t="s">
        <v>48</v>
      </c>
      <c r="F4982" t="s">
        <v>41</v>
      </c>
      <c r="G4982" s="89">
        <v>32644</v>
      </c>
      <c r="H4982" t="s">
        <v>145</v>
      </c>
      <c r="I4982" t="s">
        <v>141</v>
      </c>
      <c r="J4982" s="89">
        <v>293796</v>
      </c>
      <c r="K4982" t="s">
        <v>127</v>
      </c>
      <c r="L4982" t="s">
        <v>128</v>
      </c>
      <c r="N4982">
        <v>1</v>
      </c>
      <c r="O4982" s="89">
        <v>652.88</v>
      </c>
      <c r="P4982" s="89">
        <v>13710.48</v>
      </c>
      <c r="Q4982" t="s">
        <v>142</v>
      </c>
      <c r="R4982" t="s">
        <v>131</v>
      </c>
    </row>
    <row r="4983" spans="3:18" hidden="1" x14ac:dyDescent="0.25">
      <c r="C4983" t="s">
        <v>45</v>
      </c>
      <c r="D4983" t="s">
        <v>138</v>
      </c>
      <c r="E4983" t="s">
        <v>40</v>
      </c>
      <c r="F4983" t="s">
        <v>41</v>
      </c>
      <c r="G4983" s="89">
        <v>98721</v>
      </c>
      <c r="H4983" t="s">
        <v>146</v>
      </c>
      <c r="I4983" t="s">
        <v>133</v>
      </c>
      <c r="J4983" s="89">
        <v>3652677</v>
      </c>
      <c r="K4983" t="s">
        <v>144</v>
      </c>
      <c r="N4983">
        <v>1</v>
      </c>
      <c r="O4983" s="89">
        <v>2961.63</v>
      </c>
      <c r="P4983" s="89">
        <v>38501.19</v>
      </c>
      <c r="Q4983" t="s">
        <v>130</v>
      </c>
      <c r="R4983" t="s">
        <v>131</v>
      </c>
    </row>
    <row r="4984" spans="3:18" hidden="1" x14ac:dyDescent="0.25">
      <c r="C4984" t="s">
        <v>45</v>
      </c>
      <c r="D4984" t="s">
        <v>23</v>
      </c>
      <c r="E4984" t="s">
        <v>40</v>
      </c>
      <c r="F4984" t="s">
        <v>41</v>
      </c>
      <c r="G4984" s="89">
        <v>4593895</v>
      </c>
      <c r="H4984" t="s">
        <v>132</v>
      </c>
      <c r="I4984" t="s">
        <v>147</v>
      </c>
      <c r="J4984" s="89">
        <v>13781685</v>
      </c>
      <c r="K4984" t="s">
        <v>127</v>
      </c>
      <c r="L4984" t="s">
        <v>128</v>
      </c>
      <c r="N4984">
        <v>1</v>
      </c>
      <c r="O4984" s="89">
        <v>137816.85</v>
      </c>
      <c r="P4984" s="89">
        <v>643145.30000000005</v>
      </c>
      <c r="Q4984" t="s">
        <v>130</v>
      </c>
      <c r="R4984" t="s">
        <v>131</v>
      </c>
    </row>
    <row r="4985" spans="3:18" hidden="1" x14ac:dyDescent="0.25">
      <c r="C4985" t="s">
        <v>45</v>
      </c>
      <c r="D4985" t="s">
        <v>24</v>
      </c>
      <c r="E4985" t="s">
        <v>44</v>
      </c>
      <c r="F4985" t="s">
        <v>41</v>
      </c>
      <c r="G4985" s="89">
        <v>651455</v>
      </c>
      <c r="H4985" t="s">
        <v>42</v>
      </c>
      <c r="I4985" t="s">
        <v>133</v>
      </c>
      <c r="J4985" s="89">
        <v>23452380</v>
      </c>
      <c r="K4985" t="s">
        <v>144</v>
      </c>
      <c r="N4985">
        <v>1</v>
      </c>
      <c r="O4985" s="89">
        <v>19543.650000000001</v>
      </c>
      <c r="P4985" s="89">
        <v>540707.65</v>
      </c>
      <c r="Q4985" t="s">
        <v>135</v>
      </c>
      <c r="R4985" t="s">
        <v>131</v>
      </c>
    </row>
    <row r="4986" spans="3:18" hidden="1" x14ac:dyDescent="0.25">
      <c r="C4986" t="s">
        <v>45</v>
      </c>
      <c r="D4986" t="s">
        <v>19</v>
      </c>
      <c r="E4986" t="s">
        <v>40</v>
      </c>
      <c r="F4986" t="s">
        <v>41</v>
      </c>
      <c r="G4986" s="89">
        <v>273468</v>
      </c>
      <c r="H4986" t="s">
        <v>42</v>
      </c>
      <c r="I4986" t="s">
        <v>133</v>
      </c>
      <c r="J4986" s="89">
        <v>9571380</v>
      </c>
      <c r="K4986" t="s">
        <v>144</v>
      </c>
      <c r="N4986">
        <v>1</v>
      </c>
      <c r="O4986" s="89">
        <v>5469.36</v>
      </c>
      <c r="P4986" s="89">
        <v>194162.28</v>
      </c>
      <c r="Q4986" t="s">
        <v>137</v>
      </c>
      <c r="R4986" t="s">
        <v>131</v>
      </c>
    </row>
    <row r="4987" spans="3:18" hidden="1" x14ac:dyDescent="0.25">
      <c r="C4987" t="s">
        <v>45</v>
      </c>
      <c r="D4987" t="s">
        <v>23</v>
      </c>
      <c r="E4987" t="s">
        <v>44</v>
      </c>
      <c r="F4987" t="s">
        <v>41</v>
      </c>
      <c r="G4987" s="89">
        <v>33869</v>
      </c>
      <c r="H4987" t="s">
        <v>42</v>
      </c>
      <c r="I4987" t="s">
        <v>126</v>
      </c>
      <c r="J4987" s="89">
        <v>406428</v>
      </c>
      <c r="K4987" t="s">
        <v>127</v>
      </c>
      <c r="L4987" t="s">
        <v>128</v>
      </c>
      <c r="M4987" t="s">
        <v>152</v>
      </c>
      <c r="N4987">
        <v>1</v>
      </c>
      <c r="O4987" s="89">
        <v>1354.76</v>
      </c>
      <c r="P4987" s="89">
        <v>11854.15</v>
      </c>
      <c r="Q4987" t="s">
        <v>130</v>
      </c>
      <c r="R4987" t="s">
        <v>131</v>
      </c>
    </row>
    <row r="4988" spans="3:18" hidden="1" x14ac:dyDescent="0.25">
      <c r="C4988" t="s">
        <v>45</v>
      </c>
      <c r="D4988" t="s">
        <v>22</v>
      </c>
      <c r="E4988" t="s">
        <v>40</v>
      </c>
      <c r="F4988" t="s">
        <v>41</v>
      </c>
      <c r="G4988" s="89">
        <v>1900675</v>
      </c>
      <c r="H4988" t="s">
        <v>42</v>
      </c>
      <c r="I4988" t="s">
        <v>126</v>
      </c>
      <c r="J4988" s="89">
        <v>34212150</v>
      </c>
      <c r="K4988" t="s">
        <v>144</v>
      </c>
      <c r="N4988">
        <v>1</v>
      </c>
      <c r="O4988" s="89">
        <v>57020.25</v>
      </c>
      <c r="P4988" s="89">
        <v>1311465.75</v>
      </c>
      <c r="Q4988" t="s">
        <v>137</v>
      </c>
      <c r="R4988" t="s">
        <v>42</v>
      </c>
    </row>
    <row r="4989" spans="3:18" hidden="1" x14ac:dyDescent="0.25">
      <c r="C4989" t="s">
        <v>45</v>
      </c>
      <c r="D4989" t="s">
        <v>19</v>
      </c>
      <c r="E4989" t="s">
        <v>43</v>
      </c>
      <c r="F4989" t="s">
        <v>53</v>
      </c>
      <c r="G4989" s="89">
        <v>4476</v>
      </c>
      <c r="H4989" t="s">
        <v>145</v>
      </c>
      <c r="I4989" t="s">
        <v>141</v>
      </c>
      <c r="J4989" s="89">
        <v>31332</v>
      </c>
      <c r="K4989" t="s">
        <v>127</v>
      </c>
      <c r="L4989" t="s">
        <v>128</v>
      </c>
      <c r="N4989">
        <v>1</v>
      </c>
      <c r="O4989" s="89">
        <v>223.8</v>
      </c>
      <c r="P4989" s="89">
        <v>134.28</v>
      </c>
      <c r="Q4989" t="s">
        <v>130</v>
      </c>
      <c r="R4989" t="s">
        <v>131</v>
      </c>
    </row>
    <row r="4990" spans="3:18" hidden="1" x14ac:dyDescent="0.25">
      <c r="C4990" t="s">
        <v>45</v>
      </c>
      <c r="D4990" t="s">
        <v>138</v>
      </c>
      <c r="E4990" t="s">
        <v>43</v>
      </c>
      <c r="F4990" t="s">
        <v>41</v>
      </c>
      <c r="G4990" s="89">
        <v>291579</v>
      </c>
      <c r="H4990" t="s">
        <v>146</v>
      </c>
      <c r="I4990" t="s">
        <v>126</v>
      </c>
      <c r="J4990" s="89">
        <v>4373685</v>
      </c>
      <c r="K4990" t="s">
        <v>144</v>
      </c>
      <c r="N4990">
        <v>1</v>
      </c>
      <c r="O4990" s="89">
        <v>8747.3700000000008</v>
      </c>
      <c r="P4990" s="89">
        <v>154536.87</v>
      </c>
      <c r="Q4990" t="s">
        <v>142</v>
      </c>
      <c r="R4990" t="s">
        <v>131</v>
      </c>
    </row>
    <row r="4991" spans="3:18" hidden="1" x14ac:dyDescent="0.25">
      <c r="C4991" t="s">
        <v>45</v>
      </c>
      <c r="D4991" t="s">
        <v>20</v>
      </c>
      <c r="E4991" t="s">
        <v>43</v>
      </c>
      <c r="F4991" t="s">
        <v>41</v>
      </c>
      <c r="G4991" s="89">
        <v>190107</v>
      </c>
      <c r="H4991" t="s">
        <v>42</v>
      </c>
      <c r="I4991" t="s">
        <v>126</v>
      </c>
      <c r="J4991" s="89">
        <v>3231819</v>
      </c>
      <c r="K4991" t="s">
        <v>134</v>
      </c>
      <c r="L4991" t="s">
        <v>128</v>
      </c>
      <c r="M4991" t="s">
        <v>139</v>
      </c>
      <c r="N4991">
        <v>1</v>
      </c>
      <c r="O4991" s="89">
        <v>5703.21</v>
      </c>
      <c r="P4991" s="89">
        <v>119767.41</v>
      </c>
      <c r="Q4991" t="s">
        <v>137</v>
      </c>
      <c r="R4991" t="s">
        <v>131</v>
      </c>
    </row>
    <row r="4992" spans="3:18" hidden="1" x14ac:dyDescent="0.25">
      <c r="C4992" t="s">
        <v>45</v>
      </c>
      <c r="D4992" t="s">
        <v>22</v>
      </c>
      <c r="E4992" t="s">
        <v>40</v>
      </c>
      <c r="F4992" t="s">
        <v>41</v>
      </c>
      <c r="G4992" s="89">
        <v>188516719</v>
      </c>
      <c r="H4992" t="s">
        <v>42</v>
      </c>
      <c r="I4992" t="s">
        <v>133</v>
      </c>
      <c r="J4992" s="89">
        <v>6975118603</v>
      </c>
      <c r="K4992" t="s">
        <v>144</v>
      </c>
      <c r="N4992">
        <v>1</v>
      </c>
      <c r="O4992" s="89">
        <v>5655501.5700000003</v>
      </c>
      <c r="P4992" s="89">
        <v>169665047.09999999</v>
      </c>
      <c r="Q4992" t="s">
        <v>135</v>
      </c>
      <c r="R4992" t="s">
        <v>42</v>
      </c>
    </row>
    <row r="4993" spans="3:18" hidden="1" x14ac:dyDescent="0.25">
      <c r="C4993" t="s">
        <v>45</v>
      </c>
      <c r="D4993" t="s">
        <v>24</v>
      </c>
      <c r="E4993" t="s">
        <v>40</v>
      </c>
      <c r="F4993" t="s">
        <v>41</v>
      </c>
      <c r="G4993" s="89">
        <v>2588530</v>
      </c>
      <c r="H4993" t="s">
        <v>145</v>
      </c>
      <c r="I4993" t="s">
        <v>126</v>
      </c>
      <c r="J4993" s="89">
        <v>44005010</v>
      </c>
      <c r="K4993" t="s">
        <v>127</v>
      </c>
      <c r="L4993" t="s">
        <v>128</v>
      </c>
      <c r="N4993">
        <v>1</v>
      </c>
      <c r="O4993" s="89">
        <v>77655.899999999994</v>
      </c>
      <c r="P4993" s="89">
        <v>1294265</v>
      </c>
      <c r="Q4993" t="s">
        <v>142</v>
      </c>
      <c r="R4993" t="s">
        <v>131</v>
      </c>
    </row>
    <row r="4994" spans="3:18" hidden="1" x14ac:dyDescent="0.25">
      <c r="C4994" t="s">
        <v>45</v>
      </c>
      <c r="D4994" t="s">
        <v>19</v>
      </c>
      <c r="E4994" t="s">
        <v>43</v>
      </c>
      <c r="F4994" t="s">
        <v>41</v>
      </c>
      <c r="G4994" s="89">
        <v>55107</v>
      </c>
      <c r="H4994" t="s">
        <v>154</v>
      </c>
      <c r="I4994" t="s">
        <v>133</v>
      </c>
      <c r="J4994" s="89">
        <v>1212354</v>
      </c>
      <c r="K4994" t="s">
        <v>127</v>
      </c>
      <c r="L4994" t="s">
        <v>128</v>
      </c>
      <c r="N4994">
        <v>1</v>
      </c>
      <c r="O4994" s="89">
        <v>1653.21</v>
      </c>
      <c r="P4994" s="89">
        <v>15429.96</v>
      </c>
      <c r="Q4994" t="s">
        <v>130</v>
      </c>
      <c r="R4994" t="s">
        <v>131</v>
      </c>
    </row>
    <row r="4995" spans="3:18" hidden="1" x14ac:dyDescent="0.25">
      <c r="C4995" t="s">
        <v>45</v>
      </c>
      <c r="D4995" t="s">
        <v>149</v>
      </c>
      <c r="E4995" t="s">
        <v>43</v>
      </c>
      <c r="F4995" t="s">
        <v>41</v>
      </c>
      <c r="G4995" s="89">
        <v>674487</v>
      </c>
      <c r="H4995" t="s">
        <v>42</v>
      </c>
      <c r="I4995" t="s">
        <v>133</v>
      </c>
      <c r="J4995" s="89">
        <v>22258071</v>
      </c>
      <c r="K4995" t="s">
        <v>127</v>
      </c>
      <c r="L4995" t="s">
        <v>128</v>
      </c>
      <c r="M4995" t="s">
        <v>143</v>
      </c>
      <c r="N4995">
        <v>1</v>
      </c>
      <c r="O4995" s="89">
        <v>20234.61</v>
      </c>
      <c r="P4995" s="89">
        <v>559824.21</v>
      </c>
      <c r="Q4995" t="s">
        <v>135</v>
      </c>
      <c r="R4995" t="s">
        <v>131</v>
      </c>
    </row>
    <row r="4996" spans="3:18" hidden="1" x14ac:dyDescent="0.25">
      <c r="C4996" t="s">
        <v>45</v>
      </c>
      <c r="D4996" t="s">
        <v>149</v>
      </c>
      <c r="E4996" t="s">
        <v>43</v>
      </c>
      <c r="F4996" t="s">
        <v>41</v>
      </c>
      <c r="G4996" s="89">
        <v>3386535</v>
      </c>
      <c r="H4996" t="s">
        <v>42</v>
      </c>
      <c r="I4996" t="s">
        <v>126</v>
      </c>
      <c r="J4996" s="89">
        <v>54184560</v>
      </c>
      <c r="K4996" t="s">
        <v>144</v>
      </c>
      <c r="N4996">
        <v>1</v>
      </c>
      <c r="O4996" s="89">
        <v>101596.05</v>
      </c>
      <c r="P4996" s="89">
        <v>778903.05</v>
      </c>
      <c r="Q4996" t="s">
        <v>130</v>
      </c>
      <c r="R4996" t="s">
        <v>42</v>
      </c>
    </row>
    <row r="4997" spans="3:18" x14ac:dyDescent="0.25">
      <c r="C4997" t="s">
        <v>47</v>
      </c>
      <c r="D4997" t="s">
        <v>20</v>
      </c>
      <c r="E4997" t="s">
        <v>43</v>
      </c>
      <c r="F4997" t="s">
        <v>41</v>
      </c>
      <c r="G4997" s="89">
        <v>1041034</v>
      </c>
      <c r="H4997" t="s">
        <v>42</v>
      </c>
      <c r="I4997" t="s">
        <v>141</v>
      </c>
      <c r="J4997" s="89">
        <v>8328272</v>
      </c>
      <c r="K4997" t="s">
        <v>144</v>
      </c>
      <c r="N4997">
        <v>1</v>
      </c>
      <c r="O4997" s="89">
        <v>41641.360000000001</v>
      </c>
      <c r="P4997" s="89">
        <v>832827.2</v>
      </c>
      <c r="Q4997" t="s">
        <v>135</v>
      </c>
      <c r="R4997" t="s">
        <v>42</v>
      </c>
    </row>
    <row r="4998" spans="3:18" hidden="1" x14ac:dyDescent="0.25">
      <c r="C4998" t="s">
        <v>45</v>
      </c>
      <c r="D4998" t="s">
        <v>21</v>
      </c>
      <c r="E4998" t="s">
        <v>43</v>
      </c>
      <c r="F4998" t="s">
        <v>41</v>
      </c>
      <c r="G4998" s="89">
        <v>249015</v>
      </c>
      <c r="H4998" t="s">
        <v>146</v>
      </c>
      <c r="I4998" t="s">
        <v>141</v>
      </c>
      <c r="J4998" s="89">
        <v>2241135</v>
      </c>
      <c r="K4998" t="s">
        <v>144</v>
      </c>
      <c r="N4998">
        <v>1</v>
      </c>
      <c r="O4998" s="89">
        <v>7470.45</v>
      </c>
      <c r="P4998" s="89">
        <v>126997.65</v>
      </c>
      <c r="Q4998" t="s">
        <v>142</v>
      </c>
      <c r="R4998" t="s">
        <v>131</v>
      </c>
    </row>
    <row r="4999" spans="3:18" hidden="1" x14ac:dyDescent="0.25">
      <c r="C4999" t="s">
        <v>45</v>
      </c>
      <c r="D4999" t="s">
        <v>24</v>
      </c>
      <c r="E4999" t="s">
        <v>44</v>
      </c>
      <c r="F4999" t="s">
        <v>41</v>
      </c>
      <c r="G4999" s="89">
        <v>40155</v>
      </c>
      <c r="H4999" t="s">
        <v>140</v>
      </c>
      <c r="I4999" t="s">
        <v>147</v>
      </c>
      <c r="J4999" s="89">
        <v>160620</v>
      </c>
      <c r="K4999" t="s">
        <v>127</v>
      </c>
      <c r="L4999" t="s">
        <v>128</v>
      </c>
      <c r="N4999">
        <v>1</v>
      </c>
      <c r="O4999" s="89">
        <v>1606.2</v>
      </c>
      <c r="P4999" s="89">
        <v>18069.75</v>
      </c>
      <c r="Q4999" t="s">
        <v>142</v>
      </c>
      <c r="R4999" t="s">
        <v>131</v>
      </c>
    </row>
    <row r="5000" spans="3:18" hidden="1" x14ac:dyDescent="0.25">
      <c r="C5000" t="s">
        <v>45</v>
      </c>
      <c r="D5000" t="s">
        <v>19</v>
      </c>
      <c r="E5000" t="s">
        <v>43</v>
      </c>
      <c r="F5000" t="s">
        <v>41</v>
      </c>
      <c r="G5000" s="89">
        <v>4344821</v>
      </c>
      <c r="H5000" t="s">
        <v>42</v>
      </c>
      <c r="I5000" t="s">
        <v>133</v>
      </c>
      <c r="J5000" s="89">
        <v>134689451</v>
      </c>
      <c r="K5000" t="s">
        <v>134</v>
      </c>
      <c r="L5000" t="s">
        <v>128</v>
      </c>
      <c r="M5000" t="s">
        <v>136</v>
      </c>
      <c r="N5000">
        <v>1</v>
      </c>
      <c r="O5000" s="89">
        <v>130344.63</v>
      </c>
      <c r="P5000" s="89">
        <v>3084822.91</v>
      </c>
      <c r="Q5000" t="s">
        <v>137</v>
      </c>
      <c r="R5000" t="s">
        <v>131</v>
      </c>
    </row>
    <row r="5001" spans="3:18" hidden="1" x14ac:dyDescent="0.25">
      <c r="C5001" t="s">
        <v>45</v>
      </c>
      <c r="D5001" t="s">
        <v>149</v>
      </c>
      <c r="E5001" t="s">
        <v>44</v>
      </c>
      <c r="F5001" t="s">
        <v>41</v>
      </c>
      <c r="G5001" s="89">
        <v>233290</v>
      </c>
      <c r="H5001" t="s">
        <v>42</v>
      </c>
      <c r="I5001" t="s">
        <v>133</v>
      </c>
      <c r="J5001" s="89">
        <v>7931860</v>
      </c>
      <c r="K5001" t="s">
        <v>127</v>
      </c>
      <c r="L5001" t="s">
        <v>128</v>
      </c>
      <c r="M5001" t="s">
        <v>136</v>
      </c>
      <c r="N5001">
        <v>1</v>
      </c>
      <c r="O5001" s="89">
        <v>9331.6</v>
      </c>
      <c r="P5001" s="89">
        <v>193630.7</v>
      </c>
      <c r="Q5001" t="s">
        <v>135</v>
      </c>
      <c r="R5001" t="s">
        <v>131</v>
      </c>
    </row>
    <row r="5002" spans="3:18" hidden="1" x14ac:dyDescent="0.25">
      <c r="C5002" t="s">
        <v>45</v>
      </c>
      <c r="D5002" t="s">
        <v>23</v>
      </c>
      <c r="E5002" t="s">
        <v>43</v>
      </c>
      <c r="F5002" t="s">
        <v>41</v>
      </c>
      <c r="G5002" s="89">
        <v>1235143</v>
      </c>
      <c r="H5002" t="s">
        <v>42</v>
      </c>
      <c r="I5002" t="s">
        <v>133</v>
      </c>
      <c r="J5002" s="89">
        <v>33348861</v>
      </c>
      <c r="K5002" t="s">
        <v>127</v>
      </c>
      <c r="L5002" t="s">
        <v>128</v>
      </c>
      <c r="M5002" t="s">
        <v>152</v>
      </c>
      <c r="N5002">
        <v>1</v>
      </c>
      <c r="O5002" s="89">
        <v>37054.29</v>
      </c>
      <c r="P5002" s="89">
        <v>629922.93000000005</v>
      </c>
      <c r="Q5002" t="s">
        <v>142</v>
      </c>
      <c r="R5002" t="s">
        <v>42</v>
      </c>
    </row>
    <row r="5003" spans="3:18" hidden="1" x14ac:dyDescent="0.25">
      <c r="C5003" t="s">
        <v>45</v>
      </c>
      <c r="D5003" t="s">
        <v>23</v>
      </c>
      <c r="E5003" t="s">
        <v>40</v>
      </c>
      <c r="F5003" t="s">
        <v>41</v>
      </c>
      <c r="G5003" s="89">
        <v>22664356</v>
      </c>
      <c r="H5003" t="s">
        <v>42</v>
      </c>
      <c r="I5003" t="s">
        <v>126</v>
      </c>
      <c r="J5003" s="89">
        <v>385294052</v>
      </c>
      <c r="K5003" t="s">
        <v>127</v>
      </c>
      <c r="L5003" t="s">
        <v>128</v>
      </c>
      <c r="M5003" t="s">
        <v>152</v>
      </c>
      <c r="N5003">
        <v>1</v>
      </c>
      <c r="O5003" s="89">
        <v>679930.68</v>
      </c>
      <c r="P5003" s="89">
        <v>15185118.52</v>
      </c>
      <c r="Q5003" t="s">
        <v>137</v>
      </c>
      <c r="R5003" t="s">
        <v>131</v>
      </c>
    </row>
    <row r="5004" spans="3:18" hidden="1" x14ac:dyDescent="0.25">
      <c r="C5004" t="s">
        <v>45</v>
      </c>
      <c r="D5004" t="s">
        <v>21</v>
      </c>
      <c r="E5004" t="s">
        <v>40</v>
      </c>
      <c r="F5004" t="s">
        <v>41</v>
      </c>
      <c r="G5004" s="89">
        <v>1047531</v>
      </c>
      <c r="H5004" t="s">
        <v>145</v>
      </c>
      <c r="I5004" t="s">
        <v>141</v>
      </c>
      <c r="J5004" s="89">
        <v>7332717</v>
      </c>
      <c r="K5004" t="s">
        <v>127</v>
      </c>
      <c r="L5004" t="s">
        <v>128</v>
      </c>
      <c r="N5004">
        <v>1</v>
      </c>
      <c r="O5004" s="89">
        <v>31425.93</v>
      </c>
      <c r="P5004" s="89">
        <v>272358.06</v>
      </c>
      <c r="Q5004" t="s">
        <v>130</v>
      </c>
      <c r="R5004" t="s">
        <v>131</v>
      </c>
    </row>
    <row r="5005" spans="3:18" hidden="1" x14ac:dyDescent="0.25">
      <c r="C5005" t="s">
        <v>45</v>
      </c>
      <c r="D5005" t="s">
        <v>24</v>
      </c>
      <c r="E5005" t="s">
        <v>46</v>
      </c>
      <c r="F5005" t="s">
        <v>41</v>
      </c>
      <c r="G5005" s="89">
        <v>58030</v>
      </c>
      <c r="H5005" t="s">
        <v>42</v>
      </c>
      <c r="I5005" t="s">
        <v>141</v>
      </c>
      <c r="J5005" s="89">
        <v>522270</v>
      </c>
      <c r="K5005" t="s">
        <v>127</v>
      </c>
      <c r="L5005" t="s">
        <v>128</v>
      </c>
      <c r="M5005" t="s">
        <v>148</v>
      </c>
      <c r="N5005">
        <v>1</v>
      </c>
      <c r="O5005" s="89">
        <v>1740.9</v>
      </c>
      <c r="P5005" s="89">
        <v>41781.599999999999</v>
      </c>
      <c r="Q5005" t="s">
        <v>137</v>
      </c>
      <c r="R5005" t="s">
        <v>42</v>
      </c>
    </row>
    <row r="5006" spans="3:18" hidden="1" x14ac:dyDescent="0.25">
      <c r="C5006" t="s">
        <v>45</v>
      </c>
      <c r="D5006" t="s">
        <v>24</v>
      </c>
      <c r="E5006" t="s">
        <v>52</v>
      </c>
      <c r="F5006" t="s">
        <v>41</v>
      </c>
      <c r="G5006" s="89">
        <v>11172</v>
      </c>
      <c r="H5006" t="s">
        <v>42</v>
      </c>
      <c r="I5006" t="s">
        <v>147</v>
      </c>
      <c r="J5006" s="89">
        <v>44688</v>
      </c>
      <c r="K5006" t="s">
        <v>127</v>
      </c>
      <c r="L5006" t="s">
        <v>128</v>
      </c>
      <c r="M5006" t="s">
        <v>148</v>
      </c>
      <c r="N5006">
        <v>1</v>
      </c>
      <c r="O5006" s="89">
        <v>335.16</v>
      </c>
      <c r="P5006" s="89">
        <v>5250.84</v>
      </c>
      <c r="Q5006" t="s">
        <v>142</v>
      </c>
      <c r="R5006" t="s">
        <v>42</v>
      </c>
    </row>
    <row r="5007" spans="3:18" hidden="1" x14ac:dyDescent="0.25">
      <c r="C5007" t="s">
        <v>45</v>
      </c>
      <c r="D5007" t="s">
        <v>138</v>
      </c>
      <c r="E5007" t="s">
        <v>43</v>
      </c>
      <c r="F5007" t="s">
        <v>53</v>
      </c>
      <c r="G5007" s="89">
        <v>357989</v>
      </c>
      <c r="H5007" t="s">
        <v>42</v>
      </c>
      <c r="I5007" t="s">
        <v>133</v>
      </c>
      <c r="J5007" s="89">
        <v>8233747</v>
      </c>
      <c r="K5007" t="s">
        <v>127</v>
      </c>
      <c r="L5007" t="s">
        <v>128</v>
      </c>
      <c r="M5007" t="s">
        <v>139</v>
      </c>
      <c r="N5007">
        <v>1</v>
      </c>
      <c r="O5007" s="89">
        <v>10739.67</v>
      </c>
      <c r="P5007" s="89">
        <v>243432.52</v>
      </c>
      <c r="Q5007" t="s">
        <v>137</v>
      </c>
      <c r="R5007" t="s">
        <v>42</v>
      </c>
    </row>
    <row r="5008" spans="3:18" x14ac:dyDescent="0.25">
      <c r="C5008" t="s">
        <v>47</v>
      </c>
      <c r="D5008" t="s">
        <v>21</v>
      </c>
      <c r="E5008" t="s">
        <v>43</v>
      </c>
      <c r="F5008" t="s">
        <v>41</v>
      </c>
      <c r="G5008" s="89">
        <v>812573</v>
      </c>
      <c r="H5008" t="s">
        <v>146</v>
      </c>
      <c r="I5008" t="s">
        <v>141</v>
      </c>
      <c r="J5008" s="89">
        <v>6500584</v>
      </c>
      <c r="K5008" t="s">
        <v>134</v>
      </c>
      <c r="L5008" t="s">
        <v>128</v>
      </c>
      <c r="N5008">
        <v>1</v>
      </c>
      <c r="O5008" s="89">
        <v>32502.92</v>
      </c>
      <c r="P5008" s="89">
        <v>308777.74</v>
      </c>
      <c r="Q5008" t="s">
        <v>130</v>
      </c>
      <c r="R5008" t="s">
        <v>131</v>
      </c>
    </row>
    <row r="5009" spans="3:18" hidden="1" x14ac:dyDescent="0.25">
      <c r="C5009" t="s">
        <v>45</v>
      </c>
      <c r="D5009" t="s">
        <v>22</v>
      </c>
      <c r="E5009" t="s">
        <v>40</v>
      </c>
      <c r="F5009" t="s">
        <v>41</v>
      </c>
      <c r="G5009" s="89">
        <v>82474098</v>
      </c>
      <c r="H5009" t="s">
        <v>140</v>
      </c>
      <c r="I5009" t="s">
        <v>147</v>
      </c>
      <c r="J5009" s="89">
        <v>247422294</v>
      </c>
      <c r="K5009" t="s">
        <v>127</v>
      </c>
      <c r="L5009" t="s">
        <v>128</v>
      </c>
      <c r="N5009">
        <v>1</v>
      </c>
      <c r="O5009" s="89">
        <v>2474222.94</v>
      </c>
      <c r="P5009" s="89">
        <v>9072150.7799999993</v>
      </c>
      <c r="Q5009" t="s">
        <v>130</v>
      </c>
      <c r="R5009" t="s">
        <v>131</v>
      </c>
    </row>
    <row r="5010" spans="3:18" hidden="1" x14ac:dyDescent="0.25">
      <c r="C5010" t="s">
        <v>45</v>
      </c>
      <c r="D5010" t="s">
        <v>21</v>
      </c>
      <c r="E5010" t="s">
        <v>43</v>
      </c>
      <c r="F5010" t="s">
        <v>41</v>
      </c>
      <c r="G5010" s="89">
        <v>390914</v>
      </c>
      <c r="H5010" t="s">
        <v>42</v>
      </c>
      <c r="I5010" t="s">
        <v>133</v>
      </c>
      <c r="J5010" s="89">
        <v>11727420</v>
      </c>
      <c r="K5010" t="s">
        <v>127</v>
      </c>
      <c r="L5010" t="s">
        <v>128</v>
      </c>
      <c r="M5010" t="s">
        <v>143</v>
      </c>
      <c r="N5010">
        <v>1</v>
      </c>
      <c r="O5010" s="89">
        <v>11727.42</v>
      </c>
      <c r="P5010" s="89">
        <v>121183.34</v>
      </c>
      <c r="Q5010" t="s">
        <v>130</v>
      </c>
      <c r="R5010" t="s">
        <v>42</v>
      </c>
    </row>
    <row r="5011" spans="3:18" x14ac:dyDescent="0.25">
      <c r="C5011" t="s">
        <v>47</v>
      </c>
      <c r="D5011" t="s">
        <v>138</v>
      </c>
      <c r="E5011" t="s">
        <v>43</v>
      </c>
      <c r="F5011" t="s">
        <v>41</v>
      </c>
      <c r="G5011" s="89">
        <v>130042</v>
      </c>
      <c r="H5011" t="s">
        <v>146</v>
      </c>
      <c r="I5011" t="s">
        <v>141</v>
      </c>
      <c r="J5011" s="89">
        <v>780252</v>
      </c>
      <c r="K5011" t="s">
        <v>127</v>
      </c>
      <c r="L5011" t="s">
        <v>128</v>
      </c>
      <c r="N5011">
        <v>1</v>
      </c>
      <c r="O5011" s="89">
        <v>5201.68</v>
      </c>
      <c r="P5011" s="89">
        <v>63720.58</v>
      </c>
      <c r="Q5011" t="s">
        <v>142</v>
      </c>
      <c r="R5011" t="s">
        <v>131</v>
      </c>
    </row>
    <row r="5012" spans="3:18" hidden="1" x14ac:dyDescent="0.25">
      <c r="C5012" t="s">
        <v>45</v>
      </c>
      <c r="D5012" t="s">
        <v>138</v>
      </c>
      <c r="E5012" t="s">
        <v>40</v>
      </c>
      <c r="F5012" t="s">
        <v>41</v>
      </c>
      <c r="G5012" s="89">
        <v>265581</v>
      </c>
      <c r="H5012" t="s">
        <v>145</v>
      </c>
      <c r="I5012" t="s">
        <v>133</v>
      </c>
      <c r="J5012" s="89">
        <v>7170687</v>
      </c>
      <c r="K5012" t="s">
        <v>127</v>
      </c>
      <c r="L5012" t="s">
        <v>128</v>
      </c>
      <c r="N5012">
        <v>1</v>
      </c>
      <c r="O5012" s="89">
        <v>7967.43</v>
      </c>
      <c r="P5012" s="89">
        <v>132790.5</v>
      </c>
      <c r="Q5012" t="s">
        <v>142</v>
      </c>
      <c r="R5012" t="s">
        <v>131</v>
      </c>
    </row>
    <row r="5013" spans="3:18" hidden="1" x14ac:dyDescent="0.25">
      <c r="C5013" t="s">
        <v>45</v>
      </c>
      <c r="D5013" t="s">
        <v>22</v>
      </c>
      <c r="E5013" t="s">
        <v>40</v>
      </c>
      <c r="F5013" t="s">
        <v>41</v>
      </c>
      <c r="G5013" s="89">
        <v>2476447</v>
      </c>
      <c r="H5013" t="s">
        <v>42</v>
      </c>
      <c r="I5013" t="s">
        <v>126</v>
      </c>
      <c r="J5013" s="89">
        <v>39623152</v>
      </c>
      <c r="K5013" t="s">
        <v>144</v>
      </c>
      <c r="N5013">
        <v>1</v>
      </c>
      <c r="O5013" s="89">
        <v>74293.41</v>
      </c>
      <c r="P5013" s="89">
        <v>1238223.5</v>
      </c>
      <c r="Q5013" t="s">
        <v>142</v>
      </c>
      <c r="R5013" t="s">
        <v>42</v>
      </c>
    </row>
    <row r="5014" spans="3:18" x14ac:dyDescent="0.25">
      <c r="C5014" t="s">
        <v>47</v>
      </c>
      <c r="D5014" t="s">
        <v>21</v>
      </c>
      <c r="E5014" t="s">
        <v>40</v>
      </c>
      <c r="F5014" t="s">
        <v>41</v>
      </c>
      <c r="G5014" s="89">
        <v>6222329</v>
      </c>
      <c r="H5014" t="s">
        <v>140</v>
      </c>
      <c r="I5014" t="s">
        <v>126</v>
      </c>
      <c r="J5014" s="89">
        <v>74667948</v>
      </c>
      <c r="K5014" t="s">
        <v>144</v>
      </c>
      <c r="N5014">
        <v>1</v>
      </c>
      <c r="O5014" s="89">
        <v>248893.16</v>
      </c>
      <c r="P5014" s="89">
        <v>3360057.66</v>
      </c>
      <c r="Q5014" t="s">
        <v>142</v>
      </c>
      <c r="R5014" t="s">
        <v>131</v>
      </c>
    </row>
    <row r="5015" spans="3:18" hidden="1" x14ac:dyDescent="0.25">
      <c r="C5015" t="s">
        <v>45</v>
      </c>
      <c r="D5015" t="s">
        <v>149</v>
      </c>
      <c r="E5015" t="s">
        <v>43</v>
      </c>
      <c r="F5015" t="s">
        <v>41</v>
      </c>
      <c r="G5015" s="89">
        <v>848486</v>
      </c>
      <c r="H5015" t="s">
        <v>42</v>
      </c>
      <c r="I5015" t="s">
        <v>133</v>
      </c>
      <c r="J5015" s="89">
        <v>28848524</v>
      </c>
      <c r="K5015" t="s">
        <v>127</v>
      </c>
      <c r="L5015" t="s">
        <v>128</v>
      </c>
      <c r="M5015" t="s">
        <v>148</v>
      </c>
      <c r="N5015">
        <v>1</v>
      </c>
      <c r="O5015" s="89">
        <v>25454.58</v>
      </c>
      <c r="P5015" s="89">
        <v>593940.19999999995</v>
      </c>
      <c r="Q5015" t="s">
        <v>137</v>
      </c>
      <c r="R5015" t="s">
        <v>131</v>
      </c>
    </row>
    <row r="5016" spans="3:18" x14ac:dyDescent="0.25">
      <c r="C5016" t="s">
        <v>47</v>
      </c>
      <c r="D5016" t="s">
        <v>50</v>
      </c>
      <c r="E5016" t="s">
        <v>50</v>
      </c>
      <c r="F5016" t="s">
        <v>41</v>
      </c>
      <c r="G5016" s="89">
        <v>0</v>
      </c>
      <c r="H5016" t="s">
        <v>51</v>
      </c>
      <c r="I5016" t="s">
        <v>141</v>
      </c>
      <c r="J5016" s="89">
        <v>0</v>
      </c>
      <c r="K5016" t="s">
        <v>127</v>
      </c>
      <c r="N5016">
        <v>1</v>
      </c>
      <c r="O5016" s="89">
        <v>0</v>
      </c>
      <c r="P5016" s="89">
        <v>0</v>
      </c>
      <c r="Q5016" t="s">
        <v>137</v>
      </c>
    </row>
    <row r="5017" spans="3:18" hidden="1" x14ac:dyDescent="0.25">
      <c r="C5017" t="s">
        <v>45</v>
      </c>
      <c r="D5017" t="s">
        <v>23</v>
      </c>
      <c r="E5017" t="s">
        <v>44</v>
      </c>
      <c r="F5017" t="s">
        <v>41</v>
      </c>
      <c r="G5017" s="89">
        <v>18476</v>
      </c>
      <c r="H5017" t="s">
        <v>42</v>
      </c>
      <c r="I5017" t="s">
        <v>141</v>
      </c>
      <c r="J5017" s="89">
        <v>166284</v>
      </c>
      <c r="K5017" t="s">
        <v>127</v>
      </c>
      <c r="L5017" t="s">
        <v>128</v>
      </c>
      <c r="M5017" t="s">
        <v>152</v>
      </c>
      <c r="N5017">
        <v>1</v>
      </c>
      <c r="O5017" s="89">
        <v>554.28</v>
      </c>
      <c r="P5017" s="89">
        <v>2217.12</v>
      </c>
      <c r="Q5017" t="s">
        <v>130</v>
      </c>
      <c r="R5017" t="s">
        <v>131</v>
      </c>
    </row>
    <row r="5018" spans="3:18" hidden="1" x14ac:dyDescent="0.25">
      <c r="C5018" t="s">
        <v>45</v>
      </c>
      <c r="D5018" t="s">
        <v>22</v>
      </c>
      <c r="E5018" t="s">
        <v>40</v>
      </c>
      <c r="F5018" t="s">
        <v>41</v>
      </c>
      <c r="G5018" s="89">
        <v>9890177</v>
      </c>
      <c r="H5018" t="s">
        <v>140</v>
      </c>
      <c r="I5018" t="s">
        <v>141</v>
      </c>
      <c r="J5018" s="89">
        <v>79121416</v>
      </c>
      <c r="K5018" t="s">
        <v>127</v>
      </c>
      <c r="L5018" t="s">
        <v>128</v>
      </c>
      <c r="N5018">
        <v>1</v>
      </c>
      <c r="O5018" s="89">
        <v>395607.08</v>
      </c>
      <c r="P5018" s="89">
        <v>4747284.96</v>
      </c>
      <c r="Q5018" t="s">
        <v>142</v>
      </c>
      <c r="R5018" t="s">
        <v>131</v>
      </c>
    </row>
    <row r="5019" spans="3:18" hidden="1" x14ac:dyDescent="0.25">
      <c r="C5019" t="s">
        <v>45</v>
      </c>
      <c r="D5019" t="s">
        <v>23</v>
      </c>
      <c r="E5019" t="s">
        <v>48</v>
      </c>
      <c r="F5019" t="s">
        <v>41</v>
      </c>
      <c r="G5019" s="89">
        <v>157052</v>
      </c>
      <c r="H5019" t="s">
        <v>140</v>
      </c>
      <c r="I5019" t="s">
        <v>133</v>
      </c>
      <c r="J5019" s="89">
        <v>5496820</v>
      </c>
      <c r="K5019" t="s">
        <v>134</v>
      </c>
      <c r="L5019" t="s">
        <v>128</v>
      </c>
      <c r="N5019">
        <v>1</v>
      </c>
      <c r="O5019" s="89">
        <v>4711.5600000000004</v>
      </c>
      <c r="P5019" s="89">
        <v>185321.36</v>
      </c>
      <c r="Q5019" t="s">
        <v>150</v>
      </c>
      <c r="R5019" t="s">
        <v>131</v>
      </c>
    </row>
    <row r="5020" spans="3:18" hidden="1" x14ac:dyDescent="0.25">
      <c r="C5020" t="s">
        <v>45</v>
      </c>
      <c r="D5020" t="s">
        <v>21</v>
      </c>
      <c r="E5020" t="s">
        <v>43</v>
      </c>
      <c r="F5020" t="s">
        <v>53</v>
      </c>
      <c r="G5020" s="89">
        <v>502019</v>
      </c>
      <c r="H5020" t="s">
        <v>42</v>
      </c>
      <c r="I5020" t="s">
        <v>141</v>
      </c>
      <c r="J5020" s="89">
        <v>3012114</v>
      </c>
      <c r="K5020" t="s">
        <v>144</v>
      </c>
      <c r="N5020">
        <v>1</v>
      </c>
      <c r="O5020" s="89">
        <v>15060.57</v>
      </c>
      <c r="P5020" s="89">
        <v>266070.07</v>
      </c>
      <c r="Q5020" t="s">
        <v>142</v>
      </c>
      <c r="R5020" t="s">
        <v>42</v>
      </c>
    </row>
    <row r="5021" spans="3:18" hidden="1" x14ac:dyDescent="0.25">
      <c r="C5021" t="s">
        <v>45</v>
      </c>
      <c r="D5021" t="s">
        <v>20</v>
      </c>
      <c r="E5021" t="s">
        <v>43</v>
      </c>
      <c r="F5021" t="s">
        <v>41</v>
      </c>
      <c r="G5021" s="89">
        <v>7481</v>
      </c>
      <c r="H5021" t="s">
        <v>146</v>
      </c>
      <c r="I5021" t="s">
        <v>126</v>
      </c>
      <c r="J5021" s="89">
        <v>119696</v>
      </c>
      <c r="K5021" t="s">
        <v>134</v>
      </c>
      <c r="L5021" t="s">
        <v>128</v>
      </c>
      <c r="N5021">
        <v>1</v>
      </c>
      <c r="O5021" s="89">
        <v>299.24</v>
      </c>
      <c r="P5021" s="89">
        <v>598.48</v>
      </c>
      <c r="Q5021" t="s">
        <v>130</v>
      </c>
      <c r="R5021" t="s">
        <v>131</v>
      </c>
    </row>
    <row r="5022" spans="3:18" hidden="1" x14ac:dyDescent="0.25">
      <c r="C5022" t="s">
        <v>45</v>
      </c>
      <c r="D5022" t="s">
        <v>138</v>
      </c>
      <c r="E5022" t="s">
        <v>40</v>
      </c>
      <c r="F5022" t="s">
        <v>41</v>
      </c>
      <c r="G5022" s="89">
        <v>100705</v>
      </c>
      <c r="H5022" t="s">
        <v>42</v>
      </c>
      <c r="I5022" t="s">
        <v>147</v>
      </c>
      <c r="J5022" s="89">
        <v>302115</v>
      </c>
      <c r="K5022" t="s">
        <v>127</v>
      </c>
      <c r="L5022" t="s">
        <v>128</v>
      </c>
      <c r="M5022" t="s">
        <v>139</v>
      </c>
      <c r="N5022">
        <v>1</v>
      </c>
      <c r="O5022" s="89">
        <v>2014.1</v>
      </c>
      <c r="P5022" s="89">
        <v>16112.8</v>
      </c>
      <c r="Q5022" t="s">
        <v>130</v>
      </c>
      <c r="R5022" t="s">
        <v>42</v>
      </c>
    </row>
    <row r="5023" spans="3:18" hidden="1" x14ac:dyDescent="0.25">
      <c r="C5023" t="s">
        <v>45</v>
      </c>
      <c r="D5023" t="s">
        <v>21</v>
      </c>
      <c r="E5023" t="s">
        <v>43</v>
      </c>
      <c r="F5023" t="s">
        <v>41</v>
      </c>
      <c r="G5023" s="89">
        <v>63850499</v>
      </c>
      <c r="H5023" t="s">
        <v>132</v>
      </c>
      <c r="I5023" t="s">
        <v>126</v>
      </c>
      <c r="J5023" s="89">
        <v>957757485</v>
      </c>
      <c r="K5023" t="s">
        <v>127</v>
      </c>
      <c r="L5023" t="s">
        <v>128</v>
      </c>
      <c r="N5023">
        <v>1</v>
      </c>
      <c r="O5023" s="89">
        <v>1915514.97</v>
      </c>
      <c r="P5023" s="89">
        <v>17878139.719999999</v>
      </c>
      <c r="Q5023" t="s">
        <v>130</v>
      </c>
      <c r="R5023" t="s">
        <v>131</v>
      </c>
    </row>
    <row r="5024" spans="3:18" x14ac:dyDescent="0.25">
      <c r="C5024" t="s">
        <v>47</v>
      </c>
      <c r="D5024" t="s">
        <v>24</v>
      </c>
      <c r="E5024" t="s">
        <v>48</v>
      </c>
      <c r="F5024" t="s">
        <v>41</v>
      </c>
      <c r="G5024" s="89">
        <v>74360</v>
      </c>
      <c r="H5024" t="s">
        <v>132</v>
      </c>
      <c r="I5024" t="s">
        <v>147</v>
      </c>
      <c r="J5024" s="89">
        <v>297440</v>
      </c>
      <c r="K5024" t="s">
        <v>127</v>
      </c>
      <c r="L5024" t="s">
        <v>128</v>
      </c>
      <c r="N5024">
        <v>1</v>
      </c>
      <c r="O5024" s="89">
        <v>2974.4</v>
      </c>
      <c r="P5024" s="89">
        <v>17102.8</v>
      </c>
      <c r="Q5024" t="s">
        <v>130</v>
      </c>
      <c r="R5024" t="s">
        <v>131</v>
      </c>
    </row>
    <row r="5025" spans="3:18" hidden="1" x14ac:dyDescent="0.25">
      <c r="C5025" t="s">
        <v>45</v>
      </c>
      <c r="D5025" t="s">
        <v>24</v>
      </c>
      <c r="E5025" t="s">
        <v>48</v>
      </c>
      <c r="F5025" t="s">
        <v>41</v>
      </c>
      <c r="G5025" s="89">
        <v>31671</v>
      </c>
      <c r="H5025" t="s">
        <v>132</v>
      </c>
      <c r="I5025" t="s">
        <v>133</v>
      </c>
      <c r="J5025" s="89">
        <v>1045143</v>
      </c>
      <c r="K5025" t="s">
        <v>127</v>
      </c>
      <c r="L5025" t="s">
        <v>151</v>
      </c>
      <c r="N5025">
        <v>1</v>
      </c>
      <c r="O5025" s="89">
        <v>950.13</v>
      </c>
      <c r="P5025" s="89">
        <v>16785.63</v>
      </c>
      <c r="Q5025" t="s">
        <v>142</v>
      </c>
      <c r="R5025" t="s">
        <v>131</v>
      </c>
    </row>
    <row r="5026" spans="3:18" hidden="1" x14ac:dyDescent="0.25">
      <c r="C5026" t="s">
        <v>45</v>
      </c>
      <c r="D5026" t="s">
        <v>23</v>
      </c>
      <c r="E5026" t="s">
        <v>40</v>
      </c>
      <c r="F5026" t="s">
        <v>41</v>
      </c>
      <c r="G5026" s="89">
        <v>129514</v>
      </c>
      <c r="H5026" t="s">
        <v>42</v>
      </c>
      <c r="I5026" t="s">
        <v>126</v>
      </c>
      <c r="J5026" s="89">
        <v>2331252</v>
      </c>
      <c r="K5026" t="s">
        <v>127</v>
      </c>
      <c r="L5026" t="s">
        <v>128</v>
      </c>
      <c r="M5026" t="s">
        <v>129</v>
      </c>
      <c r="N5026">
        <v>1</v>
      </c>
      <c r="O5026" s="89">
        <v>3885.42</v>
      </c>
      <c r="P5026" s="89">
        <v>23312.52</v>
      </c>
      <c r="Q5026" t="s">
        <v>130</v>
      </c>
      <c r="R5026" t="s">
        <v>42</v>
      </c>
    </row>
    <row r="5027" spans="3:18" hidden="1" x14ac:dyDescent="0.25">
      <c r="C5027" t="s">
        <v>45</v>
      </c>
      <c r="D5027" t="s">
        <v>24</v>
      </c>
      <c r="E5027" t="s">
        <v>44</v>
      </c>
      <c r="F5027" t="s">
        <v>41</v>
      </c>
      <c r="G5027" s="89">
        <v>44102</v>
      </c>
      <c r="H5027" t="s">
        <v>145</v>
      </c>
      <c r="I5027" t="s">
        <v>126</v>
      </c>
      <c r="J5027" s="89">
        <v>749734</v>
      </c>
      <c r="K5027" t="s">
        <v>144</v>
      </c>
      <c r="N5027">
        <v>1</v>
      </c>
      <c r="O5027" s="89">
        <v>1323.06</v>
      </c>
      <c r="P5027" s="89">
        <v>14994.68</v>
      </c>
      <c r="Q5027" t="s">
        <v>130</v>
      </c>
      <c r="R5027" t="s">
        <v>131</v>
      </c>
    </row>
    <row r="5028" spans="3:18" x14ac:dyDescent="0.25">
      <c r="C5028" t="s">
        <v>47</v>
      </c>
      <c r="D5028" t="s">
        <v>20</v>
      </c>
      <c r="E5028" t="s">
        <v>40</v>
      </c>
      <c r="F5028" t="s">
        <v>41</v>
      </c>
      <c r="G5028" s="89">
        <v>178902</v>
      </c>
      <c r="H5028" t="s">
        <v>140</v>
      </c>
      <c r="I5028" t="s">
        <v>126</v>
      </c>
      <c r="J5028" s="89">
        <v>1967922</v>
      </c>
      <c r="K5028" t="s">
        <v>127</v>
      </c>
      <c r="L5028" t="s">
        <v>128</v>
      </c>
      <c r="N5028">
        <v>1</v>
      </c>
      <c r="O5028" s="89">
        <v>5367.06</v>
      </c>
      <c r="P5028" s="89">
        <v>121653.36</v>
      </c>
      <c r="Q5028" t="s">
        <v>137</v>
      </c>
      <c r="R5028" t="s">
        <v>131</v>
      </c>
    </row>
    <row r="5029" spans="3:18" hidden="1" x14ac:dyDescent="0.25">
      <c r="C5029" t="s">
        <v>45</v>
      </c>
      <c r="D5029" t="s">
        <v>22</v>
      </c>
      <c r="E5029" t="s">
        <v>43</v>
      </c>
      <c r="F5029" t="s">
        <v>41</v>
      </c>
      <c r="G5029" s="89">
        <v>4168502</v>
      </c>
      <c r="H5029" t="s">
        <v>145</v>
      </c>
      <c r="I5029" t="s">
        <v>133</v>
      </c>
      <c r="J5029" s="89">
        <v>104212550</v>
      </c>
      <c r="K5029" t="s">
        <v>127</v>
      </c>
      <c r="L5029" t="s">
        <v>128</v>
      </c>
      <c r="N5029">
        <v>1</v>
      </c>
      <c r="O5029" s="89">
        <v>125055.06</v>
      </c>
      <c r="P5029" s="89">
        <v>1167180.56</v>
      </c>
      <c r="Q5029" t="s">
        <v>130</v>
      </c>
      <c r="R5029" t="s">
        <v>131</v>
      </c>
    </row>
    <row r="5030" spans="3:18" x14ac:dyDescent="0.25">
      <c r="C5030" t="s">
        <v>47</v>
      </c>
      <c r="D5030" t="s">
        <v>19</v>
      </c>
      <c r="E5030" t="s">
        <v>40</v>
      </c>
      <c r="F5030" t="s">
        <v>41</v>
      </c>
      <c r="G5030" s="89">
        <v>17123</v>
      </c>
      <c r="H5030" t="s">
        <v>42</v>
      </c>
      <c r="I5030" t="s">
        <v>141</v>
      </c>
      <c r="J5030" s="89">
        <v>136984</v>
      </c>
      <c r="K5030" t="s">
        <v>127</v>
      </c>
      <c r="L5030" t="s">
        <v>128</v>
      </c>
      <c r="M5030" t="s">
        <v>136</v>
      </c>
      <c r="N5030">
        <v>1</v>
      </c>
      <c r="O5030" s="89">
        <v>513.69000000000005</v>
      </c>
      <c r="P5030" s="89">
        <v>7705.35</v>
      </c>
      <c r="Q5030" t="s">
        <v>142</v>
      </c>
      <c r="R5030" t="s">
        <v>131</v>
      </c>
    </row>
    <row r="5031" spans="3:18" hidden="1" x14ac:dyDescent="0.25">
      <c r="C5031" t="s">
        <v>45</v>
      </c>
      <c r="D5031" t="s">
        <v>21</v>
      </c>
      <c r="E5031" t="s">
        <v>43</v>
      </c>
      <c r="F5031" t="s">
        <v>41</v>
      </c>
      <c r="G5031" s="89">
        <v>6702425</v>
      </c>
      <c r="H5031" t="s">
        <v>132</v>
      </c>
      <c r="I5031" t="s">
        <v>141</v>
      </c>
      <c r="J5031" s="89">
        <v>53619400</v>
      </c>
      <c r="K5031" t="s">
        <v>127</v>
      </c>
      <c r="L5031" t="s">
        <v>128</v>
      </c>
      <c r="N5031">
        <v>1</v>
      </c>
      <c r="O5031" s="89">
        <v>201072.75</v>
      </c>
      <c r="P5031" s="89">
        <v>3150139.75</v>
      </c>
      <c r="Q5031" t="s">
        <v>142</v>
      </c>
      <c r="R5031" t="s">
        <v>131</v>
      </c>
    </row>
    <row r="5032" spans="3:18" hidden="1" x14ac:dyDescent="0.25">
      <c r="C5032" t="s">
        <v>45</v>
      </c>
      <c r="D5032" t="s">
        <v>22</v>
      </c>
      <c r="E5032" t="s">
        <v>40</v>
      </c>
      <c r="F5032" t="s">
        <v>41</v>
      </c>
      <c r="G5032" s="89">
        <v>115183908</v>
      </c>
      <c r="H5032" t="s">
        <v>145</v>
      </c>
      <c r="I5032" t="s">
        <v>133</v>
      </c>
      <c r="J5032" s="89">
        <v>3225149424</v>
      </c>
      <c r="K5032" t="s">
        <v>127</v>
      </c>
      <c r="L5032" t="s">
        <v>128</v>
      </c>
      <c r="N5032">
        <v>1</v>
      </c>
      <c r="O5032" s="89">
        <v>3455517.24</v>
      </c>
      <c r="P5032" s="89">
        <v>79476896.519999996</v>
      </c>
      <c r="Q5032" t="s">
        <v>137</v>
      </c>
      <c r="R5032" t="s">
        <v>131</v>
      </c>
    </row>
    <row r="5033" spans="3:18" hidden="1" x14ac:dyDescent="0.25">
      <c r="C5033" t="s">
        <v>45</v>
      </c>
      <c r="D5033" t="s">
        <v>19</v>
      </c>
      <c r="E5033" t="s">
        <v>43</v>
      </c>
      <c r="F5033" t="s">
        <v>41</v>
      </c>
      <c r="G5033" s="89">
        <v>6415541</v>
      </c>
      <c r="H5033" t="s">
        <v>42</v>
      </c>
      <c r="I5033" t="s">
        <v>126</v>
      </c>
      <c r="J5033" s="89">
        <v>109064197</v>
      </c>
      <c r="K5033" t="s">
        <v>144</v>
      </c>
      <c r="N5033">
        <v>1</v>
      </c>
      <c r="O5033" s="89">
        <v>192466.23</v>
      </c>
      <c r="P5033" s="89">
        <v>3143615.09</v>
      </c>
      <c r="Q5033" t="s">
        <v>142</v>
      </c>
      <c r="R5033" t="s">
        <v>42</v>
      </c>
    </row>
    <row r="5034" spans="3:18" hidden="1" x14ac:dyDescent="0.25">
      <c r="C5034" t="s">
        <v>45</v>
      </c>
      <c r="D5034" t="s">
        <v>20</v>
      </c>
      <c r="E5034" t="s">
        <v>43</v>
      </c>
      <c r="F5034" t="s">
        <v>41</v>
      </c>
      <c r="G5034" s="89">
        <v>109119</v>
      </c>
      <c r="H5034" t="s">
        <v>42</v>
      </c>
      <c r="I5034" t="s">
        <v>126</v>
      </c>
      <c r="J5034" s="89">
        <v>1855023</v>
      </c>
      <c r="K5034" t="s">
        <v>127</v>
      </c>
      <c r="L5034" t="s">
        <v>128</v>
      </c>
      <c r="M5034" t="s">
        <v>139</v>
      </c>
      <c r="N5034">
        <v>1</v>
      </c>
      <c r="O5034" s="89">
        <v>3273.57</v>
      </c>
      <c r="P5034" s="89">
        <v>117848.52</v>
      </c>
      <c r="Q5034" t="s">
        <v>150</v>
      </c>
      <c r="R5034" t="s">
        <v>42</v>
      </c>
    </row>
    <row r="5035" spans="3:18" hidden="1" x14ac:dyDescent="0.25">
      <c r="C5035" t="s">
        <v>45</v>
      </c>
      <c r="D5035" t="s">
        <v>21</v>
      </c>
      <c r="E5035" t="s">
        <v>43</v>
      </c>
      <c r="F5035" t="s">
        <v>41</v>
      </c>
      <c r="G5035" s="89">
        <v>66465615</v>
      </c>
      <c r="H5035" t="s">
        <v>132</v>
      </c>
      <c r="I5035" t="s">
        <v>133</v>
      </c>
      <c r="J5035" s="89">
        <v>1728105990</v>
      </c>
      <c r="K5035" t="s">
        <v>127</v>
      </c>
      <c r="L5035" t="s">
        <v>128</v>
      </c>
      <c r="N5035">
        <v>1</v>
      </c>
      <c r="O5035" s="89">
        <v>1993968.45</v>
      </c>
      <c r="P5035" s="89">
        <v>19275028.350000001</v>
      </c>
      <c r="Q5035" t="s">
        <v>130</v>
      </c>
      <c r="R5035" t="s">
        <v>131</v>
      </c>
    </row>
    <row r="5036" spans="3:18" hidden="1" x14ac:dyDescent="0.25">
      <c r="C5036" t="s">
        <v>45</v>
      </c>
      <c r="D5036" t="s">
        <v>21</v>
      </c>
      <c r="E5036" t="s">
        <v>43</v>
      </c>
      <c r="F5036" t="s">
        <v>41</v>
      </c>
      <c r="G5036" s="89">
        <v>8448650</v>
      </c>
      <c r="H5036" t="s">
        <v>42</v>
      </c>
      <c r="I5036" t="s">
        <v>133</v>
      </c>
      <c r="J5036" s="89">
        <v>253459500</v>
      </c>
      <c r="K5036" t="s">
        <v>144</v>
      </c>
      <c r="N5036">
        <v>1</v>
      </c>
      <c r="O5036" s="89">
        <v>253459.5</v>
      </c>
      <c r="P5036" s="89">
        <v>2450108.5</v>
      </c>
      <c r="Q5036" t="s">
        <v>130</v>
      </c>
      <c r="R5036" t="s">
        <v>131</v>
      </c>
    </row>
    <row r="5037" spans="3:18" x14ac:dyDescent="0.25">
      <c r="C5037" t="s">
        <v>47</v>
      </c>
      <c r="D5037" t="s">
        <v>149</v>
      </c>
      <c r="E5037" t="s">
        <v>43</v>
      </c>
      <c r="F5037" t="s">
        <v>41</v>
      </c>
      <c r="G5037" s="89">
        <v>1196494</v>
      </c>
      <c r="H5037" t="s">
        <v>140</v>
      </c>
      <c r="I5037" t="s">
        <v>126</v>
      </c>
      <c r="J5037" s="89">
        <v>17947410</v>
      </c>
      <c r="K5037" t="s">
        <v>144</v>
      </c>
      <c r="N5037">
        <v>1</v>
      </c>
      <c r="O5037" s="89">
        <v>47859.76</v>
      </c>
      <c r="P5037" s="89">
        <v>454667.72</v>
      </c>
      <c r="Q5037" t="s">
        <v>130</v>
      </c>
      <c r="R5037" t="s">
        <v>131</v>
      </c>
    </row>
    <row r="5038" spans="3:18" x14ac:dyDescent="0.25">
      <c r="C5038" t="s">
        <v>47</v>
      </c>
      <c r="D5038" t="s">
        <v>23</v>
      </c>
      <c r="E5038" t="s">
        <v>40</v>
      </c>
      <c r="F5038" t="s">
        <v>41</v>
      </c>
      <c r="G5038" s="89">
        <v>555596</v>
      </c>
      <c r="H5038" t="s">
        <v>140</v>
      </c>
      <c r="I5038" t="s">
        <v>141</v>
      </c>
      <c r="J5038" s="89">
        <v>3889172</v>
      </c>
      <c r="K5038" t="s">
        <v>127</v>
      </c>
      <c r="L5038" t="s">
        <v>128</v>
      </c>
      <c r="N5038">
        <v>1</v>
      </c>
      <c r="O5038" s="89">
        <v>33335.760000000002</v>
      </c>
      <c r="P5038" s="89">
        <v>144454.96</v>
      </c>
      <c r="Q5038" t="s">
        <v>130</v>
      </c>
      <c r="R5038" t="s">
        <v>131</v>
      </c>
    </row>
    <row r="5039" spans="3:18" hidden="1" x14ac:dyDescent="0.25">
      <c r="C5039" t="s">
        <v>45</v>
      </c>
      <c r="D5039" t="s">
        <v>19</v>
      </c>
      <c r="E5039" t="s">
        <v>43</v>
      </c>
      <c r="F5039" t="s">
        <v>41</v>
      </c>
      <c r="G5039" s="89">
        <v>1805522</v>
      </c>
      <c r="H5039" t="s">
        <v>42</v>
      </c>
      <c r="I5039" t="s">
        <v>126</v>
      </c>
      <c r="J5039" s="89">
        <v>27082830</v>
      </c>
      <c r="K5039" t="s">
        <v>127</v>
      </c>
      <c r="L5039" t="s">
        <v>128</v>
      </c>
      <c r="M5039" t="s">
        <v>143</v>
      </c>
      <c r="N5039">
        <v>1</v>
      </c>
      <c r="O5039" s="89">
        <v>18055.22</v>
      </c>
      <c r="P5039" s="89">
        <v>415270.06</v>
      </c>
      <c r="Q5039" t="s">
        <v>130</v>
      </c>
      <c r="R5039" t="s">
        <v>42</v>
      </c>
    </row>
    <row r="5040" spans="3:18" hidden="1" x14ac:dyDescent="0.25">
      <c r="C5040" t="s">
        <v>45</v>
      </c>
      <c r="D5040" t="s">
        <v>22</v>
      </c>
      <c r="E5040" t="s">
        <v>40</v>
      </c>
      <c r="F5040" t="s">
        <v>41</v>
      </c>
      <c r="G5040" s="89">
        <v>719021</v>
      </c>
      <c r="H5040" t="s">
        <v>140</v>
      </c>
      <c r="I5040" t="s">
        <v>126</v>
      </c>
      <c r="J5040" s="89">
        <v>12942378</v>
      </c>
      <c r="K5040" t="s">
        <v>144</v>
      </c>
      <c r="N5040">
        <v>1</v>
      </c>
      <c r="O5040" s="89">
        <v>21570.63</v>
      </c>
      <c r="P5040" s="89">
        <v>589597.22</v>
      </c>
      <c r="Q5040" t="s">
        <v>135</v>
      </c>
      <c r="R5040" t="s">
        <v>131</v>
      </c>
    </row>
    <row r="5041" spans="3:18" hidden="1" x14ac:dyDescent="0.25">
      <c r="C5041" t="s">
        <v>45</v>
      </c>
      <c r="D5041" t="s">
        <v>24</v>
      </c>
      <c r="E5041" t="s">
        <v>48</v>
      </c>
      <c r="F5041" t="s">
        <v>41</v>
      </c>
      <c r="G5041" s="89">
        <v>285131</v>
      </c>
      <c r="H5041" t="s">
        <v>145</v>
      </c>
      <c r="I5041" t="s">
        <v>126</v>
      </c>
      <c r="J5041" s="89">
        <v>3991834</v>
      </c>
      <c r="K5041" t="s">
        <v>144</v>
      </c>
      <c r="N5041">
        <v>1</v>
      </c>
      <c r="O5041" s="89">
        <v>11405.24</v>
      </c>
      <c r="P5041" s="89">
        <v>196740.39</v>
      </c>
      <c r="Q5041" t="s">
        <v>137</v>
      </c>
      <c r="R5041" t="s">
        <v>131</v>
      </c>
    </row>
    <row r="5042" spans="3:18" hidden="1" x14ac:dyDescent="0.25">
      <c r="C5042" t="s">
        <v>45</v>
      </c>
      <c r="D5042" t="s">
        <v>21</v>
      </c>
      <c r="E5042" t="s">
        <v>43</v>
      </c>
      <c r="F5042" t="s">
        <v>41</v>
      </c>
      <c r="G5042" s="89">
        <v>16545</v>
      </c>
      <c r="H5042" t="s">
        <v>132</v>
      </c>
      <c r="I5042" t="s">
        <v>147</v>
      </c>
      <c r="J5042" s="89">
        <v>49635</v>
      </c>
      <c r="K5042" t="s">
        <v>127</v>
      </c>
      <c r="L5042" t="s">
        <v>151</v>
      </c>
      <c r="N5042">
        <v>1</v>
      </c>
      <c r="O5042" s="89">
        <v>330.9</v>
      </c>
      <c r="P5042" s="89">
        <v>2150.85</v>
      </c>
      <c r="Q5042" t="s">
        <v>130</v>
      </c>
      <c r="R5042" t="s">
        <v>131</v>
      </c>
    </row>
    <row r="5043" spans="3:18" hidden="1" x14ac:dyDescent="0.25">
      <c r="C5043" t="s">
        <v>45</v>
      </c>
      <c r="D5043" t="s">
        <v>138</v>
      </c>
      <c r="E5043" t="s">
        <v>43</v>
      </c>
      <c r="F5043" t="s">
        <v>41</v>
      </c>
      <c r="G5043" s="89">
        <v>940383</v>
      </c>
      <c r="H5043" t="s">
        <v>42</v>
      </c>
      <c r="I5043" t="s">
        <v>141</v>
      </c>
      <c r="J5043" s="89">
        <v>9403830</v>
      </c>
      <c r="K5043" t="s">
        <v>144</v>
      </c>
      <c r="N5043">
        <v>1</v>
      </c>
      <c r="O5043" s="89">
        <v>28211.49</v>
      </c>
      <c r="P5043" s="89">
        <v>479595.33</v>
      </c>
      <c r="Q5043" t="s">
        <v>142</v>
      </c>
      <c r="R5043" t="s">
        <v>42</v>
      </c>
    </row>
    <row r="5044" spans="3:18" hidden="1" x14ac:dyDescent="0.25">
      <c r="C5044" t="s">
        <v>45</v>
      </c>
      <c r="D5044" t="s">
        <v>23</v>
      </c>
      <c r="E5044" t="s">
        <v>40</v>
      </c>
      <c r="F5044" t="s">
        <v>41</v>
      </c>
      <c r="G5044" s="89">
        <v>8910580</v>
      </c>
      <c r="H5044" t="s">
        <v>42</v>
      </c>
      <c r="I5044" t="s">
        <v>133</v>
      </c>
      <c r="J5044" s="89">
        <v>276227980</v>
      </c>
      <c r="K5044" t="s">
        <v>144</v>
      </c>
      <c r="N5044">
        <v>1</v>
      </c>
      <c r="O5044" s="89">
        <v>267317.40000000002</v>
      </c>
      <c r="P5044" s="89">
        <v>4455290</v>
      </c>
      <c r="Q5044" t="s">
        <v>142</v>
      </c>
      <c r="R5044" t="s">
        <v>131</v>
      </c>
    </row>
    <row r="5045" spans="3:18" x14ac:dyDescent="0.25">
      <c r="C5045" t="s">
        <v>47</v>
      </c>
      <c r="D5045" t="s">
        <v>22</v>
      </c>
      <c r="E5045" t="s">
        <v>40</v>
      </c>
      <c r="F5045" t="s">
        <v>41</v>
      </c>
      <c r="G5045" s="89">
        <v>5832</v>
      </c>
      <c r="H5045" t="s">
        <v>132</v>
      </c>
      <c r="I5045" t="s">
        <v>147</v>
      </c>
      <c r="J5045" s="89">
        <v>0</v>
      </c>
      <c r="K5045" t="s">
        <v>127</v>
      </c>
      <c r="L5045" t="s">
        <v>128</v>
      </c>
      <c r="N5045">
        <v>1</v>
      </c>
      <c r="O5045" s="89">
        <v>291.60000000000002</v>
      </c>
      <c r="P5045" s="89">
        <v>3790.8</v>
      </c>
      <c r="Q5045" t="s">
        <v>137</v>
      </c>
      <c r="R5045" t="s">
        <v>131</v>
      </c>
    </row>
    <row r="5046" spans="3:18" hidden="1" x14ac:dyDescent="0.25">
      <c r="C5046" t="s">
        <v>45</v>
      </c>
      <c r="D5046" t="s">
        <v>138</v>
      </c>
      <c r="E5046" t="s">
        <v>43</v>
      </c>
      <c r="F5046" t="s">
        <v>41</v>
      </c>
      <c r="G5046" s="89">
        <v>469266</v>
      </c>
      <c r="H5046" t="s">
        <v>132</v>
      </c>
      <c r="I5046" t="s">
        <v>126</v>
      </c>
      <c r="J5046" s="89">
        <v>7508256</v>
      </c>
      <c r="K5046" t="s">
        <v>144</v>
      </c>
      <c r="N5046">
        <v>1</v>
      </c>
      <c r="O5046" s="89">
        <v>14077.98</v>
      </c>
      <c r="P5046" s="89">
        <v>136087.14000000001</v>
      </c>
      <c r="Q5046" t="s">
        <v>130</v>
      </c>
      <c r="R5046" t="s">
        <v>131</v>
      </c>
    </row>
    <row r="5047" spans="3:18" x14ac:dyDescent="0.25">
      <c r="C5047" t="s">
        <v>47</v>
      </c>
      <c r="D5047" t="s">
        <v>24</v>
      </c>
      <c r="E5047" t="s">
        <v>48</v>
      </c>
      <c r="F5047" t="s">
        <v>41</v>
      </c>
      <c r="G5047" s="89">
        <v>417642</v>
      </c>
      <c r="H5047" t="s">
        <v>132</v>
      </c>
      <c r="I5047" t="s">
        <v>126</v>
      </c>
      <c r="J5047" s="89">
        <v>4594062</v>
      </c>
      <c r="K5047" t="s">
        <v>127</v>
      </c>
      <c r="L5047" t="s">
        <v>128</v>
      </c>
      <c r="N5047">
        <v>1</v>
      </c>
      <c r="O5047" s="89">
        <v>16705.68</v>
      </c>
      <c r="P5047" s="89">
        <v>146174.70000000001</v>
      </c>
      <c r="Q5047" t="s">
        <v>130</v>
      </c>
      <c r="R5047" t="s">
        <v>131</v>
      </c>
    </row>
    <row r="5048" spans="3:18" hidden="1" x14ac:dyDescent="0.25">
      <c r="C5048" t="s">
        <v>45</v>
      </c>
      <c r="D5048" t="s">
        <v>21</v>
      </c>
      <c r="E5048" t="s">
        <v>43</v>
      </c>
      <c r="F5048" t="s">
        <v>41</v>
      </c>
      <c r="G5048" s="89">
        <v>1915418</v>
      </c>
      <c r="H5048" t="s">
        <v>42</v>
      </c>
      <c r="I5048" t="s">
        <v>126</v>
      </c>
      <c r="J5048" s="89">
        <v>30646688</v>
      </c>
      <c r="K5048" t="s">
        <v>127</v>
      </c>
      <c r="L5048" t="s">
        <v>128</v>
      </c>
      <c r="M5048" t="s">
        <v>129</v>
      </c>
      <c r="N5048">
        <v>1</v>
      </c>
      <c r="O5048" s="89">
        <v>76616.72</v>
      </c>
      <c r="P5048" s="89">
        <v>1628105.3</v>
      </c>
      <c r="Q5048" t="s">
        <v>135</v>
      </c>
      <c r="R5048" t="s">
        <v>131</v>
      </c>
    </row>
    <row r="5049" spans="3:18" x14ac:dyDescent="0.25">
      <c r="C5049" t="s">
        <v>47</v>
      </c>
      <c r="D5049" t="s">
        <v>138</v>
      </c>
      <c r="E5049" t="s">
        <v>40</v>
      </c>
      <c r="F5049" t="s">
        <v>41</v>
      </c>
      <c r="G5049" s="89">
        <v>1100500</v>
      </c>
      <c r="H5049" t="s">
        <v>146</v>
      </c>
      <c r="I5049" t="s">
        <v>126</v>
      </c>
      <c r="J5049" s="89">
        <v>16507500</v>
      </c>
      <c r="K5049" t="s">
        <v>144</v>
      </c>
      <c r="N5049">
        <v>1</v>
      </c>
      <c r="O5049" s="89">
        <v>44020</v>
      </c>
      <c r="P5049" s="89">
        <v>1650750</v>
      </c>
      <c r="Q5049" t="s">
        <v>150</v>
      </c>
      <c r="R5049" t="s">
        <v>131</v>
      </c>
    </row>
    <row r="5050" spans="3:18" hidden="1" x14ac:dyDescent="0.25">
      <c r="C5050" t="s">
        <v>45</v>
      </c>
      <c r="D5050" t="s">
        <v>21</v>
      </c>
      <c r="E5050" t="s">
        <v>43</v>
      </c>
      <c r="F5050" t="s">
        <v>41</v>
      </c>
      <c r="G5050" s="89">
        <v>47408</v>
      </c>
      <c r="H5050" t="s">
        <v>146</v>
      </c>
      <c r="I5050" t="s">
        <v>141</v>
      </c>
      <c r="J5050" s="89">
        <v>426672</v>
      </c>
      <c r="K5050" t="s">
        <v>127</v>
      </c>
      <c r="L5050" t="s">
        <v>128</v>
      </c>
      <c r="N5050">
        <v>1</v>
      </c>
      <c r="O5050" s="89">
        <v>2370.4</v>
      </c>
      <c r="P5050" s="89">
        <v>44563.519999999997</v>
      </c>
      <c r="Q5050" t="s">
        <v>135</v>
      </c>
      <c r="R5050" t="s">
        <v>131</v>
      </c>
    </row>
    <row r="5051" spans="3:18" hidden="1" x14ac:dyDescent="0.25">
      <c r="C5051" t="s">
        <v>45</v>
      </c>
      <c r="D5051" t="s">
        <v>22</v>
      </c>
      <c r="E5051" t="s">
        <v>40</v>
      </c>
      <c r="F5051" t="s">
        <v>41</v>
      </c>
      <c r="G5051" s="89">
        <v>718570</v>
      </c>
      <c r="H5051" t="s">
        <v>132</v>
      </c>
      <c r="I5051" t="s">
        <v>141</v>
      </c>
      <c r="J5051" s="89">
        <v>5748560</v>
      </c>
      <c r="K5051" t="s">
        <v>127</v>
      </c>
      <c r="L5051" t="s">
        <v>128</v>
      </c>
      <c r="N5051">
        <v>1</v>
      </c>
      <c r="O5051" s="89">
        <v>28742.799999999999</v>
      </c>
      <c r="P5051" s="89">
        <v>481441.9</v>
      </c>
      <c r="Q5051" t="s">
        <v>137</v>
      </c>
      <c r="R5051" t="s">
        <v>131</v>
      </c>
    </row>
    <row r="5052" spans="3:18" hidden="1" x14ac:dyDescent="0.25">
      <c r="C5052" t="s">
        <v>45</v>
      </c>
      <c r="D5052" t="s">
        <v>23</v>
      </c>
      <c r="E5052" t="s">
        <v>40</v>
      </c>
      <c r="F5052" t="s">
        <v>41</v>
      </c>
      <c r="G5052" s="89">
        <v>160000</v>
      </c>
      <c r="H5052" t="s">
        <v>140</v>
      </c>
      <c r="I5052" t="s">
        <v>147</v>
      </c>
      <c r="J5052" s="89">
        <v>640000</v>
      </c>
      <c r="K5052" t="s">
        <v>127</v>
      </c>
      <c r="L5052" t="s">
        <v>128</v>
      </c>
      <c r="N5052">
        <v>1</v>
      </c>
      <c r="O5052" s="89">
        <v>6400</v>
      </c>
      <c r="P5052" s="89">
        <v>220800</v>
      </c>
      <c r="Q5052" t="s">
        <v>150</v>
      </c>
      <c r="R5052" t="s">
        <v>131</v>
      </c>
    </row>
    <row r="5053" spans="3:18" hidden="1" x14ac:dyDescent="0.25">
      <c r="C5053" t="s">
        <v>45</v>
      </c>
      <c r="D5053" t="s">
        <v>24</v>
      </c>
      <c r="E5053" t="s">
        <v>43</v>
      </c>
      <c r="F5053" t="s">
        <v>41</v>
      </c>
      <c r="G5053" s="89">
        <v>661281</v>
      </c>
      <c r="H5053" t="s">
        <v>42</v>
      </c>
      <c r="I5053" t="s">
        <v>133</v>
      </c>
      <c r="J5053" s="89">
        <v>20499711</v>
      </c>
      <c r="K5053" t="s">
        <v>134</v>
      </c>
      <c r="L5053" t="s">
        <v>128</v>
      </c>
      <c r="M5053" t="s">
        <v>148</v>
      </c>
      <c r="N5053">
        <v>1</v>
      </c>
      <c r="O5053" s="89">
        <v>19838.43</v>
      </c>
      <c r="P5053" s="89">
        <v>462896.7</v>
      </c>
      <c r="Q5053" t="s">
        <v>137</v>
      </c>
      <c r="R5053" t="s">
        <v>131</v>
      </c>
    </row>
    <row r="5054" spans="3:18" hidden="1" x14ac:dyDescent="0.25">
      <c r="C5054" t="s">
        <v>45</v>
      </c>
      <c r="D5054" t="s">
        <v>138</v>
      </c>
      <c r="E5054" t="s">
        <v>43</v>
      </c>
      <c r="F5054" t="s">
        <v>41</v>
      </c>
      <c r="G5054" s="89">
        <v>138498</v>
      </c>
      <c r="H5054" t="s">
        <v>42</v>
      </c>
      <c r="I5054" t="s">
        <v>133</v>
      </c>
      <c r="J5054" s="89">
        <v>3600948</v>
      </c>
      <c r="K5054" t="s">
        <v>127</v>
      </c>
      <c r="L5054" t="s">
        <v>128</v>
      </c>
      <c r="M5054" t="s">
        <v>152</v>
      </c>
      <c r="N5054">
        <v>1</v>
      </c>
      <c r="O5054" s="89">
        <v>4154.9399999999996</v>
      </c>
      <c r="P5054" s="89">
        <v>65094.06</v>
      </c>
      <c r="Q5054" t="s">
        <v>142</v>
      </c>
      <c r="R5054" t="s">
        <v>131</v>
      </c>
    </row>
    <row r="5055" spans="3:18" hidden="1" x14ac:dyDescent="0.25">
      <c r="C5055" t="s">
        <v>45</v>
      </c>
      <c r="D5055" t="s">
        <v>138</v>
      </c>
      <c r="E5055" t="s">
        <v>43</v>
      </c>
      <c r="F5055" t="s">
        <v>41</v>
      </c>
      <c r="G5055" s="89">
        <v>84088</v>
      </c>
      <c r="H5055" t="s">
        <v>42</v>
      </c>
      <c r="I5055" t="s">
        <v>133</v>
      </c>
      <c r="J5055" s="89">
        <v>1765848</v>
      </c>
      <c r="K5055" t="s">
        <v>127</v>
      </c>
      <c r="L5055" t="s">
        <v>128</v>
      </c>
      <c r="M5055" t="s">
        <v>152</v>
      </c>
      <c r="N5055">
        <v>1</v>
      </c>
      <c r="O5055" s="89">
        <v>3363.52</v>
      </c>
      <c r="P5055" s="89">
        <v>46248.4</v>
      </c>
      <c r="Q5055" t="s">
        <v>142</v>
      </c>
      <c r="R5055" t="s">
        <v>42</v>
      </c>
    </row>
    <row r="5056" spans="3:18" hidden="1" x14ac:dyDescent="0.25">
      <c r="C5056" t="s">
        <v>45</v>
      </c>
      <c r="D5056" t="s">
        <v>22</v>
      </c>
      <c r="E5056" t="s">
        <v>43</v>
      </c>
      <c r="F5056" t="s">
        <v>41</v>
      </c>
      <c r="G5056" s="89">
        <v>3501640</v>
      </c>
      <c r="H5056" t="s">
        <v>140</v>
      </c>
      <c r="I5056" t="s">
        <v>133</v>
      </c>
      <c r="J5056" s="89">
        <v>105049200</v>
      </c>
      <c r="K5056" t="s">
        <v>127</v>
      </c>
      <c r="L5056" t="s">
        <v>128</v>
      </c>
      <c r="N5056">
        <v>1</v>
      </c>
      <c r="O5056" s="89">
        <v>140065.60000000001</v>
      </c>
      <c r="P5056" s="89">
        <v>2976394</v>
      </c>
      <c r="Q5056" t="s">
        <v>135</v>
      </c>
      <c r="R5056" t="s">
        <v>131</v>
      </c>
    </row>
    <row r="5057" spans="3:18" hidden="1" x14ac:dyDescent="0.25">
      <c r="C5057" t="s">
        <v>45</v>
      </c>
      <c r="D5057" t="s">
        <v>20</v>
      </c>
      <c r="E5057" t="s">
        <v>43</v>
      </c>
      <c r="F5057" t="s">
        <v>41</v>
      </c>
      <c r="G5057" s="89">
        <v>37269954</v>
      </c>
      <c r="H5057" t="s">
        <v>42</v>
      </c>
      <c r="I5057" t="s">
        <v>133</v>
      </c>
      <c r="J5057" s="89">
        <v>1229908482</v>
      </c>
      <c r="K5057" t="s">
        <v>144</v>
      </c>
      <c r="N5057">
        <v>1</v>
      </c>
      <c r="O5057" s="89">
        <v>1118098.6200000001</v>
      </c>
      <c r="P5057" s="89">
        <v>26461667.34</v>
      </c>
      <c r="Q5057" t="s">
        <v>137</v>
      </c>
      <c r="R5057" t="s">
        <v>42</v>
      </c>
    </row>
    <row r="5058" spans="3:18" x14ac:dyDescent="0.25">
      <c r="C5058" t="s">
        <v>47</v>
      </c>
      <c r="D5058" t="s">
        <v>21</v>
      </c>
      <c r="E5058" t="s">
        <v>43</v>
      </c>
      <c r="F5058" t="s">
        <v>41</v>
      </c>
      <c r="G5058" s="89">
        <v>12041</v>
      </c>
      <c r="H5058" t="s">
        <v>42</v>
      </c>
      <c r="I5058" t="s">
        <v>147</v>
      </c>
      <c r="J5058" s="89"/>
      <c r="K5058" t="s">
        <v>127</v>
      </c>
      <c r="L5058" t="s">
        <v>128</v>
      </c>
      <c r="M5058" t="s">
        <v>129</v>
      </c>
      <c r="N5058">
        <v>0</v>
      </c>
      <c r="O5058" s="89">
        <v>842.87</v>
      </c>
      <c r="P5058" s="89">
        <v>1324.51</v>
      </c>
      <c r="Q5058" t="s">
        <v>130</v>
      </c>
      <c r="R5058" t="s">
        <v>42</v>
      </c>
    </row>
    <row r="5059" spans="3:18" x14ac:dyDescent="0.25">
      <c r="C5059" t="s">
        <v>47</v>
      </c>
      <c r="D5059" t="s">
        <v>25</v>
      </c>
      <c r="E5059" t="s">
        <v>46</v>
      </c>
      <c r="F5059" t="s">
        <v>41</v>
      </c>
      <c r="G5059" s="89">
        <v>19007</v>
      </c>
      <c r="H5059" t="s">
        <v>140</v>
      </c>
      <c r="I5059" t="s">
        <v>141</v>
      </c>
      <c r="J5059" s="89">
        <v>95035</v>
      </c>
      <c r="K5059" t="s">
        <v>127</v>
      </c>
      <c r="L5059" t="s">
        <v>128</v>
      </c>
      <c r="N5059">
        <v>1</v>
      </c>
      <c r="O5059" s="89">
        <v>950.35</v>
      </c>
      <c r="P5059" s="89">
        <v>8173.01</v>
      </c>
      <c r="Q5059" t="s">
        <v>142</v>
      </c>
      <c r="R5059" t="s">
        <v>131</v>
      </c>
    </row>
    <row r="5060" spans="3:18" x14ac:dyDescent="0.25">
      <c r="C5060" t="s">
        <v>47</v>
      </c>
      <c r="D5060" t="s">
        <v>24</v>
      </c>
      <c r="E5060" t="s">
        <v>52</v>
      </c>
      <c r="F5060" t="s">
        <v>41</v>
      </c>
      <c r="G5060" s="89">
        <v>109961</v>
      </c>
      <c r="H5060" t="s">
        <v>42</v>
      </c>
      <c r="I5060" t="s">
        <v>126</v>
      </c>
      <c r="J5060" s="89">
        <v>1209571</v>
      </c>
      <c r="K5060" t="s">
        <v>127</v>
      </c>
      <c r="L5060" t="s">
        <v>128</v>
      </c>
      <c r="M5060" t="s">
        <v>148</v>
      </c>
      <c r="N5060">
        <v>1</v>
      </c>
      <c r="O5060" s="89">
        <v>5498.05</v>
      </c>
      <c r="P5060" s="89">
        <v>38486.35</v>
      </c>
      <c r="Q5060" t="s">
        <v>130</v>
      </c>
      <c r="R5060" t="s">
        <v>42</v>
      </c>
    </row>
    <row r="5061" spans="3:18" x14ac:dyDescent="0.25">
      <c r="C5061" t="s">
        <v>47</v>
      </c>
      <c r="D5061" t="s">
        <v>19</v>
      </c>
      <c r="E5061" t="s">
        <v>43</v>
      </c>
      <c r="F5061" t="s">
        <v>41</v>
      </c>
      <c r="G5061" s="89">
        <v>1714022</v>
      </c>
      <c r="H5061" t="s">
        <v>42</v>
      </c>
      <c r="I5061" t="s">
        <v>141</v>
      </c>
      <c r="J5061" s="89">
        <v>13712176</v>
      </c>
      <c r="K5061" t="s">
        <v>127</v>
      </c>
      <c r="L5061" t="s">
        <v>128</v>
      </c>
      <c r="M5061" t="s">
        <v>136</v>
      </c>
      <c r="N5061">
        <v>1</v>
      </c>
      <c r="O5061" s="89">
        <v>51420.66</v>
      </c>
      <c r="P5061" s="89">
        <v>411365.28</v>
      </c>
      <c r="Q5061" t="s">
        <v>130</v>
      </c>
      <c r="R5061" t="s">
        <v>131</v>
      </c>
    </row>
    <row r="5062" spans="3:18" hidden="1" x14ac:dyDescent="0.25">
      <c r="C5062" t="s">
        <v>45</v>
      </c>
      <c r="D5062" t="s">
        <v>19</v>
      </c>
      <c r="E5062" t="s">
        <v>43</v>
      </c>
      <c r="F5062" t="s">
        <v>41</v>
      </c>
      <c r="G5062" s="89">
        <v>178984</v>
      </c>
      <c r="H5062" t="s">
        <v>154</v>
      </c>
      <c r="I5062" t="s">
        <v>126</v>
      </c>
      <c r="J5062" s="89">
        <v>3042728</v>
      </c>
      <c r="K5062" t="s">
        <v>127</v>
      </c>
      <c r="L5062" t="s">
        <v>128</v>
      </c>
      <c r="N5062">
        <v>1</v>
      </c>
      <c r="O5062" s="89">
        <v>5369.52</v>
      </c>
      <c r="P5062" s="89">
        <v>44746</v>
      </c>
      <c r="Q5062" t="s">
        <v>130</v>
      </c>
      <c r="R5062" t="s">
        <v>131</v>
      </c>
    </row>
    <row r="5063" spans="3:18" x14ac:dyDescent="0.25">
      <c r="C5063" t="s">
        <v>47</v>
      </c>
      <c r="D5063" t="s">
        <v>23</v>
      </c>
      <c r="E5063" t="s">
        <v>40</v>
      </c>
      <c r="F5063" t="s">
        <v>41</v>
      </c>
      <c r="G5063" s="89">
        <v>2398811</v>
      </c>
      <c r="H5063" t="s">
        <v>140</v>
      </c>
      <c r="I5063" t="s">
        <v>147</v>
      </c>
      <c r="J5063" s="89">
        <v>7196433</v>
      </c>
      <c r="K5063" t="s">
        <v>127</v>
      </c>
      <c r="L5063" t="s">
        <v>128</v>
      </c>
      <c r="N5063">
        <v>1</v>
      </c>
      <c r="O5063" s="89">
        <v>47976.22</v>
      </c>
      <c r="P5063" s="89">
        <v>1151429.28</v>
      </c>
      <c r="Q5063" t="s">
        <v>142</v>
      </c>
      <c r="R5063" t="s">
        <v>131</v>
      </c>
    </row>
    <row r="5064" spans="3:18" hidden="1" x14ac:dyDescent="0.25">
      <c r="C5064" t="s">
        <v>45</v>
      </c>
      <c r="D5064" t="s">
        <v>19</v>
      </c>
      <c r="E5064" t="s">
        <v>43</v>
      </c>
      <c r="F5064" t="s">
        <v>41</v>
      </c>
      <c r="G5064" s="89">
        <v>129391</v>
      </c>
      <c r="H5064" t="s">
        <v>42</v>
      </c>
      <c r="I5064" t="s">
        <v>126</v>
      </c>
      <c r="J5064" s="89">
        <v>2587820</v>
      </c>
      <c r="K5064" t="s">
        <v>134</v>
      </c>
      <c r="L5064" t="s">
        <v>128</v>
      </c>
      <c r="M5064" t="s">
        <v>136</v>
      </c>
      <c r="N5064">
        <v>1</v>
      </c>
      <c r="O5064" s="89">
        <v>5175.6400000000003</v>
      </c>
      <c r="P5064" s="89">
        <v>100924.98</v>
      </c>
      <c r="Q5064" t="s">
        <v>137</v>
      </c>
      <c r="R5064" t="s">
        <v>131</v>
      </c>
    </row>
    <row r="5065" spans="3:18" hidden="1" x14ac:dyDescent="0.25">
      <c r="C5065" t="s">
        <v>45</v>
      </c>
      <c r="D5065" t="s">
        <v>138</v>
      </c>
      <c r="E5065" t="s">
        <v>43</v>
      </c>
      <c r="F5065" t="s">
        <v>41</v>
      </c>
      <c r="G5065" s="89">
        <v>9153</v>
      </c>
      <c r="H5065" t="s">
        <v>146</v>
      </c>
      <c r="I5065" t="s">
        <v>147</v>
      </c>
      <c r="J5065" s="89">
        <v>36612</v>
      </c>
      <c r="K5065" t="s">
        <v>127</v>
      </c>
      <c r="L5065" t="s">
        <v>128</v>
      </c>
      <c r="N5065">
        <v>1</v>
      </c>
      <c r="O5065" s="89">
        <v>366.12</v>
      </c>
      <c r="P5065" s="89">
        <v>13729.5</v>
      </c>
      <c r="Q5065" t="s">
        <v>150</v>
      </c>
      <c r="R5065" t="s">
        <v>131</v>
      </c>
    </row>
    <row r="5066" spans="3:18" hidden="1" x14ac:dyDescent="0.25">
      <c r="C5066" t="s">
        <v>45</v>
      </c>
      <c r="D5066" t="s">
        <v>21</v>
      </c>
      <c r="E5066" t="s">
        <v>40</v>
      </c>
      <c r="F5066" t="s">
        <v>53</v>
      </c>
      <c r="G5066" s="89">
        <v>14132</v>
      </c>
      <c r="H5066" t="s">
        <v>42</v>
      </c>
      <c r="I5066" t="s">
        <v>133</v>
      </c>
      <c r="J5066" s="89">
        <v>395696</v>
      </c>
      <c r="K5066" t="s">
        <v>127</v>
      </c>
      <c r="L5066" t="s">
        <v>128</v>
      </c>
      <c r="M5066" t="s">
        <v>129</v>
      </c>
      <c r="N5066">
        <v>1</v>
      </c>
      <c r="O5066" s="89">
        <v>423.96</v>
      </c>
      <c r="P5066" s="89">
        <v>4522.24</v>
      </c>
      <c r="Q5066" t="s">
        <v>130</v>
      </c>
      <c r="R5066" t="s">
        <v>42</v>
      </c>
    </row>
    <row r="5067" spans="3:18" hidden="1" x14ac:dyDescent="0.25">
      <c r="C5067" t="s">
        <v>45</v>
      </c>
      <c r="D5067" t="s">
        <v>23</v>
      </c>
      <c r="E5067" t="s">
        <v>40</v>
      </c>
      <c r="F5067" t="s">
        <v>41</v>
      </c>
      <c r="G5067" s="89">
        <v>457506</v>
      </c>
      <c r="H5067" t="s">
        <v>146</v>
      </c>
      <c r="I5067" t="s">
        <v>133</v>
      </c>
      <c r="J5067" s="89">
        <v>14640192</v>
      </c>
      <c r="K5067" t="s">
        <v>144</v>
      </c>
      <c r="N5067">
        <v>1</v>
      </c>
      <c r="O5067" s="89">
        <v>13725.18</v>
      </c>
      <c r="P5067" s="89">
        <v>375154.92</v>
      </c>
      <c r="Q5067" t="s">
        <v>135</v>
      </c>
      <c r="R5067" t="s">
        <v>131</v>
      </c>
    </row>
    <row r="5068" spans="3:18" hidden="1" x14ac:dyDescent="0.25">
      <c r="C5068" t="s">
        <v>45</v>
      </c>
      <c r="D5068" t="s">
        <v>23</v>
      </c>
      <c r="E5068" t="s">
        <v>40</v>
      </c>
      <c r="F5068" t="s">
        <v>53</v>
      </c>
      <c r="G5068" s="89">
        <v>639980</v>
      </c>
      <c r="H5068" t="s">
        <v>42</v>
      </c>
      <c r="I5068" t="s">
        <v>133</v>
      </c>
      <c r="J5068" s="89">
        <v>18559420</v>
      </c>
      <c r="K5068" t="s">
        <v>144</v>
      </c>
      <c r="N5068">
        <v>1</v>
      </c>
      <c r="O5068" s="89">
        <v>25599.200000000001</v>
      </c>
      <c r="P5068" s="89">
        <v>294390.8</v>
      </c>
      <c r="Q5068" t="s">
        <v>142</v>
      </c>
      <c r="R5068" t="s">
        <v>131</v>
      </c>
    </row>
    <row r="5069" spans="3:18" hidden="1" x14ac:dyDescent="0.25">
      <c r="C5069" t="s">
        <v>45</v>
      </c>
      <c r="D5069" t="s">
        <v>19</v>
      </c>
      <c r="E5069" t="s">
        <v>43</v>
      </c>
      <c r="F5069" t="s">
        <v>41</v>
      </c>
      <c r="G5069" s="89">
        <v>181038</v>
      </c>
      <c r="H5069" t="s">
        <v>140</v>
      </c>
      <c r="I5069" t="s">
        <v>133</v>
      </c>
      <c r="J5069" s="89">
        <v>4525950</v>
      </c>
      <c r="K5069" t="s">
        <v>127</v>
      </c>
      <c r="L5069" t="s">
        <v>151</v>
      </c>
      <c r="N5069">
        <v>1</v>
      </c>
      <c r="O5069" s="89">
        <v>5431.14</v>
      </c>
      <c r="P5069" s="89">
        <v>61552.92</v>
      </c>
      <c r="Q5069" t="s">
        <v>130</v>
      </c>
      <c r="R5069" t="s">
        <v>131</v>
      </c>
    </row>
    <row r="5070" spans="3:18" x14ac:dyDescent="0.25">
      <c r="C5070" t="s">
        <v>47</v>
      </c>
      <c r="D5070" t="s">
        <v>19</v>
      </c>
      <c r="E5070" t="s">
        <v>43</v>
      </c>
      <c r="F5070" t="s">
        <v>41</v>
      </c>
      <c r="G5070" s="89">
        <v>3682878</v>
      </c>
      <c r="H5070" t="s">
        <v>145</v>
      </c>
      <c r="I5070" t="s">
        <v>141</v>
      </c>
      <c r="J5070" s="89">
        <v>22097268</v>
      </c>
      <c r="K5070" t="s">
        <v>127</v>
      </c>
      <c r="L5070" t="s">
        <v>128</v>
      </c>
      <c r="N5070">
        <v>1</v>
      </c>
      <c r="O5070" s="89">
        <v>110486.34</v>
      </c>
      <c r="P5070" s="89">
        <v>478774.14</v>
      </c>
      <c r="Q5070" t="s">
        <v>130</v>
      </c>
      <c r="R5070" t="s">
        <v>131</v>
      </c>
    </row>
    <row r="5071" spans="3:18" x14ac:dyDescent="0.25">
      <c r="C5071" t="s">
        <v>47</v>
      </c>
      <c r="D5071" t="s">
        <v>19</v>
      </c>
      <c r="E5071" t="s">
        <v>43</v>
      </c>
      <c r="F5071" t="s">
        <v>41</v>
      </c>
      <c r="G5071" s="89">
        <v>106000</v>
      </c>
      <c r="H5071" t="s">
        <v>146</v>
      </c>
      <c r="I5071" t="s">
        <v>147</v>
      </c>
      <c r="J5071" s="89"/>
      <c r="K5071" t="s">
        <v>127</v>
      </c>
      <c r="L5071" t="s">
        <v>128</v>
      </c>
      <c r="N5071">
        <v>0</v>
      </c>
      <c r="O5071" s="89">
        <v>3180</v>
      </c>
      <c r="P5071" s="89">
        <v>121900</v>
      </c>
      <c r="Q5071" t="s">
        <v>150</v>
      </c>
      <c r="R5071" t="s">
        <v>131</v>
      </c>
    </row>
    <row r="5072" spans="3:18" hidden="1" x14ac:dyDescent="0.25">
      <c r="C5072" t="s">
        <v>45</v>
      </c>
      <c r="D5072" t="s">
        <v>22</v>
      </c>
      <c r="E5072" t="s">
        <v>43</v>
      </c>
      <c r="F5072" t="s">
        <v>41</v>
      </c>
      <c r="G5072" s="89">
        <v>32617409</v>
      </c>
      <c r="H5072" t="s">
        <v>42</v>
      </c>
      <c r="I5072" t="s">
        <v>133</v>
      </c>
      <c r="J5072" s="89">
        <v>913287452</v>
      </c>
      <c r="K5072" t="s">
        <v>127</v>
      </c>
      <c r="L5072" t="s">
        <v>128</v>
      </c>
      <c r="M5072" t="s">
        <v>143</v>
      </c>
      <c r="N5072">
        <v>1</v>
      </c>
      <c r="O5072" s="89">
        <v>978522.27</v>
      </c>
      <c r="P5072" s="89">
        <v>9459048.6099999994</v>
      </c>
      <c r="Q5072" t="s">
        <v>130</v>
      </c>
      <c r="R5072" t="s">
        <v>131</v>
      </c>
    </row>
    <row r="5073" spans="3:18" hidden="1" x14ac:dyDescent="0.25">
      <c r="C5073" t="s">
        <v>45</v>
      </c>
      <c r="D5073" t="s">
        <v>22</v>
      </c>
      <c r="E5073" t="s">
        <v>43</v>
      </c>
      <c r="F5073" t="s">
        <v>41</v>
      </c>
      <c r="G5073" s="89">
        <v>15718001</v>
      </c>
      <c r="H5073" t="s">
        <v>140</v>
      </c>
      <c r="I5073" t="s">
        <v>133</v>
      </c>
      <c r="J5073" s="89">
        <v>408668026</v>
      </c>
      <c r="K5073" t="s">
        <v>127</v>
      </c>
      <c r="L5073" t="s">
        <v>128</v>
      </c>
      <c r="N5073">
        <v>1</v>
      </c>
      <c r="O5073" s="89">
        <v>471540.03</v>
      </c>
      <c r="P5073" s="89">
        <v>4558220.29</v>
      </c>
      <c r="Q5073" t="s">
        <v>130</v>
      </c>
      <c r="R5073" t="s">
        <v>131</v>
      </c>
    </row>
    <row r="5074" spans="3:18" hidden="1" x14ac:dyDescent="0.25">
      <c r="C5074" t="s">
        <v>45</v>
      </c>
      <c r="D5074" t="s">
        <v>23</v>
      </c>
      <c r="E5074" t="s">
        <v>46</v>
      </c>
      <c r="F5074" t="s">
        <v>53</v>
      </c>
      <c r="G5074" s="89">
        <v>12491</v>
      </c>
      <c r="H5074" t="s">
        <v>42</v>
      </c>
      <c r="I5074" t="s">
        <v>126</v>
      </c>
      <c r="J5074" s="89">
        <v>162383</v>
      </c>
      <c r="K5074" t="s">
        <v>144</v>
      </c>
      <c r="N5074">
        <v>1</v>
      </c>
      <c r="O5074" s="89">
        <v>374.73</v>
      </c>
      <c r="P5074" s="89">
        <v>1623.83</v>
      </c>
      <c r="Q5074" t="s">
        <v>130</v>
      </c>
      <c r="R5074" t="s">
        <v>42</v>
      </c>
    </row>
    <row r="5075" spans="3:18" hidden="1" x14ac:dyDescent="0.25">
      <c r="C5075" t="s">
        <v>45</v>
      </c>
      <c r="D5075" t="s">
        <v>21</v>
      </c>
      <c r="E5075" t="s">
        <v>43</v>
      </c>
      <c r="F5075" t="s">
        <v>41</v>
      </c>
      <c r="G5075" s="89">
        <v>79239</v>
      </c>
      <c r="H5075" t="s">
        <v>145</v>
      </c>
      <c r="I5075" t="s">
        <v>126</v>
      </c>
      <c r="J5075" s="89">
        <v>1267824</v>
      </c>
      <c r="K5075" t="s">
        <v>127</v>
      </c>
      <c r="L5075" t="s">
        <v>128</v>
      </c>
      <c r="N5075">
        <v>1</v>
      </c>
      <c r="O5075" s="89">
        <v>3169.56</v>
      </c>
      <c r="P5075" s="89">
        <v>97463.97</v>
      </c>
      <c r="Q5075" t="s">
        <v>150</v>
      </c>
      <c r="R5075" t="s">
        <v>131</v>
      </c>
    </row>
    <row r="5076" spans="3:18" hidden="1" x14ac:dyDescent="0.25">
      <c r="C5076" t="s">
        <v>45</v>
      </c>
      <c r="D5076" t="s">
        <v>19</v>
      </c>
      <c r="E5076" t="s">
        <v>43</v>
      </c>
      <c r="F5076" t="s">
        <v>41</v>
      </c>
      <c r="G5076" s="89">
        <v>11062761</v>
      </c>
      <c r="H5076" t="s">
        <v>140</v>
      </c>
      <c r="I5076" t="s">
        <v>147</v>
      </c>
      <c r="J5076" s="89">
        <v>33188283</v>
      </c>
      <c r="K5076" t="s">
        <v>127</v>
      </c>
      <c r="L5076" t="s">
        <v>128</v>
      </c>
      <c r="N5076">
        <v>1</v>
      </c>
      <c r="O5076" s="89">
        <v>331882.83</v>
      </c>
      <c r="P5076" s="89">
        <v>1216903.71</v>
      </c>
      <c r="Q5076" t="s">
        <v>130</v>
      </c>
      <c r="R5076" t="s">
        <v>131</v>
      </c>
    </row>
    <row r="5077" spans="3:18" hidden="1" x14ac:dyDescent="0.25">
      <c r="C5077" t="s">
        <v>45</v>
      </c>
      <c r="D5077" t="s">
        <v>22</v>
      </c>
      <c r="E5077" t="s">
        <v>40</v>
      </c>
      <c r="F5077" t="s">
        <v>41</v>
      </c>
      <c r="G5077" s="89">
        <v>8403501</v>
      </c>
      <c r="H5077" t="s">
        <v>145</v>
      </c>
      <c r="I5077" t="s">
        <v>133</v>
      </c>
      <c r="J5077" s="89">
        <v>235298028</v>
      </c>
      <c r="K5077" t="s">
        <v>144</v>
      </c>
      <c r="N5077">
        <v>1</v>
      </c>
      <c r="O5077" s="89">
        <v>252105.03</v>
      </c>
      <c r="P5077" s="89">
        <v>4033680.48</v>
      </c>
      <c r="Q5077" t="s">
        <v>142</v>
      </c>
      <c r="R5077" t="s">
        <v>131</v>
      </c>
    </row>
    <row r="5078" spans="3:18" hidden="1" x14ac:dyDescent="0.25">
      <c r="C5078" t="s">
        <v>45</v>
      </c>
      <c r="D5078" t="s">
        <v>23</v>
      </c>
      <c r="E5078" t="s">
        <v>43</v>
      </c>
      <c r="F5078" t="s">
        <v>41</v>
      </c>
      <c r="G5078" s="89">
        <v>90822</v>
      </c>
      <c r="H5078" t="s">
        <v>42</v>
      </c>
      <c r="I5078" t="s">
        <v>126</v>
      </c>
      <c r="J5078" s="89">
        <v>1816440</v>
      </c>
      <c r="K5078" t="s">
        <v>134</v>
      </c>
      <c r="L5078" t="s">
        <v>128</v>
      </c>
      <c r="M5078" t="s">
        <v>152</v>
      </c>
      <c r="N5078">
        <v>1</v>
      </c>
      <c r="O5078" s="89">
        <v>2724.66</v>
      </c>
      <c r="P5078" s="89">
        <v>55401.42</v>
      </c>
      <c r="Q5078" t="s">
        <v>137</v>
      </c>
      <c r="R5078" t="s">
        <v>131</v>
      </c>
    </row>
    <row r="5079" spans="3:18" x14ac:dyDescent="0.25">
      <c r="C5079" t="s">
        <v>47</v>
      </c>
      <c r="D5079" t="s">
        <v>21</v>
      </c>
      <c r="E5079" t="s">
        <v>40</v>
      </c>
      <c r="F5079" t="s">
        <v>41</v>
      </c>
      <c r="G5079" s="89">
        <v>14520</v>
      </c>
      <c r="H5079" t="s">
        <v>146</v>
      </c>
      <c r="I5079" t="s">
        <v>133</v>
      </c>
      <c r="J5079" s="89">
        <v>348480</v>
      </c>
      <c r="K5079" t="s">
        <v>127</v>
      </c>
      <c r="L5079" t="s">
        <v>128</v>
      </c>
      <c r="N5079">
        <v>1</v>
      </c>
      <c r="O5079" s="89">
        <v>435.6</v>
      </c>
      <c r="P5079" s="89">
        <v>7260</v>
      </c>
      <c r="Q5079" t="s">
        <v>142</v>
      </c>
      <c r="R5079" t="s">
        <v>131</v>
      </c>
    </row>
    <row r="5080" spans="3:18" hidden="1" x14ac:dyDescent="0.25">
      <c r="C5080" t="s">
        <v>45</v>
      </c>
      <c r="D5080" t="s">
        <v>19</v>
      </c>
      <c r="E5080" t="s">
        <v>43</v>
      </c>
      <c r="F5080" t="s">
        <v>41</v>
      </c>
      <c r="G5080" s="89">
        <v>128871230</v>
      </c>
      <c r="H5080" t="s">
        <v>42</v>
      </c>
      <c r="I5080" t="s">
        <v>133</v>
      </c>
      <c r="J5080" s="89">
        <v>4768235510</v>
      </c>
      <c r="K5080" t="s">
        <v>144</v>
      </c>
      <c r="N5080">
        <v>1</v>
      </c>
      <c r="O5080" s="89">
        <v>3866136.9</v>
      </c>
      <c r="P5080" s="89">
        <v>113406682.40000001</v>
      </c>
      <c r="Q5080" t="s">
        <v>135</v>
      </c>
      <c r="R5080" t="s">
        <v>42</v>
      </c>
    </row>
    <row r="5081" spans="3:18" hidden="1" x14ac:dyDescent="0.25">
      <c r="C5081" t="s">
        <v>45</v>
      </c>
      <c r="D5081" t="s">
        <v>20</v>
      </c>
      <c r="E5081" t="s">
        <v>43</v>
      </c>
      <c r="F5081" t="s">
        <v>41</v>
      </c>
      <c r="G5081" s="89">
        <v>8512304</v>
      </c>
      <c r="H5081" t="s">
        <v>140</v>
      </c>
      <c r="I5081" t="s">
        <v>133</v>
      </c>
      <c r="J5081" s="89">
        <v>272393728</v>
      </c>
      <c r="K5081" t="s">
        <v>127</v>
      </c>
      <c r="L5081" t="s">
        <v>128</v>
      </c>
      <c r="N5081">
        <v>1</v>
      </c>
      <c r="O5081" s="89">
        <v>255369.12</v>
      </c>
      <c r="P5081" s="89">
        <v>7320581.4400000004</v>
      </c>
      <c r="Q5081" t="s">
        <v>135</v>
      </c>
      <c r="R5081" t="s">
        <v>131</v>
      </c>
    </row>
    <row r="5082" spans="3:18" hidden="1" x14ac:dyDescent="0.25">
      <c r="C5082" t="s">
        <v>45</v>
      </c>
      <c r="D5082" t="s">
        <v>20</v>
      </c>
      <c r="E5082" t="s">
        <v>48</v>
      </c>
      <c r="F5082" t="s">
        <v>41</v>
      </c>
      <c r="G5082" s="89">
        <v>250026</v>
      </c>
      <c r="H5082" t="s">
        <v>42</v>
      </c>
      <c r="I5082" t="s">
        <v>147</v>
      </c>
      <c r="J5082" s="89">
        <v>750078</v>
      </c>
      <c r="K5082" t="s">
        <v>144</v>
      </c>
      <c r="N5082">
        <v>1</v>
      </c>
      <c r="O5082" s="89">
        <v>10001.040000000001</v>
      </c>
      <c r="P5082" s="89">
        <v>12501.3</v>
      </c>
      <c r="Q5082" t="s">
        <v>130</v>
      </c>
      <c r="R5082" t="s">
        <v>42</v>
      </c>
    </row>
    <row r="5083" spans="3:18" hidden="1" x14ac:dyDescent="0.25">
      <c r="C5083" t="s">
        <v>45</v>
      </c>
      <c r="D5083" t="s">
        <v>22</v>
      </c>
      <c r="E5083" t="s">
        <v>43</v>
      </c>
      <c r="F5083" t="s">
        <v>41</v>
      </c>
      <c r="G5083" s="89">
        <v>7105614</v>
      </c>
      <c r="H5083" t="s">
        <v>146</v>
      </c>
      <c r="I5083" t="s">
        <v>126</v>
      </c>
      <c r="J5083" s="89">
        <v>99478596</v>
      </c>
      <c r="K5083" t="s">
        <v>127</v>
      </c>
      <c r="L5083" t="s">
        <v>128</v>
      </c>
      <c r="N5083">
        <v>1</v>
      </c>
      <c r="O5083" s="89">
        <v>213168.42</v>
      </c>
      <c r="P5083" s="89">
        <v>1634291.22</v>
      </c>
      <c r="Q5083" t="s">
        <v>130</v>
      </c>
      <c r="R5083" t="s">
        <v>131</v>
      </c>
    </row>
    <row r="5084" spans="3:18" hidden="1" x14ac:dyDescent="0.25">
      <c r="C5084" t="s">
        <v>45</v>
      </c>
      <c r="D5084" t="s">
        <v>24</v>
      </c>
      <c r="E5084" t="s">
        <v>48</v>
      </c>
      <c r="F5084" t="s">
        <v>41</v>
      </c>
      <c r="G5084" s="89">
        <v>227022</v>
      </c>
      <c r="H5084" t="s">
        <v>140</v>
      </c>
      <c r="I5084" t="s">
        <v>126</v>
      </c>
      <c r="J5084" s="89">
        <v>4313418</v>
      </c>
      <c r="K5084" t="s">
        <v>134</v>
      </c>
      <c r="L5084" t="s">
        <v>128</v>
      </c>
      <c r="N5084">
        <v>1</v>
      </c>
      <c r="O5084" s="89">
        <v>6810.66</v>
      </c>
      <c r="P5084" s="89">
        <v>254264.64</v>
      </c>
      <c r="Q5084" t="s">
        <v>150</v>
      </c>
      <c r="R5084" t="s">
        <v>131</v>
      </c>
    </row>
    <row r="5085" spans="3:18" hidden="1" x14ac:dyDescent="0.25">
      <c r="C5085" t="s">
        <v>45</v>
      </c>
      <c r="D5085" t="s">
        <v>24</v>
      </c>
      <c r="E5085" t="s">
        <v>40</v>
      </c>
      <c r="F5085" t="s">
        <v>41</v>
      </c>
      <c r="G5085" s="89">
        <v>2514475</v>
      </c>
      <c r="H5085" t="s">
        <v>42</v>
      </c>
      <c r="I5085" t="s">
        <v>126</v>
      </c>
      <c r="J5085" s="89">
        <v>42746075</v>
      </c>
      <c r="K5085" t="s">
        <v>127</v>
      </c>
      <c r="L5085" t="s">
        <v>128</v>
      </c>
      <c r="M5085" t="s">
        <v>148</v>
      </c>
      <c r="N5085">
        <v>1</v>
      </c>
      <c r="O5085" s="89">
        <v>75434.25</v>
      </c>
      <c r="P5085" s="89">
        <v>1684698.25</v>
      </c>
      <c r="Q5085" t="s">
        <v>137</v>
      </c>
      <c r="R5085" t="s">
        <v>131</v>
      </c>
    </row>
    <row r="5086" spans="3:18" hidden="1" x14ac:dyDescent="0.25">
      <c r="C5086" t="s">
        <v>45</v>
      </c>
      <c r="D5086" t="s">
        <v>149</v>
      </c>
      <c r="E5086" t="s">
        <v>43</v>
      </c>
      <c r="F5086" t="s">
        <v>41</v>
      </c>
      <c r="G5086" s="89">
        <v>638145</v>
      </c>
      <c r="H5086" t="s">
        <v>42</v>
      </c>
      <c r="I5086" t="s">
        <v>126</v>
      </c>
      <c r="J5086" s="89">
        <v>10210320</v>
      </c>
      <c r="K5086" t="s">
        <v>144</v>
      </c>
      <c r="N5086">
        <v>1</v>
      </c>
      <c r="O5086" s="89">
        <v>19144.349999999999</v>
      </c>
      <c r="P5086" s="89">
        <v>312691.05</v>
      </c>
      <c r="Q5086" t="s">
        <v>142</v>
      </c>
      <c r="R5086" t="s">
        <v>131</v>
      </c>
    </row>
    <row r="5087" spans="3:18" hidden="1" x14ac:dyDescent="0.25">
      <c r="C5087" t="s">
        <v>45</v>
      </c>
      <c r="D5087" t="s">
        <v>24</v>
      </c>
      <c r="E5087" t="s">
        <v>40</v>
      </c>
      <c r="F5087" t="s">
        <v>41</v>
      </c>
      <c r="G5087" s="89">
        <v>62731</v>
      </c>
      <c r="H5087" t="s">
        <v>140</v>
      </c>
      <c r="I5087" t="s">
        <v>126</v>
      </c>
      <c r="J5087" s="89">
        <v>1191889</v>
      </c>
      <c r="K5087" t="s">
        <v>144</v>
      </c>
      <c r="N5087">
        <v>1</v>
      </c>
      <c r="O5087" s="89">
        <v>1881.93</v>
      </c>
      <c r="P5087" s="89">
        <v>15055.44</v>
      </c>
      <c r="Q5087" t="s">
        <v>130</v>
      </c>
      <c r="R5087" t="s">
        <v>131</v>
      </c>
    </row>
    <row r="5088" spans="3:18" hidden="1" x14ac:dyDescent="0.25">
      <c r="C5088" t="s">
        <v>45</v>
      </c>
      <c r="D5088" t="s">
        <v>20</v>
      </c>
      <c r="E5088" t="s">
        <v>43</v>
      </c>
      <c r="F5088" t="s">
        <v>41</v>
      </c>
      <c r="G5088" s="89">
        <v>18778006</v>
      </c>
      <c r="H5088" t="s">
        <v>42</v>
      </c>
      <c r="I5088" t="s">
        <v>133</v>
      </c>
      <c r="J5088" s="89">
        <v>544562174</v>
      </c>
      <c r="K5088" t="s">
        <v>127</v>
      </c>
      <c r="L5088" t="s">
        <v>128</v>
      </c>
      <c r="M5088" t="s">
        <v>139</v>
      </c>
      <c r="N5088">
        <v>1</v>
      </c>
      <c r="O5088" s="89">
        <v>563340.18000000005</v>
      </c>
      <c r="P5088" s="89">
        <v>9576783.0600000005</v>
      </c>
      <c r="Q5088" t="s">
        <v>142</v>
      </c>
      <c r="R5088" t="s">
        <v>42</v>
      </c>
    </row>
    <row r="5089" spans="3:18" hidden="1" x14ac:dyDescent="0.25">
      <c r="C5089" t="s">
        <v>45</v>
      </c>
      <c r="D5089" t="s">
        <v>20</v>
      </c>
      <c r="E5089" t="s">
        <v>43</v>
      </c>
      <c r="F5089" t="s">
        <v>41</v>
      </c>
      <c r="G5089" s="89">
        <v>211806</v>
      </c>
      <c r="H5089" t="s">
        <v>42</v>
      </c>
      <c r="I5089" t="s">
        <v>133</v>
      </c>
      <c r="J5089" s="89">
        <v>5506956</v>
      </c>
      <c r="K5089" t="s">
        <v>144</v>
      </c>
      <c r="N5089">
        <v>1</v>
      </c>
      <c r="O5089" s="89">
        <v>8472.24</v>
      </c>
      <c r="P5089" s="89">
        <v>232986.6</v>
      </c>
      <c r="Q5089" t="s">
        <v>150</v>
      </c>
      <c r="R5089" t="s">
        <v>131</v>
      </c>
    </row>
    <row r="5090" spans="3:18" hidden="1" x14ac:dyDescent="0.25">
      <c r="C5090" t="s">
        <v>39</v>
      </c>
      <c r="D5090" t="s">
        <v>19</v>
      </c>
      <c r="E5090" t="s">
        <v>43</v>
      </c>
      <c r="F5090" t="s">
        <v>41</v>
      </c>
      <c r="G5090" s="89">
        <v>154076</v>
      </c>
      <c r="H5090" t="s">
        <v>146</v>
      </c>
      <c r="I5090" t="s">
        <v>133</v>
      </c>
      <c r="J5090" s="89"/>
      <c r="N5090">
        <v>0</v>
      </c>
      <c r="O5090" s="89"/>
      <c r="P5090" s="89"/>
      <c r="R5090" t="s">
        <v>131</v>
      </c>
    </row>
    <row r="5091" spans="3:18" hidden="1" x14ac:dyDescent="0.25">
      <c r="C5091" t="s">
        <v>45</v>
      </c>
      <c r="D5091" t="s">
        <v>23</v>
      </c>
      <c r="E5091" t="s">
        <v>44</v>
      </c>
      <c r="F5091" t="s">
        <v>41</v>
      </c>
      <c r="G5091" s="89">
        <v>126511</v>
      </c>
      <c r="H5091" t="s">
        <v>42</v>
      </c>
      <c r="I5091" t="s">
        <v>133</v>
      </c>
      <c r="J5091" s="89">
        <v>4301374</v>
      </c>
      <c r="K5091" t="s">
        <v>127</v>
      </c>
      <c r="L5091" t="s">
        <v>128</v>
      </c>
      <c r="M5091" t="s">
        <v>143</v>
      </c>
      <c r="N5091">
        <v>1</v>
      </c>
      <c r="O5091" s="89">
        <v>3795.33</v>
      </c>
      <c r="P5091" s="89">
        <v>91087.92</v>
      </c>
      <c r="Q5091" t="s">
        <v>137</v>
      </c>
      <c r="R5091" t="s">
        <v>42</v>
      </c>
    </row>
    <row r="5092" spans="3:18" hidden="1" x14ac:dyDescent="0.25">
      <c r="C5092" t="s">
        <v>45</v>
      </c>
      <c r="D5092" t="s">
        <v>23</v>
      </c>
      <c r="E5092" t="s">
        <v>48</v>
      </c>
      <c r="F5092" t="s">
        <v>41</v>
      </c>
      <c r="G5092" s="89">
        <v>3591212</v>
      </c>
      <c r="H5092" t="s">
        <v>42</v>
      </c>
      <c r="I5092" t="s">
        <v>133</v>
      </c>
      <c r="J5092" s="89">
        <v>111327572</v>
      </c>
      <c r="K5092" t="s">
        <v>144</v>
      </c>
      <c r="N5092">
        <v>1</v>
      </c>
      <c r="O5092" s="89">
        <v>107736.36</v>
      </c>
      <c r="P5092" s="89">
        <v>1831518.12</v>
      </c>
      <c r="Q5092" t="s">
        <v>142</v>
      </c>
      <c r="R5092" t="s">
        <v>131</v>
      </c>
    </row>
    <row r="5093" spans="3:18" hidden="1" x14ac:dyDescent="0.25">
      <c r="C5093" t="s">
        <v>45</v>
      </c>
      <c r="D5093" t="s">
        <v>22</v>
      </c>
      <c r="E5093" t="s">
        <v>43</v>
      </c>
      <c r="F5093" t="s">
        <v>41</v>
      </c>
      <c r="G5093" s="89">
        <v>121780</v>
      </c>
      <c r="H5093" t="s">
        <v>146</v>
      </c>
      <c r="I5093" t="s">
        <v>126</v>
      </c>
      <c r="J5093" s="89">
        <v>1461360</v>
      </c>
      <c r="K5093" t="s">
        <v>127</v>
      </c>
      <c r="L5093" t="s">
        <v>151</v>
      </c>
      <c r="N5093">
        <v>1</v>
      </c>
      <c r="O5093" s="89">
        <v>1217.8</v>
      </c>
      <c r="P5093" s="89">
        <v>19484.8</v>
      </c>
      <c r="Q5093" t="s">
        <v>130</v>
      </c>
      <c r="R5093" t="s">
        <v>131</v>
      </c>
    </row>
    <row r="5094" spans="3:18" hidden="1" x14ac:dyDescent="0.25">
      <c r="C5094" t="s">
        <v>45</v>
      </c>
      <c r="D5094" t="s">
        <v>138</v>
      </c>
      <c r="E5094" t="s">
        <v>43</v>
      </c>
      <c r="F5094" t="s">
        <v>53</v>
      </c>
      <c r="G5094" s="89">
        <v>39688</v>
      </c>
      <c r="H5094" t="s">
        <v>42</v>
      </c>
      <c r="I5094" t="s">
        <v>133</v>
      </c>
      <c r="J5094" s="89">
        <v>1349392</v>
      </c>
      <c r="K5094" t="s">
        <v>144</v>
      </c>
      <c r="N5094">
        <v>1</v>
      </c>
      <c r="O5094" s="89">
        <v>1190.6400000000001</v>
      </c>
      <c r="P5094" s="89">
        <v>9128.24</v>
      </c>
      <c r="Q5094" t="s">
        <v>130</v>
      </c>
      <c r="R5094" t="s">
        <v>42</v>
      </c>
    </row>
    <row r="5095" spans="3:18" hidden="1" x14ac:dyDescent="0.25">
      <c r="C5095" t="s">
        <v>45</v>
      </c>
      <c r="D5095" t="s">
        <v>149</v>
      </c>
      <c r="E5095" t="s">
        <v>43</v>
      </c>
      <c r="F5095" t="s">
        <v>41</v>
      </c>
      <c r="G5095" s="89">
        <v>869157</v>
      </c>
      <c r="H5095" t="s">
        <v>42</v>
      </c>
      <c r="I5095" t="s">
        <v>133</v>
      </c>
      <c r="J5095" s="89">
        <v>27813024</v>
      </c>
      <c r="K5095" t="s">
        <v>127</v>
      </c>
      <c r="L5095" t="s">
        <v>128</v>
      </c>
      <c r="M5095" t="s">
        <v>152</v>
      </c>
      <c r="N5095">
        <v>1</v>
      </c>
      <c r="O5095" s="89">
        <v>26074.71</v>
      </c>
      <c r="P5095" s="89">
        <v>634484.61</v>
      </c>
      <c r="Q5095" t="s">
        <v>137</v>
      </c>
      <c r="R5095" t="s">
        <v>131</v>
      </c>
    </row>
    <row r="5096" spans="3:18" hidden="1" x14ac:dyDescent="0.25">
      <c r="C5096" t="s">
        <v>45</v>
      </c>
      <c r="D5096" t="s">
        <v>22</v>
      </c>
      <c r="E5096" t="s">
        <v>40</v>
      </c>
      <c r="F5096" t="s">
        <v>41</v>
      </c>
      <c r="G5096" s="89">
        <v>1228417</v>
      </c>
      <c r="H5096" t="s">
        <v>146</v>
      </c>
      <c r="I5096" t="s">
        <v>126</v>
      </c>
      <c r="J5096" s="89">
        <v>20883089</v>
      </c>
      <c r="K5096" t="s">
        <v>127</v>
      </c>
      <c r="L5096" t="s">
        <v>128</v>
      </c>
      <c r="N5096">
        <v>1</v>
      </c>
      <c r="O5096" s="89">
        <v>49136.68</v>
      </c>
      <c r="P5096" s="89">
        <v>1068722.79</v>
      </c>
      <c r="Q5096" t="s">
        <v>135</v>
      </c>
      <c r="R5096" t="s">
        <v>131</v>
      </c>
    </row>
    <row r="5097" spans="3:18" hidden="1" x14ac:dyDescent="0.25">
      <c r="C5097" t="s">
        <v>45</v>
      </c>
      <c r="D5097" t="s">
        <v>50</v>
      </c>
      <c r="E5097" t="s">
        <v>50</v>
      </c>
      <c r="F5097" t="s">
        <v>53</v>
      </c>
      <c r="G5097" s="89">
        <v>1404</v>
      </c>
      <c r="H5097" t="s">
        <v>79</v>
      </c>
      <c r="I5097" t="s">
        <v>141</v>
      </c>
      <c r="J5097" s="89">
        <v>9828</v>
      </c>
      <c r="K5097" t="s">
        <v>127</v>
      </c>
      <c r="N5097">
        <v>1</v>
      </c>
      <c r="O5097" s="89">
        <v>42.12</v>
      </c>
      <c r="P5097" s="89">
        <v>2106</v>
      </c>
      <c r="Q5097" t="s">
        <v>150</v>
      </c>
      <c r="R5097" t="s">
        <v>79</v>
      </c>
    </row>
    <row r="5098" spans="3:18" hidden="1" x14ac:dyDescent="0.25">
      <c r="C5098" t="s">
        <v>45</v>
      </c>
      <c r="D5098" t="s">
        <v>22</v>
      </c>
      <c r="E5098" t="s">
        <v>40</v>
      </c>
      <c r="F5098" t="s">
        <v>41</v>
      </c>
      <c r="G5098" s="89">
        <v>7798185</v>
      </c>
      <c r="H5098" t="s">
        <v>140</v>
      </c>
      <c r="I5098" t="s">
        <v>126</v>
      </c>
      <c r="J5098" s="89">
        <v>124770960</v>
      </c>
      <c r="K5098" t="s">
        <v>144</v>
      </c>
      <c r="N5098">
        <v>1</v>
      </c>
      <c r="O5098" s="89">
        <v>233945.55</v>
      </c>
      <c r="P5098" s="89">
        <v>1949546.25</v>
      </c>
      <c r="Q5098" t="s">
        <v>130</v>
      </c>
      <c r="R5098" t="s">
        <v>131</v>
      </c>
    </row>
    <row r="5099" spans="3:18" hidden="1" x14ac:dyDescent="0.25">
      <c r="C5099" t="s">
        <v>45</v>
      </c>
      <c r="D5099" t="s">
        <v>20</v>
      </c>
      <c r="E5099" t="s">
        <v>43</v>
      </c>
      <c r="F5099" t="s">
        <v>41</v>
      </c>
      <c r="G5099" s="89">
        <v>7938415</v>
      </c>
      <c r="H5099" t="s">
        <v>42</v>
      </c>
      <c r="I5099" t="s">
        <v>133</v>
      </c>
      <c r="J5099" s="89">
        <v>238152450</v>
      </c>
      <c r="K5099" t="s">
        <v>144</v>
      </c>
      <c r="N5099">
        <v>1</v>
      </c>
      <c r="O5099" s="89">
        <v>238152.45</v>
      </c>
      <c r="P5099" s="89">
        <v>2381524.5</v>
      </c>
      <c r="Q5099" t="s">
        <v>130</v>
      </c>
      <c r="R5099" t="s">
        <v>42</v>
      </c>
    </row>
    <row r="5100" spans="3:18" hidden="1" x14ac:dyDescent="0.25">
      <c r="C5100" t="s">
        <v>39</v>
      </c>
      <c r="D5100" t="s">
        <v>149</v>
      </c>
      <c r="E5100" t="s">
        <v>43</v>
      </c>
      <c r="F5100" t="s">
        <v>41</v>
      </c>
      <c r="G5100" s="89">
        <v>129819</v>
      </c>
      <c r="H5100" t="s">
        <v>146</v>
      </c>
      <c r="I5100" t="s">
        <v>133</v>
      </c>
      <c r="J5100" s="89"/>
      <c r="N5100">
        <v>0</v>
      </c>
      <c r="O5100" s="89"/>
      <c r="P5100" s="89"/>
      <c r="R5100" t="s">
        <v>131</v>
      </c>
    </row>
    <row r="5101" spans="3:18" hidden="1" x14ac:dyDescent="0.25">
      <c r="C5101" t="s">
        <v>45</v>
      </c>
      <c r="D5101" t="s">
        <v>23</v>
      </c>
      <c r="E5101" t="s">
        <v>40</v>
      </c>
      <c r="F5101" t="s">
        <v>53</v>
      </c>
      <c r="G5101" s="89">
        <v>563700</v>
      </c>
      <c r="H5101" t="s">
        <v>42</v>
      </c>
      <c r="I5101" t="s">
        <v>133</v>
      </c>
      <c r="J5101" s="89">
        <v>18038400</v>
      </c>
      <c r="K5101" t="s">
        <v>127</v>
      </c>
      <c r="L5101" t="s">
        <v>128</v>
      </c>
      <c r="M5101" t="s">
        <v>152</v>
      </c>
      <c r="N5101">
        <v>1</v>
      </c>
      <c r="O5101" s="89">
        <v>16911</v>
      </c>
      <c r="P5101" s="89">
        <v>343857</v>
      </c>
      <c r="Q5101" t="s">
        <v>137</v>
      </c>
      <c r="R5101" t="s">
        <v>131</v>
      </c>
    </row>
    <row r="5102" spans="3:18" hidden="1" x14ac:dyDescent="0.25">
      <c r="C5102" t="s">
        <v>45</v>
      </c>
      <c r="D5102" t="s">
        <v>21</v>
      </c>
      <c r="E5102" t="s">
        <v>43</v>
      </c>
      <c r="F5102" t="s">
        <v>41</v>
      </c>
      <c r="G5102" s="89">
        <v>11918</v>
      </c>
      <c r="H5102" t="s">
        <v>42</v>
      </c>
      <c r="I5102" t="s">
        <v>147</v>
      </c>
      <c r="J5102" s="89">
        <v>35754</v>
      </c>
      <c r="K5102" t="s">
        <v>127</v>
      </c>
      <c r="L5102" t="s">
        <v>128</v>
      </c>
      <c r="M5102" t="s">
        <v>143</v>
      </c>
      <c r="N5102">
        <v>1</v>
      </c>
      <c r="O5102" s="89">
        <v>238.36</v>
      </c>
      <c r="P5102" s="89">
        <v>476.72</v>
      </c>
      <c r="Q5102" t="s">
        <v>130</v>
      </c>
      <c r="R5102" t="s">
        <v>131</v>
      </c>
    </row>
    <row r="5103" spans="3:18" hidden="1" x14ac:dyDescent="0.25">
      <c r="C5103" t="s">
        <v>45</v>
      </c>
      <c r="D5103" t="s">
        <v>22</v>
      </c>
      <c r="E5103" t="s">
        <v>40</v>
      </c>
      <c r="F5103" t="s">
        <v>41</v>
      </c>
      <c r="G5103" s="89">
        <v>9576</v>
      </c>
      <c r="H5103" t="s">
        <v>132</v>
      </c>
      <c r="I5103" t="s">
        <v>147</v>
      </c>
      <c r="J5103" s="89"/>
      <c r="K5103" t="s">
        <v>127</v>
      </c>
      <c r="L5103" t="s">
        <v>128</v>
      </c>
      <c r="N5103">
        <v>0</v>
      </c>
      <c r="O5103" s="89">
        <v>191.52</v>
      </c>
      <c r="P5103" s="89">
        <v>95.76</v>
      </c>
      <c r="Q5103" t="s">
        <v>130</v>
      </c>
      <c r="R5103" t="s">
        <v>131</v>
      </c>
    </row>
    <row r="5104" spans="3:18" hidden="1" x14ac:dyDescent="0.25">
      <c r="C5104" t="s">
        <v>45</v>
      </c>
      <c r="D5104" t="s">
        <v>22</v>
      </c>
      <c r="E5104" t="s">
        <v>43</v>
      </c>
      <c r="F5104" t="s">
        <v>41</v>
      </c>
      <c r="G5104" s="89">
        <v>0</v>
      </c>
      <c r="H5104" t="s">
        <v>140</v>
      </c>
      <c r="I5104" t="s">
        <v>147</v>
      </c>
      <c r="J5104" s="89"/>
      <c r="K5104" t="s">
        <v>127</v>
      </c>
      <c r="L5104" t="s">
        <v>128</v>
      </c>
      <c r="N5104">
        <v>0</v>
      </c>
      <c r="O5104" s="89">
        <v>0</v>
      </c>
      <c r="P5104" s="89">
        <v>0</v>
      </c>
      <c r="Q5104" t="s">
        <v>130</v>
      </c>
      <c r="R5104" t="s">
        <v>131</v>
      </c>
    </row>
    <row r="5105" spans="3:18" x14ac:dyDescent="0.25">
      <c r="C5105" t="s">
        <v>47</v>
      </c>
      <c r="D5105" t="s">
        <v>24</v>
      </c>
      <c r="E5105" t="s">
        <v>48</v>
      </c>
      <c r="F5105" t="s">
        <v>41</v>
      </c>
      <c r="G5105" s="89">
        <v>5821213</v>
      </c>
      <c r="H5105" t="s">
        <v>140</v>
      </c>
      <c r="I5105" t="s">
        <v>141</v>
      </c>
      <c r="J5105" s="89">
        <v>40748491</v>
      </c>
      <c r="K5105" t="s">
        <v>127</v>
      </c>
      <c r="L5105" t="s">
        <v>128</v>
      </c>
      <c r="N5105">
        <v>1</v>
      </c>
      <c r="O5105" s="89">
        <v>174636.39</v>
      </c>
      <c r="P5105" s="89">
        <v>1047818.34</v>
      </c>
      <c r="Q5105" t="s">
        <v>130</v>
      </c>
      <c r="R5105" t="s">
        <v>131</v>
      </c>
    </row>
    <row r="5106" spans="3:18" x14ac:dyDescent="0.25">
      <c r="C5106" t="s">
        <v>47</v>
      </c>
      <c r="D5106" t="s">
        <v>138</v>
      </c>
      <c r="E5106" t="s">
        <v>40</v>
      </c>
      <c r="F5106" t="s">
        <v>41</v>
      </c>
      <c r="G5106" s="89">
        <v>270196</v>
      </c>
      <c r="H5106" t="s">
        <v>140</v>
      </c>
      <c r="I5106" t="s">
        <v>153</v>
      </c>
      <c r="J5106" s="89"/>
      <c r="K5106" t="s">
        <v>127</v>
      </c>
      <c r="L5106" t="s">
        <v>128</v>
      </c>
      <c r="N5106">
        <v>0</v>
      </c>
      <c r="O5106" s="89">
        <v>13509.8</v>
      </c>
      <c r="P5106" s="89">
        <v>264792.08</v>
      </c>
      <c r="Q5106" t="s">
        <v>135</v>
      </c>
      <c r="R5106" t="s">
        <v>131</v>
      </c>
    </row>
    <row r="5107" spans="3:18" hidden="1" x14ac:dyDescent="0.25">
      <c r="C5107" t="s">
        <v>45</v>
      </c>
      <c r="D5107" t="s">
        <v>22</v>
      </c>
      <c r="E5107" t="s">
        <v>40</v>
      </c>
      <c r="F5107" t="s">
        <v>41</v>
      </c>
      <c r="G5107" s="89">
        <v>249846</v>
      </c>
      <c r="H5107" t="s">
        <v>42</v>
      </c>
      <c r="I5107" t="s">
        <v>141</v>
      </c>
      <c r="J5107" s="89">
        <v>1748922</v>
      </c>
      <c r="K5107" t="s">
        <v>134</v>
      </c>
      <c r="L5107" t="s">
        <v>128</v>
      </c>
      <c r="M5107" t="s">
        <v>143</v>
      </c>
      <c r="N5107">
        <v>1</v>
      </c>
      <c r="O5107" s="89">
        <v>7495.38</v>
      </c>
      <c r="P5107" s="89">
        <v>52467.66</v>
      </c>
      <c r="Q5107" t="s">
        <v>130</v>
      </c>
      <c r="R5107" t="s">
        <v>131</v>
      </c>
    </row>
    <row r="5108" spans="3:18" x14ac:dyDescent="0.25">
      <c r="C5108" t="s">
        <v>47</v>
      </c>
      <c r="D5108" t="s">
        <v>21</v>
      </c>
      <c r="E5108" t="s">
        <v>40</v>
      </c>
      <c r="F5108" t="s">
        <v>41</v>
      </c>
      <c r="G5108" s="89">
        <v>836000</v>
      </c>
      <c r="H5108" t="s">
        <v>132</v>
      </c>
      <c r="I5108" t="s">
        <v>147</v>
      </c>
      <c r="J5108" s="89">
        <v>2508000</v>
      </c>
      <c r="K5108" t="s">
        <v>127</v>
      </c>
      <c r="L5108" t="s">
        <v>128</v>
      </c>
      <c r="N5108">
        <v>1</v>
      </c>
      <c r="O5108" s="89">
        <v>41800</v>
      </c>
      <c r="P5108" s="89">
        <v>1254000</v>
      </c>
      <c r="Q5108" t="s">
        <v>150</v>
      </c>
      <c r="R5108" t="s">
        <v>131</v>
      </c>
    </row>
    <row r="5109" spans="3:18" hidden="1" x14ac:dyDescent="0.25">
      <c r="C5109" t="s">
        <v>45</v>
      </c>
      <c r="D5109" t="s">
        <v>21</v>
      </c>
      <c r="E5109" t="s">
        <v>40</v>
      </c>
      <c r="F5109" t="s">
        <v>41</v>
      </c>
      <c r="G5109" s="89">
        <v>240512</v>
      </c>
      <c r="H5109" t="s">
        <v>132</v>
      </c>
      <c r="I5109" t="s">
        <v>133</v>
      </c>
      <c r="J5109" s="89">
        <v>7936896</v>
      </c>
      <c r="K5109" t="s">
        <v>144</v>
      </c>
      <c r="N5109">
        <v>1</v>
      </c>
      <c r="O5109" s="89">
        <v>7215.36</v>
      </c>
      <c r="P5109" s="89">
        <v>125066.24000000001</v>
      </c>
      <c r="Q5109" t="s">
        <v>142</v>
      </c>
      <c r="R5109" t="s">
        <v>131</v>
      </c>
    </row>
    <row r="5110" spans="3:18" hidden="1" x14ac:dyDescent="0.25">
      <c r="C5110" t="s">
        <v>45</v>
      </c>
      <c r="D5110" t="s">
        <v>23</v>
      </c>
      <c r="E5110" t="s">
        <v>40</v>
      </c>
      <c r="F5110" t="s">
        <v>41</v>
      </c>
      <c r="G5110" s="89">
        <v>1070113</v>
      </c>
      <c r="H5110" t="s">
        <v>132</v>
      </c>
      <c r="I5110" t="s">
        <v>141</v>
      </c>
      <c r="J5110" s="89">
        <v>8560904</v>
      </c>
      <c r="K5110" t="s">
        <v>127</v>
      </c>
      <c r="L5110" t="s">
        <v>128</v>
      </c>
      <c r="N5110">
        <v>1</v>
      </c>
      <c r="O5110" s="89">
        <v>32103.39</v>
      </c>
      <c r="P5110" s="89">
        <v>492251.98</v>
      </c>
      <c r="Q5110" t="s">
        <v>142</v>
      </c>
      <c r="R5110" t="s">
        <v>131</v>
      </c>
    </row>
    <row r="5111" spans="3:18" hidden="1" x14ac:dyDescent="0.25">
      <c r="C5111" t="s">
        <v>45</v>
      </c>
      <c r="D5111" t="s">
        <v>24</v>
      </c>
      <c r="E5111" t="s">
        <v>48</v>
      </c>
      <c r="F5111" t="s">
        <v>41</v>
      </c>
      <c r="G5111" s="89">
        <v>81846</v>
      </c>
      <c r="H5111" t="s">
        <v>42</v>
      </c>
      <c r="I5111" t="s">
        <v>133</v>
      </c>
      <c r="J5111" s="89">
        <v>2619072</v>
      </c>
      <c r="K5111" t="s">
        <v>134</v>
      </c>
      <c r="L5111" t="s">
        <v>128</v>
      </c>
      <c r="M5111" t="s">
        <v>148</v>
      </c>
      <c r="N5111">
        <v>1</v>
      </c>
      <c r="O5111" s="89">
        <v>2455.38</v>
      </c>
      <c r="P5111" s="89">
        <v>24553.8</v>
      </c>
      <c r="Q5111" t="s">
        <v>130</v>
      </c>
      <c r="R5111" t="s">
        <v>131</v>
      </c>
    </row>
    <row r="5112" spans="3:18" hidden="1" x14ac:dyDescent="0.25">
      <c r="C5112" t="s">
        <v>45</v>
      </c>
      <c r="D5112" t="s">
        <v>22</v>
      </c>
      <c r="E5112" t="s">
        <v>44</v>
      </c>
      <c r="F5112" t="s">
        <v>53</v>
      </c>
      <c r="G5112" s="89">
        <v>608958</v>
      </c>
      <c r="H5112" t="s">
        <v>42</v>
      </c>
      <c r="I5112" t="s">
        <v>133</v>
      </c>
      <c r="J5112" s="89">
        <v>21922488</v>
      </c>
      <c r="K5112" t="s">
        <v>144</v>
      </c>
      <c r="N5112">
        <v>1</v>
      </c>
      <c r="O5112" s="89">
        <v>18268.740000000002</v>
      </c>
      <c r="P5112" s="89">
        <v>511524.72</v>
      </c>
      <c r="Q5112" t="s">
        <v>135</v>
      </c>
      <c r="R5112" t="s">
        <v>42</v>
      </c>
    </row>
    <row r="5113" spans="3:18" hidden="1" x14ac:dyDescent="0.25">
      <c r="C5113" t="s">
        <v>45</v>
      </c>
      <c r="D5113" t="s">
        <v>21</v>
      </c>
      <c r="E5113" t="s">
        <v>43</v>
      </c>
      <c r="F5113" t="s">
        <v>41</v>
      </c>
      <c r="G5113" s="89">
        <v>16167324</v>
      </c>
      <c r="H5113" t="s">
        <v>42</v>
      </c>
      <c r="I5113" t="s">
        <v>133</v>
      </c>
      <c r="J5113" s="89">
        <v>565856340</v>
      </c>
      <c r="K5113" t="s">
        <v>127</v>
      </c>
      <c r="L5113" t="s">
        <v>128</v>
      </c>
      <c r="M5113" t="s">
        <v>129</v>
      </c>
      <c r="N5113">
        <v>1</v>
      </c>
      <c r="O5113" s="89">
        <v>485019.72</v>
      </c>
      <c r="P5113" s="89">
        <v>13418878.92</v>
      </c>
      <c r="Q5113" t="s">
        <v>135</v>
      </c>
      <c r="R5113" t="s">
        <v>42</v>
      </c>
    </row>
    <row r="5114" spans="3:18" hidden="1" x14ac:dyDescent="0.25">
      <c r="C5114" t="s">
        <v>45</v>
      </c>
      <c r="D5114" t="s">
        <v>23</v>
      </c>
      <c r="E5114" t="s">
        <v>40</v>
      </c>
      <c r="F5114" t="s">
        <v>41</v>
      </c>
      <c r="G5114" s="89">
        <v>13345437</v>
      </c>
      <c r="H5114" t="s">
        <v>132</v>
      </c>
      <c r="I5114" t="s">
        <v>133</v>
      </c>
      <c r="J5114" s="89">
        <v>346981362</v>
      </c>
      <c r="K5114" t="s">
        <v>127</v>
      </c>
      <c r="L5114" t="s">
        <v>128</v>
      </c>
      <c r="N5114">
        <v>1</v>
      </c>
      <c r="O5114" s="89">
        <v>400363.11</v>
      </c>
      <c r="P5114" s="89">
        <v>3736722.36</v>
      </c>
      <c r="Q5114" t="s">
        <v>130</v>
      </c>
      <c r="R5114" t="s">
        <v>131</v>
      </c>
    </row>
    <row r="5115" spans="3:18" hidden="1" x14ac:dyDescent="0.25">
      <c r="C5115" t="s">
        <v>45</v>
      </c>
      <c r="D5115" t="s">
        <v>19</v>
      </c>
      <c r="E5115" t="s">
        <v>43</v>
      </c>
      <c r="F5115" t="s">
        <v>41</v>
      </c>
      <c r="G5115" s="89">
        <v>27509113</v>
      </c>
      <c r="H5115" t="s">
        <v>140</v>
      </c>
      <c r="I5115" t="s">
        <v>126</v>
      </c>
      <c r="J5115" s="89">
        <v>412636695</v>
      </c>
      <c r="K5115" t="s">
        <v>127</v>
      </c>
      <c r="L5115" t="s">
        <v>128</v>
      </c>
      <c r="N5115">
        <v>1</v>
      </c>
      <c r="O5115" s="89">
        <v>825273.39</v>
      </c>
      <c r="P5115" s="89">
        <v>7427460.5099999998</v>
      </c>
      <c r="Q5115" t="s">
        <v>130</v>
      </c>
      <c r="R5115" t="s">
        <v>131</v>
      </c>
    </row>
    <row r="5116" spans="3:18" x14ac:dyDescent="0.25">
      <c r="C5116" t="s">
        <v>47</v>
      </c>
      <c r="D5116" t="s">
        <v>20</v>
      </c>
      <c r="E5116" t="s">
        <v>40</v>
      </c>
      <c r="F5116" t="s">
        <v>41</v>
      </c>
      <c r="G5116" s="89">
        <v>34450</v>
      </c>
      <c r="H5116" t="s">
        <v>132</v>
      </c>
      <c r="I5116" t="s">
        <v>141</v>
      </c>
      <c r="J5116" s="89">
        <v>275600</v>
      </c>
      <c r="K5116" t="s">
        <v>127</v>
      </c>
      <c r="L5116" t="s">
        <v>128</v>
      </c>
      <c r="N5116">
        <v>1</v>
      </c>
      <c r="O5116" s="89">
        <v>1722.5</v>
      </c>
      <c r="P5116" s="89">
        <v>15158</v>
      </c>
      <c r="Q5116" t="s">
        <v>142</v>
      </c>
      <c r="R5116" t="s">
        <v>131</v>
      </c>
    </row>
    <row r="5117" spans="3:18" hidden="1" x14ac:dyDescent="0.25">
      <c r="C5117" t="s">
        <v>45</v>
      </c>
      <c r="D5117" t="s">
        <v>149</v>
      </c>
      <c r="E5117" t="s">
        <v>43</v>
      </c>
      <c r="F5117" t="s">
        <v>41</v>
      </c>
      <c r="G5117" s="89">
        <v>728846</v>
      </c>
      <c r="H5117" t="s">
        <v>140</v>
      </c>
      <c r="I5117" t="s">
        <v>133</v>
      </c>
      <c r="J5117" s="89">
        <v>22594226</v>
      </c>
      <c r="K5117" t="s">
        <v>144</v>
      </c>
      <c r="N5117">
        <v>1</v>
      </c>
      <c r="O5117" s="89">
        <v>21865.38</v>
      </c>
      <c r="P5117" s="89">
        <v>604942.18000000005</v>
      </c>
      <c r="Q5117" t="s">
        <v>135</v>
      </c>
      <c r="R5117" t="s">
        <v>131</v>
      </c>
    </row>
    <row r="5118" spans="3:18" hidden="1" x14ac:dyDescent="0.25">
      <c r="C5118" t="s">
        <v>45</v>
      </c>
      <c r="D5118" t="s">
        <v>24</v>
      </c>
      <c r="E5118" t="s">
        <v>44</v>
      </c>
      <c r="F5118" t="s">
        <v>41</v>
      </c>
      <c r="G5118" s="89">
        <v>280783</v>
      </c>
      <c r="H5118" t="s">
        <v>132</v>
      </c>
      <c r="I5118" t="s">
        <v>133</v>
      </c>
      <c r="J5118" s="89">
        <v>8142707</v>
      </c>
      <c r="K5118" t="s">
        <v>127</v>
      </c>
      <c r="L5118" t="s">
        <v>128</v>
      </c>
      <c r="N5118">
        <v>1</v>
      </c>
      <c r="O5118" s="89">
        <v>8423.49</v>
      </c>
      <c r="P5118" s="89">
        <v>151622.82</v>
      </c>
      <c r="Q5118" t="s">
        <v>142</v>
      </c>
      <c r="R5118" t="s">
        <v>131</v>
      </c>
    </row>
    <row r="5119" spans="3:18" hidden="1" x14ac:dyDescent="0.25">
      <c r="C5119" t="s">
        <v>45</v>
      </c>
      <c r="D5119" t="s">
        <v>24</v>
      </c>
      <c r="E5119" t="s">
        <v>46</v>
      </c>
      <c r="F5119" t="s">
        <v>41</v>
      </c>
      <c r="G5119" s="89">
        <v>204809</v>
      </c>
      <c r="H5119" t="s">
        <v>42</v>
      </c>
      <c r="I5119" t="s">
        <v>141</v>
      </c>
      <c r="J5119" s="89">
        <v>1638472</v>
      </c>
      <c r="K5119" t="s">
        <v>127</v>
      </c>
      <c r="L5119" t="s">
        <v>128</v>
      </c>
      <c r="M5119" t="s">
        <v>148</v>
      </c>
      <c r="N5119">
        <v>1</v>
      </c>
      <c r="O5119" s="89">
        <v>8192.36</v>
      </c>
      <c r="P5119" s="89">
        <v>67586.97</v>
      </c>
      <c r="Q5119" t="s">
        <v>130</v>
      </c>
      <c r="R5119" t="s">
        <v>42</v>
      </c>
    </row>
    <row r="5120" spans="3:18" hidden="1" x14ac:dyDescent="0.25">
      <c r="C5120" t="s">
        <v>45</v>
      </c>
      <c r="D5120" t="s">
        <v>22</v>
      </c>
      <c r="E5120" t="s">
        <v>40</v>
      </c>
      <c r="F5120" t="s">
        <v>41</v>
      </c>
      <c r="G5120" s="89">
        <v>46143012</v>
      </c>
      <c r="H5120" t="s">
        <v>140</v>
      </c>
      <c r="I5120" t="s">
        <v>133</v>
      </c>
      <c r="J5120" s="89">
        <v>1338147348</v>
      </c>
      <c r="K5120" t="s">
        <v>127</v>
      </c>
      <c r="L5120" t="s">
        <v>128</v>
      </c>
      <c r="N5120">
        <v>1</v>
      </c>
      <c r="O5120" s="89">
        <v>1384290.36</v>
      </c>
      <c r="P5120" s="89">
        <v>39682990.32</v>
      </c>
      <c r="Q5120" t="s">
        <v>135</v>
      </c>
      <c r="R5120" t="s">
        <v>131</v>
      </c>
    </row>
    <row r="5121" spans="3:18" hidden="1" x14ac:dyDescent="0.25">
      <c r="C5121" t="s">
        <v>45</v>
      </c>
      <c r="D5121" t="s">
        <v>19</v>
      </c>
      <c r="E5121" t="s">
        <v>43</v>
      </c>
      <c r="F5121" t="s">
        <v>41</v>
      </c>
      <c r="G5121" s="89">
        <v>83491</v>
      </c>
      <c r="H5121" t="s">
        <v>42</v>
      </c>
      <c r="I5121" t="s">
        <v>141</v>
      </c>
      <c r="J5121" s="89">
        <v>751419</v>
      </c>
      <c r="K5121" t="s">
        <v>127</v>
      </c>
      <c r="L5121" t="s">
        <v>128</v>
      </c>
      <c r="M5121" t="s">
        <v>143</v>
      </c>
      <c r="N5121">
        <v>1</v>
      </c>
      <c r="O5121" s="89">
        <v>2504.73</v>
      </c>
      <c r="P5121" s="89">
        <v>24212.39</v>
      </c>
      <c r="Q5121" t="s">
        <v>130</v>
      </c>
      <c r="R5121" t="s">
        <v>131</v>
      </c>
    </row>
    <row r="5122" spans="3:18" hidden="1" x14ac:dyDescent="0.25">
      <c r="C5122" t="s">
        <v>45</v>
      </c>
      <c r="D5122" t="s">
        <v>22</v>
      </c>
      <c r="E5122" t="s">
        <v>44</v>
      </c>
      <c r="F5122" t="s">
        <v>53</v>
      </c>
      <c r="G5122" s="89">
        <v>290864</v>
      </c>
      <c r="H5122" t="s">
        <v>42</v>
      </c>
      <c r="I5122" t="s">
        <v>126</v>
      </c>
      <c r="J5122" s="89">
        <v>5235552</v>
      </c>
      <c r="K5122" t="s">
        <v>144</v>
      </c>
      <c r="N5122">
        <v>1</v>
      </c>
      <c r="O5122" s="89">
        <v>8725.92</v>
      </c>
      <c r="P5122" s="89">
        <v>197787.51999999999</v>
      </c>
      <c r="Q5122" t="s">
        <v>137</v>
      </c>
      <c r="R5122" t="s">
        <v>42</v>
      </c>
    </row>
    <row r="5123" spans="3:18" hidden="1" x14ac:dyDescent="0.25">
      <c r="C5123" t="s">
        <v>45</v>
      </c>
      <c r="D5123" t="s">
        <v>149</v>
      </c>
      <c r="E5123" t="s">
        <v>43</v>
      </c>
      <c r="F5123" t="s">
        <v>41</v>
      </c>
      <c r="G5123" s="89">
        <v>209166</v>
      </c>
      <c r="H5123" t="s">
        <v>132</v>
      </c>
      <c r="I5123" t="s">
        <v>141</v>
      </c>
      <c r="J5123" s="89">
        <v>1464162</v>
      </c>
      <c r="K5123" t="s">
        <v>127</v>
      </c>
      <c r="L5123" t="s">
        <v>128</v>
      </c>
      <c r="N5123">
        <v>1</v>
      </c>
      <c r="O5123" s="89">
        <v>6274.98</v>
      </c>
      <c r="P5123" s="89">
        <v>60658.14</v>
      </c>
      <c r="Q5123" t="s">
        <v>130</v>
      </c>
      <c r="R5123" t="s">
        <v>131</v>
      </c>
    </row>
    <row r="5124" spans="3:18" hidden="1" x14ac:dyDescent="0.25">
      <c r="C5124" t="s">
        <v>45</v>
      </c>
      <c r="D5124" t="s">
        <v>25</v>
      </c>
      <c r="E5124" t="s">
        <v>48</v>
      </c>
      <c r="F5124" t="s">
        <v>41</v>
      </c>
      <c r="G5124" s="89">
        <v>23761</v>
      </c>
      <c r="H5124" t="s">
        <v>140</v>
      </c>
      <c r="I5124" t="s">
        <v>141</v>
      </c>
      <c r="J5124" s="89">
        <v>237610</v>
      </c>
      <c r="K5124" t="s">
        <v>127</v>
      </c>
      <c r="L5124" t="s">
        <v>128</v>
      </c>
      <c r="N5124">
        <v>1</v>
      </c>
      <c r="O5124" s="89">
        <v>475.22</v>
      </c>
      <c r="P5124" s="89">
        <v>10217.23</v>
      </c>
      <c r="Q5124" t="s">
        <v>142</v>
      </c>
      <c r="R5124" t="s">
        <v>131</v>
      </c>
    </row>
    <row r="5125" spans="3:18" hidden="1" x14ac:dyDescent="0.25">
      <c r="C5125" t="s">
        <v>45</v>
      </c>
      <c r="D5125" t="s">
        <v>149</v>
      </c>
      <c r="E5125" t="s">
        <v>43</v>
      </c>
      <c r="F5125" t="s">
        <v>41</v>
      </c>
      <c r="G5125" s="89">
        <v>186885</v>
      </c>
      <c r="H5125" t="s">
        <v>42</v>
      </c>
      <c r="I5125" t="s">
        <v>126</v>
      </c>
      <c r="J5125" s="89">
        <v>2803275</v>
      </c>
      <c r="K5125" t="s">
        <v>127</v>
      </c>
      <c r="L5125" t="s">
        <v>128</v>
      </c>
      <c r="M5125" t="s">
        <v>152</v>
      </c>
      <c r="N5125">
        <v>1</v>
      </c>
      <c r="O5125" s="89">
        <v>7475.4</v>
      </c>
      <c r="P5125" s="89">
        <v>119606.39999999999</v>
      </c>
      <c r="Q5125" t="s">
        <v>137</v>
      </c>
      <c r="R5125" t="s">
        <v>131</v>
      </c>
    </row>
    <row r="5126" spans="3:18" hidden="1" x14ac:dyDescent="0.25">
      <c r="C5126" t="s">
        <v>45</v>
      </c>
      <c r="D5126" t="s">
        <v>149</v>
      </c>
      <c r="E5126" t="s">
        <v>40</v>
      </c>
      <c r="F5126" t="s">
        <v>41</v>
      </c>
      <c r="G5126" s="89">
        <v>38039</v>
      </c>
      <c r="H5126" t="s">
        <v>42</v>
      </c>
      <c r="I5126" t="s">
        <v>141</v>
      </c>
      <c r="J5126" s="89">
        <v>266273</v>
      </c>
      <c r="K5126" t="s">
        <v>127</v>
      </c>
      <c r="L5126" t="s">
        <v>128</v>
      </c>
      <c r="M5126" t="s">
        <v>136</v>
      </c>
      <c r="N5126">
        <v>1</v>
      </c>
      <c r="O5126" s="89">
        <v>1521.56</v>
      </c>
      <c r="P5126" s="89">
        <v>8368.58</v>
      </c>
      <c r="Q5126" t="s">
        <v>130</v>
      </c>
      <c r="R5126" t="s">
        <v>42</v>
      </c>
    </row>
    <row r="5127" spans="3:18" hidden="1" x14ac:dyDescent="0.25">
      <c r="C5127" t="s">
        <v>45</v>
      </c>
      <c r="D5127" t="s">
        <v>19</v>
      </c>
      <c r="E5127" t="s">
        <v>43</v>
      </c>
      <c r="F5127" t="s">
        <v>41</v>
      </c>
      <c r="G5127" s="89">
        <v>221800</v>
      </c>
      <c r="H5127" t="s">
        <v>146</v>
      </c>
      <c r="I5127" t="s">
        <v>147</v>
      </c>
      <c r="J5127" s="89">
        <v>0</v>
      </c>
      <c r="K5127" t="s">
        <v>127</v>
      </c>
      <c r="L5127" t="s">
        <v>128</v>
      </c>
      <c r="N5127">
        <v>1</v>
      </c>
      <c r="O5127" s="89">
        <v>13308</v>
      </c>
      <c r="P5127" s="89">
        <v>257288</v>
      </c>
      <c r="Q5127" t="s">
        <v>150</v>
      </c>
      <c r="R5127" t="s">
        <v>131</v>
      </c>
    </row>
    <row r="5128" spans="3:18" hidden="1" x14ac:dyDescent="0.25">
      <c r="C5128" t="s">
        <v>45</v>
      </c>
      <c r="D5128" t="s">
        <v>23</v>
      </c>
      <c r="E5128" t="s">
        <v>48</v>
      </c>
      <c r="F5128" t="s">
        <v>41</v>
      </c>
      <c r="G5128" s="89">
        <v>15877701</v>
      </c>
      <c r="H5128" t="s">
        <v>42</v>
      </c>
      <c r="I5128" t="s">
        <v>133</v>
      </c>
      <c r="J5128" s="89">
        <v>508086432</v>
      </c>
      <c r="K5128" t="s">
        <v>144</v>
      </c>
      <c r="N5128">
        <v>1</v>
      </c>
      <c r="O5128" s="89">
        <v>476331.03</v>
      </c>
      <c r="P5128" s="89">
        <v>8097627.5099999998</v>
      </c>
      <c r="Q5128" t="s">
        <v>142</v>
      </c>
      <c r="R5128" t="s">
        <v>42</v>
      </c>
    </row>
    <row r="5129" spans="3:18" hidden="1" x14ac:dyDescent="0.25">
      <c r="C5129" t="s">
        <v>45</v>
      </c>
      <c r="D5129" t="s">
        <v>19</v>
      </c>
      <c r="E5129" t="s">
        <v>43</v>
      </c>
      <c r="F5129" t="s">
        <v>41</v>
      </c>
      <c r="G5129" s="89">
        <v>12397482</v>
      </c>
      <c r="H5129" t="s">
        <v>145</v>
      </c>
      <c r="I5129" t="s">
        <v>133</v>
      </c>
      <c r="J5129" s="89">
        <v>334732014</v>
      </c>
      <c r="K5129" t="s">
        <v>127</v>
      </c>
      <c r="L5129" t="s">
        <v>128</v>
      </c>
      <c r="N5129">
        <v>1</v>
      </c>
      <c r="O5129" s="89">
        <v>371924.46</v>
      </c>
      <c r="P5129" s="89">
        <v>3471294.96</v>
      </c>
      <c r="Q5129" t="s">
        <v>130</v>
      </c>
      <c r="R5129" t="s">
        <v>131</v>
      </c>
    </row>
    <row r="5130" spans="3:18" hidden="1" x14ac:dyDescent="0.25">
      <c r="C5130" t="s">
        <v>39</v>
      </c>
      <c r="D5130" t="s">
        <v>138</v>
      </c>
      <c r="E5130" t="s">
        <v>43</v>
      </c>
      <c r="F5130" t="s">
        <v>41</v>
      </c>
      <c r="G5130" s="89">
        <v>81218</v>
      </c>
      <c r="H5130" t="s">
        <v>145</v>
      </c>
      <c r="I5130" t="s">
        <v>133</v>
      </c>
      <c r="J5130" s="89"/>
      <c r="N5130">
        <v>0</v>
      </c>
      <c r="O5130" s="89"/>
      <c r="P5130" s="89"/>
      <c r="R5130" t="s">
        <v>131</v>
      </c>
    </row>
    <row r="5131" spans="3:18" x14ac:dyDescent="0.25">
      <c r="C5131" t="s">
        <v>47</v>
      </c>
      <c r="D5131" t="s">
        <v>23</v>
      </c>
      <c r="E5131" t="s">
        <v>40</v>
      </c>
      <c r="F5131" t="s">
        <v>41</v>
      </c>
      <c r="G5131" s="89">
        <v>51692</v>
      </c>
      <c r="H5131" t="s">
        <v>140</v>
      </c>
      <c r="I5131" t="s">
        <v>141</v>
      </c>
      <c r="J5131" s="89">
        <v>465228</v>
      </c>
      <c r="K5131" t="s">
        <v>144</v>
      </c>
      <c r="N5131">
        <v>1</v>
      </c>
      <c r="O5131" s="89">
        <v>2067.6799999999998</v>
      </c>
      <c r="P5131" s="89">
        <v>37735.160000000003</v>
      </c>
      <c r="Q5131" t="s">
        <v>137</v>
      </c>
      <c r="R5131" t="s">
        <v>131</v>
      </c>
    </row>
    <row r="5132" spans="3:18" hidden="1" x14ac:dyDescent="0.25">
      <c r="C5132" t="s">
        <v>45</v>
      </c>
      <c r="D5132" t="s">
        <v>21</v>
      </c>
      <c r="E5132" t="s">
        <v>43</v>
      </c>
      <c r="F5132" t="s">
        <v>53</v>
      </c>
      <c r="G5132" s="89">
        <v>14768</v>
      </c>
      <c r="H5132" t="s">
        <v>145</v>
      </c>
      <c r="I5132" t="s">
        <v>141</v>
      </c>
      <c r="J5132" s="89">
        <v>73840</v>
      </c>
      <c r="K5132" t="s">
        <v>127</v>
      </c>
      <c r="L5132" t="s">
        <v>128</v>
      </c>
      <c r="N5132">
        <v>1</v>
      </c>
      <c r="O5132" s="89">
        <v>443.04</v>
      </c>
      <c r="P5132" s="89">
        <v>2805.92</v>
      </c>
      <c r="Q5132" t="s">
        <v>130</v>
      </c>
      <c r="R5132" t="s">
        <v>131</v>
      </c>
    </row>
    <row r="5133" spans="3:18" x14ac:dyDescent="0.25">
      <c r="C5133" t="s">
        <v>47</v>
      </c>
      <c r="D5133" t="s">
        <v>21</v>
      </c>
      <c r="E5133" t="s">
        <v>40</v>
      </c>
      <c r="F5133" t="s">
        <v>41</v>
      </c>
      <c r="G5133" s="89">
        <v>27435966</v>
      </c>
      <c r="H5133" t="s">
        <v>146</v>
      </c>
      <c r="I5133" t="s">
        <v>126</v>
      </c>
      <c r="J5133" s="89">
        <v>356667558</v>
      </c>
      <c r="K5133" t="s">
        <v>127</v>
      </c>
      <c r="L5133" t="s">
        <v>128</v>
      </c>
      <c r="N5133">
        <v>1</v>
      </c>
      <c r="O5133" s="89">
        <v>1097438.6399999999</v>
      </c>
      <c r="P5133" s="89">
        <v>14541061.98</v>
      </c>
      <c r="Q5133" t="s">
        <v>142</v>
      </c>
      <c r="R5133" t="s">
        <v>131</v>
      </c>
    </row>
    <row r="5134" spans="3:18" hidden="1" x14ac:dyDescent="0.25">
      <c r="C5134" t="s">
        <v>45</v>
      </c>
      <c r="D5134" t="s">
        <v>22</v>
      </c>
      <c r="E5134" t="s">
        <v>40</v>
      </c>
      <c r="F5134" t="s">
        <v>41</v>
      </c>
      <c r="G5134" s="89">
        <v>92175</v>
      </c>
      <c r="H5134" t="s">
        <v>42</v>
      </c>
      <c r="I5134" t="s">
        <v>133</v>
      </c>
      <c r="J5134" s="89">
        <v>3133950</v>
      </c>
      <c r="K5134" t="s">
        <v>127</v>
      </c>
      <c r="L5134" t="s">
        <v>128</v>
      </c>
      <c r="M5134" t="s">
        <v>139</v>
      </c>
      <c r="N5134">
        <v>1</v>
      </c>
      <c r="O5134" s="89">
        <v>2765.25</v>
      </c>
      <c r="P5134" s="89">
        <v>68209.5</v>
      </c>
      <c r="Q5134" t="s">
        <v>137</v>
      </c>
      <c r="R5134" t="s">
        <v>131</v>
      </c>
    </row>
    <row r="5135" spans="3:18" hidden="1" x14ac:dyDescent="0.25">
      <c r="C5135" t="s">
        <v>45</v>
      </c>
      <c r="D5135" t="s">
        <v>22</v>
      </c>
      <c r="E5135" t="s">
        <v>40</v>
      </c>
      <c r="F5135" t="s">
        <v>41</v>
      </c>
      <c r="G5135" s="89">
        <v>146484</v>
      </c>
      <c r="H5135" t="s">
        <v>146</v>
      </c>
      <c r="I5135" t="s">
        <v>126</v>
      </c>
      <c r="J5135" s="89">
        <v>2050776</v>
      </c>
      <c r="K5135" t="s">
        <v>144</v>
      </c>
      <c r="N5135">
        <v>1</v>
      </c>
      <c r="O5135" s="89">
        <v>4394.5200000000004</v>
      </c>
      <c r="P5135" s="89">
        <v>23437.439999999999</v>
      </c>
      <c r="Q5135" t="s">
        <v>130</v>
      </c>
      <c r="R5135" t="s">
        <v>131</v>
      </c>
    </row>
    <row r="5136" spans="3:18" hidden="1" x14ac:dyDescent="0.25">
      <c r="C5136" t="s">
        <v>45</v>
      </c>
      <c r="D5136" t="s">
        <v>138</v>
      </c>
      <c r="E5136" t="s">
        <v>43</v>
      </c>
      <c r="F5136" t="s">
        <v>41</v>
      </c>
      <c r="G5136" s="89">
        <v>692929</v>
      </c>
      <c r="H5136" t="s">
        <v>42</v>
      </c>
      <c r="I5136" t="s">
        <v>126</v>
      </c>
      <c r="J5136" s="89">
        <v>13165651</v>
      </c>
      <c r="K5136" t="s">
        <v>127</v>
      </c>
      <c r="L5136" t="s">
        <v>128</v>
      </c>
      <c r="M5136" t="s">
        <v>139</v>
      </c>
      <c r="N5136">
        <v>1</v>
      </c>
      <c r="O5136" s="89">
        <v>20787.87</v>
      </c>
      <c r="P5136" s="89">
        <v>561272.49</v>
      </c>
      <c r="Q5136" t="s">
        <v>135</v>
      </c>
      <c r="R5136" t="s">
        <v>131</v>
      </c>
    </row>
    <row r="5137" spans="3:18" hidden="1" x14ac:dyDescent="0.25">
      <c r="C5137" t="s">
        <v>45</v>
      </c>
      <c r="D5137" t="s">
        <v>21</v>
      </c>
      <c r="E5137" t="s">
        <v>40</v>
      </c>
      <c r="F5137" t="s">
        <v>41</v>
      </c>
      <c r="G5137" s="89">
        <v>46955</v>
      </c>
      <c r="H5137" t="s">
        <v>140</v>
      </c>
      <c r="I5137" t="s">
        <v>133</v>
      </c>
      <c r="J5137" s="89">
        <v>986055</v>
      </c>
      <c r="K5137" t="s">
        <v>134</v>
      </c>
      <c r="L5137" t="s">
        <v>128</v>
      </c>
      <c r="N5137">
        <v>1</v>
      </c>
      <c r="O5137" s="89">
        <v>1878.2</v>
      </c>
      <c r="P5137" s="89">
        <v>57285.1</v>
      </c>
      <c r="Q5137" t="s">
        <v>150</v>
      </c>
      <c r="R5137" t="s">
        <v>131</v>
      </c>
    </row>
    <row r="5138" spans="3:18" hidden="1" x14ac:dyDescent="0.25">
      <c r="C5138" t="s">
        <v>45</v>
      </c>
      <c r="D5138" t="s">
        <v>22</v>
      </c>
      <c r="E5138" t="s">
        <v>43</v>
      </c>
      <c r="F5138" t="s">
        <v>41</v>
      </c>
      <c r="G5138" s="89">
        <v>501518</v>
      </c>
      <c r="H5138" t="s">
        <v>146</v>
      </c>
      <c r="I5138" t="s">
        <v>141</v>
      </c>
      <c r="J5138" s="89">
        <v>4012144</v>
      </c>
      <c r="K5138" t="s">
        <v>127</v>
      </c>
      <c r="L5138" t="s">
        <v>128</v>
      </c>
      <c r="N5138">
        <v>1</v>
      </c>
      <c r="O5138" s="89">
        <v>20060.72</v>
      </c>
      <c r="P5138" s="89">
        <v>225683.1</v>
      </c>
      <c r="Q5138" t="s">
        <v>142</v>
      </c>
      <c r="R5138" t="s">
        <v>131</v>
      </c>
    </row>
    <row r="5139" spans="3:18" hidden="1" x14ac:dyDescent="0.25">
      <c r="C5139" t="s">
        <v>45</v>
      </c>
      <c r="D5139" t="s">
        <v>23</v>
      </c>
      <c r="E5139" t="s">
        <v>48</v>
      </c>
      <c r="F5139" t="s">
        <v>41</v>
      </c>
      <c r="G5139" s="89">
        <v>34853</v>
      </c>
      <c r="H5139" t="s">
        <v>132</v>
      </c>
      <c r="I5139" t="s">
        <v>126</v>
      </c>
      <c r="J5139" s="89">
        <v>487942</v>
      </c>
      <c r="K5139" t="s">
        <v>127</v>
      </c>
      <c r="L5139" t="s">
        <v>151</v>
      </c>
      <c r="N5139">
        <v>1</v>
      </c>
      <c r="O5139" s="89">
        <v>1394.12</v>
      </c>
      <c r="P5139" s="89">
        <v>10107.370000000001</v>
      </c>
      <c r="Q5139" t="s">
        <v>130</v>
      </c>
      <c r="R5139" t="s">
        <v>131</v>
      </c>
    </row>
    <row r="5140" spans="3:18" hidden="1" x14ac:dyDescent="0.25">
      <c r="C5140" t="s">
        <v>45</v>
      </c>
      <c r="D5140" t="s">
        <v>20</v>
      </c>
      <c r="E5140" t="s">
        <v>43</v>
      </c>
      <c r="F5140" t="s">
        <v>53</v>
      </c>
      <c r="G5140" s="89">
        <v>16346</v>
      </c>
      <c r="H5140" t="s">
        <v>140</v>
      </c>
      <c r="I5140" t="s">
        <v>147</v>
      </c>
      <c r="J5140" s="89">
        <v>81730</v>
      </c>
      <c r="K5140" t="s">
        <v>127</v>
      </c>
      <c r="L5140" t="s">
        <v>128</v>
      </c>
      <c r="N5140">
        <v>1</v>
      </c>
      <c r="O5140" s="89">
        <v>490.38</v>
      </c>
      <c r="P5140" s="89">
        <v>2124.98</v>
      </c>
      <c r="Q5140" t="s">
        <v>130</v>
      </c>
      <c r="R5140" t="s">
        <v>131</v>
      </c>
    </row>
    <row r="5141" spans="3:18" hidden="1" x14ac:dyDescent="0.25">
      <c r="C5141" t="s">
        <v>45</v>
      </c>
      <c r="D5141" t="s">
        <v>23</v>
      </c>
      <c r="E5141" t="s">
        <v>44</v>
      </c>
      <c r="F5141" t="s">
        <v>41</v>
      </c>
      <c r="G5141" s="89">
        <v>81800016</v>
      </c>
      <c r="H5141" t="s">
        <v>42</v>
      </c>
      <c r="I5141" t="s">
        <v>133</v>
      </c>
      <c r="J5141" s="89">
        <v>3026600592</v>
      </c>
      <c r="K5141" t="s">
        <v>144</v>
      </c>
      <c r="N5141">
        <v>1</v>
      </c>
      <c r="O5141" s="89">
        <v>2454000.48</v>
      </c>
      <c r="P5141" s="89">
        <v>73620014.400000006</v>
      </c>
      <c r="Q5141" t="s">
        <v>135</v>
      </c>
      <c r="R5141" t="s">
        <v>42</v>
      </c>
    </row>
    <row r="5142" spans="3:18" x14ac:dyDescent="0.25">
      <c r="C5142" t="s">
        <v>47</v>
      </c>
      <c r="D5142" t="s">
        <v>22</v>
      </c>
      <c r="E5142" t="s">
        <v>40</v>
      </c>
      <c r="F5142" t="s">
        <v>41</v>
      </c>
      <c r="G5142" s="89">
        <v>731161</v>
      </c>
      <c r="H5142" t="s">
        <v>140</v>
      </c>
      <c r="I5142" t="s">
        <v>153</v>
      </c>
      <c r="J5142" s="89"/>
      <c r="K5142" t="s">
        <v>127</v>
      </c>
      <c r="L5142" t="s">
        <v>128</v>
      </c>
      <c r="N5142">
        <v>0</v>
      </c>
      <c r="O5142" s="89">
        <v>29246.44</v>
      </c>
      <c r="P5142" s="89">
        <v>87739.32</v>
      </c>
      <c r="Q5142" t="s">
        <v>130</v>
      </c>
      <c r="R5142" t="s">
        <v>131</v>
      </c>
    </row>
    <row r="5143" spans="3:18" hidden="1" x14ac:dyDescent="0.25">
      <c r="C5143" t="s">
        <v>45</v>
      </c>
      <c r="D5143" t="s">
        <v>23</v>
      </c>
      <c r="E5143" t="s">
        <v>43</v>
      </c>
      <c r="F5143" t="s">
        <v>41</v>
      </c>
      <c r="G5143" s="89">
        <v>2349065</v>
      </c>
      <c r="H5143" t="s">
        <v>132</v>
      </c>
      <c r="I5143" t="s">
        <v>133</v>
      </c>
      <c r="J5143" s="89">
        <v>68122885</v>
      </c>
      <c r="K5143" t="s">
        <v>127</v>
      </c>
      <c r="L5143" t="s">
        <v>128</v>
      </c>
      <c r="N5143">
        <v>1</v>
      </c>
      <c r="O5143" s="89">
        <v>70471.95</v>
      </c>
      <c r="P5143" s="89">
        <v>1620854.85</v>
      </c>
      <c r="Q5143" t="s">
        <v>137</v>
      </c>
      <c r="R5143" t="s">
        <v>131</v>
      </c>
    </row>
    <row r="5144" spans="3:18" hidden="1" x14ac:dyDescent="0.25">
      <c r="C5144" t="s">
        <v>45</v>
      </c>
      <c r="D5144" t="s">
        <v>21</v>
      </c>
      <c r="E5144" t="s">
        <v>40</v>
      </c>
      <c r="F5144" t="s">
        <v>41</v>
      </c>
      <c r="G5144" s="89">
        <v>256537</v>
      </c>
      <c r="H5144" t="s">
        <v>145</v>
      </c>
      <c r="I5144" t="s">
        <v>133</v>
      </c>
      <c r="J5144" s="89">
        <v>8209184</v>
      </c>
      <c r="K5144" t="s">
        <v>144</v>
      </c>
      <c r="N5144">
        <v>1</v>
      </c>
      <c r="O5144" s="89">
        <v>7696.11</v>
      </c>
      <c r="P5144" s="89">
        <v>120572.39</v>
      </c>
      <c r="Q5144" t="s">
        <v>142</v>
      </c>
      <c r="R5144" t="s">
        <v>131</v>
      </c>
    </row>
    <row r="5145" spans="3:18" hidden="1" x14ac:dyDescent="0.25">
      <c r="C5145" t="s">
        <v>45</v>
      </c>
      <c r="D5145" t="s">
        <v>149</v>
      </c>
      <c r="E5145" t="s">
        <v>43</v>
      </c>
      <c r="F5145" t="s">
        <v>41</v>
      </c>
      <c r="G5145" s="89">
        <v>730297</v>
      </c>
      <c r="H5145" t="s">
        <v>42</v>
      </c>
      <c r="I5145" t="s">
        <v>133</v>
      </c>
      <c r="J5145" s="89">
        <v>21178613</v>
      </c>
      <c r="K5145" t="s">
        <v>127</v>
      </c>
      <c r="L5145" t="s">
        <v>128</v>
      </c>
      <c r="M5145" t="s">
        <v>143</v>
      </c>
      <c r="N5145">
        <v>1</v>
      </c>
      <c r="O5145" s="89">
        <v>21908.91</v>
      </c>
      <c r="P5145" s="89">
        <v>233695.04</v>
      </c>
      <c r="Q5145" t="s">
        <v>130</v>
      </c>
      <c r="R5145" t="s">
        <v>131</v>
      </c>
    </row>
    <row r="5146" spans="3:18" hidden="1" x14ac:dyDescent="0.25">
      <c r="C5146" t="s">
        <v>45</v>
      </c>
      <c r="D5146" t="s">
        <v>22</v>
      </c>
      <c r="E5146" t="s">
        <v>40</v>
      </c>
      <c r="F5146" t="s">
        <v>41</v>
      </c>
      <c r="G5146" s="89">
        <v>127354</v>
      </c>
      <c r="H5146" t="s">
        <v>140</v>
      </c>
      <c r="I5146" t="s">
        <v>147</v>
      </c>
      <c r="J5146" s="89">
        <v>254708</v>
      </c>
      <c r="K5146" t="s">
        <v>144</v>
      </c>
      <c r="N5146">
        <v>1</v>
      </c>
      <c r="O5146" s="89">
        <v>5094.16</v>
      </c>
      <c r="P5146" s="89">
        <v>50941.599999999999</v>
      </c>
      <c r="Q5146" t="s">
        <v>142</v>
      </c>
      <c r="R5146" t="s">
        <v>131</v>
      </c>
    </row>
    <row r="5147" spans="3:18" hidden="1" x14ac:dyDescent="0.25">
      <c r="C5147" t="s">
        <v>45</v>
      </c>
      <c r="D5147" t="s">
        <v>21</v>
      </c>
      <c r="E5147" t="s">
        <v>48</v>
      </c>
      <c r="F5147" t="s">
        <v>53</v>
      </c>
      <c r="G5147" s="89">
        <v>1366580</v>
      </c>
      <c r="H5147" t="s">
        <v>42</v>
      </c>
      <c r="I5147" t="s">
        <v>133</v>
      </c>
      <c r="J5147" s="89">
        <v>45097140</v>
      </c>
      <c r="K5147" t="s">
        <v>144</v>
      </c>
      <c r="N5147">
        <v>1</v>
      </c>
      <c r="O5147" s="89">
        <v>40997.4</v>
      </c>
      <c r="P5147" s="89">
        <v>970271.8</v>
      </c>
      <c r="Q5147" t="s">
        <v>137</v>
      </c>
      <c r="R5147" t="s">
        <v>42</v>
      </c>
    </row>
    <row r="5148" spans="3:18" hidden="1" x14ac:dyDescent="0.25">
      <c r="C5148" t="s">
        <v>45</v>
      </c>
      <c r="D5148" t="s">
        <v>20</v>
      </c>
      <c r="E5148" t="s">
        <v>43</v>
      </c>
      <c r="F5148" t="s">
        <v>41</v>
      </c>
      <c r="G5148" s="89">
        <v>3648545</v>
      </c>
      <c r="H5148" t="s">
        <v>146</v>
      </c>
      <c r="I5148" t="s">
        <v>133</v>
      </c>
      <c r="J5148" s="89">
        <v>109456350</v>
      </c>
      <c r="K5148" t="s">
        <v>127</v>
      </c>
      <c r="L5148" t="s">
        <v>128</v>
      </c>
      <c r="N5148">
        <v>1</v>
      </c>
      <c r="O5148" s="89">
        <v>109456.35</v>
      </c>
      <c r="P5148" s="89">
        <v>3101263.25</v>
      </c>
      <c r="Q5148" t="s">
        <v>135</v>
      </c>
      <c r="R5148" t="s">
        <v>131</v>
      </c>
    </row>
    <row r="5149" spans="3:18" x14ac:dyDescent="0.25">
      <c r="C5149" t="s">
        <v>47</v>
      </c>
      <c r="D5149" t="s">
        <v>22</v>
      </c>
      <c r="E5149" t="s">
        <v>40</v>
      </c>
      <c r="F5149" t="s">
        <v>41</v>
      </c>
      <c r="G5149" s="89">
        <v>18756</v>
      </c>
      <c r="H5149" t="s">
        <v>145</v>
      </c>
      <c r="I5149" t="s">
        <v>147</v>
      </c>
      <c r="J5149" s="89"/>
      <c r="K5149" t="s">
        <v>127</v>
      </c>
      <c r="L5149" t="s">
        <v>128</v>
      </c>
      <c r="N5149">
        <v>0</v>
      </c>
      <c r="O5149" s="89">
        <v>750.24</v>
      </c>
      <c r="P5149" s="89">
        <v>937.8</v>
      </c>
      <c r="Q5149" t="s">
        <v>130</v>
      </c>
      <c r="R5149" t="s">
        <v>131</v>
      </c>
    </row>
    <row r="5150" spans="3:18" hidden="1" x14ac:dyDescent="0.25">
      <c r="C5150" t="s">
        <v>45</v>
      </c>
      <c r="D5150" t="s">
        <v>22</v>
      </c>
      <c r="E5150" t="s">
        <v>40</v>
      </c>
      <c r="F5150" t="s">
        <v>41</v>
      </c>
      <c r="G5150" s="89">
        <v>22315</v>
      </c>
      <c r="H5150" t="s">
        <v>132</v>
      </c>
      <c r="I5150" t="s">
        <v>141</v>
      </c>
      <c r="J5150" s="89">
        <v>156205</v>
      </c>
      <c r="K5150" t="s">
        <v>144</v>
      </c>
      <c r="N5150">
        <v>1</v>
      </c>
      <c r="O5150" s="89">
        <v>669.45</v>
      </c>
      <c r="P5150" s="89">
        <v>18967.75</v>
      </c>
      <c r="Q5150" t="s">
        <v>135</v>
      </c>
      <c r="R5150" t="s">
        <v>131</v>
      </c>
    </row>
    <row r="5151" spans="3:18" x14ac:dyDescent="0.25">
      <c r="C5151" t="s">
        <v>47</v>
      </c>
      <c r="D5151" t="s">
        <v>21</v>
      </c>
      <c r="E5151" t="s">
        <v>40</v>
      </c>
      <c r="F5151" t="s">
        <v>41</v>
      </c>
      <c r="G5151" s="89">
        <v>376038</v>
      </c>
      <c r="H5151" t="s">
        <v>140</v>
      </c>
      <c r="I5151" t="s">
        <v>141</v>
      </c>
      <c r="J5151" s="89">
        <v>1880190</v>
      </c>
      <c r="K5151" t="s">
        <v>134</v>
      </c>
      <c r="L5151" t="s">
        <v>128</v>
      </c>
      <c r="N5151">
        <v>1</v>
      </c>
      <c r="O5151" s="89">
        <v>11281.14</v>
      </c>
      <c r="P5151" s="89">
        <v>71447.22</v>
      </c>
      <c r="Q5151" t="s">
        <v>130</v>
      </c>
      <c r="R5151" t="s">
        <v>131</v>
      </c>
    </row>
    <row r="5152" spans="3:18" hidden="1" x14ac:dyDescent="0.25">
      <c r="C5152" t="s">
        <v>45</v>
      </c>
      <c r="D5152" t="s">
        <v>22</v>
      </c>
      <c r="E5152" t="s">
        <v>43</v>
      </c>
      <c r="F5152" t="s">
        <v>41</v>
      </c>
      <c r="G5152" s="89">
        <v>17881088</v>
      </c>
      <c r="H5152" t="s">
        <v>140</v>
      </c>
      <c r="I5152" t="s">
        <v>126</v>
      </c>
      <c r="J5152" s="89">
        <v>268216320</v>
      </c>
      <c r="K5152" t="s">
        <v>127</v>
      </c>
      <c r="L5152" t="s">
        <v>128</v>
      </c>
      <c r="N5152">
        <v>1</v>
      </c>
      <c r="O5152" s="89">
        <v>536432.64000000001</v>
      </c>
      <c r="P5152" s="89">
        <v>4470272</v>
      </c>
      <c r="Q5152" t="s">
        <v>130</v>
      </c>
      <c r="R5152" t="s">
        <v>131</v>
      </c>
    </row>
    <row r="5153" spans="3:18" x14ac:dyDescent="0.25">
      <c r="C5153" t="s">
        <v>47</v>
      </c>
      <c r="D5153" t="s">
        <v>138</v>
      </c>
      <c r="E5153" t="s">
        <v>48</v>
      </c>
      <c r="F5153" t="s">
        <v>41</v>
      </c>
      <c r="G5153" s="89">
        <v>20494</v>
      </c>
      <c r="H5153" t="s">
        <v>42</v>
      </c>
      <c r="I5153" t="s">
        <v>141</v>
      </c>
      <c r="J5153" s="89">
        <v>163952</v>
      </c>
      <c r="K5153" t="s">
        <v>127</v>
      </c>
      <c r="L5153" t="s">
        <v>128</v>
      </c>
      <c r="M5153" t="s">
        <v>139</v>
      </c>
      <c r="N5153">
        <v>1</v>
      </c>
      <c r="O5153" s="89">
        <v>819.76</v>
      </c>
      <c r="P5153" s="89">
        <v>11271.7</v>
      </c>
      <c r="Q5153" t="s">
        <v>142</v>
      </c>
      <c r="R5153" t="s">
        <v>131</v>
      </c>
    </row>
    <row r="5154" spans="3:18" hidden="1" x14ac:dyDescent="0.25">
      <c r="C5154" t="s">
        <v>45</v>
      </c>
      <c r="D5154" t="s">
        <v>21</v>
      </c>
      <c r="E5154" t="s">
        <v>43</v>
      </c>
      <c r="F5154" t="s">
        <v>41</v>
      </c>
      <c r="G5154" s="89">
        <v>69497</v>
      </c>
      <c r="H5154" t="s">
        <v>42</v>
      </c>
      <c r="I5154" t="s">
        <v>141</v>
      </c>
      <c r="J5154" s="89">
        <v>555976</v>
      </c>
      <c r="K5154" t="s">
        <v>127</v>
      </c>
      <c r="L5154" t="s">
        <v>128</v>
      </c>
      <c r="M5154" t="s">
        <v>143</v>
      </c>
      <c r="N5154">
        <v>1</v>
      </c>
      <c r="O5154" s="89">
        <v>2084.91</v>
      </c>
      <c r="P5154" s="89">
        <v>13204.43</v>
      </c>
      <c r="Q5154" t="s">
        <v>130</v>
      </c>
      <c r="R5154" t="s">
        <v>131</v>
      </c>
    </row>
    <row r="5155" spans="3:18" x14ac:dyDescent="0.25">
      <c r="C5155" t="s">
        <v>47</v>
      </c>
      <c r="D5155" t="s">
        <v>21</v>
      </c>
      <c r="E5155" t="s">
        <v>48</v>
      </c>
      <c r="F5155" t="s">
        <v>41</v>
      </c>
      <c r="G5155" s="89">
        <v>36588</v>
      </c>
      <c r="H5155" t="s">
        <v>146</v>
      </c>
      <c r="I5155" t="s">
        <v>141</v>
      </c>
      <c r="J5155" s="89">
        <v>219528</v>
      </c>
      <c r="K5155" t="s">
        <v>127</v>
      </c>
      <c r="L5155" t="s">
        <v>128</v>
      </c>
      <c r="N5155">
        <v>1</v>
      </c>
      <c r="O5155" s="89">
        <v>1829.4</v>
      </c>
      <c r="P5155" s="89">
        <v>7683.48</v>
      </c>
      <c r="Q5155" t="s">
        <v>130</v>
      </c>
      <c r="R5155" t="s">
        <v>131</v>
      </c>
    </row>
    <row r="5156" spans="3:18" hidden="1" x14ac:dyDescent="0.25">
      <c r="C5156" t="s">
        <v>45</v>
      </c>
      <c r="D5156" t="s">
        <v>22</v>
      </c>
      <c r="E5156" t="s">
        <v>46</v>
      </c>
      <c r="F5156" t="s">
        <v>53</v>
      </c>
      <c r="G5156" s="89">
        <v>387316</v>
      </c>
      <c r="H5156" t="s">
        <v>42</v>
      </c>
      <c r="I5156" t="s">
        <v>133</v>
      </c>
      <c r="J5156" s="89">
        <v>13556060</v>
      </c>
      <c r="K5156" t="s">
        <v>144</v>
      </c>
      <c r="N5156">
        <v>1</v>
      </c>
      <c r="O5156" s="89">
        <v>11619.48</v>
      </c>
      <c r="P5156" s="89">
        <v>205277.48</v>
      </c>
      <c r="Q5156" t="s">
        <v>142</v>
      </c>
      <c r="R5156" t="s">
        <v>42</v>
      </c>
    </row>
    <row r="5157" spans="3:18" hidden="1" x14ac:dyDescent="0.25">
      <c r="C5157" t="s">
        <v>45</v>
      </c>
      <c r="D5157" t="s">
        <v>21</v>
      </c>
      <c r="E5157" t="s">
        <v>48</v>
      </c>
      <c r="F5157" t="s">
        <v>41</v>
      </c>
      <c r="G5157" s="89">
        <v>48641</v>
      </c>
      <c r="H5157" t="s">
        <v>42</v>
      </c>
      <c r="I5157" t="s">
        <v>141</v>
      </c>
      <c r="J5157" s="89">
        <v>486410</v>
      </c>
      <c r="K5157" t="s">
        <v>144</v>
      </c>
      <c r="N5157">
        <v>1</v>
      </c>
      <c r="O5157" s="89">
        <v>1459.23</v>
      </c>
      <c r="P5157" s="89">
        <v>17024.349999999999</v>
      </c>
      <c r="Q5157" t="s">
        <v>130</v>
      </c>
      <c r="R5157" t="s">
        <v>42</v>
      </c>
    </row>
    <row r="5158" spans="3:18" hidden="1" x14ac:dyDescent="0.25">
      <c r="C5158" t="s">
        <v>45</v>
      </c>
      <c r="D5158" t="s">
        <v>149</v>
      </c>
      <c r="E5158" t="s">
        <v>40</v>
      </c>
      <c r="F5158" t="s">
        <v>41</v>
      </c>
      <c r="G5158" s="89">
        <v>201467</v>
      </c>
      <c r="H5158" t="s">
        <v>42</v>
      </c>
      <c r="I5158" t="s">
        <v>133</v>
      </c>
      <c r="J5158" s="89">
        <v>7655746</v>
      </c>
      <c r="K5158" t="s">
        <v>134</v>
      </c>
      <c r="L5158" t="s">
        <v>128</v>
      </c>
      <c r="M5158" t="s">
        <v>136</v>
      </c>
      <c r="N5158">
        <v>1</v>
      </c>
      <c r="O5158" s="89">
        <v>6044.01</v>
      </c>
      <c r="P5158" s="89">
        <v>149085.57999999999</v>
      </c>
      <c r="Q5158" t="s">
        <v>137</v>
      </c>
      <c r="R5158" t="s">
        <v>42</v>
      </c>
    </row>
    <row r="5159" spans="3:18" hidden="1" x14ac:dyDescent="0.25">
      <c r="C5159" t="s">
        <v>45</v>
      </c>
      <c r="D5159" t="s">
        <v>138</v>
      </c>
      <c r="E5159" t="s">
        <v>40</v>
      </c>
      <c r="F5159" t="s">
        <v>41</v>
      </c>
      <c r="G5159" s="89">
        <v>3668406</v>
      </c>
      <c r="H5159" t="s">
        <v>42</v>
      </c>
      <c r="I5159" t="s">
        <v>133</v>
      </c>
      <c r="J5159" s="89">
        <v>106383774</v>
      </c>
      <c r="K5159" t="s">
        <v>127</v>
      </c>
      <c r="L5159" t="s">
        <v>128</v>
      </c>
      <c r="M5159" t="s">
        <v>139</v>
      </c>
      <c r="N5159">
        <v>1</v>
      </c>
      <c r="O5159" s="89">
        <v>110052.18</v>
      </c>
      <c r="P5159" s="89">
        <v>1027153.68</v>
      </c>
      <c r="Q5159" t="s">
        <v>130</v>
      </c>
      <c r="R5159" t="s">
        <v>131</v>
      </c>
    </row>
    <row r="5160" spans="3:18" hidden="1" x14ac:dyDescent="0.25">
      <c r="C5160" t="s">
        <v>45</v>
      </c>
      <c r="D5160" t="s">
        <v>138</v>
      </c>
      <c r="E5160" t="s">
        <v>43</v>
      </c>
      <c r="F5160" t="s">
        <v>41</v>
      </c>
      <c r="G5160" s="89">
        <v>300113</v>
      </c>
      <c r="H5160" t="s">
        <v>145</v>
      </c>
      <c r="I5160" t="s">
        <v>133</v>
      </c>
      <c r="J5160" s="89">
        <v>6902599</v>
      </c>
      <c r="K5160" t="s">
        <v>134</v>
      </c>
      <c r="L5160" t="s">
        <v>128</v>
      </c>
      <c r="N5160">
        <v>1</v>
      </c>
      <c r="O5160" s="89">
        <v>9003.39</v>
      </c>
      <c r="P5160" s="89">
        <v>204076.84</v>
      </c>
      <c r="Q5160" t="s">
        <v>137</v>
      </c>
      <c r="R5160" t="s">
        <v>131</v>
      </c>
    </row>
    <row r="5161" spans="3:18" hidden="1" x14ac:dyDescent="0.25">
      <c r="C5161" t="s">
        <v>45</v>
      </c>
      <c r="D5161" t="s">
        <v>22</v>
      </c>
      <c r="E5161" t="s">
        <v>52</v>
      </c>
      <c r="F5161" t="s">
        <v>41</v>
      </c>
      <c r="G5161" s="89">
        <v>1990809</v>
      </c>
      <c r="H5161" t="s">
        <v>42</v>
      </c>
      <c r="I5161" t="s">
        <v>133</v>
      </c>
      <c r="J5161" s="89">
        <v>63705888</v>
      </c>
      <c r="K5161" t="s">
        <v>127</v>
      </c>
      <c r="L5161" t="s">
        <v>128</v>
      </c>
      <c r="M5161" t="s">
        <v>143</v>
      </c>
      <c r="N5161">
        <v>1</v>
      </c>
      <c r="O5161" s="89">
        <v>79632.36</v>
      </c>
      <c r="P5161" s="89">
        <v>1433382.48</v>
      </c>
      <c r="Q5161" t="s">
        <v>137</v>
      </c>
      <c r="R5161" t="s">
        <v>42</v>
      </c>
    </row>
    <row r="5162" spans="3:18" x14ac:dyDescent="0.25">
      <c r="C5162" t="s">
        <v>47</v>
      </c>
      <c r="D5162" t="s">
        <v>23</v>
      </c>
      <c r="E5162" t="s">
        <v>40</v>
      </c>
      <c r="F5162" t="s">
        <v>41</v>
      </c>
      <c r="G5162" s="89">
        <v>183830</v>
      </c>
      <c r="H5162" t="s">
        <v>140</v>
      </c>
      <c r="I5162" t="s">
        <v>133</v>
      </c>
      <c r="J5162" s="89">
        <v>5331070</v>
      </c>
      <c r="K5162" t="s">
        <v>127</v>
      </c>
      <c r="L5162" t="s">
        <v>128</v>
      </c>
      <c r="N5162">
        <v>1</v>
      </c>
      <c r="O5162" s="89">
        <v>5514.9</v>
      </c>
      <c r="P5162" s="89">
        <v>49634.1</v>
      </c>
      <c r="Q5162" t="s">
        <v>130</v>
      </c>
      <c r="R5162" t="s">
        <v>131</v>
      </c>
    </row>
    <row r="5163" spans="3:18" hidden="1" x14ac:dyDescent="0.25">
      <c r="C5163" t="s">
        <v>45</v>
      </c>
      <c r="D5163" t="s">
        <v>20</v>
      </c>
      <c r="E5163" t="s">
        <v>43</v>
      </c>
      <c r="F5163" t="s">
        <v>41</v>
      </c>
      <c r="G5163" s="89">
        <v>6281039</v>
      </c>
      <c r="H5163" t="s">
        <v>42</v>
      </c>
      <c r="I5163" t="s">
        <v>133</v>
      </c>
      <c r="J5163" s="89">
        <v>207274287</v>
      </c>
      <c r="K5163" t="s">
        <v>144</v>
      </c>
      <c r="N5163">
        <v>1</v>
      </c>
      <c r="O5163" s="89">
        <v>188431.17</v>
      </c>
      <c r="P5163" s="89">
        <v>4396727.3</v>
      </c>
      <c r="Q5163" t="s">
        <v>137</v>
      </c>
      <c r="R5163" t="s">
        <v>131</v>
      </c>
    </row>
    <row r="5164" spans="3:18" hidden="1" x14ac:dyDescent="0.25">
      <c r="C5164" t="s">
        <v>45</v>
      </c>
      <c r="D5164" t="s">
        <v>23</v>
      </c>
      <c r="E5164" t="s">
        <v>48</v>
      </c>
      <c r="F5164" t="s">
        <v>41</v>
      </c>
      <c r="G5164" s="89">
        <v>6084276</v>
      </c>
      <c r="H5164" t="s">
        <v>42</v>
      </c>
      <c r="I5164" t="s">
        <v>133</v>
      </c>
      <c r="J5164" s="89">
        <v>206865384</v>
      </c>
      <c r="K5164" t="s">
        <v>144</v>
      </c>
      <c r="N5164">
        <v>1</v>
      </c>
      <c r="O5164" s="89">
        <v>182528.28</v>
      </c>
      <c r="P5164" s="89">
        <v>5110791.84</v>
      </c>
      <c r="Q5164" t="s">
        <v>135</v>
      </c>
      <c r="R5164" t="s">
        <v>131</v>
      </c>
    </row>
    <row r="5165" spans="3:18" hidden="1" x14ac:dyDescent="0.25">
      <c r="C5165" t="s">
        <v>45</v>
      </c>
      <c r="D5165" t="s">
        <v>21</v>
      </c>
      <c r="E5165" t="s">
        <v>43</v>
      </c>
      <c r="F5165" t="s">
        <v>53</v>
      </c>
      <c r="G5165" s="89">
        <v>1788795</v>
      </c>
      <c r="H5165" t="s">
        <v>42</v>
      </c>
      <c r="I5165" t="s">
        <v>133</v>
      </c>
      <c r="J5165" s="89">
        <v>59030235</v>
      </c>
      <c r="K5165" t="s">
        <v>144</v>
      </c>
      <c r="N5165">
        <v>1</v>
      </c>
      <c r="O5165" s="89">
        <v>53663.85</v>
      </c>
      <c r="P5165" s="89">
        <v>1484699.85</v>
      </c>
      <c r="Q5165" t="s">
        <v>135</v>
      </c>
      <c r="R5165" t="s">
        <v>42</v>
      </c>
    </row>
    <row r="5166" spans="3:18" hidden="1" x14ac:dyDescent="0.25">
      <c r="C5166" t="s">
        <v>45</v>
      </c>
      <c r="D5166" t="s">
        <v>24</v>
      </c>
      <c r="E5166" t="s">
        <v>48</v>
      </c>
      <c r="F5166" t="s">
        <v>41</v>
      </c>
      <c r="G5166" s="89">
        <v>10527054</v>
      </c>
      <c r="H5166" t="s">
        <v>140</v>
      </c>
      <c r="I5166" t="s">
        <v>133</v>
      </c>
      <c r="J5166" s="89">
        <v>326338674</v>
      </c>
      <c r="K5166" t="s">
        <v>144</v>
      </c>
      <c r="N5166">
        <v>1</v>
      </c>
      <c r="O5166" s="89">
        <v>315811.62</v>
      </c>
      <c r="P5166" s="89">
        <v>5263527</v>
      </c>
      <c r="Q5166" t="s">
        <v>142</v>
      </c>
      <c r="R5166" t="s">
        <v>131</v>
      </c>
    </row>
    <row r="5167" spans="3:18" x14ac:dyDescent="0.25">
      <c r="C5167" t="s">
        <v>47</v>
      </c>
      <c r="D5167" t="s">
        <v>22</v>
      </c>
      <c r="E5167" t="s">
        <v>40</v>
      </c>
      <c r="F5167" t="s">
        <v>41</v>
      </c>
      <c r="G5167" s="89">
        <v>41328</v>
      </c>
      <c r="H5167" t="s">
        <v>146</v>
      </c>
      <c r="I5167" t="s">
        <v>141</v>
      </c>
      <c r="J5167" s="89">
        <v>413280</v>
      </c>
      <c r="K5167" t="s">
        <v>144</v>
      </c>
      <c r="N5167">
        <v>1</v>
      </c>
      <c r="O5167" s="89">
        <v>1653.12</v>
      </c>
      <c r="P5167" s="89">
        <v>16117.92</v>
      </c>
      <c r="Q5167" t="s">
        <v>130</v>
      </c>
      <c r="R5167" t="s">
        <v>131</v>
      </c>
    </row>
    <row r="5168" spans="3:18" x14ac:dyDescent="0.25">
      <c r="C5168" t="s">
        <v>47</v>
      </c>
      <c r="D5168" t="s">
        <v>50</v>
      </c>
      <c r="E5168" t="s">
        <v>50</v>
      </c>
      <c r="F5168" t="s">
        <v>41</v>
      </c>
      <c r="G5168" s="89">
        <v>0</v>
      </c>
      <c r="H5168" t="s">
        <v>51</v>
      </c>
      <c r="I5168" t="s">
        <v>141</v>
      </c>
      <c r="J5168" s="89">
        <v>0</v>
      </c>
      <c r="K5168" t="s">
        <v>127</v>
      </c>
      <c r="N5168">
        <v>1</v>
      </c>
      <c r="O5168" s="89">
        <v>0</v>
      </c>
      <c r="P5168" s="89">
        <v>0</v>
      </c>
      <c r="Q5168" t="s">
        <v>150</v>
      </c>
    </row>
    <row r="5169" spans="3:18" x14ac:dyDescent="0.25">
      <c r="C5169" t="s">
        <v>47</v>
      </c>
      <c r="D5169" t="s">
        <v>21</v>
      </c>
      <c r="E5169" t="s">
        <v>40</v>
      </c>
      <c r="F5169" t="s">
        <v>41</v>
      </c>
      <c r="G5169" s="89">
        <v>92777</v>
      </c>
      <c r="H5169" t="s">
        <v>132</v>
      </c>
      <c r="I5169" t="s">
        <v>147</v>
      </c>
      <c r="J5169" s="89">
        <v>371108</v>
      </c>
      <c r="K5169" t="s">
        <v>127</v>
      </c>
      <c r="L5169" t="s">
        <v>128</v>
      </c>
      <c r="N5169">
        <v>1</v>
      </c>
      <c r="O5169" s="89">
        <v>5566.62</v>
      </c>
      <c r="P5169" s="89">
        <v>60305.05</v>
      </c>
      <c r="Q5169" t="s">
        <v>137</v>
      </c>
      <c r="R5169" t="s">
        <v>131</v>
      </c>
    </row>
    <row r="5170" spans="3:18" hidden="1" x14ac:dyDescent="0.25">
      <c r="C5170" t="s">
        <v>45</v>
      </c>
      <c r="D5170" t="s">
        <v>149</v>
      </c>
      <c r="E5170" t="s">
        <v>43</v>
      </c>
      <c r="F5170" t="s">
        <v>41</v>
      </c>
      <c r="G5170" s="89">
        <v>361396</v>
      </c>
      <c r="H5170" t="s">
        <v>145</v>
      </c>
      <c r="I5170" t="s">
        <v>133</v>
      </c>
      <c r="J5170" s="89">
        <v>11564672</v>
      </c>
      <c r="K5170" t="s">
        <v>144</v>
      </c>
      <c r="N5170">
        <v>1</v>
      </c>
      <c r="O5170" s="89">
        <v>7227.92</v>
      </c>
      <c r="P5170" s="89">
        <v>296344.71999999997</v>
      </c>
      <c r="Q5170" t="s">
        <v>135</v>
      </c>
      <c r="R5170" t="s">
        <v>131</v>
      </c>
    </row>
    <row r="5171" spans="3:18" hidden="1" x14ac:dyDescent="0.25">
      <c r="C5171" t="s">
        <v>45</v>
      </c>
      <c r="D5171" t="s">
        <v>23</v>
      </c>
      <c r="E5171" t="s">
        <v>48</v>
      </c>
      <c r="F5171" t="s">
        <v>41</v>
      </c>
      <c r="G5171" s="89">
        <v>1753884</v>
      </c>
      <c r="H5171" t="s">
        <v>42</v>
      </c>
      <c r="I5171" t="s">
        <v>141</v>
      </c>
      <c r="J5171" s="89">
        <v>12277188</v>
      </c>
      <c r="K5171" t="s">
        <v>127</v>
      </c>
      <c r="L5171" t="s">
        <v>128</v>
      </c>
      <c r="M5171" t="s">
        <v>152</v>
      </c>
      <c r="N5171">
        <v>1</v>
      </c>
      <c r="O5171" s="89">
        <v>70155.360000000001</v>
      </c>
      <c r="P5171" s="89">
        <v>420932.16</v>
      </c>
      <c r="Q5171" t="s">
        <v>130</v>
      </c>
      <c r="R5171" t="s">
        <v>131</v>
      </c>
    </row>
    <row r="5172" spans="3:18" hidden="1" x14ac:dyDescent="0.25">
      <c r="C5172" t="s">
        <v>45</v>
      </c>
      <c r="D5172" t="s">
        <v>19</v>
      </c>
      <c r="E5172" t="s">
        <v>43</v>
      </c>
      <c r="F5172" t="s">
        <v>41</v>
      </c>
      <c r="G5172" s="89">
        <v>65770</v>
      </c>
      <c r="H5172" t="s">
        <v>132</v>
      </c>
      <c r="I5172" t="s">
        <v>141</v>
      </c>
      <c r="J5172" s="89">
        <v>460390</v>
      </c>
      <c r="K5172" t="s">
        <v>127</v>
      </c>
      <c r="L5172" t="s">
        <v>128</v>
      </c>
      <c r="N5172">
        <v>1</v>
      </c>
      <c r="O5172" s="89">
        <v>1315.4</v>
      </c>
      <c r="P5172" s="89">
        <v>40119.699999999997</v>
      </c>
      <c r="Q5172" t="s">
        <v>137</v>
      </c>
      <c r="R5172" t="s">
        <v>131</v>
      </c>
    </row>
    <row r="5173" spans="3:18" hidden="1" x14ac:dyDescent="0.25">
      <c r="C5173" t="s">
        <v>45</v>
      </c>
      <c r="D5173" t="s">
        <v>24</v>
      </c>
      <c r="E5173" t="s">
        <v>40</v>
      </c>
      <c r="F5173" t="s">
        <v>41</v>
      </c>
      <c r="G5173" s="89">
        <v>665958</v>
      </c>
      <c r="H5173" t="s">
        <v>140</v>
      </c>
      <c r="I5173" t="s">
        <v>133</v>
      </c>
      <c r="J5173" s="89">
        <v>21976614</v>
      </c>
      <c r="K5173" t="s">
        <v>144</v>
      </c>
      <c r="N5173">
        <v>1</v>
      </c>
      <c r="O5173" s="89">
        <v>19978.740000000002</v>
      </c>
      <c r="P5173" s="89">
        <v>512787.66</v>
      </c>
      <c r="Q5173" t="s">
        <v>137</v>
      </c>
      <c r="R5173" t="s">
        <v>131</v>
      </c>
    </row>
    <row r="5174" spans="3:18" hidden="1" x14ac:dyDescent="0.25">
      <c r="C5174" t="s">
        <v>45</v>
      </c>
      <c r="D5174" t="s">
        <v>20</v>
      </c>
      <c r="E5174" t="s">
        <v>43</v>
      </c>
      <c r="F5174" t="s">
        <v>41</v>
      </c>
      <c r="G5174" s="89">
        <v>111260</v>
      </c>
      <c r="H5174" t="s">
        <v>140</v>
      </c>
      <c r="I5174" t="s">
        <v>126</v>
      </c>
      <c r="J5174" s="89">
        <v>2002680</v>
      </c>
      <c r="K5174" t="s">
        <v>144</v>
      </c>
      <c r="N5174">
        <v>1</v>
      </c>
      <c r="O5174" s="89">
        <v>3337.8</v>
      </c>
      <c r="P5174" s="89">
        <v>82332.399999999994</v>
      </c>
      <c r="Q5174" t="s">
        <v>137</v>
      </c>
      <c r="R5174" t="s">
        <v>131</v>
      </c>
    </row>
    <row r="5175" spans="3:18" hidden="1" x14ac:dyDescent="0.25">
      <c r="C5175" t="s">
        <v>45</v>
      </c>
      <c r="D5175" t="s">
        <v>149</v>
      </c>
      <c r="E5175" t="s">
        <v>43</v>
      </c>
      <c r="F5175" t="s">
        <v>41</v>
      </c>
      <c r="G5175" s="89">
        <v>84754</v>
      </c>
      <c r="H5175" t="s">
        <v>42</v>
      </c>
      <c r="I5175" t="s">
        <v>133</v>
      </c>
      <c r="J5175" s="89">
        <v>2457866</v>
      </c>
      <c r="K5175" t="s">
        <v>134</v>
      </c>
      <c r="L5175" t="s">
        <v>128</v>
      </c>
      <c r="M5175" t="s">
        <v>143</v>
      </c>
      <c r="N5175">
        <v>1</v>
      </c>
      <c r="O5175" s="89">
        <v>1695.08</v>
      </c>
      <c r="P5175" s="89">
        <v>24578.66</v>
      </c>
      <c r="Q5175" t="s">
        <v>130</v>
      </c>
      <c r="R5175" t="s">
        <v>131</v>
      </c>
    </row>
    <row r="5176" spans="3:18" hidden="1" x14ac:dyDescent="0.25">
      <c r="C5176" t="s">
        <v>45</v>
      </c>
      <c r="D5176" t="s">
        <v>24</v>
      </c>
      <c r="E5176" t="s">
        <v>40</v>
      </c>
      <c r="F5176" t="s">
        <v>41</v>
      </c>
      <c r="G5176" s="89">
        <v>261199</v>
      </c>
      <c r="H5176" t="s">
        <v>132</v>
      </c>
      <c r="I5176" t="s">
        <v>147</v>
      </c>
      <c r="J5176" s="89">
        <v>1044796</v>
      </c>
      <c r="K5176" t="s">
        <v>127</v>
      </c>
      <c r="L5176" t="s">
        <v>128</v>
      </c>
      <c r="N5176">
        <v>1</v>
      </c>
      <c r="O5176" s="89">
        <v>7835.97</v>
      </c>
      <c r="P5176" s="89">
        <v>41791.839999999997</v>
      </c>
      <c r="Q5176" t="s">
        <v>130</v>
      </c>
      <c r="R5176" t="s">
        <v>131</v>
      </c>
    </row>
    <row r="5177" spans="3:18" x14ac:dyDescent="0.25">
      <c r="C5177" t="s">
        <v>47</v>
      </c>
      <c r="D5177" t="s">
        <v>138</v>
      </c>
      <c r="E5177" t="s">
        <v>40</v>
      </c>
      <c r="F5177" t="s">
        <v>41</v>
      </c>
      <c r="G5177" s="89">
        <v>125185</v>
      </c>
      <c r="H5177" t="s">
        <v>140</v>
      </c>
      <c r="I5177" t="s">
        <v>126</v>
      </c>
      <c r="J5177" s="89">
        <v>1627405</v>
      </c>
      <c r="K5177" t="s">
        <v>127</v>
      </c>
      <c r="L5177" t="s">
        <v>128</v>
      </c>
      <c r="N5177">
        <v>1</v>
      </c>
      <c r="O5177" s="89">
        <v>7511.1</v>
      </c>
      <c r="P5177" s="89">
        <v>36303.65</v>
      </c>
      <c r="Q5177" t="s">
        <v>130</v>
      </c>
      <c r="R5177" t="s">
        <v>131</v>
      </c>
    </row>
    <row r="5178" spans="3:18" x14ac:dyDescent="0.25">
      <c r="C5178" t="s">
        <v>47</v>
      </c>
      <c r="D5178" t="s">
        <v>19</v>
      </c>
      <c r="E5178" t="s">
        <v>43</v>
      </c>
      <c r="F5178" t="s">
        <v>41</v>
      </c>
      <c r="G5178" s="89">
        <v>477129</v>
      </c>
      <c r="H5178" t="s">
        <v>154</v>
      </c>
      <c r="I5178" t="s">
        <v>147</v>
      </c>
      <c r="J5178" s="89">
        <v>954258</v>
      </c>
      <c r="K5178" t="s">
        <v>127</v>
      </c>
      <c r="L5178" t="s">
        <v>128</v>
      </c>
      <c r="N5178">
        <v>1</v>
      </c>
      <c r="O5178" s="89">
        <v>33399.03</v>
      </c>
      <c r="P5178" s="89">
        <v>0</v>
      </c>
      <c r="Q5178" t="s">
        <v>130</v>
      </c>
      <c r="R5178" t="s">
        <v>131</v>
      </c>
    </row>
    <row r="5179" spans="3:18" hidden="1" x14ac:dyDescent="0.25">
      <c r="C5179" t="s">
        <v>45</v>
      </c>
      <c r="D5179" t="s">
        <v>23</v>
      </c>
      <c r="E5179" t="s">
        <v>40</v>
      </c>
      <c r="F5179" t="s">
        <v>41</v>
      </c>
      <c r="G5179" s="89">
        <v>198824</v>
      </c>
      <c r="H5179" t="s">
        <v>42</v>
      </c>
      <c r="I5179" t="s">
        <v>133</v>
      </c>
      <c r="J5179" s="89">
        <v>6958840</v>
      </c>
      <c r="K5179" t="s">
        <v>134</v>
      </c>
      <c r="L5179" t="s">
        <v>151</v>
      </c>
      <c r="M5179" t="s">
        <v>156</v>
      </c>
      <c r="N5179">
        <v>1</v>
      </c>
      <c r="O5179" s="89">
        <v>5964.72</v>
      </c>
      <c r="P5179" s="89">
        <v>123270.88</v>
      </c>
      <c r="Q5179" t="s">
        <v>137</v>
      </c>
      <c r="R5179" t="s">
        <v>131</v>
      </c>
    </row>
    <row r="5180" spans="3:18" hidden="1" x14ac:dyDescent="0.25">
      <c r="C5180" t="s">
        <v>45</v>
      </c>
      <c r="D5180" t="s">
        <v>22</v>
      </c>
      <c r="E5180" t="s">
        <v>40</v>
      </c>
      <c r="F5180" t="s">
        <v>41</v>
      </c>
      <c r="G5180" s="89">
        <v>3943353</v>
      </c>
      <c r="H5180" t="s">
        <v>140</v>
      </c>
      <c r="I5180" t="s">
        <v>133</v>
      </c>
      <c r="J5180" s="89">
        <v>118300590</v>
      </c>
      <c r="K5180" t="s">
        <v>134</v>
      </c>
      <c r="L5180" t="s">
        <v>128</v>
      </c>
      <c r="N5180">
        <v>1</v>
      </c>
      <c r="O5180" s="89">
        <v>118300.59</v>
      </c>
      <c r="P5180" s="89">
        <v>2011110.03</v>
      </c>
      <c r="Q5180" t="s">
        <v>142</v>
      </c>
      <c r="R5180" t="s">
        <v>131</v>
      </c>
    </row>
    <row r="5181" spans="3:18" hidden="1" x14ac:dyDescent="0.25">
      <c r="C5181" t="s">
        <v>45</v>
      </c>
      <c r="D5181" t="s">
        <v>23</v>
      </c>
      <c r="E5181" t="s">
        <v>48</v>
      </c>
      <c r="F5181" t="s">
        <v>41</v>
      </c>
      <c r="G5181" s="89">
        <v>334592</v>
      </c>
      <c r="H5181" t="s">
        <v>42</v>
      </c>
      <c r="I5181" t="s">
        <v>126</v>
      </c>
      <c r="J5181" s="89">
        <v>6022656</v>
      </c>
      <c r="K5181" t="s">
        <v>127</v>
      </c>
      <c r="L5181" t="s">
        <v>128</v>
      </c>
      <c r="M5181" t="s">
        <v>152</v>
      </c>
      <c r="N5181">
        <v>1</v>
      </c>
      <c r="O5181" s="89">
        <v>13383.68</v>
      </c>
      <c r="P5181" s="89">
        <v>277711.35999999999</v>
      </c>
      <c r="Q5181" t="s">
        <v>135</v>
      </c>
      <c r="R5181" t="s">
        <v>131</v>
      </c>
    </row>
    <row r="5182" spans="3:18" x14ac:dyDescent="0.25">
      <c r="C5182" t="s">
        <v>47</v>
      </c>
      <c r="D5182" t="s">
        <v>24</v>
      </c>
      <c r="E5182" t="s">
        <v>48</v>
      </c>
      <c r="F5182" t="s">
        <v>41</v>
      </c>
      <c r="G5182" s="89">
        <v>10264</v>
      </c>
      <c r="H5182" t="s">
        <v>132</v>
      </c>
      <c r="I5182" t="s">
        <v>126</v>
      </c>
      <c r="J5182" s="89">
        <v>205280</v>
      </c>
      <c r="K5182" t="s">
        <v>127</v>
      </c>
      <c r="L5182" t="s">
        <v>128</v>
      </c>
      <c r="N5182">
        <v>1</v>
      </c>
      <c r="O5182" s="89">
        <v>205.28</v>
      </c>
      <c r="P5182" s="89">
        <v>4926.72</v>
      </c>
      <c r="Q5182" t="s">
        <v>142</v>
      </c>
      <c r="R5182" t="s">
        <v>131</v>
      </c>
    </row>
    <row r="5183" spans="3:18" hidden="1" x14ac:dyDescent="0.25">
      <c r="C5183" t="s">
        <v>45</v>
      </c>
      <c r="D5183" t="s">
        <v>21</v>
      </c>
      <c r="E5183" t="s">
        <v>40</v>
      </c>
      <c r="F5183" t="s">
        <v>41</v>
      </c>
      <c r="G5183" s="89">
        <v>3520817</v>
      </c>
      <c r="H5183" t="s">
        <v>145</v>
      </c>
      <c r="I5183" t="s">
        <v>126</v>
      </c>
      <c r="J5183" s="89">
        <v>52812255</v>
      </c>
      <c r="K5183" t="s">
        <v>127</v>
      </c>
      <c r="L5183" t="s">
        <v>128</v>
      </c>
      <c r="N5183">
        <v>1</v>
      </c>
      <c r="O5183" s="89">
        <v>105624.51</v>
      </c>
      <c r="P5183" s="89">
        <v>1021036.93</v>
      </c>
      <c r="Q5183" t="s">
        <v>130</v>
      </c>
      <c r="R5183" t="s">
        <v>131</v>
      </c>
    </row>
    <row r="5184" spans="3:18" hidden="1" x14ac:dyDescent="0.25">
      <c r="C5184" t="s">
        <v>45</v>
      </c>
      <c r="D5184" t="s">
        <v>24</v>
      </c>
      <c r="E5184" t="s">
        <v>44</v>
      </c>
      <c r="F5184" t="s">
        <v>41</v>
      </c>
      <c r="G5184" s="89">
        <v>2110283</v>
      </c>
      <c r="H5184" t="s">
        <v>42</v>
      </c>
      <c r="I5184" t="s">
        <v>126</v>
      </c>
      <c r="J5184" s="89">
        <v>31654245</v>
      </c>
      <c r="K5184" t="s">
        <v>127</v>
      </c>
      <c r="L5184" t="s">
        <v>128</v>
      </c>
      <c r="M5184" t="s">
        <v>148</v>
      </c>
      <c r="N5184">
        <v>1</v>
      </c>
      <c r="O5184" s="89">
        <v>63308.49</v>
      </c>
      <c r="P5184" s="89">
        <v>1076244.33</v>
      </c>
      <c r="Q5184" t="s">
        <v>142</v>
      </c>
      <c r="R5184" t="s">
        <v>131</v>
      </c>
    </row>
    <row r="5185" spans="3:18" hidden="1" x14ac:dyDescent="0.25">
      <c r="C5185" t="s">
        <v>45</v>
      </c>
      <c r="D5185" t="s">
        <v>22</v>
      </c>
      <c r="E5185" t="s">
        <v>40</v>
      </c>
      <c r="F5185" t="s">
        <v>41</v>
      </c>
      <c r="G5185" s="89">
        <v>947734</v>
      </c>
      <c r="H5185" t="s">
        <v>146</v>
      </c>
      <c r="I5185" t="s">
        <v>133</v>
      </c>
      <c r="J5185" s="89">
        <v>27484286</v>
      </c>
      <c r="K5185" t="s">
        <v>134</v>
      </c>
      <c r="L5185" t="s">
        <v>128</v>
      </c>
      <c r="N5185">
        <v>1</v>
      </c>
      <c r="O5185" s="89">
        <v>28432.02</v>
      </c>
      <c r="P5185" s="89">
        <v>454912.32</v>
      </c>
      <c r="Q5185" t="s">
        <v>142</v>
      </c>
      <c r="R5185" t="s">
        <v>131</v>
      </c>
    </row>
    <row r="5186" spans="3:18" x14ac:dyDescent="0.25">
      <c r="C5186" t="s">
        <v>47</v>
      </c>
      <c r="D5186" t="s">
        <v>22</v>
      </c>
      <c r="E5186" t="s">
        <v>40</v>
      </c>
      <c r="F5186" t="s">
        <v>41</v>
      </c>
      <c r="G5186" s="89">
        <v>11430</v>
      </c>
      <c r="H5186" t="s">
        <v>140</v>
      </c>
      <c r="I5186" t="s">
        <v>133</v>
      </c>
      <c r="J5186" s="89">
        <v>377190</v>
      </c>
      <c r="K5186" t="s">
        <v>144</v>
      </c>
      <c r="N5186">
        <v>1</v>
      </c>
      <c r="O5186" s="89">
        <v>228.6</v>
      </c>
      <c r="P5186" s="89">
        <v>3657.6</v>
      </c>
      <c r="Q5186" t="s">
        <v>130</v>
      </c>
      <c r="R5186" t="s">
        <v>131</v>
      </c>
    </row>
    <row r="5187" spans="3:18" hidden="1" x14ac:dyDescent="0.25">
      <c r="C5187" t="s">
        <v>45</v>
      </c>
      <c r="D5187" t="s">
        <v>149</v>
      </c>
      <c r="E5187" t="s">
        <v>40</v>
      </c>
      <c r="F5187" t="s">
        <v>41</v>
      </c>
      <c r="G5187" s="89">
        <v>1285987</v>
      </c>
      <c r="H5187" t="s">
        <v>42</v>
      </c>
      <c r="I5187" t="s">
        <v>133</v>
      </c>
      <c r="J5187" s="89">
        <v>39865597</v>
      </c>
      <c r="K5187" t="s">
        <v>127</v>
      </c>
      <c r="L5187" t="s">
        <v>128</v>
      </c>
      <c r="M5187" t="s">
        <v>136</v>
      </c>
      <c r="N5187">
        <v>1</v>
      </c>
      <c r="O5187" s="89">
        <v>38579.61</v>
      </c>
      <c r="P5187" s="89">
        <v>913050.77</v>
      </c>
      <c r="Q5187" t="s">
        <v>137</v>
      </c>
      <c r="R5187" t="s">
        <v>42</v>
      </c>
    </row>
    <row r="5188" spans="3:18" hidden="1" x14ac:dyDescent="0.25">
      <c r="C5188" t="s">
        <v>45</v>
      </c>
      <c r="D5188" t="s">
        <v>24</v>
      </c>
      <c r="E5188" t="s">
        <v>44</v>
      </c>
      <c r="F5188" t="s">
        <v>41</v>
      </c>
      <c r="G5188" s="89">
        <v>9233</v>
      </c>
      <c r="H5188" t="s">
        <v>145</v>
      </c>
      <c r="I5188" t="s">
        <v>147</v>
      </c>
      <c r="J5188" s="89">
        <v>46165</v>
      </c>
      <c r="K5188" t="s">
        <v>144</v>
      </c>
      <c r="N5188">
        <v>1</v>
      </c>
      <c r="O5188" s="89">
        <v>276.99</v>
      </c>
      <c r="P5188" s="89">
        <v>369.32</v>
      </c>
      <c r="Q5188" t="s">
        <v>130</v>
      </c>
      <c r="R5188" t="s">
        <v>131</v>
      </c>
    </row>
    <row r="5189" spans="3:18" hidden="1" x14ac:dyDescent="0.25">
      <c r="C5189" t="s">
        <v>45</v>
      </c>
      <c r="D5189" t="s">
        <v>19</v>
      </c>
      <c r="E5189" t="s">
        <v>43</v>
      </c>
      <c r="F5189" t="s">
        <v>41</v>
      </c>
      <c r="G5189" s="89">
        <v>646330</v>
      </c>
      <c r="H5189" t="s">
        <v>42</v>
      </c>
      <c r="I5189" t="s">
        <v>133</v>
      </c>
      <c r="J5189" s="89">
        <v>19389900</v>
      </c>
      <c r="K5189" t="s">
        <v>127</v>
      </c>
      <c r="L5189" t="s">
        <v>128</v>
      </c>
      <c r="M5189" t="s">
        <v>129</v>
      </c>
      <c r="N5189">
        <v>1</v>
      </c>
      <c r="O5189" s="89">
        <v>19389.900000000001</v>
      </c>
      <c r="P5189" s="89">
        <v>155119.20000000001</v>
      </c>
      <c r="Q5189" t="s">
        <v>130</v>
      </c>
      <c r="R5189" t="s">
        <v>131</v>
      </c>
    </row>
    <row r="5190" spans="3:18" hidden="1" x14ac:dyDescent="0.25">
      <c r="C5190" t="s">
        <v>45</v>
      </c>
      <c r="D5190" t="s">
        <v>21</v>
      </c>
      <c r="E5190" t="s">
        <v>43</v>
      </c>
      <c r="F5190" t="s">
        <v>41</v>
      </c>
      <c r="G5190" s="89">
        <v>4732073</v>
      </c>
      <c r="H5190" t="s">
        <v>140</v>
      </c>
      <c r="I5190" t="s">
        <v>126</v>
      </c>
      <c r="J5190" s="89">
        <v>75713168</v>
      </c>
      <c r="K5190" t="s">
        <v>144</v>
      </c>
      <c r="N5190">
        <v>1</v>
      </c>
      <c r="O5190" s="89">
        <v>141962.19</v>
      </c>
      <c r="P5190" s="89">
        <v>1230338.98</v>
      </c>
      <c r="Q5190" t="s">
        <v>130</v>
      </c>
      <c r="R5190" t="s">
        <v>131</v>
      </c>
    </row>
    <row r="5191" spans="3:18" hidden="1" x14ac:dyDescent="0.25">
      <c r="C5191" t="s">
        <v>45</v>
      </c>
      <c r="D5191" t="s">
        <v>138</v>
      </c>
      <c r="E5191" t="s">
        <v>40</v>
      </c>
      <c r="F5191" t="s">
        <v>41</v>
      </c>
      <c r="G5191" s="89">
        <v>133766</v>
      </c>
      <c r="H5191" t="s">
        <v>42</v>
      </c>
      <c r="I5191" t="s">
        <v>126</v>
      </c>
      <c r="J5191" s="89">
        <v>2675320</v>
      </c>
      <c r="K5191" t="s">
        <v>144</v>
      </c>
      <c r="N5191">
        <v>1</v>
      </c>
      <c r="O5191" s="89">
        <v>4012.98</v>
      </c>
      <c r="P5191" s="89">
        <v>105675.14</v>
      </c>
      <c r="Q5191" t="s">
        <v>137</v>
      </c>
      <c r="R5191" t="s">
        <v>42</v>
      </c>
    </row>
    <row r="5192" spans="3:18" hidden="1" x14ac:dyDescent="0.25">
      <c r="C5192" t="s">
        <v>45</v>
      </c>
      <c r="D5192" t="s">
        <v>138</v>
      </c>
      <c r="E5192" t="s">
        <v>43</v>
      </c>
      <c r="F5192" t="s">
        <v>41</v>
      </c>
      <c r="G5192" s="89">
        <v>87238</v>
      </c>
      <c r="H5192" t="s">
        <v>42</v>
      </c>
      <c r="I5192" t="s">
        <v>133</v>
      </c>
      <c r="J5192" s="89">
        <v>3140568</v>
      </c>
      <c r="K5192" t="s">
        <v>127</v>
      </c>
      <c r="L5192" t="s">
        <v>128</v>
      </c>
      <c r="M5192" t="s">
        <v>152</v>
      </c>
      <c r="N5192">
        <v>1</v>
      </c>
      <c r="O5192" s="89">
        <v>2617.14</v>
      </c>
      <c r="P5192" s="89">
        <v>71535.16</v>
      </c>
      <c r="Q5192" t="s">
        <v>135</v>
      </c>
      <c r="R5192" t="s">
        <v>131</v>
      </c>
    </row>
    <row r="5193" spans="3:18" hidden="1" x14ac:dyDescent="0.25">
      <c r="C5193" t="s">
        <v>45</v>
      </c>
      <c r="D5193" t="s">
        <v>19</v>
      </c>
      <c r="E5193" t="s">
        <v>43</v>
      </c>
      <c r="F5193" t="s">
        <v>41</v>
      </c>
      <c r="G5193" s="89">
        <v>4737307</v>
      </c>
      <c r="H5193" t="s">
        <v>140</v>
      </c>
      <c r="I5193" t="s">
        <v>147</v>
      </c>
      <c r="J5193" s="89">
        <v>14211921</v>
      </c>
      <c r="K5193" t="s">
        <v>127</v>
      </c>
      <c r="L5193" t="s">
        <v>128</v>
      </c>
      <c r="N5193">
        <v>1</v>
      </c>
      <c r="O5193" s="89">
        <v>142119.21</v>
      </c>
      <c r="P5193" s="89">
        <v>2226534.29</v>
      </c>
      <c r="Q5193" t="s">
        <v>142</v>
      </c>
      <c r="R5193" t="s">
        <v>131</v>
      </c>
    </row>
    <row r="5194" spans="3:18" hidden="1" x14ac:dyDescent="0.25">
      <c r="C5194" t="s">
        <v>45</v>
      </c>
      <c r="D5194" t="s">
        <v>25</v>
      </c>
      <c r="E5194" t="s">
        <v>44</v>
      </c>
      <c r="F5194" t="s">
        <v>41</v>
      </c>
      <c r="G5194" s="89">
        <v>33153</v>
      </c>
      <c r="H5194" t="s">
        <v>146</v>
      </c>
      <c r="I5194" t="s">
        <v>126</v>
      </c>
      <c r="J5194" s="89">
        <v>629907</v>
      </c>
      <c r="K5194" t="s">
        <v>144</v>
      </c>
      <c r="N5194">
        <v>1</v>
      </c>
      <c r="O5194" s="89">
        <v>994.59</v>
      </c>
      <c r="P5194" s="89">
        <v>27516.99</v>
      </c>
      <c r="Q5194" t="s">
        <v>135</v>
      </c>
      <c r="R5194" t="s">
        <v>131</v>
      </c>
    </row>
    <row r="5195" spans="3:18" hidden="1" x14ac:dyDescent="0.25">
      <c r="C5195" t="s">
        <v>45</v>
      </c>
      <c r="D5195" t="s">
        <v>138</v>
      </c>
      <c r="E5195" t="s">
        <v>43</v>
      </c>
      <c r="F5195" t="s">
        <v>41</v>
      </c>
      <c r="G5195" s="89">
        <v>31996</v>
      </c>
      <c r="H5195" t="s">
        <v>42</v>
      </c>
      <c r="I5195" t="s">
        <v>147</v>
      </c>
      <c r="J5195" s="89">
        <v>127984</v>
      </c>
      <c r="K5195" t="s">
        <v>127</v>
      </c>
      <c r="L5195" t="s">
        <v>128</v>
      </c>
      <c r="M5195" t="s">
        <v>139</v>
      </c>
      <c r="N5195">
        <v>1</v>
      </c>
      <c r="O5195" s="89">
        <v>1279.8399999999999</v>
      </c>
      <c r="P5195" s="89">
        <v>14398.2</v>
      </c>
      <c r="Q5195" t="s">
        <v>142</v>
      </c>
      <c r="R5195" t="s">
        <v>42</v>
      </c>
    </row>
    <row r="5196" spans="3:18" x14ac:dyDescent="0.25">
      <c r="C5196" t="s">
        <v>47</v>
      </c>
      <c r="D5196" t="s">
        <v>20</v>
      </c>
      <c r="E5196" t="s">
        <v>40</v>
      </c>
      <c r="F5196" t="s">
        <v>41</v>
      </c>
      <c r="G5196" s="89">
        <v>62189</v>
      </c>
      <c r="H5196" t="s">
        <v>42</v>
      </c>
      <c r="I5196" t="s">
        <v>126</v>
      </c>
      <c r="J5196" s="89">
        <v>870646</v>
      </c>
      <c r="K5196" t="s">
        <v>144</v>
      </c>
      <c r="N5196">
        <v>1</v>
      </c>
      <c r="O5196" s="89">
        <v>1865.67</v>
      </c>
      <c r="P5196" s="89">
        <v>48507.42</v>
      </c>
      <c r="Q5196" t="s">
        <v>137</v>
      </c>
      <c r="R5196" t="s">
        <v>131</v>
      </c>
    </row>
    <row r="5197" spans="3:18" hidden="1" x14ac:dyDescent="0.25">
      <c r="C5197" t="s">
        <v>45</v>
      </c>
      <c r="D5197" t="s">
        <v>22</v>
      </c>
      <c r="E5197" t="s">
        <v>48</v>
      </c>
      <c r="F5197" t="s">
        <v>41</v>
      </c>
      <c r="G5197" s="89">
        <v>2893655</v>
      </c>
      <c r="H5197" t="s">
        <v>42</v>
      </c>
      <c r="I5197" t="s">
        <v>126</v>
      </c>
      <c r="J5197" s="89">
        <v>43404825</v>
      </c>
      <c r="K5197" t="s">
        <v>127</v>
      </c>
      <c r="L5197" t="s">
        <v>128</v>
      </c>
      <c r="M5197" t="s">
        <v>143</v>
      </c>
      <c r="N5197">
        <v>1</v>
      </c>
      <c r="O5197" s="89">
        <v>115746.2</v>
      </c>
      <c r="P5197" s="89">
        <v>781286.85</v>
      </c>
      <c r="Q5197" t="s">
        <v>130</v>
      </c>
      <c r="R5197" t="s">
        <v>42</v>
      </c>
    </row>
    <row r="5198" spans="3:18" hidden="1" x14ac:dyDescent="0.25">
      <c r="C5198" t="s">
        <v>45</v>
      </c>
      <c r="D5198" t="s">
        <v>21</v>
      </c>
      <c r="E5198" t="s">
        <v>43</v>
      </c>
      <c r="F5198" t="s">
        <v>41</v>
      </c>
      <c r="G5198" s="89">
        <v>10275239</v>
      </c>
      <c r="H5198" t="s">
        <v>145</v>
      </c>
      <c r="I5198" t="s">
        <v>133</v>
      </c>
      <c r="J5198" s="89">
        <v>308257170</v>
      </c>
      <c r="K5198" t="s">
        <v>144</v>
      </c>
      <c r="N5198">
        <v>1</v>
      </c>
      <c r="O5198" s="89">
        <v>308257.17</v>
      </c>
      <c r="P5198" s="89">
        <v>7295419.6900000004</v>
      </c>
      <c r="Q5198" t="s">
        <v>137</v>
      </c>
      <c r="R5198" t="s">
        <v>131</v>
      </c>
    </row>
    <row r="5199" spans="3:18" hidden="1" x14ac:dyDescent="0.25">
      <c r="C5199" t="s">
        <v>45</v>
      </c>
      <c r="D5199" t="s">
        <v>19</v>
      </c>
      <c r="E5199" t="s">
        <v>43</v>
      </c>
      <c r="F5199" t="s">
        <v>41</v>
      </c>
      <c r="G5199" s="89">
        <v>40294</v>
      </c>
      <c r="H5199" t="s">
        <v>146</v>
      </c>
      <c r="I5199" t="s">
        <v>147</v>
      </c>
      <c r="J5199" s="89"/>
      <c r="K5199" t="s">
        <v>127</v>
      </c>
      <c r="L5199" t="s">
        <v>128</v>
      </c>
      <c r="N5199">
        <v>0</v>
      </c>
      <c r="O5199" s="89">
        <v>1208.82</v>
      </c>
      <c r="P5199" s="89">
        <v>402.94</v>
      </c>
      <c r="Q5199" t="s">
        <v>130</v>
      </c>
      <c r="R5199" t="s">
        <v>131</v>
      </c>
    </row>
    <row r="5200" spans="3:18" hidden="1" x14ac:dyDescent="0.25">
      <c r="C5200" t="s">
        <v>45</v>
      </c>
      <c r="D5200" t="s">
        <v>23</v>
      </c>
      <c r="E5200" t="s">
        <v>40</v>
      </c>
      <c r="F5200" t="s">
        <v>41</v>
      </c>
      <c r="G5200" s="89">
        <v>1685447</v>
      </c>
      <c r="H5200" t="s">
        <v>42</v>
      </c>
      <c r="I5200" t="s">
        <v>133</v>
      </c>
      <c r="J5200" s="89">
        <v>52248857</v>
      </c>
      <c r="K5200" t="s">
        <v>127</v>
      </c>
      <c r="L5200" t="s">
        <v>128</v>
      </c>
      <c r="M5200" t="s">
        <v>152</v>
      </c>
      <c r="N5200">
        <v>1</v>
      </c>
      <c r="O5200" s="89">
        <v>50563.41</v>
      </c>
      <c r="P5200" s="89">
        <v>2073099.81</v>
      </c>
      <c r="Q5200" t="s">
        <v>150</v>
      </c>
      <c r="R5200" t="s">
        <v>131</v>
      </c>
    </row>
    <row r="5201" spans="3:18" hidden="1" x14ac:dyDescent="0.25">
      <c r="C5201" t="s">
        <v>45</v>
      </c>
      <c r="D5201" t="s">
        <v>25</v>
      </c>
      <c r="E5201" t="s">
        <v>48</v>
      </c>
      <c r="F5201" t="s">
        <v>41</v>
      </c>
      <c r="G5201" s="89">
        <v>97771</v>
      </c>
      <c r="H5201" t="s">
        <v>140</v>
      </c>
      <c r="I5201" t="s">
        <v>133</v>
      </c>
      <c r="J5201" s="89">
        <v>2933130</v>
      </c>
      <c r="K5201" t="s">
        <v>134</v>
      </c>
      <c r="L5201" t="s">
        <v>128</v>
      </c>
      <c r="N5201">
        <v>1</v>
      </c>
      <c r="O5201" s="89">
        <v>2933.13</v>
      </c>
      <c r="P5201" s="89">
        <v>43996.95</v>
      </c>
      <c r="Q5201" t="s">
        <v>142</v>
      </c>
      <c r="R5201" t="s">
        <v>131</v>
      </c>
    </row>
    <row r="5202" spans="3:18" x14ac:dyDescent="0.25">
      <c r="C5202" t="s">
        <v>47</v>
      </c>
      <c r="D5202" t="s">
        <v>22</v>
      </c>
      <c r="E5202" t="s">
        <v>48</v>
      </c>
      <c r="F5202" t="s">
        <v>41</v>
      </c>
      <c r="G5202" s="89">
        <v>645</v>
      </c>
      <c r="H5202" t="s">
        <v>140</v>
      </c>
      <c r="I5202" t="s">
        <v>147</v>
      </c>
      <c r="J5202" s="89"/>
      <c r="K5202" t="s">
        <v>127</v>
      </c>
      <c r="L5202" t="s">
        <v>128</v>
      </c>
      <c r="N5202">
        <v>0</v>
      </c>
      <c r="O5202" s="89">
        <v>25.8</v>
      </c>
      <c r="P5202" s="89">
        <v>0</v>
      </c>
      <c r="Q5202" t="s">
        <v>130</v>
      </c>
      <c r="R5202" t="s">
        <v>131</v>
      </c>
    </row>
    <row r="5203" spans="3:18" hidden="1" x14ac:dyDescent="0.25">
      <c r="C5203" t="s">
        <v>45</v>
      </c>
      <c r="D5203" t="s">
        <v>22</v>
      </c>
      <c r="E5203" t="s">
        <v>46</v>
      </c>
      <c r="F5203" t="s">
        <v>53</v>
      </c>
      <c r="G5203" s="89">
        <v>30136</v>
      </c>
      <c r="H5203" t="s">
        <v>42</v>
      </c>
      <c r="I5203" t="s">
        <v>133</v>
      </c>
      <c r="J5203" s="89">
        <v>662992</v>
      </c>
      <c r="K5203" t="s">
        <v>144</v>
      </c>
      <c r="N5203">
        <v>1</v>
      </c>
      <c r="O5203" s="89">
        <v>904.08</v>
      </c>
      <c r="P5203" s="89">
        <v>23807.439999999999</v>
      </c>
      <c r="Q5203" t="s">
        <v>137</v>
      </c>
      <c r="R5203" t="s">
        <v>42</v>
      </c>
    </row>
    <row r="5204" spans="3:18" hidden="1" x14ac:dyDescent="0.25">
      <c r="C5204" t="s">
        <v>45</v>
      </c>
      <c r="D5204" t="s">
        <v>138</v>
      </c>
      <c r="E5204" t="s">
        <v>48</v>
      </c>
      <c r="F5204" t="s">
        <v>41</v>
      </c>
      <c r="G5204" s="89">
        <v>65927</v>
      </c>
      <c r="H5204" t="s">
        <v>42</v>
      </c>
      <c r="I5204" t="s">
        <v>126</v>
      </c>
      <c r="J5204" s="89">
        <v>1252613</v>
      </c>
      <c r="K5204" t="s">
        <v>127</v>
      </c>
      <c r="L5204" t="s">
        <v>128</v>
      </c>
      <c r="M5204" t="s">
        <v>139</v>
      </c>
      <c r="N5204">
        <v>1</v>
      </c>
      <c r="O5204" s="89">
        <v>1977.81</v>
      </c>
      <c r="P5204" s="89">
        <v>44171.09</v>
      </c>
      <c r="Q5204" t="s">
        <v>137</v>
      </c>
      <c r="R5204" t="s">
        <v>42</v>
      </c>
    </row>
    <row r="5205" spans="3:18" hidden="1" x14ac:dyDescent="0.25">
      <c r="C5205" t="s">
        <v>45</v>
      </c>
      <c r="D5205" t="s">
        <v>149</v>
      </c>
      <c r="E5205" t="s">
        <v>43</v>
      </c>
      <c r="F5205" t="s">
        <v>41</v>
      </c>
      <c r="G5205" s="89">
        <v>123032</v>
      </c>
      <c r="H5205" t="s">
        <v>42</v>
      </c>
      <c r="I5205" t="s">
        <v>126</v>
      </c>
      <c r="J5205" s="89">
        <v>1599416</v>
      </c>
      <c r="K5205" t="s">
        <v>144</v>
      </c>
      <c r="N5205">
        <v>1</v>
      </c>
      <c r="O5205" s="89">
        <v>3690.96</v>
      </c>
      <c r="P5205" s="89">
        <v>33218.639999999999</v>
      </c>
      <c r="Q5205" t="s">
        <v>130</v>
      </c>
      <c r="R5205" t="s">
        <v>131</v>
      </c>
    </row>
    <row r="5206" spans="3:18" hidden="1" x14ac:dyDescent="0.25">
      <c r="C5206" t="s">
        <v>45</v>
      </c>
      <c r="D5206" t="s">
        <v>21</v>
      </c>
      <c r="E5206" t="s">
        <v>43</v>
      </c>
      <c r="F5206" t="s">
        <v>41</v>
      </c>
      <c r="G5206" s="89">
        <v>6804017</v>
      </c>
      <c r="H5206" t="s">
        <v>146</v>
      </c>
      <c r="I5206" t="s">
        <v>141</v>
      </c>
      <c r="J5206" s="89">
        <v>54432136</v>
      </c>
      <c r="K5206" t="s">
        <v>127</v>
      </c>
      <c r="L5206" t="s">
        <v>128</v>
      </c>
      <c r="N5206">
        <v>1</v>
      </c>
      <c r="O5206" s="89">
        <v>272160.68</v>
      </c>
      <c r="P5206" s="89">
        <v>3197887.99</v>
      </c>
      <c r="Q5206" t="s">
        <v>142</v>
      </c>
      <c r="R5206" t="s">
        <v>131</v>
      </c>
    </row>
    <row r="5207" spans="3:18" hidden="1" x14ac:dyDescent="0.25">
      <c r="C5207" t="s">
        <v>45</v>
      </c>
      <c r="D5207" t="s">
        <v>23</v>
      </c>
      <c r="E5207" t="s">
        <v>44</v>
      </c>
      <c r="F5207" t="s">
        <v>41</v>
      </c>
      <c r="G5207" s="89">
        <v>686139</v>
      </c>
      <c r="H5207" t="s">
        <v>42</v>
      </c>
      <c r="I5207" t="s">
        <v>133</v>
      </c>
      <c r="J5207" s="89">
        <v>19898031</v>
      </c>
      <c r="K5207" t="s">
        <v>127</v>
      </c>
      <c r="L5207" t="s">
        <v>128</v>
      </c>
      <c r="M5207" t="s">
        <v>152</v>
      </c>
      <c r="N5207">
        <v>1</v>
      </c>
      <c r="O5207" s="89">
        <v>20584.169999999998</v>
      </c>
      <c r="P5207" s="89">
        <v>384237.84</v>
      </c>
      <c r="Q5207" t="s">
        <v>142</v>
      </c>
      <c r="R5207" t="s">
        <v>131</v>
      </c>
    </row>
    <row r="5208" spans="3:18" x14ac:dyDescent="0.25">
      <c r="C5208" t="s">
        <v>47</v>
      </c>
      <c r="D5208" t="s">
        <v>138</v>
      </c>
      <c r="E5208" t="s">
        <v>40</v>
      </c>
      <c r="F5208" t="s">
        <v>41</v>
      </c>
      <c r="G5208" s="89">
        <v>2007831</v>
      </c>
      <c r="H5208" t="s">
        <v>42</v>
      </c>
      <c r="I5208" t="s">
        <v>147</v>
      </c>
      <c r="J5208" s="89">
        <v>10039155</v>
      </c>
      <c r="K5208" t="s">
        <v>127</v>
      </c>
      <c r="L5208" t="s">
        <v>128</v>
      </c>
      <c r="M5208" t="s">
        <v>139</v>
      </c>
      <c r="N5208">
        <v>1</v>
      </c>
      <c r="O5208" s="89">
        <v>60234.93</v>
      </c>
      <c r="P5208" s="89">
        <v>1345246.77</v>
      </c>
      <c r="Q5208" t="s">
        <v>137</v>
      </c>
      <c r="R5208" t="s">
        <v>131</v>
      </c>
    </row>
    <row r="5209" spans="3:18" x14ac:dyDescent="0.25">
      <c r="C5209" t="s">
        <v>47</v>
      </c>
      <c r="D5209" t="s">
        <v>22</v>
      </c>
      <c r="E5209" t="s">
        <v>43</v>
      </c>
      <c r="F5209" t="s">
        <v>41</v>
      </c>
      <c r="G5209" s="89">
        <v>88612</v>
      </c>
      <c r="H5209" t="s">
        <v>42</v>
      </c>
      <c r="I5209" t="s">
        <v>126</v>
      </c>
      <c r="J5209" s="89">
        <v>1329180</v>
      </c>
      <c r="K5209" t="s">
        <v>144</v>
      </c>
      <c r="N5209">
        <v>1</v>
      </c>
      <c r="O5209" s="89">
        <v>3544.48</v>
      </c>
      <c r="P5209" s="89">
        <v>70003.48</v>
      </c>
      <c r="Q5209" t="s">
        <v>137</v>
      </c>
      <c r="R5209" t="s">
        <v>42</v>
      </c>
    </row>
    <row r="5210" spans="3:18" hidden="1" x14ac:dyDescent="0.25">
      <c r="C5210" t="s">
        <v>45</v>
      </c>
      <c r="D5210" t="s">
        <v>22</v>
      </c>
      <c r="E5210" t="s">
        <v>44</v>
      </c>
      <c r="F5210" t="s">
        <v>41</v>
      </c>
      <c r="G5210" s="89">
        <v>1059416</v>
      </c>
      <c r="H5210" t="s">
        <v>42</v>
      </c>
      <c r="I5210" t="s">
        <v>126</v>
      </c>
      <c r="J5210" s="89">
        <v>18010072</v>
      </c>
      <c r="K5210" t="s">
        <v>127</v>
      </c>
      <c r="L5210" t="s">
        <v>128</v>
      </c>
      <c r="M5210" t="s">
        <v>143</v>
      </c>
      <c r="N5210">
        <v>1</v>
      </c>
      <c r="O5210" s="89">
        <v>52970.8</v>
      </c>
      <c r="P5210" s="89">
        <v>699214.56</v>
      </c>
      <c r="Q5210" t="s">
        <v>137</v>
      </c>
      <c r="R5210" t="s">
        <v>42</v>
      </c>
    </row>
    <row r="5211" spans="3:18" x14ac:dyDescent="0.25">
      <c r="C5211" t="s">
        <v>47</v>
      </c>
      <c r="D5211" t="s">
        <v>21</v>
      </c>
      <c r="E5211" t="s">
        <v>48</v>
      </c>
      <c r="F5211" t="s">
        <v>41</v>
      </c>
      <c r="G5211" s="89">
        <v>406799</v>
      </c>
      <c r="H5211" t="s">
        <v>42</v>
      </c>
      <c r="I5211" t="s">
        <v>141</v>
      </c>
      <c r="J5211" s="89">
        <v>3254392</v>
      </c>
      <c r="K5211" t="s">
        <v>127</v>
      </c>
      <c r="L5211" t="s">
        <v>128</v>
      </c>
      <c r="M5211" t="s">
        <v>129</v>
      </c>
      <c r="N5211">
        <v>1</v>
      </c>
      <c r="O5211" s="89">
        <v>16271.96</v>
      </c>
      <c r="P5211" s="89">
        <v>109835.73</v>
      </c>
      <c r="Q5211" t="s">
        <v>130</v>
      </c>
      <c r="R5211" t="s">
        <v>131</v>
      </c>
    </row>
    <row r="5212" spans="3:18" hidden="1" x14ac:dyDescent="0.25">
      <c r="C5212" t="s">
        <v>45</v>
      </c>
      <c r="D5212" t="s">
        <v>23</v>
      </c>
      <c r="E5212" t="s">
        <v>43</v>
      </c>
      <c r="F5212" t="s">
        <v>41</v>
      </c>
      <c r="G5212" s="89">
        <v>31600</v>
      </c>
      <c r="H5212" t="s">
        <v>42</v>
      </c>
      <c r="I5212" t="s">
        <v>126</v>
      </c>
      <c r="J5212" s="89">
        <v>410800</v>
      </c>
      <c r="K5212" t="s">
        <v>127</v>
      </c>
      <c r="L5212" t="s">
        <v>128</v>
      </c>
      <c r="M5212" t="s">
        <v>129</v>
      </c>
      <c r="N5212">
        <v>1</v>
      </c>
      <c r="O5212" s="89">
        <v>1264</v>
      </c>
      <c r="P5212" s="89">
        <v>11692</v>
      </c>
      <c r="Q5212" t="s">
        <v>130</v>
      </c>
      <c r="R5212" t="s">
        <v>42</v>
      </c>
    </row>
    <row r="5213" spans="3:18" x14ac:dyDescent="0.25">
      <c r="C5213" t="s">
        <v>47</v>
      </c>
      <c r="D5213" t="s">
        <v>21</v>
      </c>
      <c r="E5213" t="s">
        <v>40</v>
      </c>
      <c r="F5213" t="s">
        <v>41</v>
      </c>
      <c r="G5213" s="89">
        <v>2003471</v>
      </c>
      <c r="H5213" t="s">
        <v>140</v>
      </c>
      <c r="I5213" t="s">
        <v>126</v>
      </c>
      <c r="J5213" s="89">
        <v>20034710</v>
      </c>
      <c r="K5213" t="s">
        <v>134</v>
      </c>
      <c r="L5213" t="s">
        <v>128</v>
      </c>
      <c r="N5213">
        <v>1</v>
      </c>
      <c r="O5213" s="89">
        <v>80138.84</v>
      </c>
      <c r="P5213" s="89">
        <v>180312.39</v>
      </c>
      <c r="Q5213" t="s">
        <v>130</v>
      </c>
      <c r="R5213" t="s">
        <v>131</v>
      </c>
    </row>
    <row r="5214" spans="3:18" hidden="1" x14ac:dyDescent="0.25">
      <c r="C5214" t="s">
        <v>45</v>
      </c>
      <c r="D5214" t="s">
        <v>21</v>
      </c>
      <c r="E5214" t="s">
        <v>43</v>
      </c>
      <c r="F5214" t="s">
        <v>41</v>
      </c>
      <c r="G5214" s="89">
        <v>22469</v>
      </c>
      <c r="H5214" t="s">
        <v>146</v>
      </c>
      <c r="I5214" t="s">
        <v>147</v>
      </c>
      <c r="J5214" s="89">
        <v>44938</v>
      </c>
      <c r="K5214" t="s">
        <v>127</v>
      </c>
      <c r="L5214" t="s">
        <v>151</v>
      </c>
      <c r="N5214">
        <v>1</v>
      </c>
      <c r="O5214" s="89">
        <v>674.07</v>
      </c>
      <c r="P5214" s="89">
        <v>1572.83</v>
      </c>
      <c r="Q5214" t="s">
        <v>130</v>
      </c>
      <c r="R5214" t="s">
        <v>131</v>
      </c>
    </row>
    <row r="5215" spans="3:18" hidden="1" x14ac:dyDescent="0.25">
      <c r="C5215" t="s">
        <v>45</v>
      </c>
      <c r="D5215" t="s">
        <v>23</v>
      </c>
      <c r="E5215" t="s">
        <v>48</v>
      </c>
      <c r="F5215" t="s">
        <v>41</v>
      </c>
      <c r="G5215" s="89">
        <v>2506</v>
      </c>
      <c r="H5215" t="s">
        <v>132</v>
      </c>
      <c r="I5215" t="s">
        <v>147</v>
      </c>
      <c r="J5215" s="89">
        <v>12530</v>
      </c>
      <c r="K5215" t="s">
        <v>127</v>
      </c>
      <c r="L5215" t="s">
        <v>128</v>
      </c>
      <c r="N5215">
        <v>1</v>
      </c>
      <c r="O5215" s="89">
        <v>150.36000000000001</v>
      </c>
      <c r="P5215" s="89">
        <v>1002.4</v>
      </c>
      <c r="Q5215" t="s">
        <v>142</v>
      </c>
      <c r="R5215" t="s">
        <v>131</v>
      </c>
    </row>
    <row r="5216" spans="3:18" hidden="1" x14ac:dyDescent="0.25">
      <c r="C5216" t="s">
        <v>45</v>
      </c>
      <c r="D5216" t="s">
        <v>138</v>
      </c>
      <c r="E5216" t="s">
        <v>43</v>
      </c>
      <c r="F5216" t="s">
        <v>41</v>
      </c>
      <c r="G5216" s="89">
        <v>890873</v>
      </c>
      <c r="H5216" t="s">
        <v>140</v>
      </c>
      <c r="I5216" t="s">
        <v>133</v>
      </c>
      <c r="J5216" s="89">
        <v>24944444</v>
      </c>
      <c r="K5216" t="s">
        <v>127</v>
      </c>
      <c r="L5216" t="s">
        <v>128</v>
      </c>
      <c r="N5216">
        <v>1</v>
      </c>
      <c r="O5216" s="89">
        <v>26726.19</v>
      </c>
      <c r="P5216" s="89">
        <v>1051230.1399999999</v>
      </c>
      <c r="Q5216" t="s">
        <v>150</v>
      </c>
      <c r="R5216" t="s">
        <v>131</v>
      </c>
    </row>
    <row r="5217" spans="3:18" hidden="1" x14ac:dyDescent="0.25">
      <c r="C5217" t="s">
        <v>45</v>
      </c>
      <c r="D5217" t="s">
        <v>24</v>
      </c>
      <c r="E5217" t="s">
        <v>40</v>
      </c>
      <c r="F5217" t="s">
        <v>41</v>
      </c>
      <c r="G5217" s="89">
        <v>124654</v>
      </c>
      <c r="H5217" t="s">
        <v>42</v>
      </c>
      <c r="I5217" t="s">
        <v>133</v>
      </c>
      <c r="J5217" s="89">
        <v>4487544</v>
      </c>
      <c r="K5217" t="s">
        <v>127</v>
      </c>
      <c r="L5217" t="s">
        <v>128</v>
      </c>
      <c r="M5217" t="s">
        <v>136</v>
      </c>
      <c r="N5217">
        <v>1</v>
      </c>
      <c r="O5217" s="89">
        <v>3739.62</v>
      </c>
      <c r="P5217" s="89">
        <v>100969.74</v>
      </c>
      <c r="Q5217" t="s">
        <v>135</v>
      </c>
      <c r="R5217" t="s">
        <v>42</v>
      </c>
    </row>
    <row r="5218" spans="3:18" hidden="1" x14ac:dyDescent="0.25">
      <c r="C5218" t="s">
        <v>45</v>
      </c>
      <c r="D5218" t="s">
        <v>21</v>
      </c>
      <c r="E5218" t="s">
        <v>43</v>
      </c>
      <c r="F5218" t="s">
        <v>53</v>
      </c>
      <c r="G5218" s="89">
        <v>217954</v>
      </c>
      <c r="H5218" t="s">
        <v>132</v>
      </c>
      <c r="I5218" t="s">
        <v>133</v>
      </c>
      <c r="J5218" s="89">
        <v>6102712</v>
      </c>
      <c r="K5218" t="s">
        <v>144</v>
      </c>
      <c r="N5218">
        <v>1</v>
      </c>
      <c r="O5218" s="89">
        <v>8718.16</v>
      </c>
      <c r="P5218" s="89">
        <v>102438.38</v>
      </c>
      <c r="Q5218" t="s">
        <v>142</v>
      </c>
      <c r="R5218" t="s">
        <v>131</v>
      </c>
    </row>
    <row r="5219" spans="3:18" hidden="1" x14ac:dyDescent="0.25">
      <c r="C5219" t="s">
        <v>45</v>
      </c>
      <c r="D5219" t="s">
        <v>24</v>
      </c>
      <c r="E5219" t="s">
        <v>46</v>
      </c>
      <c r="F5219" t="s">
        <v>41</v>
      </c>
      <c r="G5219" s="89">
        <v>2429094</v>
      </c>
      <c r="H5219" t="s">
        <v>42</v>
      </c>
      <c r="I5219" t="s">
        <v>133</v>
      </c>
      <c r="J5219" s="89">
        <v>70443726</v>
      </c>
      <c r="K5219" t="s">
        <v>127</v>
      </c>
      <c r="L5219" t="s">
        <v>128</v>
      </c>
      <c r="M5219" t="s">
        <v>148</v>
      </c>
      <c r="N5219">
        <v>1</v>
      </c>
      <c r="O5219" s="89">
        <v>97163.76</v>
      </c>
      <c r="P5219" s="89">
        <v>1287419.82</v>
      </c>
      <c r="Q5219" t="s">
        <v>142</v>
      </c>
      <c r="R5219" t="s">
        <v>42</v>
      </c>
    </row>
    <row r="5220" spans="3:18" hidden="1" x14ac:dyDescent="0.25">
      <c r="C5220" t="s">
        <v>45</v>
      </c>
      <c r="D5220" t="s">
        <v>24</v>
      </c>
      <c r="E5220" t="s">
        <v>48</v>
      </c>
      <c r="F5220" t="s">
        <v>41</v>
      </c>
      <c r="G5220" s="89">
        <v>4518883</v>
      </c>
      <c r="H5220" t="s">
        <v>145</v>
      </c>
      <c r="I5220" t="s">
        <v>141</v>
      </c>
      <c r="J5220" s="89">
        <v>31632181</v>
      </c>
      <c r="K5220" t="s">
        <v>127</v>
      </c>
      <c r="L5220" t="s">
        <v>128</v>
      </c>
      <c r="N5220">
        <v>1</v>
      </c>
      <c r="O5220" s="89">
        <v>135566.49</v>
      </c>
      <c r="P5220" s="89">
        <v>1129720.75</v>
      </c>
      <c r="Q5220" t="s">
        <v>130</v>
      </c>
      <c r="R5220" t="s">
        <v>131</v>
      </c>
    </row>
    <row r="5221" spans="3:18" x14ac:dyDescent="0.25">
      <c r="C5221" t="s">
        <v>47</v>
      </c>
      <c r="D5221" t="s">
        <v>23</v>
      </c>
      <c r="E5221" t="s">
        <v>40</v>
      </c>
      <c r="F5221" t="s">
        <v>41</v>
      </c>
      <c r="G5221" s="89">
        <v>4560</v>
      </c>
      <c r="H5221" t="s">
        <v>42</v>
      </c>
      <c r="I5221" t="s">
        <v>153</v>
      </c>
      <c r="J5221" s="89"/>
      <c r="K5221" t="s">
        <v>127</v>
      </c>
      <c r="L5221" t="s">
        <v>128</v>
      </c>
      <c r="M5221" t="s">
        <v>152</v>
      </c>
      <c r="N5221">
        <v>0</v>
      </c>
      <c r="O5221" s="89">
        <v>228</v>
      </c>
      <c r="P5221" s="89">
        <v>45.6</v>
      </c>
      <c r="Q5221" t="s">
        <v>130</v>
      </c>
      <c r="R5221" t="s">
        <v>131</v>
      </c>
    </row>
    <row r="5222" spans="3:18" hidden="1" x14ac:dyDescent="0.25">
      <c r="C5222" t="s">
        <v>45</v>
      </c>
      <c r="D5222" t="s">
        <v>138</v>
      </c>
      <c r="E5222" t="s">
        <v>44</v>
      </c>
      <c r="F5222" t="s">
        <v>41</v>
      </c>
      <c r="G5222" s="89">
        <v>65591</v>
      </c>
      <c r="H5222" t="s">
        <v>42</v>
      </c>
      <c r="I5222" t="s">
        <v>133</v>
      </c>
      <c r="J5222" s="89">
        <v>1902139</v>
      </c>
      <c r="K5222" t="s">
        <v>127</v>
      </c>
      <c r="L5222" t="s">
        <v>128</v>
      </c>
      <c r="M5222" t="s">
        <v>139</v>
      </c>
      <c r="N5222">
        <v>1</v>
      </c>
      <c r="O5222" s="89">
        <v>2623.64</v>
      </c>
      <c r="P5222" s="89">
        <v>56408.26</v>
      </c>
      <c r="Q5222" t="s">
        <v>135</v>
      </c>
      <c r="R5222" t="s">
        <v>42</v>
      </c>
    </row>
    <row r="5223" spans="3:18" hidden="1" x14ac:dyDescent="0.25">
      <c r="C5223" t="s">
        <v>45</v>
      </c>
      <c r="D5223" t="s">
        <v>21</v>
      </c>
      <c r="E5223" t="s">
        <v>43</v>
      </c>
      <c r="F5223" t="s">
        <v>41</v>
      </c>
      <c r="G5223" s="89">
        <v>5932450</v>
      </c>
      <c r="H5223" t="s">
        <v>42</v>
      </c>
      <c r="I5223" t="s">
        <v>147</v>
      </c>
      <c r="J5223" s="89">
        <v>17797350</v>
      </c>
      <c r="K5223" t="s">
        <v>127</v>
      </c>
      <c r="L5223" t="s">
        <v>128</v>
      </c>
      <c r="M5223" t="s">
        <v>129</v>
      </c>
      <c r="N5223">
        <v>1</v>
      </c>
      <c r="O5223" s="89">
        <v>177973.5</v>
      </c>
      <c r="P5223" s="89">
        <v>830543</v>
      </c>
      <c r="Q5223" t="s">
        <v>130</v>
      </c>
      <c r="R5223" t="s">
        <v>131</v>
      </c>
    </row>
    <row r="5224" spans="3:18" hidden="1" x14ac:dyDescent="0.25">
      <c r="C5224" t="s">
        <v>45</v>
      </c>
      <c r="D5224" t="s">
        <v>22</v>
      </c>
      <c r="E5224" t="s">
        <v>43</v>
      </c>
      <c r="F5224" t="s">
        <v>41</v>
      </c>
      <c r="G5224" s="89">
        <v>121627</v>
      </c>
      <c r="H5224" t="s">
        <v>132</v>
      </c>
      <c r="I5224" t="s">
        <v>126</v>
      </c>
      <c r="J5224" s="89">
        <v>1581151</v>
      </c>
      <c r="K5224" t="s">
        <v>144</v>
      </c>
      <c r="N5224">
        <v>1</v>
      </c>
      <c r="O5224" s="89">
        <v>3648.81</v>
      </c>
      <c r="P5224" s="89">
        <v>30406.75</v>
      </c>
      <c r="Q5224" t="s">
        <v>130</v>
      </c>
      <c r="R5224" t="s">
        <v>131</v>
      </c>
    </row>
    <row r="5225" spans="3:18" hidden="1" x14ac:dyDescent="0.25">
      <c r="C5225" t="s">
        <v>45</v>
      </c>
      <c r="D5225" t="s">
        <v>22</v>
      </c>
      <c r="E5225" t="s">
        <v>48</v>
      </c>
      <c r="F5225" t="s">
        <v>41</v>
      </c>
      <c r="G5225" s="89">
        <v>68878</v>
      </c>
      <c r="H5225" t="s">
        <v>42</v>
      </c>
      <c r="I5225" t="s">
        <v>126</v>
      </c>
      <c r="J5225" s="89">
        <v>964292</v>
      </c>
      <c r="K5225" t="s">
        <v>144</v>
      </c>
      <c r="N5225">
        <v>1</v>
      </c>
      <c r="O5225" s="89">
        <v>1377.56</v>
      </c>
      <c r="P5225" s="89">
        <v>57857.52</v>
      </c>
      <c r="Q5225" t="s">
        <v>135</v>
      </c>
      <c r="R5225" t="s">
        <v>131</v>
      </c>
    </row>
    <row r="5226" spans="3:18" hidden="1" x14ac:dyDescent="0.25">
      <c r="C5226" t="s">
        <v>45</v>
      </c>
      <c r="D5226" t="s">
        <v>149</v>
      </c>
      <c r="E5226" t="s">
        <v>40</v>
      </c>
      <c r="F5226" t="s">
        <v>41</v>
      </c>
      <c r="G5226" s="89">
        <v>72847</v>
      </c>
      <c r="H5226" t="s">
        <v>42</v>
      </c>
      <c r="I5226" t="s">
        <v>133</v>
      </c>
      <c r="J5226" s="89">
        <v>2258257</v>
      </c>
      <c r="K5226" t="s">
        <v>127</v>
      </c>
      <c r="L5226" t="s">
        <v>128</v>
      </c>
      <c r="M5226" t="s">
        <v>136</v>
      </c>
      <c r="N5226">
        <v>1</v>
      </c>
      <c r="O5226" s="89">
        <v>2185.41</v>
      </c>
      <c r="P5226" s="89">
        <v>39337.379999999997</v>
      </c>
      <c r="Q5226" t="s">
        <v>142</v>
      </c>
      <c r="R5226" t="s">
        <v>42</v>
      </c>
    </row>
    <row r="5227" spans="3:18" hidden="1" x14ac:dyDescent="0.25">
      <c r="C5227" t="s">
        <v>45</v>
      </c>
      <c r="D5227" t="s">
        <v>22</v>
      </c>
      <c r="E5227" t="s">
        <v>48</v>
      </c>
      <c r="F5227" t="s">
        <v>41</v>
      </c>
      <c r="G5227" s="89">
        <v>7389</v>
      </c>
      <c r="H5227" t="s">
        <v>42</v>
      </c>
      <c r="I5227" t="s">
        <v>147</v>
      </c>
      <c r="J5227" s="89">
        <v>14778</v>
      </c>
      <c r="K5227" t="s">
        <v>127</v>
      </c>
      <c r="L5227" t="s">
        <v>128</v>
      </c>
      <c r="M5227" t="s">
        <v>148</v>
      </c>
      <c r="N5227">
        <v>1</v>
      </c>
      <c r="O5227" s="89">
        <v>221.67</v>
      </c>
      <c r="P5227" s="89">
        <v>1108.3499999999999</v>
      </c>
      <c r="Q5227" t="s">
        <v>130</v>
      </c>
      <c r="R5227" t="s">
        <v>131</v>
      </c>
    </row>
    <row r="5228" spans="3:18" hidden="1" x14ac:dyDescent="0.25">
      <c r="C5228" t="s">
        <v>45</v>
      </c>
      <c r="D5228" t="s">
        <v>138</v>
      </c>
      <c r="E5228" t="s">
        <v>43</v>
      </c>
      <c r="F5228" t="s">
        <v>41</v>
      </c>
      <c r="G5228" s="89">
        <v>286841</v>
      </c>
      <c r="H5228" t="s">
        <v>42</v>
      </c>
      <c r="I5228" t="s">
        <v>126</v>
      </c>
      <c r="J5228" s="89">
        <v>4015774</v>
      </c>
      <c r="K5228" t="s">
        <v>134</v>
      </c>
      <c r="L5228" t="s">
        <v>128</v>
      </c>
      <c r="M5228" t="s">
        <v>139</v>
      </c>
      <c r="N5228">
        <v>1</v>
      </c>
      <c r="O5228" s="89">
        <v>8605.23</v>
      </c>
      <c r="P5228" s="89">
        <v>83183.89</v>
      </c>
      <c r="Q5228" t="s">
        <v>130</v>
      </c>
      <c r="R5228" t="s">
        <v>131</v>
      </c>
    </row>
    <row r="5229" spans="3:18" hidden="1" x14ac:dyDescent="0.25">
      <c r="C5229" t="s">
        <v>45</v>
      </c>
      <c r="D5229" t="s">
        <v>19</v>
      </c>
      <c r="E5229" t="s">
        <v>43</v>
      </c>
      <c r="F5229" t="s">
        <v>41</v>
      </c>
      <c r="G5229" s="89">
        <v>7154314</v>
      </c>
      <c r="H5229" t="s">
        <v>145</v>
      </c>
      <c r="I5229" t="s">
        <v>126</v>
      </c>
      <c r="J5229" s="89">
        <v>114469024</v>
      </c>
      <c r="K5229" t="s">
        <v>127</v>
      </c>
      <c r="L5229" t="s">
        <v>128</v>
      </c>
      <c r="N5229">
        <v>1</v>
      </c>
      <c r="O5229" s="89">
        <v>214629.42</v>
      </c>
      <c r="P5229" s="89">
        <v>3577157</v>
      </c>
      <c r="Q5229" t="s">
        <v>142</v>
      </c>
      <c r="R5229" t="s">
        <v>131</v>
      </c>
    </row>
    <row r="5230" spans="3:18" hidden="1" x14ac:dyDescent="0.25">
      <c r="C5230" t="s">
        <v>45</v>
      </c>
      <c r="D5230" t="s">
        <v>138</v>
      </c>
      <c r="E5230" t="s">
        <v>43</v>
      </c>
      <c r="F5230" t="s">
        <v>41</v>
      </c>
      <c r="G5230" s="89">
        <v>9058373</v>
      </c>
      <c r="H5230" t="s">
        <v>146</v>
      </c>
      <c r="I5230" t="s">
        <v>133</v>
      </c>
      <c r="J5230" s="89">
        <v>253634444</v>
      </c>
      <c r="K5230" t="s">
        <v>127</v>
      </c>
      <c r="L5230" t="s">
        <v>128</v>
      </c>
      <c r="N5230">
        <v>1</v>
      </c>
      <c r="O5230" s="89">
        <v>271751.19</v>
      </c>
      <c r="P5230" s="89">
        <v>6159693.6399999997</v>
      </c>
      <c r="Q5230" t="s">
        <v>137</v>
      </c>
      <c r="R5230" t="s">
        <v>131</v>
      </c>
    </row>
    <row r="5231" spans="3:18" x14ac:dyDescent="0.25">
      <c r="C5231" t="s">
        <v>47</v>
      </c>
      <c r="D5231" t="s">
        <v>23</v>
      </c>
      <c r="E5231" t="s">
        <v>40</v>
      </c>
      <c r="F5231" t="s">
        <v>41</v>
      </c>
      <c r="G5231" s="89">
        <v>1087998</v>
      </c>
      <c r="H5231" t="s">
        <v>42</v>
      </c>
      <c r="I5231" t="s">
        <v>141</v>
      </c>
      <c r="J5231" s="89">
        <v>7615986</v>
      </c>
      <c r="K5231" t="s">
        <v>127</v>
      </c>
      <c r="L5231" t="s">
        <v>128</v>
      </c>
      <c r="M5231" t="s">
        <v>152</v>
      </c>
      <c r="N5231">
        <v>1</v>
      </c>
      <c r="O5231" s="89">
        <v>54399.9</v>
      </c>
      <c r="P5231" s="89">
        <v>282879.48</v>
      </c>
      <c r="Q5231" t="s">
        <v>130</v>
      </c>
      <c r="R5231" t="s">
        <v>131</v>
      </c>
    </row>
    <row r="5232" spans="3:18" hidden="1" x14ac:dyDescent="0.25">
      <c r="C5232" t="s">
        <v>45</v>
      </c>
      <c r="D5232" t="s">
        <v>19</v>
      </c>
      <c r="E5232" t="s">
        <v>44</v>
      </c>
      <c r="F5232" t="s">
        <v>41</v>
      </c>
      <c r="G5232" s="89">
        <v>191180</v>
      </c>
      <c r="H5232" t="s">
        <v>42</v>
      </c>
      <c r="I5232" t="s">
        <v>133</v>
      </c>
      <c r="J5232" s="89">
        <v>5161860</v>
      </c>
      <c r="K5232" t="s">
        <v>127</v>
      </c>
      <c r="L5232" t="s">
        <v>128</v>
      </c>
      <c r="M5232" t="s">
        <v>136</v>
      </c>
      <c r="N5232">
        <v>1</v>
      </c>
      <c r="O5232" s="89">
        <v>5735.4</v>
      </c>
      <c r="P5232" s="89">
        <v>128090.6</v>
      </c>
      <c r="Q5232" t="s">
        <v>137</v>
      </c>
      <c r="R5232" t="s">
        <v>42</v>
      </c>
    </row>
    <row r="5233" spans="3:18" hidden="1" x14ac:dyDescent="0.25">
      <c r="C5233" t="s">
        <v>45</v>
      </c>
      <c r="D5233" t="s">
        <v>21</v>
      </c>
      <c r="E5233" t="s">
        <v>40</v>
      </c>
      <c r="F5233" t="s">
        <v>41</v>
      </c>
      <c r="G5233" s="89">
        <v>2560999</v>
      </c>
      <c r="H5233" t="s">
        <v>146</v>
      </c>
      <c r="I5233" t="s">
        <v>133</v>
      </c>
      <c r="J5233" s="89">
        <v>71707972</v>
      </c>
      <c r="K5233" t="s">
        <v>127</v>
      </c>
      <c r="L5233" t="s">
        <v>128</v>
      </c>
      <c r="N5233">
        <v>1</v>
      </c>
      <c r="O5233" s="89">
        <v>76829.97</v>
      </c>
      <c r="P5233" s="89">
        <v>2151239.16</v>
      </c>
      <c r="Q5233" t="s">
        <v>135</v>
      </c>
      <c r="R5233" t="s">
        <v>131</v>
      </c>
    </row>
    <row r="5234" spans="3:18" x14ac:dyDescent="0.25">
      <c r="C5234" t="s">
        <v>47</v>
      </c>
      <c r="D5234" t="s">
        <v>23</v>
      </c>
      <c r="E5234" t="s">
        <v>48</v>
      </c>
      <c r="F5234" t="s">
        <v>41</v>
      </c>
      <c r="G5234" s="89">
        <v>150100</v>
      </c>
      <c r="H5234" t="s">
        <v>146</v>
      </c>
      <c r="I5234" t="s">
        <v>153</v>
      </c>
      <c r="J5234" s="89"/>
      <c r="K5234" t="s">
        <v>127</v>
      </c>
      <c r="L5234" t="s">
        <v>128</v>
      </c>
      <c r="N5234">
        <v>0</v>
      </c>
      <c r="O5234" s="89">
        <v>6004</v>
      </c>
      <c r="P5234" s="89">
        <v>142595</v>
      </c>
      <c r="Q5234" t="s">
        <v>135</v>
      </c>
      <c r="R5234" t="s">
        <v>131</v>
      </c>
    </row>
    <row r="5235" spans="3:18" hidden="1" x14ac:dyDescent="0.25">
      <c r="C5235" t="s">
        <v>45</v>
      </c>
      <c r="D5235" t="s">
        <v>22</v>
      </c>
      <c r="E5235" t="s">
        <v>43</v>
      </c>
      <c r="F5235" t="s">
        <v>41</v>
      </c>
      <c r="G5235" s="89">
        <v>237702</v>
      </c>
      <c r="H5235" t="s">
        <v>42</v>
      </c>
      <c r="I5235" t="s">
        <v>126</v>
      </c>
      <c r="J5235" s="89">
        <v>4278636</v>
      </c>
      <c r="K5235" t="s">
        <v>127</v>
      </c>
      <c r="L5235" t="s">
        <v>128</v>
      </c>
      <c r="M5235" t="s">
        <v>143</v>
      </c>
      <c r="N5235">
        <v>1</v>
      </c>
      <c r="O5235" s="89">
        <v>7131.06</v>
      </c>
      <c r="P5235" s="89">
        <v>197292.66</v>
      </c>
      <c r="Q5235" t="s">
        <v>135</v>
      </c>
      <c r="R5235" t="s">
        <v>131</v>
      </c>
    </row>
    <row r="5236" spans="3:18" hidden="1" x14ac:dyDescent="0.25">
      <c r="C5236" t="s">
        <v>45</v>
      </c>
      <c r="D5236" t="s">
        <v>19</v>
      </c>
      <c r="E5236" t="s">
        <v>44</v>
      </c>
      <c r="F5236" t="s">
        <v>41</v>
      </c>
      <c r="G5236" s="89">
        <v>26019</v>
      </c>
      <c r="H5236" t="s">
        <v>42</v>
      </c>
      <c r="I5236" t="s">
        <v>126</v>
      </c>
      <c r="J5236" s="89">
        <v>286209</v>
      </c>
      <c r="K5236" t="s">
        <v>127</v>
      </c>
      <c r="L5236" t="s">
        <v>128</v>
      </c>
      <c r="M5236" t="s">
        <v>136</v>
      </c>
      <c r="N5236">
        <v>1</v>
      </c>
      <c r="O5236" s="89">
        <v>780.57</v>
      </c>
      <c r="P5236" s="89">
        <v>2601.9</v>
      </c>
      <c r="Q5236" t="s">
        <v>130</v>
      </c>
      <c r="R5236" t="s">
        <v>131</v>
      </c>
    </row>
    <row r="5237" spans="3:18" hidden="1" x14ac:dyDescent="0.25">
      <c r="C5237" t="s">
        <v>45</v>
      </c>
      <c r="D5237" t="s">
        <v>19</v>
      </c>
      <c r="E5237" t="s">
        <v>40</v>
      </c>
      <c r="F5237" t="s">
        <v>41</v>
      </c>
      <c r="G5237" s="89">
        <v>96907</v>
      </c>
      <c r="H5237" t="s">
        <v>42</v>
      </c>
      <c r="I5237" t="s">
        <v>126</v>
      </c>
      <c r="J5237" s="89">
        <v>1356698</v>
      </c>
      <c r="K5237" t="s">
        <v>144</v>
      </c>
      <c r="N5237">
        <v>1</v>
      </c>
      <c r="O5237" s="89">
        <v>1938.14</v>
      </c>
      <c r="P5237" s="89">
        <v>47484.43</v>
      </c>
      <c r="Q5237" t="s">
        <v>142</v>
      </c>
      <c r="R5237" t="s">
        <v>131</v>
      </c>
    </row>
    <row r="5238" spans="3:18" hidden="1" x14ac:dyDescent="0.25">
      <c r="C5238" t="s">
        <v>45</v>
      </c>
      <c r="D5238" t="s">
        <v>21</v>
      </c>
      <c r="E5238" t="s">
        <v>43</v>
      </c>
      <c r="F5238" t="s">
        <v>41</v>
      </c>
      <c r="G5238" s="89">
        <v>223081</v>
      </c>
      <c r="H5238" t="s">
        <v>132</v>
      </c>
      <c r="I5238" t="s">
        <v>126</v>
      </c>
      <c r="J5238" s="89">
        <v>3346215</v>
      </c>
      <c r="K5238" t="s">
        <v>127</v>
      </c>
      <c r="L5238" t="s">
        <v>151</v>
      </c>
      <c r="N5238">
        <v>1</v>
      </c>
      <c r="O5238" s="89">
        <v>8923.24</v>
      </c>
      <c r="P5238" s="89">
        <v>60231.87</v>
      </c>
      <c r="Q5238" t="s">
        <v>130</v>
      </c>
      <c r="R5238" t="s">
        <v>131</v>
      </c>
    </row>
    <row r="5239" spans="3:18" hidden="1" x14ac:dyDescent="0.25">
      <c r="C5239" t="s">
        <v>45</v>
      </c>
      <c r="D5239" t="s">
        <v>24</v>
      </c>
      <c r="E5239" t="s">
        <v>43</v>
      </c>
      <c r="F5239" t="s">
        <v>41</v>
      </c>
      <c r="G5239" s="89">
        <v>1926307</v>
      </c>
      <c r="H5239" t="s">
        <v>42</v>
      </c>
      <c r="I5239" t="s">
        <v>133</v>
      </c>
      <c r="J5239" s="89">
        <v>61641824</v>
      </c>
      <c r="K5239" t="s">
        <v>127</v>
      </c>
      <c r="L5239" t="s">
        <v>128</v>
      </c>
      <c r="M5239" t="s">
        <v>148</v>
      </c>
      <c r="N5239">
        <v>1</v>
      </c>
      <c r="O5239" s="89">
        <v>57789.21</v>
      </c>
      <c r="P5239" s="89">
        <v>1348414.9</v>
      </c>
      <c r="Q5239" t="s">
        <v>137</v>
      </c>
      <c r="R5239" t="s">
        <v>42</v>
      </c>
    </row>
    <row r="5240" spans="3:18" hidden="1" x14ac:dyDescent="0.25">
      <c r="C5240" t="s">
        <v>45</v>
      </c>
      <c r="D5240" t="s">
        <v>20</v>
      </c>
      <c r="E5240" t="s">
        <v>43</v>
      </c>
      <c r="F5240" t="s">
        <v>41</v>
      </c>
      <c r="G5240" s="89">
        <v>8522105</v>
      </c>
      <c r="H5240" t="s">
        <v>146</v>
      </c>
      <c r="I5240" t="s">
        <v>133</v>
      </c>
      <c r="J5240" s="89">
        <v>213052625</v>
      </c>
      <c r="K5240" t="s">
        <v>127</v>
      </c>
      <c r="L5240" t="s">
        <v>128</v>
      </c>
      <c r="N5240">
        <v>1</v>
      </c>
      <c r="O5240" s="89">
        <v>255663.15</v>
      </c>
      <c r="P5240" s="89">
        <v>2215747.2999999998</v>
      </c>
      <c r="Q5240" t="s">
        <v>130</v>
      </c>
      <c r="R5240" t="s">
        <v>131</v>
      </c>
    </row>
    <row r="5241" spans="3:18" x14ac:dyDescent="0.25">
      <c r="C5241" t="s">
        <v>47</v>
      </c>
      <c r="D5241" t="s">
        <v>22</v>
      </c>
      <c r="E5241" t="s">
        <v>43</v>
      </c>
      <c r="F5241" t="s">
        <v>41</v>
      </c>
      <c r="G5241" s="89">
        <v>311074</v>
      </c>
      <c r="H5241" t="s">
        <v>146</v>
      </c>
      <c r="I5241" t="s">
        <v>147</v>
      </c>
      <c r="J5241" s="89">
        <v>622148</v>
      </c>
      <c r="K5241" t="s">
        <v>127</v>
      </c>
      <c r="L5241" t="s">
        <v>128</v>
      </c>
      <c r="N5241">
        <v>1</v>
      </c>
      <c r="O5241" s="89">
        <v>12442.96</v>
      </c>
      <c r="P5241" s="89">
        <v>34218.14</v>
      </c>
      <c r="Q5241" t="s">
        <v>130</v>
      </c>
      <c r="R5241" t="s">
        <v>131</v>
      </c>
    </row>
    <row r="5242" spans="3:18" x14ac:dyDescent="0.25">
      <c r="C5242" t="s">
        <v>47</v>
      </c>
      <c r="D5242" t="s">
        <v>21</v>
      </c>
      <c r="E5242" t="s">
        <v>43</v>
      </c>
      <c r="F5242" t="s">
        <v>41</v>
      </c>
      <c r="G5242" s="89">
        <v>39624880</v>
      </c>
      <c r="H5242" t="s">
        <v>140</v>
      </c>
      <c r="I5242" t="s">
        <v>141</v>
      </c>
      <c r="J5242" s="89">
        <v>277374160</v>
      </c>
      <c r="K5242" t="s">
        <v>127</v>
      </c>
      <c r="L5242" t="s">
        <v>128</v>
      </c>
      <c r="N5242">
        <v>1</v>
      </c>
      <c r="O5242" s="89">
        <v>1584995.2</v>
      </c>
      <c r="P5242" s="89">
        <v>7924976</v>
      </c>
      <c r="Q5242" t="s">
        <v>130</v>
      </c>
      <c r="R5242" t="s">
        <v>131</v>
      </c>
    </row>
    <row r="5243" spans="3:18" hidden="1" x14ac:dyDescent="0.25">
      <c r="C5243" t="s">
        <v>45</v>
      </c>
      <c r="D5243" t="s">
        <v>23</v>
      </c>
      <c r="E5243" t="s">
        <v>48</v>
      </c>
      <c r="F5243" t="s">
        <v>41</v>
      </c>
      <c r="G5243" s="89">
        <v>134620</v>
      </c>
      <c r="H5243" t="s">
        <v>140</v>
      </c>
      <c r="I5243" t="s">
        <v>126</v>
      </c>
      <c r="J5243" s="89">
        <v>2288540</v>
      </c>
      <c r="K5243" t="s">
        <v>127</v>
      </c>
      <c r="L5243" t="s">
        <v>128</v>
      </c>
      <c r="N5243">
        <v>1</v>
      </c>
      <c r="O5243" s="89">
        <v>5384.8</v>
      </c>
      <c r="P5243" s="89">
        <v>172313.60000000001</v>
      </c>
      <c r="Q5243" t="s">
        <v>150</v>
      </c>
      <c r="R5243" t="s">
        <v>131</v>
      </c>
    </row>
    <row r="5244" spans="3:18" hidden="1" x14ac:dyDescent="0.25">
      <c r="C5244" t="s">
        <v>45</v>
      </c>
      <c r="D5244" t="s">
        <v>22</v>
      </c>
      <c r="E5244" t="s">
        <v>43</v>
      </c>
      <c r="F5244" t="s">
        <v>41</v>
      </c>
      <c r="G5244" s="89">
        <v>165136</v>
      </c>
      <c r="H5244" t="s">
        <v>140</v>
      </c>
      <c r="I5244" t="s">
        <v>126</v>
      </c>
      <c r="J5244" s="89">
        <v>3137584</v>
      </c>
      <c r="K5244" t="s">
        <v>127</v>
      </c>
      <c r="L5244" t="s">
        <v>128</v>
      </c>
      <c r="N5244">
        <v>1</v>
      </c>
      <c r="O5244" s="89">
        <v>4954.08</v>
      </c>
      <c r="P5244" s="89">
        <v>140365.6</v>
      </c>
      <c r="Q5244" t="s">
        <v>135</v>
      </c>
      <c r="R5244" t="s">
        <v>131</v>
      </c>
    </row>
    <row r="5245" spans="3:18" hidden="1" x14ac:dyDescent="0.25">
      <c r="C5245" t="s">
        <v>45</v>
      </c>
      <c r="D5245" t="s">
        <v>24</v>
      </c>
      <c r="E5245" t="s">
        <v>48</v>
      </c>
      <c r="F5245" t="s">
        <v>41</v>
      </c>
      <c r="G5245" s="89">
        <v>7540218</v>
      </c>
      <c r="H5245" t="s">
        <v>132</v>
      </c>
      <c r="I5245" t="s">
        <v>133</v>
      </c>
      <c r="J5245" s="89">
        <v>196045668</v>
      </c>
      <c r="K5245" t="s">
        <v>127</v>
      </c>
      <c r="L5245" t="s">
        <v>128</v>
      </c>
      <c r="N5245">
        <v>1</v>
      </c>
      <c r="O5245" s="89">
        <v>226206.54</v>
      </c>
      <c r="P5245" s="89">
        <v>3920913.36</v>
      </c>
      <c r="Q5245" t="s">
        <v>142</v>
      </c>
      <c r="R5245" t="s">
        <v>131</v>
      </c>
    </row>
    <row r="5246" spans="3:18" x14ac:dyDescent="0.25">
      <c r="C5246" t="s">
        <v>47</v>
      </c>
      <c r="D5246" t="s">
        <v>20</v>
      </c>
      <c r="E5246" t="s">
        <v>40</v>
      </c>
      <c r="F5246" t="s">
        <v>41</v>
      </c>
      <c r="G5246" s="89">
        <v>139164</v>
      </c>
      <c r="H5246" t="s">
        <v>42</v>
      </c>
      <c r="I5246" t="s">
        <v>126</v>
      </c>
      <c r="J5246" s="89">
        <v>1669968</v>
      </c>
      <c r="K5246" t="s">
        <v>127</v>
      </c>
      <c r="L5246" t="s">
        <v>128</v>
      </c>
      <c r="M5246" t="s">
        <v>139</v>
      </c>
      <c r="N5246">
        <v>1</v>
      </c>
      <c r="O5246" s="89">
        <v>5566.56</v>
      </c>
      <c r="P5246" s="89">
        <v>77931.839999999997</v>
      </c>
      <c r="Q5246" t="s">
        <v>142</v>
      </c>
      <c r="R5246" t="s">
        <v>131</v>
      </c>
    </row>
    <row r="5247" spans="3:18" hidden="1" x14ac:dyDescent="0.25">
      <c r="C5247" t="s">
        <v>45</v>
      </c>
      <c r="D5247" t="s">
        <v>23</v>
      </c>
      <c r="E5247" t="s">
        <v>48</v>
      </c>
      <c r="F5247" t="s">
        <v>41</v>
      </c>
      <c r="G5247" s="89">
        <v>126225</v>
      </c>
      <c r="H5247" t="s">
        <v>132</v>
      </c>
      <c r="I5247" t="s">
        <v>126</v>
      </c>
      <c r="J5247" s="89">
        <v>2398275</v>
      </c>
      <c r="K5247" t="s">
        <v>144</v>
      </c>
      <c r="N5247">
        <v>1</v>
      </c>
      <c r="O5247" s="89">
        <v>3786.75</v>
      </c>
      <c r="P5247" s="89">
        <v>31556.25</v>
      </c>
      <c r="Q5247" t="s">
        <v>130</v>
      </c>
      <c r="R5247" t="s">
        <v>131</v>
      </c>
    </row>
    <row r="5248" spans="3:18" hidden="1" x14ac:dyDescent="0.25">
      <c r="C5248" t="s">
        <v>45</v>
      </c>
      <c r="D5248" t="s">
        <v>23</v>
      </c>
      <c r="E5248" t="s">
        <v>48</v>
      </c>
      <c r="F5248" t="s">
        <v>41</v>
      </c>
      <c r="G5248" s="89">
        <v>3895938</v>
      </c>
      <c r="H5248" t="s">
        <v>146</v>
      </c>
      <c r="I5248" t="s">
        <v>126</v>
      </c>
      <c r="J5248" s="89">
        <v>54543132</v>
      </c>
      <c r="K5248" t="s">
        <v>127</v>
      </c>
      <c r="L5248" t="s">
        <v>128</v>
      </c>
      <c r="N5248">
        <v>1</v>
      </c>
      <c r="O5248" s="89">
        <v>116878.14</v>
      </c>
      <c r="P5248" s="89">
        <v>1051903.26</v>
      </c>
      <c r="Q5248" t="s">
        <v>130</v>
      </c>
      <c r="R5248" t="s">
        <v>131</v>
      </c>
    </row>
    <row r="5249" spans="3:18" hidden="1" x14ac:dyDescent="0.25">
      <c r="C5249" t="s">
        <v>45</v>
      </c>
      <c r="D5249" t="s">
        <v>21</v>
      </c>
      <c r="E5249" t="s">
        <v>40</v>
      </c>
      <c r="F5249" t="s">
        <v>41</v>
      </c>
      <c r="G5249" s="89">
        <v>87763</v>
      </c>
      <c r="H5249" t="s">
        <v>146</v>
      </c>
      <c r="I5249" t="s">
        <v>133</v>
      </c>
      <c r="J5249" s="89">
        <v>2194075</v>
      </c>
      <c r="K5249" t="s">
        <v>134</v>
      </c>
      <c r="L5249" t="s">
        <v>128</v>
      </c>
      <c r="N5249">
        <v>1</v>
      </c>
      <c r="O5249" s="89">
        <v>2632.89</v>
      </c>
      <c r="P5249" s="89">
        <v>36860.46</v>
      </c>
      <c r="Q5249" t="s">
        <v>142</v>
      </c>
      <c r="R5249" t="s">
        <v>131</v>
      </c>
    </row>
    <row r="5250" spans="3:18" x14ac:dyDescent="0.25">
      <c r="C5250" t="s">
        <v>47</v>
      </c>
      <c r="D5250" t="s">
        <v>22</v>
      </c>
      <c r="E5250" t="s">
        <v>43</v>
      </c>
      <c r="F5250" t="s">
        <v>41</v>
      </c>
      <c r="G5250" s="89">
        <v>371</v>
      </c>
      <c r="H5250" t="s">
        <v>140</v>
      </c>
      <c r="I5250" t="s">
        <v>147</v>
      </c>
      <c r="J5250" s="89"/>
      <c r="K5250" t="s">
        <v>127</v>
      </c>
      <c r="L5250" t="s">
        <v>128</v>
      </c>
      <c r="N5250">
        <v>0</v>
      </c>
      <c r="O5250" s="89">
        <v>0</v>
      </c>
      <c r="P5250" s="89">
        <v>166.95</v>
      </c>
      <c r="Q5250" t="s">
        <v>142</v>
      </c>
      <c r="R5250" t="s">
        <v>131</v>
      </c>
    </row>
    <row r="5251" spans="3:18" hidden="1" x14ac:dyDescent="0.25">
      <c r="C5251" t="s">
        <v>45</v>
      </c>
      <c r="D5251" t="s">
        <v>19</v>
      </c>
      <c r="E5251" t="s">
        <v>43</v>
      </c>
      <c r="F5251" t="s">
        <v>41</v>
      </c>
      <c r="G5251" s="89">
        <v>199645</v>
      </c>
      <c r="H5251" t="s">
        <v>42</v>
      </c>
      <c r="I5251" t="s">
        <v>126</v>
      </c>
      <c r="J5251" s="89">
        <v>2994675</v>
      </c>
      <c r="K5251" t="s">
        <v>127</v>
      </c>
      <c r="L5251" t="s">
        <v>128</v>
      </c>
      <c r="M5251" t="s">
        <v>143</v>
      </c>
      <c r="N5251">
        <v>1</v>
      </c>
      <c r="O5251" s="89">
        <v>5989.35</v>
      </c>
      <c r="P5251" s="89">
        <v>39929</v>
      </c>
      <c r="Q5251" t="s">
        <v>130</v>
      </c>
      <c r="R5251" t="s">
        <v>131</v>
      </c>
    </row>
    <row r="5252" spans="3:18" hidden="1" x14ac:dyDescent="0.25">
      <c r="C5252" t="s">
        <v>45</v>
      </c>
      <c r="D5252" t="s">
        <v>19</v>
      </c>
      <c r="E5252" t="s">
        <v>48</v>
      </c>
      <c r="F5252" t="s">
        <v>41</v>
      </c>
      <c r="G5252" s="89">
        <v>2163664</v>
      </c>
      <c r="H5252" t="s">
        <v>42</v>
      </c>
      <c r="I5252" t="s">
        <v>133</v>
      </c>
      <c r="J5252" s="89">
        <v>56255264</v>
      </c>
      <c r="K5252" t="s">
        <v>127</v>
      </c>
      <c r="L5252" t="s">
        <v>128</v>
      </c>
      <c r="M5252" t="s">
        <v>136</v>
      </c>
      <c r="N5252">
        <v>1</v>
      </c>
      <c r="O5252" s="89">
        <v>64909.919999999998</v>
      </c>
      <c r="P5252" s="89">
        <v>1125105.28</v>
      </c>
      <c r="Q5252" t="s">
        <v>142</v>
      </c>
      <c r="R5252" t="s">
        <v>131</v>
      </c>
    </row>
    <row r="5253" spans="3:18" x14ac:dyDescent="0.25">
      <c r="C5253" t="s">
        <v>47</v>
      </c>
      <c r="D5253" t="s">
        <v>20</v>
      </c>
      <c r="E5253" t="s">
        <v>40</v>
      </c>
      <c r="F5253" t="s">
        <v>41</v>
      </c>
      <c r="G5253" s="89">
        <v>501736</v>
      </c>
      <c r="H5253" t="s">
        <v>140</v>
      </c>
      <c r="I5253" t="s">
        <v>153</v>
      </c>
      <c r="J5253" s="89"/>
      <c r="K5253" t="s">
        <v>127</v>
      </c>
      <c r="L5253" t="s">
        <v>128</v>
      </c>
      <c r="N5253">
        <v>0</v>
      </c>
      <c r="O5253" s="89">
        <v>50173.599999999999</v>
      </c>
      <c r="P5253" s="89">
        <v>20069.439999999999</v>
      </c>
      <c r="Q5253" t="s">
        <v>130</v>
      </c>
      <c r="R5253" t="s">
        <v>131</v>
      </c>
    </row>
    <row r="5254" spans="3:18" hidden="1" x14ac:dyDescent="0.25">
      <c r="C5254" t="s">
        <v>45</v>
      </c>
      <c r="D5254" t="s">
        <v>149</v>
      </c>
      <c r="E5254" t="s">
        <v>43</v>
      </c>
      <c r="F5254" t="s">
        <v>41</v>
      </c>
      <c r="G5254" s="89">
        <v>2488669</v>
      </c>
      <c r="H5254" t="s">
        <v>42</v>
      </c>
      <c r="I5254" t="s">
        <v>126</v>
      </c>
      <c r="J5254" s="89">
        <v>42307373</v>
      </c>
      <c r="K5254" t="s">
        <v>144</v>
      </c>
      <c r="N5254">
        <v>1</v>
      </c>
      <c r="O5254" s="89">
        <v>74660.070000000007</v>
      </c>
      <c r="P5254" s="89">
        <v>1144787.74</v>
      </c>
      <c r="Q5254" t="s">
        <v>142</v>
      </c>
      <c r="R5254" t="s">
        <v>42</v>
      </c>
    </row>
    <row r="5255" spans="3:18" x14ac:dyDescent="0.25">
      <c r="C5255" t="s">
        <v>47</v>
      </c>
      <c r="D5255" t="s">
        <v>19</v>
      </c>
      <c r="E5255" t="s">
        <v>43</v>
      </c>
      <c r="F5255" t="s">
        <v>41</v>
      </c>
      <c r="G5255" s="89">
        <v>12675092</v>
      </c>
      <c r="H5255" t="s">
        <v>140</v>
      </c>
      <c r="I5255" t="s">
        <v>126</v>
      </c>
      <c r="J5255" s="89">
        <v>139426012</v>
      </c>
      <c r="K5255" t="s">
        <v>127</v>
      </c>
      <c r="L5255" t="s">
        <v>128</v>
      </c>
      <c r="N5255">
        <v>1</v>
      </c>
      <c r="O5255" s="89">
        <v>507003.68</v>
      </c>
      <c r="P5255" s="89">
        <v>8619062.5600000005</v>
      </c>
      <c r="Q5255" t="s">
        <v>137</v>
      </c>
      <c r="R5255" t="s">
        <v>131</v>
      </c>
    </row>
    <row r="5256" spans="3:18" hidden="1" x14ac:dyDescent="0.25">
      <c r="C5256" t="s">
        <v>45</v>
      </c>
      <c r="D5256" t="s">
        <v>22</v>
      </c>
      <c r="E5256" t="s">
        <v>43</v>
      </c>
      <c r="F5256" t="s">
        <v>41</v>
      </c>
      <c r="G5256" s="89">
        <v>2416776</v>
      </c>
      <c r="H5256" t="s">
        <v>140</v>
      </c>
      <c r="I5256" t="s">
        <v>133</v>
      </c>
      <c r="J5256" s="89">
        <v>72503280</v>
      </c>
      <c r="K5256" t="s">
        <v>144</v>
      </c>
      <c r="N5256">
        <v>1</v>
      </c>
      <c r="O5256" s="89">
        <v>72503.28</v>
      </c>
      <c r="P5256" s="89">
        <v>1208388</v>
      </c>
      <c r="Q5256" t="s">
        <v>142</v>
      </c>
      <c r="R5256" t="s">
        <v>131</v>
      </c>
    </row>
    <row r="5257" spans="3:18" hidden="1" x14ac:dyDescent="0.25">
      <c r="C5257" t="s">
        <v>45</v>
      </c>
      <c r="D5257" t="s">
        <v>22</v>
      </c>
      <c r="E5257" t="s">
        <v>48</v>
      </c>
      <c r="F5257" t="s">
        <v>41</v>
      </c>
      <c r="G5257" s="89">
        <v>20880750</v>
      </c>
      <c r="H5257" t="s">
        <v>42</v>
      </c>
      <c r="I5257" t="s">
        <v>133</v>
      </c>
      <c r="J5257" s="89">
        <v>668184000</v>
      </c>
      <c r="K5257" t="s">
        <v>127</v>
      </c>
      <c r="L5257" t="s">
        <v>128</v>
      </c>
      <c r="M5257" t="s">
        <v>143</v>
      </c>
      <c r="N5257">
        <v>1</v>
      </c>
      <c r="O5257" s="89">
        <v>626422.5</v>
      </c>
      <c r="P5257" s="89">
        <v>14825332.5</v>
      </c>
      <c r="Q5257" t="s">
        <v>137</v>
      </c>
      <c r="R5257" t="s">
        <v>131</v>
      </c>
    </row>
    <row r="5258" spans="3:18" hidden="1" x14ac:dyDescent="0.25">
      <c r="C5258" t="s">
        <v>45</v>
      </c>
      <c r="D5258" t="s">
        <v>21</v>
      </c>
      <c r="E5258" t="s">
        <v>48</v>
      </c>
      <c r="F5258" t="s">
        <v>53</v>
      </c>
      <c r="G5258" s="89">
        <v>40436</v>
      </c>
      <c r="H5258" t="s">
        <v>42</v>
      </c>
      <c r="I5258" t="s">
        <v>133</v>
      </c>
      <c r="J5258" s="89">
        <v>1334388</v>
      </c>
      <c r="K5258" t="s">
        <v>144</v>
      </c>
      <c r="N5258">
        <v>1</v>
      </c>
      <c r="O5258" s="89">
        <v>1213.08</v>
      </c>
      <c r="P5258" s="89">
        <v>10513.36</v>
      </c>
      <c r="Q5258" t="s">
        <v>130</v>
      </c>
      <c r="R5258" t="s">
        <v>42</v>
      </c>
    </row>
    <row r="5259" spans="3:18" x14ac:dyDescent="0.25">
      <c r="C5259" t="s">
        <v>47</v>
      </c>
      <c r="D5259" t="s">
        <v>24</v>
      </c>
      <c r="E5259" t="s">
        <v>40</v>
      </c>
      <c r="F5259" t="s">
        <v>41</v>
      </c>
      <c r="G5259" s="89">
        <v>658720</v>
      </c>
      <c r="H5259" t="s">
        <v>42</v>
      </c>
      <c r="I5259" t="s">
        <v>141</v>
      </c>
      <c r="J5259" s="89">
        <v>5269760</v>
      </c>
      <c r="K5259" t="s">
        <v>127</v>
      </c>
      <c r="L5259" t="s">
        <v>128</v>
      </c>
      <c r="M5259" t="s">
        <v>148</v>
      </c>
      <c r="N5259">
        <v>1</v>
      </c>
      <c r="O5259" s="89">
        <v>26348.799999999999</v>
      </c>
      <c r="P5259" s="89">
        <v>349121.6</v>
      </c>
      <c r="Q5259" t="s">
        <v>142</v>
      </c>
      <c r="R5259" t="s">
        <v>131</v>
      </c>
    </row>
    <row r="5260" spans="3:18" hidden="1" x14ac:dyDescent="0.25">
      <c r="C5260" t="s">
        <v>45</v>
      </c>
      <c r="D5260" t="s">
        <v>24</v>
      </c>
      <c r="E5260" t="s">
        <v>43</v>
      </c>
      <c r="F5260" t="s">
        <v>41</v>
      </c>
      <c r="G5260" s="89">
        <v>478877</v>
      </c>
      <c r="H5260" t="s">
        <v>42</v>
      </c>
      <c r="I5260" t="s">
        <v>133</v>
      </c>
      <c r="J5260" s="89">
        <v>15802941</v>
      </c>
      <c r="K5260" t="s">
        <v>127</v>
      </c>
      <c r="L5260" t="s">
        <v>128</v>
      </c>
      <c r="M5260" t="s">
        <v>148</v>
      </c>
      <c r="N5260">
        <v>1</v>
      </c>
      <c r="O5260" s="89">
        <v>14366.31</v>
      </c>
      <c r="P5260" s="89">
        <v>656061.49</v>
      </c>
      <c r="Q5260" t="s">
        <v>150</v>
      </c>
      <c r="R5260" t="s">
        <v>131</v>
      </c>
    </row>
    <row r="5261" spans="3:18" x14ac:dyDescent="0.25">
      <c r="C5261" t="s">
        <v>47</v>
      </c>
      <c r="D5261" t="s">
        <v>22</v>
      </c>
      <c r="E5261" t="s">
        <v>43</v>
      </c>
      <c r="F5261" t="s">
        <v>41</v>
      </c>
      <c r="G5261" s="89">
        <v>35626</v>
      </c>
      <c r="H5261" t="s">
        <v>146</v>
      </c>
      <c r="I5261" t="s">
        <v>133</v>
      </c>
      <c r="J5261" s="89">
        <v>1104406</v>
      </c>
      <c r="K5261" t="s">
        <v>127</v>
      </c>
      <c r="L5261" t="s">
        <v>128</v>
      </c>
      <c r="N5261">
        <v>1</v>
      </c>
      <c r="O5261" s="89">
        <v>712.52</v>
      </c>
      <c r="P5261" s="89">
        <v>13181.62</v>
      </c>
      <c r="Q5261" t="s">
        <v>130</v>
      </c>
      <c r="R5261" t="s">
        <v>131</v>
      </c>
    </row>
    <row r="5262" spans="3:18" x14ac:dyDescent="0.25">
      <c r="C5262" t="s">
        <v>47</v>
      </c>
      <c r="D5262" t="s">
        <v>21</v>
      </c>
      <c r="E5262" t="s">
        <v>43</v>
      </c>
      <c r="F5262" t="s">
        <v>41</v>
      </c>
      <c r="G5262" s="89">
        <v>2433261</v>
      </c>
      <c r="H5262" t="s">
        <v>132</v>
      </c>
      <c r="I5262" t="s">
        <v>126</v>
      </c>
      <c r="J5262" s="89">
        <v>34065654</v>
      </c>
      <c r="K5262" t="s">
        <v>127</v>
      </c>
      <c r="L5262" t="s">
        <v>128</v>
      </c>
      <c r="N5262">
        <v>1</v>
      </c>
      <c r="O5262" s="89">
        <v>72997.83</v>
      </c>
      <c r="P5262" s="89">
        <v>1240963.1100000001</v>
      </c>
      <c r="Q5262" t="s">
        <v>142</v>
      </c>
      <c r="R5262" t="s">
        <v>131</v>
      </c>
    </row>
    <row r="5263" spans="3:18" x14ac:dyDescent="0.25">
      <c r="C5263" t="s">
        <v>47</v>
      </c>
      <c r="D5263" t="s">
        <v>138</v>
      </c>
      <c r="E5263" t="s">
        <v>40</v>
      </c>
      <c r="F5263" t="s">
        <v>41</v>
      </c>
      <c r="G5263" s="89">
        <v>630184</v>
      </c>
      <c r="H5263" t="s">
        <v>132</v>
      </c>
      <c r="I5263" t="s">
        <v>141</v>
      </c>
      <c r="J5263" s="89">
        <v>4411288</v>
      </c>
      <c r="K5263" t="s">
        <v>127</v>
      </c>
      <c r="L5263" t="s">
        <v>128</v>
      </c>
      <c r="N5263">
        <v>1</v>
      </c>
      <c r="O5263" s="89">
        <v>25207.360000000001</v>
      </c>
      <c r="P5263" s="89">
        <v>170149.68</v>
      </c>
      <c r="Q5263" t="s">
        <v>130</v>
      </c>
      <c r="R5263" t="s">
        <v>131</v>
      </c>
    </row>
    <row r="5264" spans="3:18" hidden="1" x14ac:dyDescent="0.25">
      <c r="C5264" t="s">
        <v>45</v>
      </c>
      <c r="D5264" t="s">
        <v>23</v>
      </c>
      <c r="E5264" t="s">
        <v>44</v>
      </c>
      <c r="F5264" t="s">
        <v>41</v>
      </c>
      <c r="G5264" s="89">
        <v>1135503</v>
      </c>
      <c r="H5264" t="s">
        <v>42</v>
      </c>
      <c r="I5264" t="s">
        <v>126</v>
      </c>
      <c r="J5264" s="89">
        <v>18168048</v>
      </c>
      <c r="K5264" t="s">
        <v>144</v>
      </c>
      <c r="N5264">
        <v>1</v>
      </c>
      <c r="O5264" s="89">
        <v>34065.089999999997</v>
      </c>
      <c r="P5264" s="89">
        <v>579106.53</v>
      </c>
      <c r="Q5264" t="s">
        <v>142</v>
      </c>
      <c r="R5264" t="s">
        <v>42</v>
      </c>
    </row>
    <row r="5265" spans="3:18" x14ac:dyDescent="0.25">
      <c r="C5265" t="s">
        <v>47</v>
      </c>
      <c r="D5265" t="s">
        <v>22</v>
      </c>
      <c r="E5265" t="s">
        <v>43</v>
      </c>
      <c r="F5265" t="s">
        <v>41</v>
      </c>
      <c r="G5265" s="89">
        <v>12514</v>
      </c>
      <c r="H5265" t="s">
        <v>132</v>
      </c>
      <c r="I5265" t="s">
        <v>126</v>
      </c>
      <c r="J5265" s="89">
        <v>162682</v>
      </c>
      <c r="K5265" t="s">
        <v>127</v>
      </c>
      <c r="L5265" t="s">
        <v>128</v>
      </c>
      <c r="N5265">
        <v>1</v>
      </c>
      <c r="O5265" s="89">
        <v>625.70000000000005</v>
      </c>
      <c r="P5265" s="89">
        <v>1001.12</v>
      </c>
      <c r="Q5265" t="s">
        <v>130</v>
      </c>
      <c r="R5265" t="s">
        <v>131</v>
      </c>
    </row>
    <row r="5266" spans="3:18" hidden="1" x14ac:dyDescent="0.25">
      <c r="C5266" t="s">
        <v>45</v>
      </c>
      <c r="D5266" t="s">
        <v>19</v>
      </c>
      <c r="E5266" t="s">
        <v>43</v>
      </c>
      <c r="F5266" t="s">
        <v>41</v>
      </c>
      <c r="G5266" s="89">
        <v>486521</v>
      </c>
      <c r="H5266" t="s">
        <v>42</v>
      </c>
      <c r="I5266" t="s">
        <v>133</v>
      </c>
      <c r="J5266" s="89">
        <v>17028235</v>
      </c>
      <c r="K5266" t="s">
        <v>127</v>
      </c>
      <c r="L5266" t="s">
        <v>128</v>
      </c>
      <c r="M5266" t="s">
        <v>152</v>
      </c>
      <c r="N5266">
        <v>1</v>
      </c>
      <c r="O5266" s="89">
        <v>14595.63</v>
      </c>
      <c r="P5266" s="89">
        <v>345429.91</v>
      </c>
      <c r="Q5266" t="s">
        <v>137</v>
      </c>
      <c r="R5266" t="s">
        <v>131</v>
      </c>
    </row>
    <row r="5267" spans="3:18" hidden="1" x14ac:dyDescent="0.25">
      <c r="C5267" t="s">
        <v>45</v>
      </c>
      <c r="D5267" t="s">
        <v>19</v>
      </c>
      <c r="E5267" t="s">
        <v>43</v>
      </c>
      <c r="F5267" t="s">
        <v>41</v>
      </c>
      <c r="G5267" s="89">
        <v>773740</v>
      </c>
      <c r="H5267" t="s">
        <v>132</v>
      </c>
      <c r="I5267" t="s">
        <v>126</v>
      </c>
      <c r="J5267" s="89">
        <v>13927320</v>
      </c>
      <c r="K5267" t="s">
        <v>127</v>
      </c>
      <c r="L5267" t="s">
        <v>128</v>
      </c>
      <c r="N5267">
        <v>1</v>
      </c>
      <c r="O5267" s="89">
        <v>23212.2</v>
      </c>
      <c r="P5267" s="89">
        <v>510668.4</v>
      </c>
      <c r="Q5267" t="s">
        <v>137</v>
      </c>
      <c r="R5267" t="s">
        <v>131</v>
      </c>
    </row>
    <row r="5268" spans="3:18" x14ac:dyDescent="0.25">
      <c r="C5268" t="s">
        <v>47</v>
      </c>
      <c r="D5268" t="s">
        <v>138</v>
      </c>
      <c r="E5268" t="s">
        <v>43</v>
      </c>
      <c r="F5268" t="s">
        <v>41</v>
      </c>
      <c r="G5268" s="89">
        <v>4768106</v>
      </c>
      <c r="H5268" t="s">
        <v>146</v>
      </c>
      <c r="I5268" t="s">
        <v>147</v>
      </c>
      <c r="J5268" s="89">
        <v>14304318</v>
      </c>
      <c r="K5268" t="s">
        <v>144</v>
      </c>
      <c r="N5268">
        <v>1</v>
      </c>
      <c r="O5268" s="89">
        <v>190724.24</v>
      </c>
      <c r="P5268" s="89">
        <v>619853.78</v>
      </c>
      <c r="Q5268" t="s">
        <v>130</v>
      </c>
      <c r="R5268" t="s">
        <v>131</v>
      </c>
    </row>
    <row r="5269" spans="3:18" x14ac:dyDescent="0.25">
      <c r="C5269" t="s">
        <v>47</v>
      </c>
      <c r="D5269" t="s">
        <v>149</v>
      </c>
      <c r="E5269" t="s">
        <v>43</v>
      </c>
      <c r="F5269" t="s">
        <v>41</v>
      </c>
      <c r="G5269" s="89">
        <v>106820</v>
      </c>
      <c r="H5269" t="s">
        <v>140</v>
      </c>
      <c r="I5269" t="s">
        <v>133</v>
      </c>
      <c r="J5269" s="89">
        <v>3204600</v>
      </c>
      <c r="K5269" t="s">
        <v>127</v>
      </c>
      <c r="L5269" t="s">
        <v>128</v>
      </c>
      <c r="N5269">
        <v>1</v>
      </c>
      <c r="O5269" s="89">
        <v>4272.8</v>
      </c>
      <c r="P5269" s="89">
        <v>30977.8</v>
      </c>
      <c r="Q5269" t="s">
        <v>130</v>
      </c>
      <c r="R5269" t="s">
        <v>131</v>
      </c>
    </row>
    <row r="5270" spans="3:18" hidden="1" x14ac:dyDescent="0.25">
      <c r="C5270" t="s">
        <v>45</v>
      </c>
      <c r="D5270" t="s">
        <v>22</v>
      </c>
      <c r="E5270" t="s">
        <v>43</v>
      </c>
      <c r="F5270" t="s">
        <v>41</v>
      </c>
      <c r="G5270" s="89">
        <v>308010</v>
      </c>
      <c r="H5270" t="s">
        <v>42</v>
      </c>
      <c r="I5270" t="s">
        <v>133</v>
      </c>
      <c r="J5270" s="89">
        <v>8932290</v>
      </c>
      <c r="K5270" t="s">
        <v>134</v>
      </c>
      <c r="L5270" t="s">
        <v>128</v>
      </c>
      <c r="M5270" t="s">
        <v>143</v>
      </c>
      <c r="N5270">
        <v>1</v>
      </c>
      <c r="O5270" s="89">
        <v>9240.2999999999993</v>
      </c>
      <c r="P5270" s="89">
        <v>157085.1</v>
      </c>
      <c r="Q5270" t="s">
        <v>142</v>
      </c>
      <c r="R5270" t="s">
        <v>131</v>
      </c>
    </row>
    <row r="5271" spans="3:18" hidden="1" x14ac:dyDescent="0.25">
      <c r="C5271" t="s">
        <v>45</v>
      </c>
      <c r="D5271" t="s">
        <v>22</v>
      </c>
      <c r="E5271" t="s">
        <v>46</v>
      </c>
      <c r="F5271" t="s">
        <v>41</v>
      </c>
      <c r="G5271" s="89">
        <v>300762</v>
      </c>
      <c r="H5271" t="s">
        <v>42</v>
      </c>
      <c r="I5271" t="s">
        <v>133</v>
      </c>
      <c r="J5271" s="89">
        <v>9022860</v>
      </c>
      <c r="K5271" t="s">
        <v>144</v>
      </c>
      <c r="N5271">
        <v>1</v>
      </c>
      <c r="O5271" s="89">
        <v>9022.86</v>
      </c>
      <c r="P5271" s="89">
        <v>96243.839999999997</v>
      </c>
      <c r="Q5271" t="s">
        <v>130</v>
      </c>
      <c r="R5271" t="s">
        <v>42</v>
      </c>
    </row>
    <row r="5272" spans="3:18" x14ac:dyDescent="0.25">
      <c r="C5272" t="s">
        <v>47</v>
      </c>
      <c r="D5272" t="s">
        <v>138</v>
      </c>
      <c r="E5272" t="s">
        <v>40</v>
      </c>
      <c r="F5272" t="s">
        <v>41</v>
      </c>
      <c r="G5272" s="89">
        <v>79907</v>
      </c>
      <c r="H5272" t="s">
        <v>140</v>
      </c>
      <c r="I5272" t="s">
        <v>141</v>
      </c>
      <c r="J5272" s="89">
        <v>559349</v>
      </c>
      <c r="K5272" t="s">
        <v>127</v>
      </c>
      <c r="L5272" t="s">
        <v>128</v>
      </c>
      <c r="N5272">
        <v>1</v>
      </c>
      <c r="O5272" s="89">
        <v>3196.28</v>
      </c>
      <c r="P5272" s="89">
        <v>74313.509999999995</v>
      </c>
      <c r="Q5272" t="s">
        <v>135</v>
      </c>
      <c r="R5272" t="s">
        <v>131</v>
      </c>
    </row>
    <row r="5273" spans="3:18" hidden="1" x14ac:dyDescent="0.25">
      <c r="C5273" t="s">
        <v>45</v>
      </c>
      <c r="D5273" t="s">
        <v>23</v>
      </c>
      <c r="E5273" t="s">
        <v>48</v>
      </c>
      <c r="F5273" t="s">
        <v>41</v>
      </c>
      <c r="G5273" s="89">
        <v>149264</v>
      </c>
      <c r="H5273" t="s">
        <v>146</v>
      </c>
      <c r="I5273" t="s">
        <v>133</v>
      </c>
      <c r="J5273" s="89">
        <v>4179392</v>
      </c>
      <c r="K5273" t="s">
        <v>134</v>
      </c>
      <c r="L5273" t="s">
        <v>128</v>
      </c>
      <c r="N5273">
        <v>1</v>
      </c>
      <c r="O5273" s="89">
        <v>4477.92</v>
      </c>
      <c r="P5273" s="89">
        <v>119411.2</v>
      </c>
      <c r="Q5273" t="s">
        <v>135</v>
      </c>
      <c r="R5273" t="s">
        <v>131</v>
      </c>
    </row>
    <row r="5274" spans="3:18" hidden="1" x14ac:dyDescent="0.25">
      <c r="C5274" t="s">
        <v>45</v>
      </c>
      <c r="D5274" t="s">
        <v>21</v>
      </c>
      <c r="E5274" t="s">
        <v>43</v>
      </c>
      <c r="F5274" t="s">
        <v>41</v>
      </c>
      <c r="G5274" s="89">
        <v>2434803</v>
      </c>
      <c r="H5274" t="s">
        <v>42</v>
      </c>
      <c r="I5274" t="s">
        <v>133</v>
      </c>
      <c r="J5274" s="89">
        <v>75478893</v>
      </c>
      <c r="K5274" t="s">
        <v>127</v>
      </c>
      <c r="L5274" t="s">
        <v>128</v>
      </c>
      <c r="M5274" t="s">
        <v>143</v>
      </c>
      <c r="N5274">
        <v>1</v>
      </c>
      <c r="O5274" s="89">
        <v>97392.12</v>
      </c>
      <c r="P5274" s="89">
        <v>1728710.13</v>
      </c>
      <c r="Q5274" t="s">
        <v>137</v>
      </c>
      <c r="R5274" t="s">
        <v>42</v>
      </c>
    </row>
    <row r="5275" spans="3:18" hidden="1" x14ac:dyDescent="0.25">
      <c r="C5275" t="s">
        <v>45</v>
      </c>
      <c r="D5275" t="s">
        <v>22</v>
      </c>
      <c r="E5275" t="s">
        <v>48</v>
      </c>
      <c r="F5275" t="s">
        <v>41</v>
      </c>
      <c r="G5275" s="89">
        <v>72175</v>
      </c>
      <c r="H5275" t="s">
        <v>42</v>
      </c>
      <c r="I5275" t="s">
        <v>133</v>
      </c>
      <c r="J5275" s="89">
        <v>2959175</v>
      </c>
      <c r="K5275" t="s">
        <v>127</v>
      </c>
      <c r="L5275" t="s">
        <v>128</v>
      </c>
      <c r="M5275" t="s">
        <v>152</v>
      </c>
      <c r="N5275">
        <v>1</v>
      </c>
      <c r="O5275" s="89">
        <v>3608.75</v>
      </c>
      <c r="P5275" s="89">
        <v>58461.75</v>
      </c>
      <c r="Q5275" t="s">
        <v>135</v>
      </c>
      <c r="R5275" t="s">
        <v>42</v>
      </c>
    </row>
    <row r="5276" spans="3:18" hidden="1" x14ac:dyDescent="0.25">
      <c r="C5276" t="s">
        <v>45</v>
      </c>
      <c r="D5276" t="s">
        <v>19</v>
      </c>
      <c r="E5276" t="s">
        <v>43</v>
      </c>
      <c r="F5276" t="s">
        <v>41</v>
      </c>
      <c r="G5276" s="89">
        <v>282</v>
      </c>
      <c r="H5276" t="s">
        <v>146</v>
      </c>
      <c r="I5276" t="s">
        <v>153</v>
      </c>
      <c r="J5276" s="89"/>
      <c r="K5276" t="s">
        <v>127</v>
      </c>
      <c r="L5276" t="s">
        <v>128</v>
      </c>
      <c r="N5276">
        <v>0</v>
      </c>
      <c r="O5276" s="89">
        <v>76.14</v>
      </c>
      <c r="P5276" s="89">
        <v>0</v>
      </c>
      <c r="Q5276" t="s">
        <v>130</v>
      </c>
      <c r="R5276" t="s">
        <v>131</v>
      </c>
    </row>
    <row r="5277" spans="3:18" hidden="1" x14ac:dyDescent="0.25">
      <c r="C5277" t="s">
        <v>45</v>
      </c>
      <c r="D5277" t="s">
        <v>24</v>
      </c>
      <c r="E5277" t="s">
        <v>44</v>
      </c>
      <c r="F5277" t="s">
        <v>41</v>
      </c>
      <c r="G5277" s="89">
        <v>889413</v>
      </c>
      <c r="H5277" t="s">
        <v>42</v>
      </c>
      <c r="I5277" t="s">
        <v>133</v>
      </c>
      <c r="J5277" s="89">
        <v>28461216</v>
      </c>
      <c r="K5277" t="s">
        <v>144</v>
      </c>
      <c r="N5277">
        <v>1</v>
      </c>
      <c r="O5277" s="89">
        <v>26682.39</v>
      </c>
      <c r="P5277" s="89">
        <v>275718.03000000003</v>
      </c>
      <c r="Q5277" t="s">
        <v>130</v>
      </c>
      <c r="R5277" t="s">
        <v>42</v>
      </c>
    </row>
    <row r="5278" spans="3:18" hidden="1" x14ac:dyDescent="0.25">
      <c r="C5278" t="s">
        <v>45</v>
      </c>
      <c r="D5278" t="s">
        <v>24</v>
      </c>
      <c r="E5278" t="s">
        <v>48</v>
      </c>
      <c r="F5278" t="s">
        <v>41</v>
      </c>
      <c r="G5278" s="89">
        <v>5432598</v>
      </c>
      <c r="H5278" t="s">
        <v>145</v>
      </c>
      <c r="I5278" t="s">
        <v>126</v>
      </c>
      <c r="J5278" s="89">
        <v>81488970</v>
      </c>
      <c r="K5278" t="s">
        <v>127</v>
      </c>
      <c r="L5278" t="s">
        <v>128</v>
      </c>
      <c r="N5278">
        <v>1</v>
      </c>
      <c r="O5278" s="89">
        <v>162977.94</v>
      </c>
      <c r="P5278" s="89">
        <v>1575453.42</v>
      </c>
      <c r="Q5278" t="s">
        <v>130</v>
      </c>
      <c r="R5278" t="s">
        <v>131</v>
      </c>
    </row>
    <row r="5279" spans="3:18" hidden="1" x14ac:dyDescent="0.25">
      <c r="C5279" t="s">
        <v>45</v>
      </c>
      <c r="D5279" t="s">
        <v>22</v>
      </c>
      <c r="E5279" t="s">
        <v>43</v>
      </c>
      <c r="F5279" t="s">
        <v>41</v>
      </c>
      <c r="G5279" s="89">
        <v>148556</v>
      </c>
      <c r="H5279" t="s">
        <v>140</v>
      </c>
      <c r="I5279" t="s">
        <v>126</v>
      </c>
      <c r="J5279" s="89">
        <v>2971120</v>
      </c>
      <c r="K5279" t="s">
        <v>144</v>
      </c>
      <c r="N5279">
        <v>1</v>
      </c>
      <c r="O5279" s="89">
        <v>4456.68</v>
      </c>
      <c r="P5279" s="89">
        <v>117359.24</v>
      </c>
      <c r="Q5279" t="s">
        <v>137</v>
      </c>
      <c r="R5279" t="s">
        <v>131</v>
      </c>
    </row>
    <row r="5280" spans="3:18" x14ac:dyDescent="0.25">
      <c r="C5280" t="s">
        <v>47</v>
      </c>
      <c r="D5280" t="s">
        <v>21</v>
      </c>
      <c r="E5280" t="s">
        <v>40</v>
      </c>
      <c r="F5280" t="s">
        <v>41</v>
      </c>
      <c r="G5280" s="89">
        <v>15166795</v>
      </c>
      <c r="H5280" t="s">
        <v>42</v>
      </c>
      <c r="I5280" t="s">
        <v>147</v>
      </c>
      <c r="J5280" s="89">
        <v>30333590</v>
      </c>
      <c r="K5280" t="s">
        <v>144</v>
      </c>
      <c r="N5280">
        <v>1</v>
      </c>
      <c r="O5280" s="89">
        <v>606671.80000000005</v>
      </c>
      <c r="P5280" s="89">
        <v>7886733.4000000004</v>
      </c>
      <c r="Q5280" t="s">
        <v>142</v>
      </c>
      <c r="R5280" t="s">
        <v>131</v>
      </c>
    </row>
    <row r="5281" spans="3:18" x14ac:dyDescent="0.25">
      <c r="C5281" t="s">
        <v>47</v>
      </c>
      <c r="D5281" t="s">
        <v>23</v>
      </c>
      <c r="E5281" t="s">
        <v>40</v>
      </c>
      <c r="F5281" t="s">
        <v>41</v>
      </c>
      <c r="G5281" s="89">
        <v>1005631</v>
      </c>
      <c r="H5281" t="s">
        <v>132</v>
      </c>
      <c r="I5281" t="s">
        <v>147</v>
      </c>
      <c r="J5281" s="89">
        <v>2011262</v>
      </c>
      <c r="K5281" t="s">
        <v>144</v>
      </c>
      <c r="N5281">
        <v>1</v>
      </c>
      <c r="O5281" s="89">
        <v>40225.24</v>
      </c>
      <c r="P5281" s="89">
        <v>402252.4</v>
      </c>
      <c r="Q5281" t="s">
        <v>142</v>
      </c>
      <c r="R5281" t="s">
        <v>131</v>
      </c>
    </row>
    <row r="5282" spans="3:18" x14ac:dyDescent="0.25">
      <c r="C5282" t="s">
        <v>47</v>
      </c>
      <c r="D5282" t="s">
        <v>24</v>
      </c>
      <c r="E5282" t="s">
        <v>48</v>
      </c>
      <c r="F5282" t="s">
        <v>41</v>
      </c>
      <c r="G5282" s="89">
        <v>2429863</v>
      </c>
      <c r="H5282" t="s">
        <v>145</v>
      </c>
      <c r="I5282" t="s">
        <v>147</v>
      </c>
      <c r="J5282" s="89">
        <v>12149315</v>
      </c>
      <c r="K5282" t="s">
        <v>127</v>
      </c>
      <c r="L5282" t="s">
        <v>128</v>
      </c>
      <c r="N5282">
        <v>1</v>
      </c>
      <c r="O5282" s="89">
        <v>72895.89</v>
      </c>
      <c r="P5282" s="89">
        <v>1020542.46</v>
      </c>
      <c r="Q5282" t="s">
        <v>142</v>
      </c>
      <c r="R5282" t="s">
        <v>131</v>
      </c>
    </row>
    <row r="5283" spans="3:18" hidden="1" x14ac:dyDescent="0.25">
      <c r="C5283" t="s">
        <v>45</v>
      </c>
      <c r="D5283" t="s">
        <v>20</v>
      </c>
      <c r="E5283" t="s">
        <v>43</v>
      </c>
      <c r="F5283" t="s">
        <v>41</v>
      </c>
      <c r="G5283" s="89">
        <v>83346</v>
      </c>
      <c r="H5283" t="s">
        <v>145</v>
      </c>
      <c r="I5283" t="s">
        <v>126</v>
      </c>
      <c r="J5283" s="89">
        <v>1583574</v>
      </c>
      <c r="K5283" t="s">
        <v>127</v>
      </c>
      <c r="L5283" t="s">
        <v>128</v>
      </c>
      <c r="N5283">
        <v>1</v>
      </c>
      <c r="O5283" s="89">
        <v>2500.38</v>
      </c>
      <c r="P5283" s="89">
        <v>100015.2</v>
      </c>
      <c r="Q5283" t="s">
        <v>150</v>
      </c>
      <c r="R5283" t="s">
        <v>131</v>
      </c>
    </row>
    <row r="5284" spans="3:18" hidden="1" x14ac:dyDescent="0.25">
      <c r="C5284" t="s">
        <v>45</v>
      </c>
      <c r="D5284" t="s">
        <v>22</v>
      </c>
      <c r="E5284" t="s">
        <v>48</v>
      </c>
      <c r="F5284" t="s">
        <v>53</v>
      </c>
      <c r="G5284" s="89">
        <v>197734</v>
      </c>
      <c r="H5284" t="s">
        <v>42</v>
      </c>
      <c r="I5284" t="s">
        <v>133</v>
      </c>
      <c r="J5284" s="89">
        <v>7118424</v>
      </c>
      <c r="K5284" t="s">
        <v>127</v>
      </c>
      <c r="L5284" t="s">
        <v>128</v>
      </c>
      <c r="M5284" t="s">
        <v>143</v>
      </c>
      <c r="N5284">
        <v>1</v>
      </c>
      <c r="O5284" s="89">
        <v>5932.02</v>
      </c>
      <c r="P5284" s="89">
        <v>112708.38</v>
      </c>
      <c r="Q5284" t="s">
        <v>142</v>
      </c>
      <c r="R5284" t="s">
        <v>42</v>
      </c>
    </row>
    <row r="5285" spans="3:18" hidden="1" x14ac:dyDescent="0.25">
      <c r="C5285" t="s">
        <v>45</v>
      </c>
      <c r="D5285" t="s">
        <v>22</v>
      </c>
      <c r="E5285" t="s">
        <v>48</v>
      </c>
      <c r="F5285" t="s">
        <v>53</v>
      </c>
      <c r="G5285" s="89">
        <v>1646997</v>
      </c>
      <c r="H5285" t="s">
        <v>42</v>
      </c>
      <c r="I5285" t="s">
        <v>133</v>
      </c>
      <c r="J5285" s="89">
        <v>57644895</v>
      </c>
      <c r="K5285" t="s">
        <v>144</v>
      </c>
      <c r="N5285">
        <v>1</v>
      </c>
      <c r="O5285" s="89">
        <v>49409.91</v>
      </c>
      <c r="P5285" s="89">
        <v>1383477.48</v>
      </c>
      <c r="Q5285" t="s">
        <v>135</v>
      </c>
      <c r="R5285" t="s">
        <v>42</v>
      </c>
    </row>
    <row r="5286" spans="3:18" x14ac:dyDescent="0.25">
      <c r="C5286" t="s">
        <v>47</v>
      </c>
      <c r="D5286" t="s">
        <v>24</v>
      </c>
      <c r="E5286" t="s">
        <v>40</v>
      </c>
      <c r="F5286" t="s">
        <v>41</v>
      </c>
      <c r="G5286" s="89">
        <v>84502</v>
      </c>
      <c r="H5286" t="s">
        <v>145</v>
      </c>
      <c r="I5286" t="s">
        <v>141</v>
      </c>
      <c r="J5286" s="89">
        <v>591514</v>
      </c>
      <c r="K5286" t="s">
        <v>127</v>
      </c>
      <c r="L5286" t="s">
        <v>128</v>
      </c>
      <c r="N5286">
        <v>1</v>
      </c>
      <c r="O5286" s="89">
        <v>3380.08</v>
      </c>
      <c r="P5286" s="89">
        <v>43941.04</v>
      </c>
      <c r="Q5286" t="s">
        <v>142</v>
      </c>
      <c r="R5286" t="s">
        <v>131</v>
      </c>
    </row>
    <row r="5287" spans="3:18" hidden="1" x14ac:dyDescent="0.25">
      <c r="C5287" t="s">
        <v>45</v>
      </c>
      <c r="D5287" t="s">
        <v>138</v>
      </c>
      <c r="E5287" t="s">
        <v>43</v>
      </c>
      <c r="F5287" t="s">
        <v>41</v>
      </c>
      <c r="G5287" s="89">
        <v>8029616</v>
      </c>
      <c r="H5287" t="s">
        <v>42</v>
      </c>
      <c r="I5287" t="s">
        <v>141</v>
      </c>
      <c r="J5287" s="89">
        <v>64236928</v>
      </c>
      <c r="K5287" t="s">
        <v>127</v>
      </c>
      <c r="L5287" t="s">
        <v>128</v>
      </c>
      <c r="M5287" t="s">
        <v>139</v>
      </c>
      <c r="N5287">
        <v>1</v>
      </c>
      <c r="O5287" s="89">
        <v>240888.48</v>
      </c>
      <c r="P5287" s="89">
        <v>1605923.2</v>
      </c>
      <c r="Q5287" t="s">
        <v>130</v>
      </c>
      <c r="R5287" t="s">
        <v>131</v>
      </c>
    </row>
    <row r="5288" spans="3:18" hidden="1" x14ac:dyDescent="0.25">
      <c r="C5288" t="s">
        <v>45</v>
      </c>
      <c r="D5288" t="s">
        <v>22</v>
      </c>
      <c r="E5288" t="s">
        <v>40</v>
      </c>
      <c r="F5288" t="s">
        <v>41</v>
      </c>
      <c r="G5288" s="89">
        <v>107181</v>
      </c>
      <c r="H5288" t="s">
        <v>42</v>
      </c>
      <c r="I5288" t="s">
        <v>133</v>
      </c>
      <c r="J5288" s="89">
        <v>3751335</v>
      </c>
      <c r="K5288" t="s">
        <v>134</v>
      </c>
      <c r="N5288">
        <v>1</v>
      </c>
      <c r="O5288" s="89">
        <v>3215.43</v>
      </c>
      <c r="P5288" s="89">
        <v>82529.37</v>
      </c>
      <c r="Q5288" t="s">
        <v>137</v>
      </c>
      <c r="R5288" t="s">
        <v>131</v>
      </c>
    </row>
    <row r="5289" spans="3:18" hidden="1" x14ac:dyDescent="0.25">
      <c r="C5289" t="s">
        <v>45</v>
      </c>
      <c r="D5289" t="s">
        <v>22</v>
      </c>
      <c r="E5289" t="s">
        <v>46</v>
      </c>
      <c r="F5289" t="s">
        <v>41</v>
      </c>
      <c r="G5289" s="89">
        <v>2191262</v>
      </c>
      <c r="H5289" t="s">
        <v>42</v>
      </c>
      <c r="I5289" t="s">
        <v>133</v>
      </c>
      <c r="J5289" s="89">
        <v>65737860</v>
      </c>
      <c r="K5289" t="s">
        <v>144</v>
      </c>
      <c r="N5289">
        <v>1</v>
      </c>
      <c r="O5289" s="89">
        <v>65737.86</v>
      </c>
      <c r="P5289" s="89">
        <v>1095631</v>
      </c>
      <c r="Q5289" t="s">
        <v>142</v>
      </c>
      <c r="R5289" t="s">
        <v>42</v>
      </c>
    </row>
    <row r="5290" spans="3:18" hidden="1" x14ac:dyDescent="0.25">
      <c r="C5290" t="s">
        <v>45</v>
      </c>
      <c r="D5290" t="s">
        <v>20</v>
      </c>
      <c r="E5290" t="s">
        <v>43</v>
      </c>
      <c r="F5290" t="s">
        <v>53</v>
      </c>
      <c r="G5290" s="89">
        <v>6194036</v>
      </c>
      <c r="H5290" t="s">
        <v>42</v>
      </c>
      <c r="I5290" t="s">
        <v>133</v>
      </c>
      <c r="J5290" s="89">
        <v>179627044</v>
      </c>
      <c r="K5290" t="s">
        <v>127</v>
      </c>
      <c r="L5290" t="s">
        <v>128</v>
      </c>
      <c r="M5290" t="s">
        <v>139</v>
      </c>
      <c r="N5290">
        <v>1</v>
      </c>
      <c r="O5290" s="89">
        <v>185821.08</v>
      </c>
      <c r="P5290" s="89">
        <v>3902242.68</v>
      </c>
      <c r="Q5290" t="s">
        <v>137</v>
      </c>
      <c r="R5290" t="s">
        <v>42</v>
      </c>
    </row>
    <row r="5291" spans="3:18" hidden="1" x14ac:dyDescent="0.25">
      <c r="C5291" t="s">
        <v>45</v>
      </c>
      <c r="D5291" t="s">
        <v>19</v>
      </c>
      <c r="E5291" t="s">
        <v>43</v>
      </c>
      <c r="F5291" t="s">
        <v>41</v>
      </c>
      <c r="G5291" s="89">
        <v>129534</v>
      </c>
      <c r="H5291" t="s">
        <v>42</v>
      </c>
      <c r="I5291" t="s">
        <v>133</v>
      </c>
      <c r="J5291" s="89">
        <v>4663224</v>
      </c>
      <c r="K5291" t="s">
        <v>134</v>
      </c>
      <c r="L5291" t="s">
        <v>128</v>
      </c>
      <c r="M5291" t="s">
        <v>143</v>
      </c>
      <c r="N5291">
        <v>1</v>
      </c>
      <c r="O5291" s="89">
        <v>5181.3599999999997</v>
      </c>
      <c r="P5291" s="89">
        <v>62176.32</v>
      </c>
      <c r="Q5291" t="s">
        <v>142</v>
      </c>
      <c r="R5291" t="s">
        <v>131</v>
      </c>
    </row>
    <row r="5292" spans="3:18" hidden="1" x14ac:dyDescent="0.25">
      <c r="C5292" t="s">
        <v>45</v>
      </c>
      <c r="D5292" t="s">
        <v>21</v>
      </c>
      <c r="E5292" t="s">
        <v>43</v>
      </c>
      <c r="F5292" t="s">
        <v>41</v>
      </c>
      <c r="G5292" s="89">
        <v>61806</v>
      </c>
      <c r="H5292" t="s">
        <v>42</v>
      </c>
      <c r="I5292" t="s">
        <v>133</v>
      </c>
      <c r="J5292" s="89">
        <v>1730568</v>
      </c>
      <c r="K5292" t="s">
        <v>127</v>
      </c>
      <c r="L5292" t="s">
        <v>128</v>
      </c>
      <c r="M5292" t="s">
        <v>148</v>
      </c>
      <c r="N5292">
        <v>1</v>
      </c>
      <c r="O5292" s="89">
        <v>1854.18</v>
      </c>
      <c r="P5292" s="89">
        <v>34611.360000000001</v>
      </c>
      <c r="Q5292" t="s">
        <v>142</v>
      </c>
      <c r="R5292" t="s">
        <v>42</v>
      </c>
    </row>
    <row r="5293" spans="3:18" hidden="1" x14ac:dyDescent="0.25">
      <c r="C5293" t="s">
        <v>45</v>
      </c>
      <c r="D5293" t="s">
        <v>21</v>
      </c>
      <c r="E5293" t="s">
        <v>40</v>
      </c>
      <c r="F5293" t="s">
        <v>41</v>
      </c>
      <c r="G5293" s="89">
        <v>78945</v>
      </c>
      <c r="H5293" t="s">
        <v>140</v>
      </c>
      <c r="I5293" t="s">
        <v>126</v>
      </c>
      <c r="J5293" s="89">
        <v>1026285</v>
      </c>
      <c r="K5293" t="s">
        <v>127</v>
      </c>
      <c r="L5293" t="s">
        <v>128</v>
      </c>
      <c r="N5293">
        <v>1</v>
      </c>
      <c r="O5293" s="89">
        <v>3157.8</v>
      </c>
      <c r="P5293" s="89">
        <v>88418.4</v>
      </c>
      <c r="Q5293" t="s">
        <v>150</v>
      </c>
      <c r="R5293" t="s">
        <v>131</v>
      </c>
    </row>
    <row r="5294" spans="3:18" hidden="1" x14ac:dyDescent="0.25">
      <c r="C5294" t="s">
        <v>45</v>
      </c>
      <c r="D5294" t="s">
        <v>19</v>
      </c>
      <c r="E5294" t="s">
        <v>43</v>
      </c>
      <c r="F5294" t="s">
        <v>41</v>
      </c>
      <c r="G5294" s="89">
        <v>422001</v>
      </c>
      <c r="H5294" t="s">
        <v>145</v>
      </c>
      <c r="I5294" t="s">
        <v>141</v>
      </c>
      <c r="J5294" s="89">
        <v>3376008</v>
      </c>
      <c r="K5294" t="s">
        <v>127</v>
      </c>
      <c r="L5294" t="s">
        <v>128</v>
      </c>
      <c r="N5294">
        <v>1</v>
      </c>
      <c r="O5294" s="89">
        <v>12660.03</v>
      </c>
      <c r="P5294" s="89">
        <v>189900.45</v>
      </c>
      <c r="Q5294" t="s">
        <v>142</v>
      </c>
      <c r="R5294" t="s">
        <v>131</v>
      </c>
    </row>
    <row r="5295" spans="3:18" hidden="1" x14ac:dyDescent="0.25">
      <c r="C5295" t="s">
        <v>45</v>
      </c>
      <c r="D5295" t="s">
        <v>21</v>
      </c>
      <c r="E5295" t="s">
        <v>40</v>
      </c>
      <c r="F5295" t="s">
        <v>41</v>
      </c>
      <c r="G5295" s="89">
        <v>511589</v>
      </c>
      <c r="H5295" t="s">
        <v>42</v>
      </c>
      <c r="I5295" t="s">
        <v>126</v>
      </c>
      <c r="J5295" s="89">
        <v>9208602</v>
      </c>
      <c r="K5295" t="s">
        <v>144</v>
      </c>
      <c r="N5295">
        <v>1</v>
      </c>
      <c r="O5295" s="89">
        <v>15347.67</v>
      </c>
      <c r="P5295" s="89">
        <v>245562.72</v>
      </c>
      <c r="Q5295" t="s">
        <v>142</v>
      </c>
      <c r="R5295" t="s">
        <v>131</v>
      </c>
    </row>
    <row r="5296" spans="3:18" hidden="1" x14ac:dyDescent="0.25">
      <c r="C5296" t="s">
        <v>45</v>
      </c>
      <c r="D5296" t="s">
        <v>23</v>
      </c>
      <c r="E5296" t="s">
        <v>43</v>
      </c>
      <c r="F5296" t="s">
        <v>41</v>
      </c>
      <c r="G5296" s="89">
        <v>1697953</v>
      </c>
      <c r="H5296" t="s">
        <v>42</v>
      </c>
      <c r="I5296" t="s">
        <v>133</v>
      </c>
      <c r="J5296" s="89">
        <v>50938590</v>
      </c>
      <c r="K5296" t="s">
        <v>127</v>
      </c>
      <c r="L5296" t="s">
        <v>128</v>
      </c>
      <c r="M5296" t="s">
        <v>152</v>
      </c>
      <c r="N5296">
        <v>1</v>
      </c>
      <c r="O5296" s="89">
        <v>50938.59</v>
      </c>
      <c r="P5296" s="89">
        <v>1205546.6299999999</v>
      </c>
      <c r="Q5296" t="s">
        <v>137</v>
      </c>
      <c r="R5296" t="s">
        <v>42</v>
      </c>
    </row>
    <row r="5297" spans="3:18" hidden="1" x14ac:dyDescent="0.25">
      <c r="C5297" t="s">
        <v>45</v>
      </c>
      <c r="D5297" t="s">
        <v>138</v>
      </c>
      <c r="E5297" t="s">
        <v>43</v>
      </c>
      <c r="F5297" t="s">
        <v>41</v>
      </c>
      <c r="G5297" s="89">
        <v>16684</v>
      </c>
      <c r="H5297" t="s">
        <v>132</v>
      </c>
      <c r="I5297" t="s">
        <v>147</v>
      </c>
      <c r="J5297" s="89">
        <v>33368</v>
      </c>
      <c r="K5297" t="s">
        <v>127</v>
      </c>
      <c r="L5297" t="s">
        <v>151</v>
      </c>
      <c r="N5297">
        <v>1</v>
      </c>
      <c r="O5297" s="89">
        <v>333.68</v>
      </c>
      <c r="P5297" s="89">
        <v>6173.08</v>
      </c>
      <c r="Q5297" t="s">
        <v>130</v>
      </c>
      <c r="R5297" t="s">
        <v>131</v>
      </c>
    </row>
    <row r="5298" spans="3:18" hidden="1" x14ac:dyDescent="0.25">
      <c r="C5298" t="s">
        <v>45</v>
      </c>
      <c r="D5298" t="s">
        <v>22</v>
      </c>
      <c r="E5298" t="s">
        <v>40</v>
      </c>
      <c r="F5298" t="s">
        <v>41</v>
      </c>
      <c r="G5298" s="89">
        <v>69719</v>
      </c>
      <c r="H5298" t="s">
        <v>140</v>
      </c>
      <c r="I5298" t="s">
        <v>147</v>
      </c>
      <c r="J5298" s="89">
        <v>278876</v>
      </c>
      <c r="K5298" t="s">
        <v>127</v>
      </c>
      <c r="L5298" t="s">
        <v>128</v>
      </c>
      <c r="N5298">
        <v>1</v>
      </c>
      <c r="O5298" s="89">
        <v>2788.76</v>
      </c>
      <c r="P5298" s="89">
        <v>62747.1</v>
      </c>
      <c r="Q5298" t="s">
        <v>135</v>
      </c>
      <c r="R5298" t="s">
        <v>131</v>
      </c>
    </row>
    <row r="5299" spans="3:18" hidden="1" x14ac:dyDescent="0.25">
      <c r="C5299" t="s">
        <v>45</v>
      </c>
      <c r="D5299" t="s">
        <v>23</v>
      </c>
      <c r="E5299" t="s">
        <v>40</v>
      </c>
      <c r="F5299" t="s">
        <v>41</v>
      </c>
      <c r="G5299" s="89">
        <v>159099</v>
      </c>
      <c r="H5299" t="s">
        <v>146</v>
      </c>
      <c r="I5299" t="s">
        <v>141</v>
      </c>
      <c r="J5299" s="89">
        <v>1590990</v>
      </c>
      <c r="K5299" t="s">
        <v>144</v>
      </c>
      <c r="N5299">
        <v>1</v>
      </c>
      <c r="O5299" s="89">
        <v>4772.97</v>
      </c>
      <c r="P5299" s="89">
        <v>92277.42</v>
      </c>
      <c r="Q5299" t="s">
        <v>142</v>
      </c>
      <c r="R5299" t="s">
        <v>131</v>
      </c>
    </row>
    <row r="5300" spans="3:18" hidden="1" x14ac:dyDescent="0.25">
      <c r="C5300" t="s">
        <v>45</v>
      </c>
      <c r="D5300" t="s">
        <v>138</v>
      </c>
      <c r="E5300" t="s">
        <v>40</v>
      </c>
      <c r="F5300" t="s">
        <v>41</v>
      </c>
      <c r="G5300" s="89">
        <v>8763407</v>
      </c>
      <c r="H5300" t="s">
        <v>42</v>
      </c>
      <c r="I5300" t="s">
        <v>141</v>
      </c>
      <c r="J5300" s="89">
        <v>70107256</v>
      </c>
      <c r="K5300" t="s">
        <v>127</v>
      </c>
      <c r="L5300" t="s">
        <v>128</v>
      </c>
      <c r="M5300" t="s">
        <v>139</v>
      </c>
      <c r="N5300">
        <v>1</v>
      </c>
      <c r="O5300" s="89">
        <v>350536.28</v>
      </c>
      <c r="P5300" s="89">
        <v>3768265.01</v>
      </c>
      <c r="Q5300" t="s">
        <v>142</v>
      </c>
      <c r="R5300" t="s">
        <v>131</v>
      </c>
    </row>
    <row r="5301" spans="3:18" hidden="1" x14ac:dyDescent="0.25">
      <c r="C5301" t="s">
        <v>45</v>
      </c>
      <c r="D5301" t="s">
        <v>138</v>
      </c>
      <c r="E5301" t="s">
        <v>43</v>
      </c>
      <c r="F5301" t="s">
        <v>41</v>
      </c>
      <c r="G5301" s="89">
        <v>44964</v>
      </c>
      <c r="H5301" t="s">
        <v>132</v>
      </c>
      <c r="I5301" t="s">
        <v>126</v>
      </c>
      <c r="J5301" s="89">
        <v>494604</v>
      </c>
      <c r="K5301" t="s">
        <v>134</v>
      </c>
      <c r="N5301">
        <v>1</v>
      </c>
      <c r="O5301" s="89">
        <v>1348.92</v>
      </c>
      <c r="P5301" s="89">
        <v>11690.64</v>
      </c>
      <c r="Q5301" t="s">
        <v>130</v>
      </c>
      <c r="R5301" t="s">
        <v>131</v>
      </c>
    </row>
    <row r="5302" spans="3:18" hidden="1" x14ac:dyDescent="0.25">
      <c r="C5302" t="s">
        <v>45</v>
      </c>
      <c r="D5302" t="s">
        <v>24</v>
      </c>
      <c r="E5302" t="s">
        <v>44</v>
      </c>
      <c r="F5302" t="s">
        <v>41</v>
      </c>
      <c r="G5302" s="89">
        <v>39993</v>
      </c>
      <c r="H5302" t="s">
        <v>132</v>
      </c>
      <c r="I5302" t="s">
        <v>147</v>
      </c>
      <c r="J5302" s="89">
        <v>199965</v>
      </c>
      <c r="K5302" t="s">
        <v>127</v>
      </c>
      <c r="L5302" t="s">
        <v>128</v>
      </c>
      <c r="N5302">
        <v>1</v>
      </c>
      <c r="O5302" s="89">
        <v>1599.72</v>
      </c>
      <c r="P5302" s="89">
        <v>20796.36</v>
      </c>
      <c r="Q5302" t="s">
        <v>142</v>
      </c>
      <c r="R5302" t="s">
        <v>131</v>
      </c>
    </row>
    <row r="5303" spans="3:18" hidden="1" x14ac:dyDescent="0.25">
      <c r="C5303" t="s">
        <v>45</v>
      </c>
      <c r="D5303" t="s">
        <v>22</v>
      </c>
      <c r="E5303" t="s">
        <v>52</v>
      </c>
      <c r="F5303" t="s">
        <v>41</v>
      </c>
      <c r="G5303" s="89">
        <v>18789</v>
      </c>
      <c r="H5303" t="s">
        <v>42</v>
      </c>
      <c r="I5303" t="s">
        <v>141</v>
      </c>
      <c r="J5303" s="89">
        <v>169101</v>
      </c>
      <c r="K5303" t="s">
        <v>127</v>
      </c>
      <c r="L5303" t="s">
        <v>128</v>
      </c>
      <c r="M5303" t="s">
        <v>143</v>
      </c>
      <c r="N5303">
        <v>1</v>
      </c>
      <c r="O5303" s="89">
        <v>751.56</v>
      </c>
      <c r="P5303" s="89">
        <v>4697.25</v>
      </c>
      <c r="Q5303" t="s">
        <v>130</v>
      </c>
      <c r="R5303" t="s">
        <v>42</v>
      </c>
    </row>
    <row r="5304" spans="3:18" hidden="1" x14ac:dyDescent="0.25">
      <c r="C5304" t="s">
        <v>45</v>
      </c>
      <c r="D5304" t="s">
        <v>138</v>
      </c>
      <c r="E5304" t="s">
        <v>43</v>
      </c>
      <c r="F5304" t="s">
        <v>41</v>
      </c>
      <c r="G5304" s="89">
        <v>209650</v>
      </c>
      <c r="H5304" t="s">
        <v>145</v>
      </c>
      <c r="I5304" t="s">
        <v>133</v>
      </c>
      <c r="J5304" s="89">
        <v>6918450</v>
      </c>
      <c r="K5304" t="s">
        <v>127</v>
      </c>
      <c r="L5304" t="s">
        <v>128</v>
      </c>
      <c r="N5304">
        <v>1</v>
      </c>
      <c r="O5304" s="89">
        <v>6289.5</v>
      </c>
      <c r="P5304" s="89">
        <v>220132.5</v>
      </c>
      <c r="Q5304" t="s">
        <v>150</v>
      </c>
      <c r="R5304" t="s">
        <v>131</v>
      </c>
    </row>
    <row r="5305" spans="3:18" hidden="1" x14ac:dyDescent="0.25">
      <c r="C5305" t="s">
        <v>45</v>
      </c>
      <c r="D5305" t="s">
        <v>23</v>
      </c>
      <c r="E5305" t="s">
        <v>52</v>
      </c>
      <c r="F5305" t="s">
        <v>41</v>
      </c>
      <c r="G5305" s="89">
        <v>76394</v>
      </c>
      <c r="H5305" t="s">
        <v>42</v>
      </c>
      <c r="I5305" t="s">
        <v>141</v>
      </c>
      <c r="J5305" s="89">
        <v>611152</v>
      </c>
      <c r="K5305" t="s">
        <v>144</v>
      </c>
      <c r="N5305">
        <v>1</v>
      </c>
      <c r="O5305" s="89">
        <v>2291.8200000000002</v>
      </c>
      <c r="P5305" s="89">
        <v>43544.58</v>
      </c>
      <c r="Q5305" t="s">
        <v>142</v>
      </c>
      <c r="R5305" t="s">
        <v>42</v>
      </c>
    </row>
    <row r="5306" spans="3:18" hidden="1" x14ac:dyDescent="0.25">
      <c r="C5306" t="s">
        <v>45</v>
      </c>
      <c r="D5306" t="s">
        <v>24</v>
      </c>
      <c r="E5306" t="s">
        <v>43</v>
      </c>
      <c r="F5306" t="s">
        <v>41</v>
      </c>
      <c r="G5306" s="89">
        <v>74130</v>
      </c>
      <c r="H5306" t="s">
        <v>42</v>
      </c>
      <c r="I5306" t="s">
        <v>133</v>
      </c>
      <c r="J5306" s="89">
        <v>1927380</v>
      </c>
      <c r="K5306" t="s">
        <v>144</v>
      </c>
      <c r="N5306">
        <v>1</v>
      </c>
      <c r="O5306" s="89">
        <v>2223.9</v>
      </c>
      <c r="P5306" s="89">
        <v>19273.8</v>
      </c>
      <c r="Q5306" t="s">
        <v>130</v>
      </c>
      <c r="R5306" t="s">
        <v>131</v>
      </c>
    </row>
    <row r="5307" spans="3:18" x14ac:dyDescent="0.25">
      <c r="C5307" t="s">
        <v>47</v>
      </c>
      <c r="D5307" t="s">
        <v>22</v>
      </c>
      <c r="E5307" t="s">
        <v>40</v>
      </c>
      <c r="F5307" t="s">
        <v>41</v>
      </c>
      <c r="G5307" s="89">
        <v>975</v>
      </c>
      <c r="H5307" t="s">
        <v>145</v>
      </c>
      <c r="I5307" t="s">
        <v>133</v>
      </c>
      <c r="J5307" s="89">
        <v>23400</v>
      </c>
      <c r="K5307" t="s">
        <v>127</v>
      </c>
      <c r="L5307" t="s">
        <v>128</v>
      </c>
      <c r="N5307">
        <v>1</v>
      </c>
      <c r="O5307" s="89">
        <v>39</v>
      </c>
      <c r="P5307" s="89">
        <v>1462.5</v>
      </c>
      <c r="Q5307" t="s">
        <v>150</v>
      </c>
      <c r="R5307" t="s">
        <v>131</v>
      </c>
    </row>
    <row r="5308" spans="3:18" hidden="1" x14ac:dyDescent="0.25">
      <c r="C5308" t="s">
        <v>45</v>
      </c>
      <c r="D5308" t="s">
        <v>20</v>
      </c>
      <c r="E5308" t="s">
        <v>43</v>
      </c>
      <c r="F5308" t="s">
        <v>41</v>
      </c>
      <c r="G5308" s="89">
        <v>633056</v>
      </c>
      <c r="H5308" t="s">
        <v>140</v>
      </c>
      <c r="I5308" t="s">
        <v>126</v>
      </c>
      <c r="J5308" s="89">
        <v>12028064</v>
      </c>
      <c r="K5308" t="s">
        <v>127</v>
      </c>
      <c r="L5308" t="s">
        <v>128</v>
      </c>
      <c r="N5308">
        <v>1</v>
      </c>
      <c r="O5308" s="89">
        <v>18991.68</v>
      </c>
      <c r="P5308" s="89">
        <v>531767.04000000004</v>
      </c>
      <c r="Q5308" t="s">
        <v>135</v>
      </c>
      <c r="R5308" t="s">
        <v>131</v>
      </c>
    </row>
    <row r="5309" spans="3:18" hidden="1" x14ac:dyDescent="0.25">
      <c r="C5309" t="s">
        <v>45</v>
      </c>
      <c r="D5309" t="s">
        <v>21</v>
      </c>
      <c r="E5309" t="s">
        <v>43</v>
      </c>
      <c r="F5309" t="s">
        <v>41</v>
      </c>
      <c r="G5309" s="89">
        <v>1337220</v>
      </c>
      <c r="H5309" t="s">
        <v>146</v>
      </c>
      <c r="I5309" t="s">
        <v>147</v>
      </c>
      <c r="J5309" s="89">
        <v>0</v>
      </c>
      <c r="K5309" t="s">
        <v>134</v>
      </c>
      <c r="L5309" t="s">
        <v>128</v>
      </c>
      <c r="N5309">
        <v>1</v>
      </c>
      <c r="O5309" s="89">
        <v>53488.800000000003</v>
      </c>
      <c r="P5309" s="89">
        <v>615121.19999999995</v>
      </c>
      <c r="Q5309" t="s">
        <v>142</v>
      </c>
      <c r="R5309" t="s">
        <v>131</v>
      </c>
    </row>
    <row r="5310" spans="3:18" hidden="1" x14ac:dyDescent="0.25">
      <c r="C5310" t="s">
        <v>45</v>
      </c>
      <c r="D5310" t="s">
        <v>22</v>
      </c>
      <c r="E5310" t="s">
        <v>48</v>
      </c>
      <c r="F5310" t="s">
        <v>41</v>
      </c>
      <c r="G5310" s="89">
        <v>78248</v>
      </c>
      <c r="H5310" t="s">
        <v>42</v>
      </c>
      <c r="I5310" t="s">
        <v>126</v>
      </c>
      <c r="J5310" s="89">
        <v>860728</v>
      </c>
      <c r="K5310" t="s">
        <v>127</v>
      </c>
      <c r="L5310" t="s">
        <v>128</v>
      </c>
      <c r="M5310" t="s">
        <v>152</v>
      </c>
      <c r="N5310">
        <v>1</v>
      </c>
      <c r="O5310" s="89">
        <v>2347.44</v>
      </c>
      <c r="P5310" s="89">
        <v>24256.880000000001</v>
      </c>
      <c r="Q5310" t="s">
        <v>130</v>
      </c>
      <c r="R5310" t="s">
        <v>42</v>
      </c>
    </row>
    <row r="5311" spans="3:18" hidden="1" x14ac:dyDescent="0.25">
      <c r="C5311" t="s">
        <v>45</v>
      </c>
      <c r="D5311" t="s">
        <v>21</v>
      </c>
      <c r="E5311" t="s">
        <v>43</v>
      </c>
      <c r="F5311" t="s">
        <v>41</v>
      </c>
      <c r="G5311" s="89">
        <v>5446520</v>
      </c>
      <c r="H5311" t="s">
        <v>42</v>
      </c>
      <c r="I5311" t="s">
        <v>126</v>
      </c>
      <c r="J5311" s="89">
        <v>81697800</v>
      </c>
      <c r="K5311" t="s">
        <v>127</v>
      </c>
      <c r="L5311" t="s">
        <v>128</v>
      </c>
      <c r="M5311" t="s">
        <v>129</v>
      </c>
      <c r="N5311">
        <v>1</v>
      </c>
      <c r="O5311" s="89">
        <v>163395.6</v>
      </c>
      <c r="P5311" s="89">
        <v>1525025.6</v>
      </c>
      <c r="Q5311" t="s">
        <v>130</v>
      </c>
      <c r="R5311" t="s">
        <v>42</v>
      </c>
    </row>
    <row r="5312" spans="3:18" hidden="1" x14ac:dyDescent="0.25">
      <c r="C5312" t="s">
        <v>45</v>
      </c>
      <c r="D5312" t="s">
        <v>23</v>
      </c>
      <c r="E5312" t="s">
        <v>48</v>
      </c>
      <c r="F5312" t="s">
        <v>41</v>
      </c>
      <c r="G5312" s="89">
        <v>77431</v>
      </c>
      <c r="H5312" t="s">
        <v>42</v>
      </c>
      <c r="I5312" t="s">
        <v>133</v>
      </c>
      <c r="J5312" s="89">
        <v>2787516</v>
      </c>
      <c r="K5312" t="s">
        <v>127</v>
      </c>
      <c r="L5312" t="s">
        <v>128</v>
      </c>
      <c r="M5312" t="s">
        <v>139</v>
      </c>
      <c r="N5312">
        <v>1</v>
      </c>
      <c r="O5312" s="89">
        <v>2322.9299999999998</v>
      </c>
      <c r="P5312" s="89">
        <v>27875.16</v>
      </c>
      <c r="Q5312" t="s">
        <v>130</v>
      </c>
      <c r="R5312" t="s">
        <v>131</v>
      </c>
    </row>
    <row r="5313" spans="3:18" hidden="1" x14ac:dyDescent="0.25">
      <c r="C5313" t="s">
        <v>45</v>
      </c>
      <c r="D5313" t="s">
        <v>24</v>
      </c>
      <c r="E5313" t="s">
        <v>44</v>
      </c>
      <c r="F5313" t="s">
        <v>41</v>
      </c>
      <c r="G5313" s="89">
        <v>67684</v>
      </c>
      <c r="H5313" t="s">
        <v>140</v>
      </c>
      <c r="I5313" t="s">
        <v>126</v>
      </c>
      <c r="J5313" s="89">
        <v>1353680</v>
      </c>
      <c r="K5313" t="s">
        <v>144</v>
      </c>
      <c r="N5313">
        <v>1</v>
      </c>
      <c r="O5313" s="89">
        <v>2030.52</v>
      </c>
      <c r="P5313" s="89">
        <v>55500.88</v>
      </c>
      <c r="Q5313" t="s">
        <v>135</v>
      </c>
      <c r="R5313" t="s">
        <v>131</v>
      </c>
    </row>
    <row r="5314" spans="3:18" x14ac:dyDescent="0.25">
      <c r="C5314" t="s">
        <v>47</v>
      </c>
      <c r="D5314" t="s">
        <v>20</v>
      </c>
      <c r="E5314" t="s">
        <v>43</v>
      </c>
      <c r="F5314" t="s">
        <v>41</v>
      </c>
      <c r="G5314" s="89">
        <v>25286858</v>
      </c>
      <c r="H5314" t="s">
        <v>140</v>
      </c>
      <c r="I5314" t="s">
        <v>126</v>
      </c>
      <c r="J5314" s="89">
        <v>303442296</v>
      </c>
      <c r="K5314" t="s">
        <v>127</v>
      </c>
      <c r="L5314" t="s">
        <v>128</v>
      </c>
      <c r="N5314">
        <v>1</v>
      </c>
      <c r="O5314" s="89">
        <v>1264342.8999999999</v>
      </c>
      <c r="P5314" s="89">
        <v>16942194.859999999</v>
      </c>
      <c r="Q5314" t="s">
        <v>137</v>
      </c>
      <c r="R5314" t="s">
        <v>131</v>
      </c>
    </row>
    <row r="5315" spans="3:18" x14ac:dyDescent="0.25"/>
  </sheetData>
  <autoFilter ref="C6:R5314" xr:uid="{00000000-0001-0000-0200-000000000000}">
    <filterColumn colId="0">
      <filters>
        <filter val="Garantia Comercial"/>
      </filters>
    </filterColumn>
  </autoFilter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 tint="0.499984740745262"/>
    <pageSetUpPr autoPageBreaks="0"/>
  </sheetPr>
  <dimension ref="A1:Z85"/>
  <sheetViews>
    <sheetView tabSelected="1" zoomScale="85" zoomScaleNormal="80" workbookViewId="0">
      <selection activeCell="A9" sqref="A9"/>
    </sheetView>
  </sheetViews>
  <sheetFormatPr defaultColWidth="0" defaultRowHeight="14.45" customHeight="1" zeroHeight="1" x14ac:dyDescent="0.25"/>
  <cols>
    <col min="1" max="1" width="9.42578125" style="64" customWidth="1"/>
    <col min="2" max="2" width="3" style="64" bestFit="1" customWidth="1"/>
    <col min="3" max="3" width="126.140625" style="64" bestFit="1" customWidth="1"/>
    <col min="4" max="4" width="18.5703125" style="64" customWidth="1"/>
    <col min="5" max="5" width="15.85546875" style="64" bestFit="1" customWidth="1"/>
    <col min="6" max="6" width="14.85546875" style="64" bestFit="1" customWidth="1"/>
    <col min="7" max="10" width="14.5703125" style="64" bestFit="1" customWidth="1"/>
    <col min="11" max="11" width="15" style="64" bestFit="1" customWidth="1"/>
    <col min="12" max="12" width="23.42578125" style="64" customWidth="1"/>
    <col min="13" max="13" width="16" style="64" bestFit="1" customWidth="1"/>
    <col min="14" max="14" width="14.5703125" style="64" bestFit="1" customWidth="1"/>
    <col min="15" max="20" width="14.42578125" style="64" bestFit="1" customWidth="1"/>
    <col min="21" max="21" width="27.42578125" style="64" bestFit="1" customWidth="1"/>
    <col min="22" max="22" width="8.5703125" style="64" customWidth="1"/>
    <col min="23" max="16384" width="8.5703125" style="64" hidden="1"/>
  </cols>
  <sheetData>
    <row r="1" spans="1:26" s="42" customFormat="1" ht="15" x14ac:dyDescent="0.25">
      <c r="D1" s="5"/>
      <c r="E1" s="79"/>
      <c r="F1" s="78"/>
      <c r="G1" s="78"/>
      <c r="H1" s="78"/>
      <c r="I1" s="78"/>
      <c r="J1" s="78"/>
      <c r="K1" s="78"/>
      <c r="L1" s="78"/>
      <c r="M1" s="78" t="s">
        <v>42</v>
      </c>
      <c r="N1" s="78" t="s">
        <v>42</v>
      </c>
      <c r="O1" s="78" t="s">
        <v>42</v>
      </c>
      <c r="P1" s="78" t="s">
        <v>42</v>
      </c>
      <c r="Q1" s="78" t="s">
        <v>42</v>
      </c>
      <c r="R1" s="78" t="s">
        <v>42</v>
      </c>
      <c r="S1" s="78" t="s">
        <v>42</v>
      </c>
      <c r="T1" s="78" t="s">
        <v>50</v>
      </c>
      <c r="U1" s="78" t="s">
        <v>51</v>
      </c>
    </row>
    <row r="2" spans="1:26" s="42" customFormat="1" ht="15" x14ac:dyDescent="0.25">
      <c r="C2" s="44" t="s">
        <v>38</v>
      </c>
      <c r="D2" s="5" t="s">
        <v>41</v>
      </c>
      <c r="E2" s="79"/>
      <c r="F2" s="79"/>
      <c r="G2" s="79"/>
      <c r="H2" s="79"/>
      <c r="I2" s="79"/>
      <c r="J2" s="79"/>
      <c r="K2" s="79"/>
      <c r="L2" s="79"/>
      <c r="M2" s="5" t="s">
        <v>49</v>
      </c>
      <c r="N2" s="5" t="s">
        <v>49</v>
      </c>
      <c r="O2" s="5" t="s">
        <v>49</v>
      </c>
      <c r="P2" s="5" t="s">
        <v>49</v>
      </c>
      <c r="Q2" s="5" t="s">
        <v>49</v>
      </c>
      <c r="R2" s="5" t="s">
        <v>49</v>
      </c>
      <c r="S2" s="5" t="s">
        <v>49</v>
      </c>
      <c r="T2" s="78"/>
      <c r="U2" s="78"/>
      <c r="V2" s="43"/>
      <c r="W2" s="43"/>
      <c r="X2" s="43"/>
      <c r="Y2" s="43"/>
      <c r="Z2" s="43"/>
    </row>
    <row r="3" spans="1:26" s="42" customFormat="1" ht="15" x14ac:dyDescent="0.25">
      <c r="C3" s="44"/>
      <c r="D3" s="5" t="s">
        <v>53</v>
      </c>
      <c r="E3" s="5" t="s">
        <v>43</v>
      </c>
      <c r="F3" s="5" t="s">
        <v>40</v>
      </c>
      <c r="G3" s="5" t="s">
        <v>48</v>
      </c>
      <c r="H3" s="5" t="s">
        <v>44</v>
      </c>
      <c r="I3" s="5" t="s">
        <v>46</v>
      </c>
      <c r="J3" s="5" t="s">
        <v>52</v>
      </c>
      <c r="K3" s="79"/>
      <c r="L3" s="79"/>
      <c r="M3" s="5" t="s">
        <v>79</v>
      </c>
      <c r="N3" s="5" t="s">
        <v>79</v>
      </c>
      <c r="O3" s="5" t="s">
        <v>79</v>
      </c>
      <c r="P3" s="5" t="s">
        <v>79</v>
      </c>
      <c r="Q3" s="5" t="s">
        <v>79</v>
      </c>
      <c r="R3" s="5" t="s">
        <v>79</v>
      </c>
      <c r="S3" s="5" t="s">
        <v>79</v>
      </c>
      <c r="T3" s="79"/>
      <c r="U3" s="79"/>
      <c r="V3" s="43"/>
      <c r="W3" s="43"/>
      <c r="X3" s="43"/>
      <c r="Y3" s="43"/>
      <c r="Z3" s="43"/>
    </row>
    <row r="4" spans="1:26" s="42" customFormat="1" ht="12.75" x14ac:dyDescent="0.2">
      <c r="D4" s="45" t="s">
        <v>0</v>
      </c>
      <c r="E4" s="45" t="s">
        <v>1</v>
      </c>
      <c r="F4" s="45" t="s">
        <v>2</v>
      </c>
      <c r="G4" s="45" t="s">
        <v>3</v>
      </c>
      <c r="H4" s="45" t="s">
        <v>4</v>
      </c>
      <c r="I4" s="45" t="s">
        <v>5</v>
      </c>
      <c r="J4" s="45" t="s">
        <v>6</v>
      </c>
      <c r="K4" s="45" t="s">
        <v>7</v>
      </c>
      <c r="L4" s="45" t="s">
        <v>8</v>
      </c>
      <c r="M4" s="45" t="s">
        <v>9</v>
      </c>
      <c r="N4" s="45" t="s">
        <v>10</v>
      </c>
      <c r="O4" s="45" t="s">
        <v>11</v>
      </c>
      <c r="P4" s="45" t="s">
        <v>27</v>
      </c>
      <c r="Q4" s="45" t="s">
        <v>28</v>
      </c>
      <c r="R4" s="45" t="s">
        <v>29</v>
      </c>
      <c r="S4" s="45" t="s">
        <v>30</v>
      </c>
      <c r="T4" s="45" t="s">
        <v>83</v>
      </c>
      <c r="U4" s="45" t="s">
        <v>84</v>
      </c>
    </row>
    <row r="5" spans="1:26" s="42" customFormat="1" ht="24" customHeight="1" x14ac:dyDescent="0.2">
      <c r="C5" s="46" t="s">
        <v>12</v>
      </c>
      <c r="D5" s="97" t="s">
        <v>85</v>
      </c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9"/>
      <c r="V5" s="47"/>
    </row>
    <row r="6" spans="1:26" s="42" customFormat="1" ht="28.5" customHeight="1" x14ac:dyDescent="0.2">
      <c r="C6" s="48"/>
      <c r="D6" s="49"/>
      <c r="E6" s="100" t="s">
        <v>37</v>
      </c>
      <c r="F6" s="101"/>
      <c r="G6" s="101"/>
      <c r="H6" s="101"/>
      <c r="I6" s="101"/>
      <c r="J6" s="101"/>
      <c r="K6" s="97" t="s">
        <v>86</v>
      </c>
      <c r="L6" s="102"/>
      <c r="M6" s="100" t="s">
        <v>26</v>
      </c>
      <c r="N6" s="101"/>
      <c r="O6" s="101"/>
      <c r="P6" s="101"/>
      <c r="Q6" s="101"/>
      <c r="R6" s="101"/>
      <c r="S6" s="102"/>
      <c r="T6" s="97" t="s">
        <v>36</v>
      </c>
      <c r="U6" s="99"/>
      <c r="V6" s="47"/>
    </row>
    <row r="7" spans="1:26" s="42" customFormat="1" ht="60" customHeight="1" x14ac:dyDescent="0.2">
      <c r="C7" s="50"/>
      <c r="D7" s="51"/>
      <c r="E7" s="52" t="s">
        <v>13</v>
      </c>
      <c r="F7" s="52" t="s">
        <v>14</v>
      </c>
      <c r="G7" s="52" t="s">
        <v>15</v>
      </c>
      <c r="H7" s="52" t="s">
        <v>16</v>
      </c>
      <c r="I7" s="52" t="s">
        <v>17</v>
      </c>
      <c r="J7" s="52" t="s">
        <v>18</v>
      </c>
      <c r="K7" s="51"/>
      <c r="L7" s="53" t="s">
        <v>87</v>
      </c>
      <c r="M7" s="51" t="s">
        <v>19</v>
      </c>
      <c r="N7" s="51" t="s">
        <v>20</v>
      </c>
      <c r="O7" s="51" t="s">
        <v>21</v>
      </c>
      <c r="P7" s="51" t="s">
        <v>22</v>
      </c>
      <c r="Q7" s="51" t="s">
        <v>23</v>
      </c>
      <c r="R7" s="51" t="s">
        <v>24</v>
      </c>
      <c r="S7" s="51" t="s">
        <v>25</v>
      </c>
      <c r="T7" s="54"/>
      <c r="U7" s="55" t="s">
        <v>88</v>
      </c>
      <c r="V7" s="47"/>
    </row>
    <row r="8" spans="1:26" s="42" customFormat="1" ht="12.75" x14ac:dyDescent="0.2">
      <c r="A8" s="78"/>
      <c r="B8" s="45">
        <v>1</v>
      </c>
      <c r="C8" s="56" t="s">
        <v>34</v>
      </c>
      <c r="D8" s="88"/>
      <c r="E8" s="88"/>
      <c r="F8" s="88"/>
      <c r="G8" s="88"/>
      <c r="H8" s="88"/>
      <c r="I8" s="88"/>
      <c r="J8" s="88"/>
      <c r="K8" s="80">
        <f>+SUM(K9:K11)</f>
        <v>23784999401</v>
      </c>
      <c r="L8" s="81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0.99170521395969824</v>
      </c>
      <c r="M8" s="88"/>
      <c r="N8" s="88"/>
      <c r="O8" s="88"/>
      <c r="P8" s="88"/>
      <c r="Q8" s="88"/>
      <c r="R8" s="88"/>
      <c r="S8" s="88"/>
      <c r="T8" s="88"/>
      <c r="U8" s="81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0.98461246786816969</v>
      </c>
      <c r="V8" s="47"/>
    </row>
    <row r="9" spans="1:26" s="42" customFormat="1" ht="12.75" x14ac:dyDescent="0.2">
      <c r="A9" s="78" t="s">
        <v>47</v>
      </c>
      <c r="B9" s="45">
        <v>2</v>
      </c>
      <c r="C9" s="57" t="s">
        <v>31</v>
      </c>
      <c r="D9" s="88"/>
      <c r="E9" s="88"/>
      <c r="F9" s="88"/>
      <c r="G9" s="88"/>
      <c r="H9" s="88"/>
      <c r="I9" s="88"/>
      <c r="J9" s="88"/>
      <c r="K9" s="80">
        <f>ROUND(SUMIFS(Input!$G:$G,Input!$C:$C,'2.CC Trans-BB.RE collateral'!$A$9,Input!$F:$F,'2.CC Trans-BB.RE collateral'!$D$2,Input!$R:$R,"&lt;&gt;"&amp;$S$1),0)</f>
        <v>2512634365</v>
      </c>
      <c r="L9" s="81">
        <f>(SUMIFS(Input!$G:$G,Input!$C:$C,$A$9,Input!$R:$R,"&lt;&gt;"&amp;$S$1,Input!$R:$R,"&lt;&gt;"&amp;"",Input!$R:$R,"&lt;&gt;"&amp;$U$1,Input!$R:$R,"&lt;&gt;"&amp;$S$3,Input!$F:$F,'2.CC Trans-BB.RE collateral'!$D$2))/$K9</f>
        <v>0.93713055381219379</v>
      </c>
      <c r="M9" s="88"/>
      <c r="N9" s="88"/>
      <c r="O9" s="88"/>
      <c r="P9" s="88"/>
      <c r="Q9" s="88"/>
      <c r="R9" s="88"/>
      <c r="S9" s="88"/>
      <c r="T9" s="88"/>
      <c r="U9" s="81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0.93022152927989643</v>
      </c>
      <c r="V9" s="47"/>
    </row>
    <row r="10" spans="1:26" s="42" customFormat="1" ht="12.75" x14ac:dyDescent="0.2">
      <c r="A10" s="78" t="s">
        <v>45</v>
      </c>
      <c r="B10" s="45">
        <v>3</v>
      </c>
      <c r="C10" s="57" t="s">
        <v>32</v>
      </c>
      <c r="D10" s="88"/>
      <c r="E10" s="88"/>
      <c r="F10" s="88"/>
      <c r="G10" s="88"/>
      <c r="H10" s="88"/>
      <c r="I10" s="88"/>
      <c r="J10" s="88"/>
      <c r="K10" s="80">
        <f>ROUND(SUMIFS(Input!$G:$G,Input!$C:$C,'2.CC Trans-BB.RE collateral'!$A$10,Input!$F:$F,'2.CC Trans-BB.RE collateral'!$D$2,Input!$R:$R,"&lt;&gt;"&amp;$S$1),0)</f>
        <v>21215191176</v>
      </c>
      <c r="L10" s="81">
        <f>(SUMIFS(Input!$G:$G,Input!$C:$C,$A$10,Input!$R:$R,"&lt;&gt;"&amp;$S$1,Input!$R:$R,"&lt;&gt;"&amp;"",Input!$R:$R,"&lt;&gt;"&amp;$U$1,Input!$R:$R,"&lt;&gt;"&amp;$S$3,Input!$F:$F,'2.CC Trans-BB.RE collateral'!$D$2))/$K10</f>
        <v>0.99827959424465196</v>
      </c>
      <c r="M10" s="88"/>
      <c r="N10" s="88"/>
      <c r="O10" s="88"/>
      <c r="P10" s="88"/>
      <c r="Q10" s="88"/>
      <c r="R10" s="88"/>
      <c r="S10" s="88"/>
      <c r="T10" s="88"/>
      <c r="U10" s="81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0.995781327400869</v>
      </c>
      <c r="V10" s="47"/>
    </row>
    <row r="11" spans="1:26" s="42" customFormat="1" ht="12.75" x14ac:dyDescent="0.2">
      <c r="A11" s="78" t="s">
        <v>39</v>
      </c>
      <c r="B11" s="45">
        <v>4</v>
      </c>
      <c r="C11" s="57" t="s">
        <v>33</v>
      </c>
      <c r="D11" s="88"/>
      <c r="E11" s="88"/>
      <c r="F11" s="88"/>
      <c r="G11" s="88"/>
      <c r="H11" s="88"/>
      <c r="I11" s="88"/>
      <c r="J11" s="88"/>
      <c r="K11" s="80">
        <f>ROUND(SUMIFS(Input!$G:$G,Input!$C:$C,'2.CC Trans-BB.RE collateral'!$A$11,Input!$F:$F,'2.CC Trans-BB.RE collateral'!$D$2,Input!$R:$R,"&lt;&gt;"&amp;$S$1),0)</f>
        <v>57173860</v>
      </c>
      <c r="L11" s="81">
        <f>IFERROR((SUMIFS(Input!$G:$G,Input!$C:$C,$A$11,Input!$F:$F,'2.CC Trans-BB.RE collateral'!$D$2,Input!$R:$R,"&lt;&gt;"&amp;$S$1,Input!$R:$R,"&lt;&gt;"&amp;"",Input!$R:$R,"&lt;&gt;"&amp;$U$1,Input!$R:$R,"&lt;&gt;"&amp;$S$3))/$K11,0)</f>
        <v>0.95059257849653667</v>
      </c>
      <c r="M11" s="88"/>
      <c r="N11" s="88"/>
      <c r="O11" s="88"/>
      <c r="P11" s="88"/>
      <c r="Q11" s="88"/>
      <c r="R11" s="88"/>
      <c r="S11" s="88"/>
      <c r="T11" s="88"/>
      <c r="U11" s="81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0.94903225787826717</v>
      </c>
      <c r="V11" s="47"/>
    </row>
    <row r="12" spans="1:26" s="42" customFormat="1" ht="12.75" x14ac:dyDescent="0.2">
      <c r="A12" s="78" t="s">
        <v>50</v>
      </c>
      <c r="B12" s="45">
        <v>5</v>
      </c>
      <c r="C12" s="58" t="s">
        <v>89</v>
      </c>
      <c r="D12" s="88"/>
      <c r="E12" s="88"/>
      <c r="F12" s="88"/>
      <c r="G12" s="88"/>
      <c r="H12" s="88"/>
      <c r="I12" s="88"/>
      <c r="J12" s="88"/>
      <c r="K12" s="82">
        <f>ROUND(SUM(SUMIFS(Input!$G:$G,Input!$C:$C,{"Garantia Comercial";"Garantia Residencial";"Stock"},Input!$E:$E,"&lt;&gt;"&amp;$A$12,Input!$R:$R,"&lt;&gt;"&amp;$S$1,Input!$F:$F,'2.CC Trans-BB.RE collateral'!$D$2)),0)</f>
        <v>23587707920</v>
      </c>
      <c r="L12" s="83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1</v>
      </c>
      <c r="M12" s="80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1061650114</v>
      </c>
      <c r="N12" s="80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1321016776</v>
      </c>
      <c r="O12" s="80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5076559221</v>
      </c>
      <c r="P12" s="80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3255310189</v>
      </c>
      <c r="Q12" s="80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1543089226</v>
      </c>
      <c r="R12" s="80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990854132</v>
      </c>
      <c r="S12" s="80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63966739</v>
      </c>
      <c r="T12" s="88"/>
      <c r="U12" s="83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0.99914567690828882</v>
      </c>
      <c r="V12" s="47"/>
    </row>
    <row r="13" spans="1:26" s="42" customFormat="1" ht="15.75" customHeight="1" x14ac:dyDescent="0.2">
      <c r="A13" s="78"/>
      <c r="B13" s="45"/>
      <c r="C13" s="103" t="s">
        <v>90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5"/>
      <c r="V13" s="47"/>
    </row>
    <row r="14" spans="1:26" s="42" customFormat="1" ht="12.75" x14ac:dyDescent="0.2">
      <c r="B14" s="45">
        <v>6</v>
      </c>
      <c r="C14" s="59" t="s">
        <v>91</v>
      </c>
      <c r="D14" s="84">
        <f>SUMIFS(Input!$P:$P,Input!$C:$C,'2.CC Trans-BB.RE collateral'!$A$9,Input!$F:$F,'2.CC Trans-BB.RE collateral'!$D$2) / SUMIFS(Input!$G:$G,Input!$C:$C,'2.CC Trans-BB.RE collateral'!$A$9,Input!$F:$F,'2.CC Trans-BB.RE collateral'!$D$2)</f>
        <v>0.45345393897506669</v>
      </c>
      <c r="E14" s="84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0.40708911608658732</v>
      </c>
      <c r="F14" s="84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0.42639800134460926</v>
      </c>
      <c r="G14" s="84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0.49443243756148769</v>
      </c>
      <c r="H14" s="84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0.40123742822701003</v>
      </c>
      <c r="I14" s="84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0.58264680844374894</v>
      </c>
      <c r="J14" s="84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0.53184048462224087</v>
      </c>
      <c r="K14" s="84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0.45338866746734185</v>
      </c>
      <c r="L14" s="60"/>
      <c r="M14" s="84">
        <f>SUM(SUMIFS(Input!$P:$P,Input!$C:$C,'2.CC Trans-BB.RE collateral'!$A$9,Input!$D:$D,'2.CC Trans-BB.RE collateral'!M$7&amp;"*",Input!$H:$H,{"1-REAL";"SANTANDER"},Input!$F:$F,'2.CC Trans-BB.RE collateral'!$D$2)) / SUM(SUMIFS(Input!$G:$G,Input!$C:$C,'2.CC Trans-BB.RE collateral'!$A$9,Input!$D:$D,'2.CC Trans-BB.RE collateral'!M$7&amp;"*",Input!$H:$H,{"1-REAL";"SANTANDER"},Input!$F:$F,'2.CC Trans-BB.RE collateral'!$D$2))</f>
        <v>0.58702813585567448</v>
      </c>
      <c r="N14" s="84">
        <f>SUM(SUMIFS(Input!$P:$P,Input!$C:$C,'2.CC Trans-BB.RE collateral'!$A$9,Input!$D:$D,'2.CC Trans-BB.RE collateral'!N$7&amp;"*",Input!$H:$H,{"1-REAL";"SANTANDER"},Input!$F:$F,'2.CC Trans-BB.RE collateral'!$D$2)) / SUM(SUMIFS(Input!$G:$G,Input!$C:$C,'2.CC Trans-BB.RE collateral'!$A$9,Input!$D:$D,'2.CC Trans-BB.RE collateral'!N$7&amp;"*",Input!$H:$H,{"1-REAL";"SANTANDER"},Input!$F:$F,'2.CC Trans-BB.RE collateral'!$D$2))</f>
        <v>0.46436773379396806</v>
      </c>
      <c r="O14" s="84">
        <f>SUM(SUMIFS(Input!$P:$P,Input!$C:$C,'2.CC Trans-BB.RE collateral'!$A$9,Input!$D:$D,'2.CC Trans-BB.RE collateral'!O$7&amp;"*",Input!$H:$H,{"1-REAL";"SANTANDER"},Input!$F:$F,'2.CC Trans-BB.RE collateral'!$D$2)) / SUM(SUMIFS(Input!$G:$G,Input!$C:$C,'2.CC Trans-BB.RE collateral'!$A$9,Input!$D:$D,'2.CC Trans-BB.RE collateral'!O$7&amp;"*",Input!$H:$H,{"1-REAL";"SANTANDER"},Input!$F:$F,'2.CC Trans-BB.RE collateral'!$D$2))</f>
        <v>0.50240784248043702</v>
      </c>
      <c r="P14" s="84">
        <f>SUM(SUMIFS(Input!$P:$P,Input!$C:$C,'2.CC Trans-BB.RE collateral'!$A$9,Input!$D:$D,'2.CC Trans-BB.RE collateral'!P$7&amp;"*",Input!$H:$H,{"1-REAL";"SANTANDER"},Input!$F:$F,'2.CC Trans-BB.RE collateral'!$D$2)) / SUM(SUMIFS(Input!$G:$G,Input!$C:$C,'2.CC Trans-BB.RE collateral'!$A$9,Input!$D:$D,'2.CC Trans-BB.RE collateral'!P$7&amp;"*",Input!$H:$H,{"1-REAL";"SANTANDER"},Input!$F:$F,'2.CC Trans-BB.RE collateral'!$D$2))</f>
        <v>0.44978828801616505</v>
      </c>
      <c r="Q14" s="84">
        <f>SUM(SUMIFS(Input!$P:$P,Input!$C:$C,'2.CC Trans-BB.RE collateral'!$A$9,Input!$D:$D,'2.CC Trans-BB.RE collateral'!Q$7&amp;"*",Input!$H:$H,{"1-REAL";"SANTANDER"},Input!$F:$F,'2.CC Trans-BB.RE collateral'!$D$2)) / SUM(SUMIFS(Input!$G:$G,Input!$C:$C,'2.CC Trans-BB.RE collateral'!$A$9,Input!$D:$D,'2.CC Trans-BB.RE collateral'!Q$7&amp;"*",Input!$H:$H,{"1-REAL";"SANTANDER"},Input!$F:$F,'2.CC Trans-BB.RE collateral'!$D$2))</f>
        <v>0.35304192363109516</v>
      </c>
      <c r="R14" s="84">
        <f>SUM(SUMIFS(Input!$P:$P,Input!$C:$C,'2.CC Trans-BB.RE collateral'!$A$9,Input!$D:$D,'2.CC Trans-BB.RE collateral'!R$7&amp;"*",Input!$H:$H,{"1-REAL";"SANTANDER"},Input!$F:$F,'2.CC Trans-BB.RE collateral'!$D$2)) / SUM(SUMIFS(Input!$G:$G,Input!$C:$C,'2.CC Trans-BB.RE collateral'!$A$9,Input!$D:$D,'2.CC Trans-BB.RE collateral'!R$7&amp;"*",Input!$H:$H,{"1-REAL";"SANTANDER"},Input!$F:$F,'2.CC Trans-BB.RE collateral'!$D$2))</f>
        <v>0.45271155219603193</v>
      </c>
      <c r="S14" s="84">
        <f>SUM(SUMIFS(Input!$P:$P,Input!$C:$C,'2.CC Trans-BB.RE collateral'!$A$9,Input!$D:$D,'2.CC Trans-BB.RE collateral'!S$7&amp;"*",Input!$H:$H,{"1-REAL";"SANTANDER"},Input!$F:$F,'2.CC Trans-BB.RE collateral'!$D$2)) / SUM(SUMIFS(Input!$G:$G,Input!$C:$C,'2.CC Trans-BB.RE collateral'!$A$9,Input!$D:$D,'2.CC Trans-BB.RE collateral'!S$7&amp;"*",Input!$H:$H,{"1-REAL";"SANTANDER"},Input!$F:$F,'2.CC Trans-BB.RE collateral'!$D$2))</f>
        <v>0.34114963193657982</v>
      </c>
      <c r="T14" s="84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0.45117356061492103</v>
      </c>
      <c r="U14" s="60"/>
      <c r="V14" s="47"/>
    </row>
    <row r="15" spans="1:26" s="42" customFormat="1" ht="12.75" x14ac:dyDescent="0.2">
      <c r="B15" s="45">
        <v>7</v>
      </c>
      <c r="C15" s="59" t="s">
        <v>92</v>
      </c>
      <c r="D15" s="85">
        <f>ROUND(SUMIFS(Input!$G:$G,Input!$C:$C,'2.CC Trans-BB.RE collateral'!$A$9,Input!$Q:$Q,"LTV4",Input!$F:$F,'2.CC Trans-BB.RE collateral'!$D$2),0)</f>
        <v>249574783</v>
      </c>
      <c r="E15" s="85">
        <f>ROUND(SUMIFS(Input!$G:$G,Input!$C:$C,'2.CC Trans-BB.RE collateral'!$A$9,Input!$Q:$Q,"LTV4",Input!$E:$E,'2.CC Trans-BB.RE collateral'!E$3,Input!$F:$F,'2.CC Trans-BB.RE collateral'!$D$2),0)</f>
        <v>22540701</v>
      </c>
      <c r="F15" s="85">
        <f>ROUND(SUMIFS(Input!$G:$G,Input!$C:$C,'2.CC Trans-BB.RE collateral'!$A$9,Input!$Q:$Q,"LTV4",Input!$E:$E,'2.CC Trans-BB.RE collateral'!F$3,Input!$F:$F,'2.CC Trans-BB.RE collateral'!$D$2),0)</f>
        <v>81440789</v>
      </c>
      <c r="G15" s="85">
        <f>ROUND(SUMIFS(Input!$G:$G,Input!$C:$C,'2.CC Trans-BB.RE collateral'!$A$9,Input!$Q:$Q,"LTV4",Input!$E:$E,'2.CC Trans-BB.RE collateral'!G$3,Input!$F:$F,'2.CC Trans-BB.RE collateral'!$D$2),0)</f>
        <v>20850286</v>
      </c>
      <c r="H15" s="85">
        <f>ROUND(SUMIFS(Input!$G:$G,Input!$C:$C,'2.CC Trans-BB.RE collateral'!$A$9,Input!$Q:$Q,"LTV4",Input!$E:$E,'2.CC Trans-BB.RE collateral'!H$3,Input!$F:$F,'2.CC Trans-BB.RE collateral'!$D$2),0)</f>
        <v>0</v>
      </c>
      <c r="I15" s="85">
        <f>ROUND(SUMIFS(Input!$G:$G,Input!$C:$C,'2.CC Trans-BB.RE collateral'!$A$9,Input!$Q:$Q,"LTV4",Input!$E:$E,'2.CC Trans-BB.RE collateral'!I$3,Input!$F:$F,'2.CC Trans-BB.RE collateral'!$D$2),0)</f>
        <v>2046050</v>
      </c>
      <c r="J15" s="85">
        <f>ROUND(SUMIFS(Input!$G:$G,Input!$C:$C,'2.CC Trans-BB.RE collateral'!$A$9,Input!$Q:$Q,"LTV4",Input!$E:$E,'2.CC Trans-BB.RE collateral'!J$3,Input!$F:$F,'2.CC Trans-BB.RE collateral'!$D$2),0)</f>
        <v>0</v>
      </c>
      <c r="K15" s="85">
        <f>ROUND(SUMIFS(Input!$G:$G,Input!$C:$C,'2.CC Trans-BB.RE collateral'!$A$9,Input!$Q:$Q,"LTV4",Input!$R:$R,"&lt;&gt;"&amp;$S$1,Input!$F:$F,'2.CC Trans-BB.RE collateral'!$D$2),0)</f>
        <v>246147915</v>
      </c>
      <c r="L15" s="60"/>
      <c r="M15" s="85">
        <f>ROUND(SUM(SUMIFS(Input!$G:$G,Input!$C:$C,'2.CC Trans-BB.RE collateral'!$A$9,Input!$Q:$Q,"LTV4",Input!$H:$H,{"1-REAL";"SANTANDER"},Input!$D:$D,'2.CC Trans-BB.RE collateral'!M$7&amp;"*",Input!$F:$F,'2.CC Trans-BB.RE collateral'!$D$2)),0)</f>
        <v>0</v>
      </c>
      <c r="N15" s="85">
        <f>ROUND(SUM(SUMIFS(Input!$G:$G,Input!$C:$C,'2.CC Trans-BB.RE collateral'!$A$9,Input!$Q:$Q,"LTV4",Input!$H:$H,{"1-REAL";"SANTANDER"},Input!$D:$D,'2.CC Trans-BB.RE collateral'!N$7&amp;"*",Input!$F:$F,'2.CC Trans-BB.RE collateral'!$D$2)),0)</f>
        <v>6973206</v>
      </c>
      <c r="O15" s="85">
        <f>ROUND(SUM(SUMIFS(Input!$G:$G,Input!$C:$C,'2.CC Trans-BB.RE collateral'!$A$9,Input!$Q:$Q,"LTV4",Input!$H:$H,{"1-REAL";"SANTANDER"},Input!$D:$D,'2.CC Trans-BB.RE collateral'!O$7&amp;"*",Input!$F:$F,'2.CC Trans-BB.RE collateral'!$D$2)),0)</f>
        <v>486365</v>
      </c>
      <c r="P15" s="85">
        <f>ROUND(SUM(SUMIFS(Input!$G:$G,Input!$C:$C,'2.CC Trans-BB.RE collateral'!$A$9,Input!$Q:$Q,"LTV4",Input!$H:$H,{"1-REAL";"SANTANDER"},Input!$D:$D,'2.CC Trans-BB.RE collateral'!P$7&amp;"*",Input!$F:$F,'2.CC Trans-BB.RE collateral'!$D$2)),0)</f>
        <v>0</v>
      </c>
      <c r="Q15" s="85">
        <f>ROUND(SUM(SUMIFS(Input!$G:$G,Input!$C:$C,'2.CC Trans-BB.RE collateral'!$A$9,Input!$Q:$Q,"LTV4",Input!$H:$H,{"1-REAL";"SANTANDER"},Input!$D:$D,'2.CC Trans-BB.RE collateral'!Q$7&amp;"*",Input!$F:$F,'2.CC Trans-BB.RE collateral'!$D$2)),0)</f>
        <v>52390</v>
      </c>
      <c r="R15" s="85">
        <f>ROUND(SUM(SUMIFS(Input!$G:$G,Input!$C:$C,'2.CC Trans-BB.RE collateral'!$A$9,Input!$Q:$Q,"LTV4",Input!$H:$H,{"1-REAL";"SANTANDER"},Input!$D:$D,'2.CC Trans-BB.RE collateral'!R$7&amp;"*",Input!$F:$F,'2.CC Trans-BB.RE collateral'!$D$2)),0)</f>
        <v>0</v>
      </c>
      <c r="S15" s="85">
        <f>ROUND(SUM(SUMIFS(Input!$G:$G,Input!$C:$C,'2.CC Trans-BB.RE collateral'!$A$9,Input!$Q:$Q,"LTV4",Input!$H:$H,{"1-REAL";"SANTANDER"},Input!$D:$D,'2.CC Trans-BB.RE collateral'!S$7&amp;"*",Input!$F:$F,'2.CC Trans-BB.RE collateral'!$D$2)),0)</f>
        <v>0</v>
      </c>
      <c r="T15" s="85">
        <f>ROUND(SUMIFS(Input!$G:$G,Input!$C:$C,'2.CC Trans-BB.RE collateral'!$A$9,Input!$Q:$Q,"LTV4",Input!$H:$H,"&lt;&gt;"&amp;S$1,Input!$H:$H,"&lt;&gt;"&amp;S$2,Input!$F:$F,'2.CC Trans-BB.RE collateral'!$D$2),0)</f>
        <v>242062822</v>
      </c>
      <c r="U15" s="60"/>
      <c r="V15" s="47"/>
    </row>
    <row r="16" spans="1:26" s="42" customFormat="1" ht="12.75" x14ac:dyDescent="0.2">
      <c r="B16" s="45">
        <v>8</v>
      </c>
      <c r="C16" s="59" t="s">
        <v>93</v>
      </c>
      <c r="D16" s="85">
        <f>ROUND(SUMIFS(Input!$G:$G,Input!$C:$C,'2.CC Trans-BB.RE collateral'!$A$9,Input!$Q:$Q,"LTV5",Input!$F:$F,'2.CC Trans-BB.RE collateral'!$D$2),0)</f>
        <v>43594138</v>
      </c>
      <c r="E16" s="85">
        <f>ROUND(SUMIFS(Input!$G:$G,Input!$C:$C,'2.CC Trans-BB.RE collateral'!$A$9,Input!$Q:$Q,"LTV5",Input!$E:$E,'2.CC Trans-BB.RE collateral'!E$3,Input!$F:$F,'2.CC Trans-BB.RE collateral'!$D$2),0)</f>
        <v>3709552</v>
      </c>
      <c r="F16" s="85">
        <f>ROUND(SUMIFS(Input!$G:$G,Input!$C:$C,'2.CC Trans-BB.RE collateral'!$A$9,Input!$Q:$Q,"LTV5",Input!$E:$E,'2.CC Trans-BB.RE collateral'!F$3,Input!$F:$F,'2.CC Trans-BB.RE collateral'!$D$2),0)</f>
        <v>14994762</v>
      </c>
      <c r="G16" s="85">
        <f>ROUND(SUMIFS(Input!$G:$G,Input!$C:$C,'2.CC Trans-BB.RE collateral'!$A$9,Input!$Q:$Q,"LTV5",Input!$E:$E,'2.CC Trans-BB.RE collateral'!G$3,Input!$F:$F,'2.CC Trans-BB.RE collateral'!$D$2),0)</f>
        <v>6994576</v>
      </c>
      <c r="H16" s="85">
        <f>ROUND(SUMIFS(Input!$G:$G,Input!$C:$C,'2.CC Trans-BB.RE collateral'!$A$9,Input!$Q:$Q,"LTV5",Input!$E:$E,'2.CC Trans-BB.RE collateral'!H$3,Input!$F:$F,'2.CC Trans-BB.RE collateral'!$D$2),0)</f>
        <v>0</v>
      </c>
      <c r="I16" s="85">
        <f>ROUND(SUMIFS(Input!$G:$G,Input!$C:$C,'2.CC Trans-BB.RE collateral'!$A$9,Input!$Q:$Q,"LTV5",Input!$E:$E,'2.CC Trans-BB.RE collateral'!I$3,Input!$F:$F,'2.CC Trans-BB.RE collateral'!$D$2),0)</f>
        <v>0</v>
      </c>
      <c r="J16" s="85">
        <f>ROUND(SUMIFS(Input!$G:$G,Input!$C:$C,'2.CC Trans-BB.RE collateral'!$A$9,Input!$Q:$Q,"LTV5",Input!$E:$E,'2.CC Trans-BB.RE collateral'!J$3,Input!$F:$F,'2.CC Trans-BB.RE collateral'!$D$2),0)</f>
        <v>0</v>
      </c>
      <c r="K16" s="85">
        <f>ROUND(SUMIFS(Input!$G:$G,Input!$C:$C,'2.CC Trans-BB.RE collateral'!$A$9,Input!$Q:$Q,"LTV5",Input!$R:$R,"&lt;&gt;"&amp;$S$1,Input!$F:$F,'2.CC Trans-BB.RE collateral'!$D$2),0)</f>
        <v>43594138</v>
      </c>
      <c r="L16" s="60"/>
      <c r="M16" s="85">
        <f>ROUND(SUM(SUMIFS(Input!$G:$G,Input!$C:$C,'2.CC Trans-BB.RE collateral'!$A$9,Input!$Q:$Q,"LTV5",Input!$H:$H,{"1-REAL";"SANTANDER"},Input!$D:$D,'2.CC Trans-BB.RE collateral'!M$7&amp;"*",Input!$F:$F,'2.CC Trans-BB.RE collateral'!$D$2)),0)</f>
        <v>3</v>
      </c>
      <c r="N16" s="85">
        <f>ROUND(SUM(SUMIFS(Input!$G:$G,Input!$C:$C,'2.CC Trans-BB.RE collateral'!$A$9,Input!$Q:$Q,"LTV5",Input!$H:$H,{"1-REAL";"SANTANDER"},Input!$D:$D,'2.CC Trans-BB.RE collateral'!N$7&amp;"*",Input!$F:$F,'2.CC Trans-BB.RE collateral'!$D$2)),0)</f>
        <v>0</v>
      </c>
      <c r="O16" s="85">
        <f>ROUND(SUM(SUMIFS(Input!$G:$G,Input!$C:$C,'2.CC Trans-BB.RE collateral'!$A$9,Input!$Q:$Q,"LTV5",Input!$H:$H,{"1-REAL";"SANTANDER"},Input!$D:$D,'2.CC Trans-BB.RE collateral'!O$7&amp;"*",Input!$F:$F,'2.CC Trans-BB.RE collateral'!$D$2)),0)</f>
        <v>0</v>
      </c>
      <c r="P16" s="85">
        <f>ROUND(SUM(SUMIFS(Input!$G:$G,Input!$C:$C,'2.CC Trans-BB.RE collateral'!$A$9,Input!$Q:$Q,"LTV5",Input!$H:$H,{"1-REAL";"SANTANDER"},Input!$D:$D,'2.CC Trans-BB.RE collateral'!P$7&amp;"*",Input!$F:$F,'2.CC Trans-BB.RE collateral'!$D$2)),0)</f>
        <v>161200</v>
      </c>
      <c r="Q16" s="85">
        <f>ROUND(SUM(SUMIFS(Input!$G:$G,Input!$C:$C,'2.CC Trans-BB.RE collateral'!$A$9,Input!$Q:$Q,"LTV5",Input!$H:$H,{"1-REAL";"SANTANDER"},Input!$D:$D,'2.CC Trans-BB.RE collateral'!Q$7&amp;"*",Input!$F:$F,'2.CC Trans-BB.RE collateral'!$D$2)),0)</f>
        <v>0</v>
      </c>
      <c r="R16" s="85">
        <f>ROUND(SUM(SUMIFS(Input!$G:$G,Input!$C:$C,'2.CC Trans-BB.RE collateral'!$A$9,Input!$Q:$Q,"LTV5",Input!$H:$H,{"1-REAL";"SANTANDER"},Input!$D:$D,'2.CC Trans-BB.RE collateral'!R$7&amp;"*",Input!$F:$F,'2.CC Trans-BB.RE collateral'!$D$2)),0)</f>
        <v>0</v>
      </c>
      <c r="S16" s="85">
        <f>ROUND(SUM(SUMIFS(Input!$G:$G,Input!$C:$C,'2.CC Trans-BB.RE collateral'!$A$9,Input!$Q:$Q,"LTV5",Input!$H:$H,{"1-REAL";"SANTANDER"},Input!$D:$D,'2.CC Trans-BB.RE collateral'!S$7&amp;"*",Input!$F:$F,'2.CC Trans-BB.RE collateral'!$D$2)),0)</f>
        <v>0</v>
      </c>
      <c r="T16" s="85">
        <f>ROUND(SUMIFS(Input!$G:$G,Input!$C:$C,'2.CC Trans-BB.RE collateral'!$A$9,Input!$Q:$Q,"LTV5",Input!$H:$H,"&lt;&gt;"&amp;S$1,Input!$H:$H,"&lt;&gt;"&amp;S$2,Input!$F:$F,'2.CC Trans-BB.RE collateral'!$D$2),0)</f>
        <v>43432935</v>
      </c>
      <c r="U16" s="60"/>
      <c r="V16" s="47"/>
    </row>
    <row r="17" spans="2:22" s="42" customFormat="1" ht="12.75" x14ac:dyDescent="0.2">
      <c r="B17" s="45">
        <v>9</v>
      </c>
      <c r="C17" s="59" t="s">
        <v>94</v>
      </c>
      <c r="D17" s="86">
        <f>SUMIFS(Input!$J:$J,Input!$C:$C,'2.CC Trans-BB.RE collateral'!$A$9,Input!$F:$F,'2.CC Trans-BB.RE collateral'!$D$2) / SUMIFS(Input!$G:$G,Input!$C:$C,'2.CC Trans-BB.RE collateral'!$A$9,Input!$F:$F,'2.CC Trans-BB.RE collateral'!$D$2)</f>
        <v>7.0456054986248366</v>
      </c>
      <c r="E17" s="86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8.0398458877470933</v>
      </c>
      <c r="F17" s="86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6.7728635175031631</v>
      </c>
      <c r="G17" s="86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8.6584286204939858</v>
      </c>
      <c r="H17" s="86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7.7476362887461203</v>
      </c>
      <c r="I17" s="86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14.623780892055837</v>
      </c>
      <c r="J17" s="86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11.187143990205158</v>
      </c>
      <c r="K17" s="86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7.005887652101741</v>
      </c>
      <c r="L17" s="60"/>
      <c r="M17" s="86">
        <f>SUM(SUMIFS(Input!$J:$J,Input!$C:$C,'2.CC Trans-BB.RE collateral'!$A$9,Input!$D:$D,'2.CC Trans-BB.RE collateral'!M$7&amp;"*",Input!$H:$H,{"1-REAL";"SANTANDER"},Input!$F:$F,'2.CC Trans-BB.RE collateral'!$D$2))  / SUM(SUMIFS(Input!$G:$G,Input!$C:$C,'2.CC Trans-BB.RE collateral'!$A$9,Input!$D:$D,'2.CC Trans-BB.RE collateral'!M$7&amp;"*",Input!$H:$H,{"1-REAL";"SANTANDER"},Input!$F:$F,'2.CC Trans-BB.RE collateral'!$D$2))</f>
        <v>4.9445218079447422</v>
      </c>
      <c r="N17" s="86">
        <f>SUM(SUMIFS(Input!$J:$J,Input!$C:$C,'2.CC Trans-BB.RE collateral'!$A$9,Input!$D:$D,'2.CC Trans-BB.RE collateral'!N$7&amp;"*",Input!$H:$H,{"1-REAL";"SANTANDER"},Input!$F:$F,'2.CC Trans-BB.RE collateral'!$D$2))  / SUM(SUMIFS(Input!$G:$G,Input!$C:$C,'2.CC Trans-BB.RE collateral'!$A$9,Input!$D:$D,'2.CC Trans-BB.RE collateral'!N$7&amp;"*",Input!$H:$H,{"1-REAL";"SANTANDER"},Input!$F:$F,'2.CC Trans-BB.RE collateral'!$D$2))</f>
        <v>8.0850148838302296</v>
      </c>
      <c r="O17" s="86">
        <f>SUM(SUMIFS(Input!$J:$J,Input!$C:$C,'2.CC Trans-BB.RE collateral'!$A$9,Input!$D:$D,'2.CC Trans-BB.RE collateral'!O$7&amp;"*",Input!$H:$H,{"1-REAL";"SANTANDER"},Input!$F:$F,'2.CC Trans-BB.RE collateral'!$D$2))  / SUM(SUMIFS(Input!$G:$G,Input!$C:$C,'2.CC Trans-BB.RE collateral'!$A$9,Input!$D:$D,'2.CC Trans-BB.RE collateral'!O$7&amp;"*",Input!$H:$H,{"1-REAL";"SANTANDER"},Input!$F:$F,'2.CC Trans-BB.RE collateral'!$D$2))</f>
        <v>7.6221284084761667</v>
      </c>
      <c r="P17" s="86">
        <f>SUM(SUMIFS(Input!$J:$J,Input!$C:$C,'2.CC Trans-BB.RE collateral'!$A$9,Input!$D:$D,'2.CC Trans-BB.RE collateral'!P$7&amp;"*",Input!$H:$H,{"1-REAL";"SANTANDER"},Input!$F:$F,'2.CC Trans-BB.RE collateral'!$D$2))  / SUM(SUMIFS(Input!$G:$G,Input!$C:$C,'2.CC Trans-BB.RE collateral'!$A$9,Input!$D:$D,'2.CC Trans-BB.RE collateral'!P$7&amp;"*",Input!$H:$H,{"1-REAL";"SANTANDER"},Input!$F:$F,'2.CC Trans-BB.RE collateral'!$D$2))</f>
        <v>7.5726071405788353</v>
      </c>
      <c r="Q17" s="86">
        <f>SUM(SUMIFS(Input!$J:$J,Input!$C:$C,'2.CC Trans-BB.RE collateral'!$A$9,Input!$D:$D,'2.CC Trans-BB.RE collateral'!Q$7&amp;"*",Input!$H:$H,{"1-REAL";"SANTANDER"},Input!$F:$F,'2.CC Trans-BB.RE collateral'!$D$2))  / SUM(SUMIFS(Input!$G:$G,Input!$C:$C,'2.CC Trans-BB.RE collateral'!$A$9,Input!$D:$D,'2.CC Trans-BB.RE collateral'!Q$7&amp;"*",Input!$H:$H,{"1-REAL";"SANTANDER"},Input!$F:$F,'2.CC Trans-BB.RE collateral'!$D$2))</f>
        <v>6.2576694395677608</v>
      </c>
      <c r="R17" s="86">
        <f>SUM(SUMIFS(Input!$J:$J,Input!$C:$C,'2.CC Trans-BB.RE collateral'!$A$9,Input!$D:$D,'2.CC Trans-BB.RE collateral'!R$7&amp;"*",Input!$H:$H,{"1-REAL";"SANTANDER"},Input!$F:$F,'2.CC Trans-BB.RE collateral'!$D$2))  / SUM(SUMIFS(Input!$G:$G,Input!$C:$C,'2.CC Trans-BB.RE collateral'!$A$9,Input!$D:$D,'2.CC Trans-BB.RE collateral'!R$7&amp;"*",Input!$H:$H,{"1-REAL";"SANTANDER"},Input!$F:$F,'2.CC Trans-BB.RE collateral'!$D$2))</f>
        <v>10.883246150566551</v>
      </c>
      <c r="S17" s="86">
        <f>SUM(SUMIFS(Input!$J:$J,Input!$C:$C,'2.CC Trans-BB.RE collateral'!$A$9,Input!$D:$D,'2.CC Trans-BB.RE collateral'!S$7&amp;"*",Input!$H:$H,{"1-REAL";"SANTANDER"},Input!$F:$F,'2.CC Trans-BB.RE collateral'!$D$2))  / SUM(SUMIFS(Input!$G:$G,Input!$C:$C,'2.CC Trans-BB.RE collateral'!$A$9,Input!$D:$D,'2.CC Trans-BB.RE collateral'!S$7&amp;"*",Input!$H:$H,{"1-REAL";"SANTANDER"},Input!$F:$F,'2.CC Trans-BB.RE collateral'!$D$2))</f>
        <v>6.8623018120045298</v>
      </c>
      <c r="T17" s="86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6.9607370423275041</v>
      </c>
      <c r="U17" s="60"/>
      <c r="V17" s="47"/>
    </row>
    <row r="18" spans="2:22" s="42" customFormat="1" ht="12.75" x14ac:dyDescent="0.2">
      <c r="B18" s="45">
        <v>10</v>
      </c>
      <c r="C18" s="59" t="s">
        <v>95</v>
      </c>
      <c r="D18" s="85">
        <f>ROUND(SUMIFS(Input!$G:$G,Input!$C:$C,'2.CC Trans-BB.RE collateral'!$A$9,Input!$I:$I,"MESG1",Input!$F:$F,'2.CC Trans-BB.RE collateral'!$D$2),0)</f>
        <v>1045798766</v>
      </c>
      <c r="E18" s="85">
        <f>ROUND(SUMIFS(Input!$G:$G,Input!$C:$C,'2.CC Trans-BB.RE collateral'!$A$9,Input!$I:$I,"MESG1",Input!$E:$E,'2.CC Trans-BB.RE collateral'!E$3,Input!$F:$F,'2.CC Trans-BB.RE collateral'!$D$2),0)</f>
        <v>268605375</v>
      </c>
      <c r="F18" s="85">
        <f>ROUND(SUMIFS(Input!$G:$G,Input!$C:$C,'2.CC Trans-BB.RE collateral'!$A$9,Input!$I:$I,"MESG1",Input!$E:$E,'2.CC Trans-BB.RE collateral'!F$3,Input!$F:$F,'2.CC Trans-BB.RE collateral'!$D$2),0)</f>
        <v>604347311</v>
      </c>
      <c r="G18" s="85">
        <f>ROUND(SUMIFS(Input!$G:$G,Input!$C:$C,'2.CC Trans-BB.RE collateral'!$A$9,Input!$I:$I,"MESG1",Input!$E:$E,'2.CC Trans-BB.RE collateral'!G$3,Input!$F:$F,'2.CC Trans-BB.RE collateral'!$D$2),0)</f>
        <v>40402002</v>
      </c>
      <c r="H18" s="85">
        <f>ROUND(SUMIFS(Input!$G:$G,Input!$C:$C,'2.CC Trans-BB.RE collateral'!$A$9,Input!$I:$I,"MESG1",Input!$E:$E,'2.CC Trans-BB.RE collateral'!H$3,Input!$F:$F,'2.CC Trans-BB.RE collateral'!$D$2),0)</f>
        <v>864583</v>
      </c>
      <c r="I18" s="85">
        <f>ROUND(SUMIFS(Input!$G:$G,Input!$C:$C,'2.CC Trans-BB.RE collateral'!$A$9,Input!$I:$I,"MESG1",Input!$E:$E,'2.CC Trans-BB.RE collateral'!I$3,Input!$F:$F,'2.CC Trans-BB.RE collateral'!$D$2),0)</f>
        <v>10</v>
      </c>
      <c r="J18" s="85">
        <f>ROUND(SUMIFS(Input!$G:$G,Input!$C:$C,'2.CC Trans-BB.RE collateral'!$A$9,Input!$I:$I,"MESG1",Input!$E:$E,'2.CC Trans-BB.RE collateral'!J$3,Input!$F:$F,'2.CC Trans-BB.RE collateral'!$D$2),0)</f>
        <v>708544</v>
      </c>
      <c r="K18" s="85">
        <f>ROUND(SUMIFS(Input!$G:$G,Input!$C:$C,'2.CC Trans-BB.RE collateral'!$A$9,Input!$I:$I,"MESG1",Input!$R:$R,"&lt;&gt;"&amp;$S$1,Input!$F:$F,'2.CC Trans-BB.RE collateral'!$D$2),0)</f>
        <v>1043666232</v>
      </c>
      <c r="L18" s="60"/>
      <c r="M18" s="85">
        <f>ROUND(SUM(SUMIFS(Input!$G:$G,Input!$C:$C,'2.CC Trans-BB.RE collateral'!$A$9,Input!$I:$I,"MESG1",Input!$D:$D,'2.CC Trans-BB.RE collateral'!M$7&amp;"*",Input!$H:$H,{"1-REAL";"SANTANDER"},Input!$F:$F,'2.CC Trans-BB.RE collateral'!$D$2)),0)</f>
        <v>5113559</v>
      </c>
      <c r="N18" s="85">
        <f>ROUND(SUM(SUMIFS(Input!$G:$G,Input!$C:$C,'2.CC Trans-BB.RE collateral'!$A$9,Input!$I:$I,"MESG1",Input!$D:$D,'2.CC Trans-BB.RE collateral'!N$7&amp;"*",Input!$H:$H,{"1-REAL";"SANTANDER"},Input!$F:$F,'2.CC Trans-BB.RE collateral'!$D$2)),0)</f>
        <v>22964754</v>
      </c>
      <c r="O18" s="85">
        <f>ROUND(SUM(SUMIFS(Input!$G:$G,Input!$C:$C,'2.CC Trans-BB.RE collateral'!$A$9,Input!$I:$I,"MESG1",Input!$D:$D,'2.CC Trans-BB.RE collateral'!O$7&amp;"*",Input!$H:$H,{"1-REAL";"SANTANDER"},Input!$F:$F,'2.CC Trans-BB.RE collateral'!$D$2)),0)</f>
        <v>44784393</v>
      </c>
      <c r="P18" s="85">
        <f>ROUND(SUM(SUMIFS(Input!$G:$G,Input!$C:$C,'2.CC Trans-BB.RE collateral'!$A$9,Input!$I:$I,"MESG1",Input!$D:$D,'2.CC Trans-BB.RE collateral'!P$7&amp;"*",Input!$H:$H,{"1-REAL";"SANTANDER"},Input!$F:$F,'2.CC Trans-BB.RE collateral'!$D$2)),0)</f>
        <v>8329589</v>
      </c>
      <c r="Q18" s="85">
        <f>ROUND(SUM(SUMIFS(Input!$G:$G,Input!$C:$C,'2.CC Trans-BB.RE collateral'!$A$9,Input!$I:$I,"MESG1",Input!$D:$D,'2.CC Trans-BB.RE collateral'!Q$7&amp;"*",Input!$H:$H,{"1-REAL";"SANTANDER"},Input!$F:$F,'2.CC Trans-BB.RE collateral'!$D$2)),0)</f>
        <v>15041872</v>
      </c>
      <c r="R18" s="85">
        <f>ROUND(SUM(SUMIFS(Input!$G:$G,Input!$C:$C,'2.CC Trans-BB.RE collateral'!$A$9,Input!$I:$I,"MESG1",Input!$D:$D,'2.CC Trans-BB.RE collateral'!R$7&amp;"*",Input!$H:$H,{"1-REAL";"SANTANDER"},Input!$F:$F,'2.CC Trans-BB.RE collateral'!$D$2)),0)</f>
        <v>2331309</v>
      </c>
      <c r="S18" s="85">
        <f>ROUND(SUM(SUMIFS(Input!$G:$G,Input!$C:$C,'2.CC Trans-BB.RE collateral'!$A$9,Input!$I:$I,"MESG1",Input!$D:$D,'2.CC Trans-BB.RE collateral'!S$7&amp;"*",Input!$H:$H,{"1-REAL";"SANTANDER"},Input!$F:$F,'2.CC Trans-BB.RE collateral'!$D$2)),0)</f>
        <v>0</v>
      </c>
      <c r="T18" s="85">
        <f>ROUND(SUMIFS(Input!$G:$G,Input!$C:$C,'2.CC Trans-BB.RE collateral'!$A$9,Input!$I:$I,"MESG1",Input!$H:$H,"&lt;&gt;"&amp;S$1,Input!$H:$H,"&lt;&gt;"&amp;S$2,Input!$F:$F,'2.CC Trans-BB.RE collateral'!$D$2),0)</f>
        <v>947233290</v>
      </c>
      <c r="U18" s="60"/>
      <c r="V18" s="47"/>
    </row>
    <row r="19" spans="2:22" s="42" customFormat="1" ht="12.75" x14ac:dyDescent="0.2">
      <c r="B19" s="45">
        <v>11</v>
      </c>
      <c r="C19" s="61" t="s">
        <v>96</v>
      </c>
      <c r="D19" s="84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3.9891899998892637E-2</v>
      </c>
      <c r="E19" s="84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4.0133177561536441E-2</v>
      </c>
      <c r="F19" s="84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3.9617706544142622E-2</v>
      </c>
      <c r="G19" s="84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4.0576523515166038E-2</v>
      </c>
      <c r="H19" s="84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4.0724852040404713E-2</v>
      </c>
      <c r="I19" s="84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0.04</v>
      </c>
      <c r="J19" s="84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3.8339852226862696E-2</v>
      </c>
      <c r="K19" s="84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3.9949315447065169E-2</v>
      </c>
      <c r="L19" s="60"/>
      <c r="M19" s="84">
        <f>SUM(SUMIFS(Input!$O:$O,Input!$C:$C,'2.CC Trans-BB.RE collateral'!$A$9,Input!$K:$K,{"NBF1";"NBF2"},Input!$H:$H,"1-REAL",Input!$D:$D,'2.CC Trans-BB.RE collateral'!M$7&amp;"*",Input!$F:$F,'2.CC Trans-BB.RE collateral'!$D$2)) / SUM(SUMIFS(Input!$G:$G,Input!$C:$C,'2.CC Trans-BB.RE collateral'!$A$9,Input!$K:$K,{"NBF1";"NBF2"},Input!$H:$H,"1-REAL",Input!$D:$D,'2.CC Trans-BB.RE collateral'!M$7&amp;"*",Input!$F:$F,'2.CC Trans-BB.RE collateral'!$D$2))</f>
        <v>3.9183041783464795E-2</v>
      </c>
      <c r="N19" s="84">
        <f>SUM(SUMIFS(Input!$O:$O,Input!$C:$C,'2.CC Trans-BB.RE collateral'!$A$9,Input!$K:$K,{"NBF1";"NBF2"},Input!$H:$H,"1-REAL",Input!$D:$D,'2.CC Trans-BB.RE collateral'!N$7&amp;"*",Input!$F:$F,'2.CC Trans-BB.RE collateral'!$D$2)) / SUM(SUMIFS(Input!$G:$G,Input!$C:$C,'2.CC Trans-BB.RE collateral'!$A$9,Input!$K:$K,{"NBF1";"NBF2"},Input!$H:$H,"1-REAL",Input!$D:$D,'2.CC Trans-BB.RE collateral'!N$7&amp;"*",Input!$F:$F,'2.CC Trans-BB.RE collateral'!$D$2))</f>
        <v>3.7970370146614349E-2</v>
      </c>
      <c r="O19" s="84">
        <f>SUM(SUMIFS(Input!$O:$O,Input!$C:$C,'2.CC Trans-BB.RE collateral'!$A$9,Input!$K:$K,{"NBF1";"NBF2"},Input!$H:$H,"1-REAL",Input!$D:$D,'2.CC Trans-BB.RE collateral'!O$7&amp;"*",Input!$F:$F,'2.CC Trans-BB.RE collateral'!$D$2)) / SUM(SUMIFS(Input!$G:$G,Input!$C:$C,'2.CC Trans-BB.RE collateral'!$A$9,Input!$K:$K,{"NBF1";"NBF2"},Input!$H:$H,"1-REAL",Input!$D:$D,'2.CC Trans-BB.RE collateral'!O$7&amp;"*",Input!$F:$F,'2.CC Trans-BB.RE collateral'!$D$2))</f>
        <v>3.890692036582976E-2</v>
      </c>
      <c r="P19" s="84">
        <f>SUM(SUMIFS(Input!$O:$O,Input!$C:$C,'2.CC Trans-BB.RE collateral'!$A$9,Input!$K:$K,{"NBF1";"NBF2"},Input!$H:$H,"1-REAL",Input!$D:$D,'2.CC Trans-BB.RE collateral'!P$7&amp;"*",Input!$F:$F,'2.CC Trans-BB.RE collateral'!$D$2)) / SUM(SUMIFS(Input!$G:$G,Input!$C:$C,'2.CC Trans-BB.RE collateral'!$A$9,Input!$K:$K,{"NBF1";"NBF2"},Input!$H:$H,"1-REAL",Input!$D:$D,'2.CC Trans-BB.RE collateral'!P$7&amp;"*",Input!$F:$F,'2.CC Trans-BB.RE collateral'!$D$2))</f>
        <v>4.0000000000000008E-2</v>
      </c>
      <c r="Q19" s="84">
        <f>SUM(SUMIFS(Input!$O:$O,Input!$C:$C,'2.CC Trans-BB.RE collateral'!$A$9,Input!$K:$K,{"NBF1";"NBF2"},Input!$H:$H,"1-REAL",Input!$D:$D,'2.CC Trans-BB.RE collateral'!Q$7&amp;"*",Input!$F:$F,'2.CC Trans-BB.RE collateral'!$D$2)) / SUM(SUMIFS(Input!$G:$G,Input!$C:$C,'2.CC Trans-BB.RE collateral'!$A$9,Input!$K:$K,{"NBF1";"NBF2"},Input!$H:$H,"1-REAL",Input!$D:$D,'2.CC Trans-BB.RE collateral'!Q$7&amp;"*",Input!$F:$F,'2.CC Trans-BB.RE collateral'!$D$2))</f>
        <v>3.065476525986989E-2</v>
      </c>
      <c r="R19" s="84">
        <f>SUM(SUMIFS(Input!$O:$O,Input!$C:$C,'2.CC Trans-BB.RE collateral'!$A$9,Input!$K:$K,{"NBF1";"NBF2"},Input!$H:$H,"1-REAL",Input!$D:$D,'2.CC Trans-BB.RE collateral'!R$7&amp;"*",Input!$F:$F,'2.CC Trans-BB.RE collateral'!$D$2)) / SUM(SUMIFS(Input!$G:$G,Input!$C:$C,'2.CC Trans-BB.RE collateral'!$A$9,Input!$K:$K,{"NBF1";"NBF2"},Input!$H:$H,"1-REAL",Input!$D:$D,'2.CC Trans-BB.RE collateral'!R$7&amp;"*",Input!$F:$F,'2.CC Trans-BB.RE collateral'!$D$2))</f>
        <v>3.8476988134035467E-2</v>
      </c>
      <c r="S19" s="84">
        <f>IFERROR(SUM(SUMIFS(Input!$O:$O,Input!$C:$C,'2.CC Trans-BB.RE collateral'!$A$9,Input!$K:$K,{"NBF1";"NBF2"},Input!$H:$H,"1-REAL",Input!$D:$D,'2.CC Trans-BB.RE collateral'!S$7&amp;"*",Input!$F:$F,'2.CC Trans-BB.RE collateral'!$D$2)) / SUM(SUMIFS(Input!$G:$G,Input!$C:$C,'2.CC Trans-BB.RE collateral'!$A$9,Input!$K:$K,{"NBF1";"NBF2"},Input!$H:$H,"1-REAL",Input!$D:$D,'2.CC Trans-BB.RE collateral'!S$7&amp;"*",Input!$F:$F,'2.CC Trans-BB.RE collateral'!$D$2)),0)</f>
        <v>0</v>
      </c>
      <c r="T19" s="84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4.0086821240891336E-2</v>
      </c>
      <c r="U19" s="60"/>
      <c r="V19" s="47"/>
    </row>
    <row r="20" spans="2:22" s="42" customFormat="1" ht="15.75" customHeight="1" x14ac:dyDescent="0.2">
      <c r="B20" s="45"/>
      <c r="C20" s="106" t="s">
        <v>97</v>
      </c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8"/>
      <c r="V20" s="47"/>
    </row>
    <row r="21" spans="2:22" s="42" customFormat="1" ht="12.75" x14ac:dyDescent="0.2">
      <c r="B21" s="45">
        <v>12</v>
      </c>
      <c r="C21" s="59" t="s">
        <v>98</v>
      </c>
      <c r="D21" s="84">
        <f>SUMIFS(Input!$P:$P,Input!$C:$C,'2.CC Trans-BB.RE collateral'!$A$10,Input!$F:$F,'2.CC Trans-BB.RE collateral'!$D$2) / SUMIFS(Input!$G:$G,Input!$C:$C,'2.CC Trans-BB.RE collateral'!$A$10,Input!$F:$F,'2.CC Trans-BB.RE collateral'!$D$2)</f>
        <v>0.59008343684647224</v>
      </c>
      <c r="E21" s="84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0.57071591520716447</v>
      </c>
      <c r="F21" s="84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0.59250970645457413</v>
      </c>
      <c r="G21" s="84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0.61959938373599899</v>
      </c>
      <c r="H21" s="84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0.69814698164539191</v>
      </c>
      <c r="I21" s="84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0.7400446451489473</v>
      </c>
      <c r="J21" s="84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0.70665907959020668</v>
      </c>
      <c r="K21" s="84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0.55959195826857322</v>
      </c>
      <c r="L21" s="60"/>
      <c r="M21" s="84">
        <f>SUM(SUMIFS(Input!$P:$P,Input!$C:$C,'2.CC Trans-BB.RE collateral'!$A$10,Input!$D:$D,'2.CC Trans-BB.RE collateral'!M$7&amp;"*",Input!$H:$H,{"1-REAL";"SANTANDER"},Input!$F:$F,'2.CC Trans-BB.RE collateral'!$D$2)) / SUM(SUMIFS(Input!$G:$G,Input!$C:$C,'2.CC Trans-BB.RE collateral'!$A$10,Input!$D:$D,'2.CC Trans-BB.RE collateral'!M$7&amp;"*",Input!$H:$H,{"1-REAL";"SANTANDER"},Input!$F:$F,'2.CC Trans-BB.RE collateral'!$D$2))</f>
        <v>0.61030764362041234</v>
      </c>
      <c r="N21" s="84">
        <f>SUM(SUMIFS(Input!$P:$P,Input!$C:$C,'2.CC Trans-BB.RE collateral'!$A$10,Input!$D:$D,'2.CC Trans-BB.RE collateral'!N$7&amp;"*",Input!$H:$H,{"1-REAL";"SANTANDER"},Input!$F:$F,'2.CC Trans-BB.RE collateral'!$D$2)) / SUM(SUMIFS(Input!$G:$G,Input!$C:$C,'2.CC Trans-BB.RE collateral'!$A$10,Input!$D:$D,'2.CC Trans-BB.RE collateral'!N$7&amp;"*",Input!$H:$H,{"1-REAL";"SANTANDER"},Input!$F:$F,'2.CC Trans-BB.RE collateral'!$D$2))</f>
        <v>0.62480689889054331</v>
      </c>
      <c r="O21" s="84">
        <f>SUM(SUMIFS(Input!$P:$P,Input!$C:$C,'2.CC Trans-BB.RE collateral'!$A$10,Input!$D:$D,'2.CC Trans-BB.RE collateral'!O$7&amp;"*",Input!$H:$H,{"1-REAL";"SANTANDER"},Input!$F:$F,'2.CC Trans-BB.RE collateral'!$D$2)) / SUM(SUMIFS(Input!$G:$G,Input!$C:$C,'2.CC Trans-BB.RE collateral'!$A$10,Input!$D:$D,'2.CC Trans-BB.RE collateral'!O$7&amp;"*",Input!$H:$H,{"1-REAL";"SANTANDER"},Input!$F:$F,'2.CC Trans-BB.RE collateral'!$D$2))</f>
        <v>0.6700307531884484</v>
      </c>
      <c r="P21" s="84">
        <f>SUM(SUMIFS(Input!$P:$P,Input!$C:$C,'2.CC Trans-BB.RE collateral'!$A$10,Input!$D:$D,'2.CC Trans-BB.RE collateral'!P$7&amp;"*",Input!$H:$H,{"1-REAL";"SANTANDER"},Input!$F:$F,'2.CC Trans-BB.RE collateral'!$D$2)) / SUM(SUMIFS(Input!$G:$G,Input!$C:$C,'2.CC Trans-BB.RE collateral'!$A$10,Input!$D:$D,'2.CC Trans-BB.RE collateral'!P$7&amp;"*",Input!$H:$H,{"1-REAL";"SANTANDER"},Input!$F:$F,'2.CC Trans-BB.RE collateral'!$D$2))</f>
        <v>0.67688450163768787</v>
      </c>
      <c r="Q21" s="84">
        <f>SUM(SUMIFS(Input!$P:$P,Input!$C:$C,'2.CC Trans-BB.RE collateral'!$A$10,Input!$D:$D,'2.CC Trans-BB.RE collateral'!Q$7&amp;"*",Input!$H:$H,{"1-REAL";"SANTANDER"},Input!$F:$F,'2.CC Trans-BB.RE collateral'!$D$2)) / SUM(SUMIFS(Input!$G:$G,Input!$C:$C,'2.CC Trans-BB.RE collateral'!$A$10,Input!$D:$D,'2.CC Trans-BB.RE collateral'!Q$7&amp;"*",Input!$H:$H,{"1-REAL";"SANTANDER"},Input!$F:$F,'2.CC Trans-BB.RE collateral'!$D$2))</f>
        <v>0.6793202610343585</v>
      </c>
      <c r="R21" s="84">
        <f>SUM(SUMIFS(Input!$P:$P,Input!$C:$C,'2.CC Trans-BB.RE collateral'!$A$10,Input!$D:$D,'2.CC Trans-BB.RE collateral'!R$7&amp;"*",Input!$H:$H,{"1-REAL";"SANTANDER"},Input!$F:$F,'2.CC Trans-BB.RE collateral'!$D$2)) / SUM(SUMIFS(Input!$G:$G,Input!$C:$C,'2.CC Trans-BB.RE collateral'!$A$10,Input!$D:$D,'2.CC Trans-BB.RE collateral'!R$7&amp;"*",Input!$H:$H,{"1-REAL";"SANTANDER"},Input!$F:$F,'2.CC Trans-BB.RE collateral'!$D$2))</f>
        <v>0.66499323042507508</v>
      </c>
      <c r="S21" s="84">
        <f>SUM(SUMIFS(Input!$P:$P,Input!$C:$C,'2.CC Trans-BB.RE collateral'!$A$10,Input!$D:$D,'2.CC Trans-BB.RE collateral'!S$7&amp;"*",Input!$H:$H,{"1-REAL";"SANTANDER"},Input!$F:$F,'2.CC Trans-BB.RE collateral'!$D$2)) / SUM(SUMIFS(Input!$G:$G,Input!$C:$C,'2.CC Trans-BB.RE collateral'!$A$10,Input!$D:$D,'2.CC Trans-BB.RE collateral'!S$7&amp;"*",Input!$H:$H,{"1-REAL";"SANTANDER"},Input!$F:$F,'2.CC Trans-BB.RE collateral'!$D$2))</f>
        <v>0.54160522921956555</v>
      </c>
      <c r="T21" s="84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0.49958531103537113</v>
      </c>
      <c r="U21" s="60"/>
      <c r="V21" s="47"/>
    </row>
    <row r="22" spans="2:22" s="42" customFormat="1" ht="12.75" x14ac:dyDescent="0.2">
      <c r="B22" s="45">
        <v>13</v>
      </c>
      <c r="C22" s="59" t="s">
        <v>99</v>
      </c>
      <c r="D22" s="85">
        <f>ROUND(SUMIFS(Input!$G:$G,Input!$C:$C,'2.CC Trans-BB.RE collateral'!$A$10,Input!$Q:$Q,"LTV4",Input!$F:$F,'2.CC Trans-BB.RE collateral'!$D$2),0)</f>
        <v>3792931470</v>
      </c>
      <c r="E22" s="85">
        <f>ROUND(SUMIFS(Input!$G:$G,Input!$C:$C,'2.CC Trans-BB.RE collateral'!$A$10,Input!$Q:$Q,"LTV4",Input!$E:$E,'2.CC Trans-BB.RE collateral'!E$3,Input!$F:$F,'2.CC Trans-BB.RE collateral'!$D$2),0)</f>
        <v>1444727275</v>
      </c>
      <c r="F22" s="85">
        <f>ROUND(SUMIFS(Input!$G:$G,Input!$C:$C,'2.CC Trans-BB.RE collateral'!$A$10,Input!$Q:$Q,"LTV4",Input!$E:$E,'2.CC Trans-BB.RE collateral'!F$3,Input!$F:$F,'2.CC Trans-BB.RE collateral'!$D$2),0)</f>
        <v>1364651259</v>
      </c>
      <c r="G22" s="85">
        <f>ROUND(SUMIFS(Input!$G:$G,Input!$C:$C,'2.CC Trans-BB.RE collateral'!$A$10,Input!$Q:$Q,"LTV4",Input!$E:$E,'2.CC Trans-BB.RE collateral'!G$3,Input!$F:$F,'2.CC Trans-BB.RE collateral'!$D$2),0)</f>
        <v>598904007</v>
      </c>
      <c r="H22" s="85">
        <f>ROUND(SUMIFS(Input!$G:$G,Input!$C:$C,'2.CC Trans-BB.RE collateral'!$A$10,Input!$Q:$Q,"LTV4",Input!$E:$E,'2.CC Trans-BB.RE collateral'!H$3,Input!$F:$F,'2.CC Trans-BB.RE collateral'!$D$2),0)</f>
        <v>221198526</v>
      </c>
      <c r="I22" s="85">
        <f>ROUND(SUMIFS(Input!$G:$G,Input!$C:$C,'2.CC Trans-BB.RE collateral'!$A$10,Input!$Q:$Q,"LTV4",Input!$E:$E,'2.CC Trans-BB.RE collateral'!I$3,Input!$F:$F,'2.CC Trans-BB.RE collateral'!$D$2),0)</f>
        <v>92721554</v>
      </c>
      <c r="J22" s="85">
        <f>ROUND(SUMIFS(Input!$G:$G,Input!$C:$C,'2.CC Trans-BB.RE collateral'!$A$10,Input!$Q:$Q,"LTV4",Input!$E:$E,'2.CC Trans-BB.RE collateral'!J$3,Input!$F:$F,'2.CC Trans-BB.RE collateral'!$D$2),0)</f>
        <v>70545483</v>
      </c>
      <c r="K22" s="85">
        <f>ROUND(SUMIFS(Input!$G:$G,Input!$C:$C,'2.CC Trans-BB.RE collateral'!$A$10,Input!$Q:$Q,"LTV4",Input!$R:$R,"&lt;&gt;"&amp;$S$1,Input!$F:$F,'2.CC Trans-BB.RE collateral'!$D$2),0)</f>
        <v>1872858881</v>
      </c>
      <c r="L22" s="60"/>
      <c r="M22" s="85">
        <f>ROUND(SUM(SUMIFS(Input!$G:$G,Input!$C:$C,'2.CC Trans-BB.RE collateral'!$A$10,Input!$Q:$Q,"LTV4",Input!$D:$D,'2.CC Trans-BB.RE collateral'!M$7&amp;"*",Input!$H:$H,{"1-REAL";"SANTANDER"},Input!$F:$F,'2.CC Trans-BB.RE collateral'!$D$2)),0)</f>
        <v>367057872</v>
      </c>
      <c r="N22" s="85">
        <f>ROUND(SUM(SUMIFS(Input!$G:$G,Input!$C:$C,'2.CC Trans-BB.RE collateral'!$A$10,Input!$Q:$Q,"LTV4",Input!$D:$D,'2.CC Trans-BB.RE collateral'!N$7&amp;"*",Input!$H:$H,{"1-REAL";"SANTANDER"},Input!$F:$F,'2.CC Trans-BB.RE collateral'!$D$2)),0)</f>
        <v>297093360</v>
      </c>
      <c r="O22" s="85">
        <f>ROUND(SUM(SUMIFS(Input!$G:$G,Input!$C:$C,'2.CC Trans-BB.RE collateral'!$A$10,Input!$Q:$Q,"LTV4",Input!$D:$D,'2.CC Trans-BB.RE collateral'!O$7&amp;"*",Input!$H:$H,{"1-REAL";"SANTANDER"},Input!$F:$F,'2.CC Trans-BB.RE collateral'!$D$2)),0)</f>
        <v>932265703</v>
      </c>
      <c r="P22" s="85">
        <f>ROUND(SUM(SUMIFS(Input!$G:$G,Input!$C:$C,'2.CC Trans-BB.RE collateral'!$A$10,Input!$Q:$Q,"LTV4",Input!$D:$D,'2.CC Trans-BB.RE collateral'!P$7&amp;"*",Input!$H:$H,{"1-REAL";"SANTANDER"},Input!$F:$F,'2.CC Trans-BB.RE collateral'!$D$2)),0)</f>
        <v>974318260</v>
      </c>
      <c r="Q22" s="85">
        <f>ROUND(SUM(SUMIFS(Input!$G:$G,Input!$C:$C,'2.CC Trans-BB.RE collateral'!$A$10,Input!$Q:$Q,"LTV4",Input!$D:$D,'2.CC Trans-BB.RE collateral'!Q$7&amp;"*",Input!$H:$H,{"1-REAL";"SANTANDER"},Input!$F:$F,'2.CC Trans-BB.RE collateral'!$D$2)),0)</f>
        <v>536710338</v>
      </c>
      <c r="R22" s="85">
        <f>ROUND(SUM(SUMIFS(Input!$G:$G,Input!$C:$C,'2.CC Trans-BB.RE collateral'!$A$10,Input!$Q:$Q,"LTV4",Input!$D:$D,'2.CC Trans-BB.RE collateral'!R$7&amp;"*",Input!$H:$H,{"1-REAL";"SANTANDER"},Input!$F:$F,'2.CC Trans-BB.RE collateral'!$D$2)),0)</f>
        <v>205127772</v>
      </c>
      <c r="S22" s="85">
        <f>ROUND(SUM(SUMIFS(Input!$G:$G,Input!$C:$C,'2.CC Trans-BB.RE collateral'!$A$10,Input!$Q:$Q,"LTV4",Input!$D:$D,'2.CC Trans-BB.RE collateral'!S$7&amp;"*",Input!$H:$H,{"1-REAL";"SANTANDER"},Input!$F:$F,'2.CC Trans-BB.RE collateral'!$D$2)),0)</f>
        <v>89786</v>
      </c>
      <c r="T22" s="85">
        <f>ROUND(SUMIFS(Input!$G:$G,Input!$C:$C,'2.CC Trans-BB.RE collateral'!$A$10,Input!$Q:$Q,"LTV4",Input!$H:$H,"&lt;&gt;"&amp;S$1,Input!$H:$H,"&lt;&gt;"&amp;S$2,Input!$F:$F,'2.CC Trans-BB.RE collateral'!$D$2),0)</f>
        <v>480268379</v>
      </c>
      <c r="U22" s="60"/>
      <c r="V22" s="47"/>
    </row>
    <row r="23" spans="2:22" s="42" customFormat="1" ht="12.75" x14ac:dyDescent="0.2">
      <c r="B23" s="45">
        <v>14</v>
      </c>
      <c r="C23" s="59" t="s">
        <v>100</v>
      </c>
      <c r="D23" s="85">
        <f>ROUND(SUMIFS(Input!$G:$G,Input!$C:$C,'2.CC Trans-BB.RE collateral'!$A$10,Input!$Q:$Q,"LTV5",Input!$F:$F,'2.CC Trans-BB.RE collateral'!$D$2),0)</f>
        <v>238751999</v>
      </c>
      <c r="E23" s="85">
        <f>ROUND(SUMIFS(Input!$G:$G,Input!$C:$C,'2.CC Trans-BB.RE collateral'!$A$10,Input!$Q:$Q,"LTV5",Input!$E:$E,'2.CC Trans-BB.RE collateral'!E$3,Input!$F:$F,'2.CC Trans-BB.RE collateral'!$D$2),0)</f>
        <v>75366578</v>
      </c>
      <c r="F23" s="85">
        <f>ROUND(SUMIFS(Input!$G:$G,Input!$C:$C,'2.CC Trans-BB.RE collateral'!$A$10,Input!$Q:$Q,"LTV5",Input!$E:$E,'2.CC Trans-BB.RE collateral'!F$3,Input!$F:$F,'2.CC Trans-BB.RE collateral'!$D$2),0)</f>
        <v>72130583</v>
      </c>
      <c r="G23" s="85">
        <f>ROUND(SUMIFS(Input!$G:$G,Input!$C:$C,'2.CC Trans-BB.RE collateral'!$A$10,Input!$Q:$Q,"LTV5",Input!$E:$E,'2.CC Trans-BB.RE collateral'!G$3,Input!$F:$F,'2.CC Trans-BB.RE collateral'!$D$2),0)</f>
        <v>35994432</v>
      </c>
      <c r="H23" s="85">
        <f>ROUND(SUMIFS(Input!$G:$G,Input!$C:$C,'2.CC Trans-BB.RE collateral'!$A$10,Input!$Q:$Q,"LTV5",Input!$E:$E,'2.CC Trans-BB.RE collateral'!H$3,Input!$F:$F,'2.CC Trans-BB.RE collateral'!$D$2),0)</f>
        <v>11321922</v>
      </c>
      <c r="I23" s="85">
        <f>ROUND(SUMIFS(Input!$G:$G,Input!$C:$C,'2.CC Trans-BB.RE collateral'!$A$10,Input!$Q:$Q,"LTV5",Input!$E:$E,'2.CC Trans-BB.RE collateral'!I$3,Input!$F:$F,'2.CC Trans-BB.RE collateral'!$D$2),0)</f>
        <v>4962857</v>
      </c>
      <c r="J23" s="85">
        <f>ROUND(SUMIFS(Input!$G:$G,Input!$C:$C,'2.CC Trans-BB.RE collateral'!$A$10,Input!$Q:$Q,"LTV5",Input!$E:$E,'2.CC Trans-BB.RE collateral'!J$3,Input!$F:$F,'2.CC Trans-BB.RE collateral'!$D$2),0)</f>
        <v>4909147</v>
      </c>
      <c r="K23" s="85">
        <f>ROUND(SUMIFS(Input!$G:$G,Input!$C:$C,'2.CC Trans-BB.RE collateral'!$A$10,Input!$Q:$Q,"LTV5",Input!$R:$R,"&lt;&gt;"&amp;$S$1,Input!$F:$F,'2.CC Trans-BB.RE collateral'!$D$2),0)</f>
        <v>168846699</v>
      </c>
      <c r="L23" s="60"/>
      <c r="M23" s="85">
        <f>ROUND(SUM(SUMIFS(Input!$G:$G,Input!$C:$C,'2.CC Trans-BB.RE collateral'!$A$10,Input!$Q:$Q,"LTV5",Input!$D:$D,'2.CC Trans-BB.RE collateral'!M$7&amp;"*",Input!$H:$H,{"1-REAL";"SANTANDER"},Input!$F:$F,'2.CC Trans-BB.RE collateral'!$D$2)),0)</f>
        <v>8926279</v>
      </c>
      <c r="N23" s="85">
        <f>ROUND(SUM(SUMIFS(Input!$G:$G,Input!$C:$C,'2.CC Trans-BB.RE collateral'!$A$10,Input!$Q:$Q,"LTV5",Input!$D:$D,'2.CC Trans-BB.RE collateral'!N$7&amp;"*",Input!$H:$H,{"1-REAL";"SANTANDER"},Input!$F:$F,'2.CC Trans-BB.RE collateral'!$D$2)),0)</f>
        <v>7940962</v>
      </c>
      <c r="O23" s="85">
        <f>ROUND(SUM(SUMIFS(Input!$G:$G,Input!$C:$C,'2.CC Trans-BB.RE collateral'!$A$10,Input!$Q:$Q,"LTV5",Input!$D:$D,'2.CC Trans-BB.RE collateral'!O$7&amp;"*",Input!$H:$H,{"1-REAL";"SANTANDER"},Input!$F:$F,'2.CC Trans-BB.RE collateral'!$D$2)),0)</f>
        <v>20099982</v>
      </c>
      <c r="P23" s="85">
        <f>ROUND(SUM(SUMIFS(Input!$G:$G,Input!$C:$C,'2.CC Trans-BB.RE collateral'!$A$10,Input!$Q:$Q,"LTV5",Input!$D:$D,'2.CC Trans-BB.RE collateral'!P$7&amp;"*",Input!$H:$H,{"1-REAL";"SANTANDER"},Input!$F:$F,'2.CC Trans-BB.RE collateral'!$D$2)),0)</f>
        <v>23528568</v>
      </c>
      <c r="Q23" s="85">
        <f>ROUND(SUM(SUMIFS(Input!$G:$G,Input!$C:$C,'2.CC Trans-BB.RE collateral'!$A$10,Input!$Q:$Q,"LTV5",Input!$D:$D,'2.CC Trans-BB.RE collateral'!Q$7&amp;"*",Input!$H:$H,{"1-REAL";"SANTANDER"},Input!$F:$F,'2.CC Trans-BB.RE collateral'!$D$2)),0)</f>
        <v>19315884</v>
      </c>
      <c r="R23" s="85">
        <f>ROUND(SUM(SUMIFS(Input!$G:$G,Input!$C:$C,'2.CC Trans-BB.RE collateral'!$A$10,Input!$Q:$Q,"LTV5",Input!$D:$D,'2.CC Trans-BB.RE collateral'!R$7&amp;"*",Input!$H:$H,{"1-REAL";"SANTANDER"},Input!$F:$F,'2.CC Trans-BB.RE collateral'!$D$2)),0)</f>
        <v>11720400</v>
      </c>
      <c r="S23" s="85">
        <f>ROUND(SUM(SUMIFS(Input!$G:$G,Input!$C:$C,'2.CC Trans-BB.RE collateral'!$A$10,Input!$Q:$Q,"LTV5",Input!$D:$D,'2.CC Trans-BB.RE collateral'!S$7&amp;"*",Input!$H:$H,{"1-REAL";"SANTANDER"},Input!$F:$F,'2.CC Trans-BB.RE collateral'!$D$2)),0)</f>
        <v>0</v>
      </c>
      <c r="T23" s="85">
        <f>ROUND(SUMIFS(Input!$G:$G,Input!$C:$C,'2.CC Trans-BB.RE collateral'!$A$10,Input!$Q:$Q,"LTV5",Input!$H:$H,"&lt;&gt;"&amp;S$1,Input!$H:$H,"&lt;&gt;"&amp;S$2,Input!$F:$F,'2.CC Trans-BB.RE collateral'!$D$2),0)</f>
        <v>147219924</v>
      </c>
      <c r="U23" s="60"/>
      <c r="V23" s="47"/>
    </row>
    <row r="24" spans="2:22" s="42" customFormat="1" ht="12.75" x14ac:dyDescent="0.2">
      <c r="B24" s="45">
        <v>15</v>
      </c>
      <c r="C24" s="59" t="s">
        <v>101</v>
      </c>
      <c r="D24" s="86">
        <f>SUMIFS(Input!$J:$J,Input!$C:$C,'2.CC Trans-BB.RE collateral'!$A$10,Input!$F:$F,'2.CC Trans-BB.RE collateral'!$D$2) / SUMIFS(Input!$G:$G,Input!$C:$C,'2.CC Trans-BB.RE collateral'!$A$10,Input!$F:$F,'2.CC Trans-BB.RE collateral'!$D$2)</f>
        <v>26.492755379285956</v>
      </c>
      <c r="E24" s="86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26.019672252592475</v>
      </c>
      <c r="F24" s="86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26.240679190452951</v>
      </c>
      <c r="G24" s="86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27.558519518645131</v>
      </c>
      <c r="H24" s="86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31.079799808019814</v>
      </c>
      <c r="I24" s="86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32.861779229658552</v>
      </c>
      <c r="J24" s="86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31.365945932524529</v>
      </c>
      <c r="K24" s="86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25.064220297366035</v>
      </c>
      <c r="L24" s="60"/>
      <c r="M24" s="86">
        <f>SUM(SUMIFS(Input!$J:$J,Input!$C:$C,'2.CC Trans-BB.RE collateral'!$A$10,Input!$D:$D,'2.CC Trans-BB.RE collateral'!M$7&amp;"*",Input!$H:$H,{"1-REAL";"SANTANDER"},Input!$F:$F,'2.CC Trans-BB.RE collateral'!$D$2))  / SUM(SUMIFS(Input!$G:$G,Input!$C:$C,'2.CC Trans-BB.RE collateral'!$A$10,Input!$D:$D,'2.CC Trans-BB.RE collateral'!M$7&amp;"*",Input!$H:$H,{"1-REAL";"SANTANDER"},Input!$F:$F,'2.CC Trans-BB.RE collateral'!$D$2))</f>
        <v>29.468382279336019</v>
      </c>
      <c r="N24" s="86">
        <f>SUM(SUMIFS(Input!$J:$J,Input!$C:$C,'2.CC Trans-BB.RE collateral'!$A$10,Input!$D:$D,'2.CC Trans-BB.RE collateral'!N$7&amp;"*",Input!$H:$H,{"1-REAL";"SANTANDER"},Input!$F:$F,'2.CC Trans-BB.RE collateral'!$D$2))  / SUM(SUMIFS(Input!$G:$G,Input!$C:$C,'2.CC Trans-BB.RE collateral'!$A$10,Input!$D:$D,'2.CC Trans-BB.RE collateral'!N$7&amp;"*",Input!$H:$H,{"1-REAL";"SANTANDER"},Input!$F:$F,'2.CC Trans-BB.RE collateral'!$D$2))</f>
        <v>29.181831682643853</v>
      </c>
      <c r="O24" s="86">
        <f>SUM(SUMIFS(Input!$J:$J,Input!$C:$C,'2.CC Trans-BB.RE collateral'!$A$10,Input!$D:$D,'2.CC Trans-BB.RE collateral'!O$7&amp;"*",Input!$H:$H,{"1-REAL";"SANTANDER"},Input!$F:$F,'2.CC Trans-BB.RE collateral'!$D$2))  / SUM(SUMIFS(Input!$G:$G,Input!$C:$C,'2.CC Trans-BB.RE collateral'!$A$10,Input!$D:$D,'2.CC Trans-BB.RE collateral'!O$7&amp;"*",Input!$H:$H,{"1-REAL";"SANTANDER"},Input!$F:$F,'2.CC Trans-BB.RE collateral'!$D$2))</f>
        <v>30.443556415004398</v>
      </c>
      <c r="P24" s="86">
        <f>SUM(SUMIFS(Input!$J:$J,Input!$C:$C,'2.CC Trans-BB.RE collateral'!$A$10,Input!$D:$D,'2.CC Trans-BB.RE collateral'!P$7&amp;"*",Input!$H:$H,{"1-REAL";"SANTANDER"},Input!$F:$F,'2.CC Trans-BB.RE collateral'!$D$2))  / SUM(SUMIFS(Input!$G:$G,Input!$C:$C,'2.CC Trans-BB.RE collateral'!$A$10,Input!$D:$D,'2.CC Trans-BB.RE collateral'!P$7&amp;"*",Input!$H:$H,{"1-REAL";"SANTANDER"},Input!$F:$F,'2.CC Trans-BB.RE collateral'!$D$2))</f>
        <v>30.487521001996271</v>
      </c>
      <c r="Q24" s="86">
        <f>SUM(SUMIFS(Input!$J:$J,Input!$C:$C,'2.CC Trans-BB.RE collateral'!$A$10,Input!$D:$D,'2.CC Trans-BB.RE collateral'!Q$7&amp;"*",Input!$H:$H,{"1-REAL";"SANTANDER"},Input!$F:$F,'2.CC Trans-BB.RE collateral'!$D$2))  / SUM(SUMIFS(Input!$G:$G,Input!$C:$C,'2.CC Trans-BB.RE collateral'!$A$10,Input!$D:$D,'2.CC Trans-BB.RE collateral'!Q$7&amp;"*",Input!$H:$H,{"1-REAL";"SANTANDER"},Input!$F:$F,'2.CC Trans-BB.RE collateral'!$D$2))</f>
        <v>30.642200659081478</v>
      </c>
      <c r="R24" s="86">
        <f>SUM(SUMIFS(Input!$J:$J,Input!$C:$C,'2.CC Trans-BB.RE collateral'!$A$10,Input!$D:$D,'2.CC Trans-BB.RE collateral'!R$7&amp;"*",Input!$H:$H,{"1-REAL";"SANTANDER"},Input!$F:$F,'2.CC Trans-BB.RE collateral'!$D$2))  / SUM(SUMIFS(Input!$G:$G,Input!$C:$C,'2.CC Trans-BB.RE collateral'!$A$10,Input!$D:$D,'2.CC Trans-BB.RE collateral'!R$7&amp;"*",Input!$H:$H,{"1-REAL";"SANTANDER"},Input!$F:$F,'2.CC Trans-BB.RE collateral'!$D$2))</f>
        <v>30.19172349191723</v>
      </c>
      <c r="S24" s="86">
        <f>SUM(SUMIFS(Input!$J:$J,Input!$C:$C,'2.CC Trans-BB.RE collateral'!$A$10,Input!$D:$D,'2.CC Trans-BB.RE collateral'!S$7&amp;"*",Input!$H:$H,{"1-REAL";"SANTANDER"},Input!$F:$F,'2.CC Trans-BB.RE collateral'!$D$2))  / SUM(SUMIFS(Input!$G:$G,Input!$C:$C,'2.CC Trans-BB.RE collateral'!$A$10,Input!$D:$D,'2.CC Trans-BB.RE collateral'!S$7&amp;"*",Input!$H:$H,{"1-REAL";"SANTANDER"},Input!$F:$F,'2.CC Trans-BB.RE collateral'!$D$2))</f>
        <v>23.823390557389715</v>
      </c>
      <c r="T24" s="86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21.614254526854612</v>
      </c>
      <c r="U24" s="60"/>
      <c r="V24" s="47"/>
    </row>
    <row r="25" spans="2:22" s="42" customFormat="1" ht="12.75" x14ac:dyDescent="0.2">
      <c r="B25" s="45">
        <v>16</v>
      </c>
      <c r="C25" s="59" t="s">
        <v>102</v>
      </c>
      <c r="D25" s="85">
        <f>ROUND(SUMIFS(Input!$G:$G,Input!$C:$C,'2.CC Trans-BB.RE collateral'!$A$10,Input!$I:$I,"MESG1",Input!$F:$F,'2.CC Trans-BB.RE collateral'!$D$2),0)</f>
        <v>797420633</v>
      </c>
      <c r="E25" s="85">
        <f>ROUND(SUMIFS(Input!$G:$G,Input!$C:$C,'2.CC Trans-BB.RE collateral'!$A$10,Input!$I:$I,"MESG1",Input!$E:$E,'2.CC Trans-BB.RE collateral'!E$3,Input!$F:$F,'2.CC Trans-BB.RE collateral'!$D$2),0)</f>
        <v>417908715</v>
      </c>
      <c r="F25" s="85">
        <f>ROUND(SUMIFS(Input!$G:$G,Input!$C:$C,'2.CC Trans-BB.RE collateral'!$A$10,Input!$I:$I,"MESG1",Input!$E:$E,'2.CC Trans-BB.RE collateral'!F$3,Input!$F:$F,'2.CC Trans-BB.RE collateral'!$D$2),0)</f>
        <v>299448766</v>
      </c>
      <c r="G25" s="85">
        <f>ROUND(SUMIFS(Input!$G:$G,Input!$C:$C,'2.CC Trans-BB.RE collateral'!$A$10,Input!$I:$I,"MESG1",Input!$E:$E,'2.CC Trans-BB.RE collateral'!G$3,Input!$F:$F,'2.CC Trans-BB.RE collateral'!$D$2),0)</f>
        <v>70371744</v>
      </c>
      <c r="H25" s="85">
        <f>ROUND(SUMIFS(Input!$G:$G,Input!$C:$C,'2.CC Trans-BB.RE collateral'!$A$10,Input!$I:$I,"MESG1",Input!$E:$E,'2.CC Trans-BB.RE collateral'!H$3,Input!$F:$F,'2.CC Trans-BB.RE collateral'!$D$2),0)</f>
        <v>3312942</v>
      </c>
      <c r="I25" s="85">
        <f>ROUND(SUMIFS(Input!$G:$G,Input!$C:$C,'2.CC Trans-BB.RE collateral'!$A$10,Input!$I:$I,"MESG1",Input!$E:$E,'2.CC Trans-BB.RE collateral'!I$3,Input!$F:$F,'2.CC Trans-BB.RE collateral'!$D$2),0)</f>
        <v>283604</v>
      </c>
      <c r="J25" s="85">
        <f>ROUND(SUMIFS(Input!$G:$G,Input!$C:$C,'2.CC Trans-BB.RE collateral'!$A$10,Input!$I:$I,"MESG1",Input!$E:$E,'2.CC Trans-BB.RE collateral'!J$3,Input!$F:$F,'2.CC Trans-BB.RE collateral'!$D$2),0)</f>
        <v>3165801</v>
      </c>
      <c r="K25" s="85">
        <f>ROUND(SUMIFS(Input!$G:$G,Input!$C:$C,'2.CC Trans-BB.RE collateral'!$A$10,Input!$I:$I,"MESG1",Input!$R:$R,"&lt;&gt;"&amp;$S$1,Input!$F:$F,'2.CC Trans-BB.RE collateral'!$D$2),0)</f>
        <v>782082796</v>
      </c>
      <c r="L25" s="60"/>
      <c r="M25" s="85">
        <f>ROUND(SUM(SUMIFS(Input!$G:$G,Input!$C:$C,'2.CC Trans-BB.RE collateral'!$A$10,Input!$I:$I,"MESG1",Input!$D:$D,'2.CC Trans-BB.RE collateral'!M$7&amp;"*",Input!$H:$H,{"1-REAL";"SANTANDER"},Input!$F:$F,'2.CC Trans-BB.RE collateral'!$D$2)),0)</f>
        <v>90831403</v>
      </c>
      <c r="N25" s="85">
        <f>ROUND(SUM(SUMIFS(Input!$G:$G,Input!$C:$C,'2.CC Trans-BB.RE collateral'!$A$10,Input!$I:$I,"MESG1",Input!$D:$D,'2.CC Trans-BB.RE collateral'!N$7&amp;"*",Input!$H:$H,{"1-REAL";"SANTANDER"},Input!$F:$F,'2.CC Trans-BB.RE collateral'!$D$2)),0)</f>
        <v>12197635</v>
      </c>
      <c r="O25" s="85">
        <f>ROUND(SUM(SUMIFS(Input!$G:$G,Input!$C:$C,'2.CC Trans-BB.RE collateral'!$A$10,Input!$I:$I,"MESG1",Input!$D:$D,'2.CC Trans-BB.RE collateral'!O$7&amp;"*",Input!$H:$H,{"1-REAL";"SANTANDER"},Input!$F:$F,'2.CC Trans-BB.RE collateral'!$D$2)),0)</f>
        <v>18712817</v>
      </c>
      <c r="P25" s="85">
        <f>ROUND(SUM(SUMIFS(Input!$G:$G,Input!$C:$C,'2.CC Trans-BB.RE collateral'!$A$10,Input!$I:$I,"MESG1",Input!$D:$D,'2.CC Trans-BB.RE collateral'!P$7&amp;"*",Input!$H:$H,{"1-REAL";"SANTANDER"},Input!$F:$F,'2.CC Trans-BB.RE collateral'!$D$2)),0)</f>
        <v>8387480</v>
      </c>
      <c r="Q25" s="85">
        <f>ROUND(SUM(SUMIFS(Input!$G:$G,Input!$C:$C,'2.CC Trans-BB.RE collateral'!$A$10,Input!$I:$I,"MESG1",Input!$D:$D,'2.CC Trans-BB.RE collateral'!Q$7&amp;"*",Input!$H:$H,{"1-REAL";"SANTANDER"},Input!$F:$F,'2.CC Trans-BB.RE collateral'!$D$2)),0)</f>
        <v>7082046</v>
      </c>
      <c r="R25" s="85">
        <f>ROUND(SUM(SUMIFS(Input!$G:$G,Input!$C:$C,'2.CC Trans-BB.RE collateral'!$A$10,Input!$I:$I,"MESG1",Input!$D:$D,'2.CC Trans-BB.RE collateral'!R$7&amp;"*",Input!$H:$H,{"1-REAL";"SANTANDER"},Input!$F:$F,'2.CC Trans-BB.RE collateral'!$D$2)),0)</f>
        <v>3616006</v>
      </c>
      <c r="S25" s="85">
        <f>ROUND(SUM(SUMIFS(Input!$G:$G,Input!$C:$C,'2.CC Trans-BB.RE collateral'!$A$10,Input!$I:$I,"MESG1",Input!$D:$D,'2.CC Trans-BB.RE collateral'!S$7&amp;"*",Input!$H:$H,{"1-REAL";"SANTANDER"},Input!$F:$F,'2.CC Trans-BB.RE collateral'!$D$2)),0)</f>
        <v>42847</v>
      </c>
      <c r="T25" s="85">
        <f>ROUND(SUMIFS(Input!$G:$G,Input!$C:$C,'2.CC Trans-BB.RE collateral'!$A$10,Input!$I:$I,"MESG1",Input!$H:$H,"&lt;&gt;"&amp;S$1,Input!$H:$H,"&lt;&gt;"&amp;S$2,Input!$F:$F,'2.CC Trans-BB.RE collateral'!$D$2),0)</f>
        <v>656550399</v>
      </c>
      <c r="U25" s="60"/>
      <c r="V25" s="47"/>
    </row>
    <row r="26" spans="2:22" s="42" customFormat="1" ht="12.75" x14ac:dyDescent="0.2">
      <c r="B26" s="45">
        <v>17</v>
      </c>
      <c r="C26" s="59" t="s">
        <v>103</v>
      </c>
      <c r="D26" s="84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3.031887173723662E-2</v>
      </c>
      <c r="E26" s="84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3.050562703359002E-2</v>
      </c>
      <c r="F26" s="84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3.0342574418606234E-2</v>
      </c>
      <c r="G26" s="84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3.0026766514981131E-2</v>
      </c>
      <c r="H26" s="84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3.0016902329485288E-2</v>
      </c>
      <c r="I26" s="84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2.9995503178888178E-2</v>
      </c>
      <c r="J26" s="84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3.0243388932553763E-2</v>
      </c>
      <c r="K26" s="84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3.1028485070430368E-2</v>
      </c>
      <c r="L26" s="60"/>
      <c r="M26" s="84">
        <f>SUM(SUMIFS(Input!$O:$O,Input!$C:$C,'2.CC Trans-BB.RE collateral'!$A$10,Input!$K:$K,{"NBF1";"NBF2"},Input!$H:$H,"1-REAL",Input!$D:$D,'2.CC Trans-BB.RE collateral'!M$7&amp;"*",Input!$F:$F,'2.CC Trans-BB.RE collateral'!$D$2)) / SUM(SUMIFS(Input!$G:$G,Input!$C:$C,'2.CC Trans-BB.RE collateral'!$A$10,Input!$K:$K,{"NBF1";"NBF2"},Input!$H:$H,"1-REAL",Input!$D:$D,'2.CC Trans-BB.RE collateral'!M$7&amp;"*",Input!$F:$F,'2.CC Trans-BB.RE collateral'!$D$2))</f>
        <v>3.007052983806013E-2</v>
      </c>
      <c r="N26" s="84">
        <f>SUM(SUMIFS(Input!$O:$O,Input!$C:$C,'2.CC Trans-BB.RE collateral'!$A$10,Input!$K:$K,{"NBF1";"NBF2"},Input!$H:$H,"1-REAL",Input!$D:$D,'2.CC Trans-BB.RE collateral'!N$7&amp;"*",Input!$F:$F,'2.CC Trans-BB.RE collateral'!$D$2)) / SUM(SUMIFS(Input!$G:$G,Input!$C:$C,'2.CC Trans-BB.RE collateral'!$A$10,Input!$K:$K,{"NBF1";"NBF2"},Input!$H:$H,"1-REAL",Input!$D:$D,'2.CC Trans-BB.RE collateral'!N$7&amp;"*",Input!$F:$F,'2.CC Trans-BB.RE collateral'!$D$2))</f>
        <v>3.0124367543777258E-2</v>
      </c>
      <c r="O26" s="84">
        <f>SUM(SUMIFS(Input!$O:$O,Input!$C:$C,'2.CC Trans-BB.RE collateral'!$A$10,Input!$K:$K,{"NBF1";"NBF2"},Input!$H:$H,"1-REAL",Input!$D:$D,'2.CC Trans-BB.RE collateral'!O$7&amp;"*",Input!$F:$F,'2.CC Trans-BB.RE collateral'!$D$2)) / SUM(SUMIFS(Input!$G:$G,Input!$C:$C,'2.CC Trans-BB.RE collateral'!$A$10,Input!$K:$K,{"NBF1";"NBF2"},Input!$H:$H,"1-REAL",Input!$D:$D,'2.CC Trans-BB.RE collateral'!O$7&amp;"*",Input!$F:$F,'2.CC Trans-BB.RE collateral'!$D$2))</f>
        <v>2.9955731042432526E-2</v>
      </c>
      <c r="P26" s="84">
        <f>SUM(SUMIFS(Input!$O:$O,Input!$C:$C,'2.CC Trans-BB.RE collateral'!$A$10,Input!$K:$K,{"NBF1";"NBF2"},Input!$H:$H,"1-REAL",Input!$D:$D,'2.CC Trans-BB.RE collateral'!P$7&amp;"*",Input!$F:$F,'2.CC Trans-BB.RE collateral'!$D$2)) / SUM(SUMIFS(Input!$G:$G,Input!$C:$C,'2.CC Trans-BB.RE collateral'!$A$10,Input!$K:$K,{"NBF1";"NBF2"},Input!$H:$H,"1-REAL",Input!$D:$D,'2.CC Trans-BB.RE collateral'!P$7&amp;"*",Input!$F:$F,'2.CC Trans-BB.RE collateral'!$D$2))</f>
        <v>3.0010509449390856E-2</v>
      </c>
      <c r="Q26" s="84">
        <f>SUM(SUMIFS(Input!$O:$O,Input!$C:$C,'2.CC Trans-BB.RE collateral'!$A$10,Input!$K:$K,{"NBF1";"NBF2"},Input!$H:$H,"1-REAL",Input!$D:$D,'2.CC Trans-BB.RE collateral'!Q$7&amp;"*",Input!$F:$F,'2.CC Trans-BB.RE collateral'!$D$2)) / SUM(SUMIFS(Input!$G:$G,Input!$C:$C,'2.CC Trans-BB.RE collateral'!$A$10,Input!$K:$K,{"NBF1";"NBF2"},Input!$H:$H,"1-REAL",Input!$D:$D,'2.CC Trans-BB.RE collateral'!Q$7&amp;"*",Input!$F:$F,'2.CC Trans-BB.RE collateral'!$D$2))</f>
        <v>3.0038596236455415E-2</v>
      </c>
      <c r="R26" s="84">
        <f>SUM(SUMIFS(Input!$O:$O,Input!$C:$C,'2.CC Trans-BB.RE collateral'!$A$10,Input!$K:$K,{"NBF1";"NBF2"},Input!$H:$H,"1-REAL",Input!$D:$D,'2.CC Trans-BB.RE collateral'!R$7&amp;"*",Input!$F:$F,'2.CC Trans-BB.RE collateral'!$D$2)) / SUM(SUMIFS(Input!$G:$G,Input!$C:$C,'2.CC Trans-BB.RE collateral'!$A$10,Input!$K:$K,{"NBF1";"NBF2"},Input!$H:$H,"1-REAL",Input!$D:$D,'2.CC Trans-BB.RE collateral'!R$7&amp;"*",Input!$F:$F,'2.CC Trans-BB.RE collateral'!$D$2))</f>
        <v>2.9982396237704718E-2</v>
      </c>
      <c r="S26" s="84">
        <f>IFERROR(SUM(SUMIFS(Input!$O:$O,Input!$C:$C,'2.CC Trans-BB.RE collateral'!$A$10,Input!$K:$K,{"NBF1";"NBF2"},Input!$H:$H,"1-REAL",Input!$D:$D,'2.CC Trans-BB.RE collateral'!S$7&amp;"*",Input!$F:$F,'2.CC Trans-BB.RE collateral'!$D$2)) / SUM(SUMIFS(Input!$G:$G,Input!$C:$C,'2.CC Trans-BB.RE collateral'!$A$10,Input!$K:$K,{"NBF1";"NBF2"},Input!$H:$H,"1-REAL",Input!$D:$D,'2.CC Trans-BB.RE collateral'!S$7&amp;"*",Input!$F:$F,'2.CC Trans-BB.RE collateral'!$D$2)),0)</f>
        <v>0</v>
      </c>
      <c r="T26" s="84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3.1440507521592657E-2</v>
      </c>
      <c r="U26" s="60"/>
      <c r="V26" s="47"/>
    </row>
    <row r="27" spans="2:22" s="42" customFormat="1" ht="12.75" x14ac:dyDescent="0.2">
      <c r="B27" s="45">
        <v>18</v>
      </c>
      <c r="C27" s="62" t="s">
        <v>35</v>
      </c>
      <c r="D27" s="88"/>
      <c r="E27" s="88"/>
      <c r="F27" s="88"/>
      <c r="G27" s="88"/>
      <c r="H27" s="88"/>
      <c r="I27" s="88"/>
      <c r="J27" s="88"/>
      <c r="K27" s="80">
        <f>+SUM(K28:K30)</f>
        <v>37184306</v>
      </c>
      <c r="L27" s="81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0.95931649228575089</v>
      </c>
      <c r="M27" s="88"/>
      <c r="N27" s="88"/>
      <c r="O27" s="88"/>
      <c r="P27" s="88"/>
      <c r="Q27" s="88"/>
      <c r="R27" s="88"/>
      <c r="S27" s="88"/>
      <c r="T27" s="88"/>
      <c r="U27" s="81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0.94448625581742085</v>
      </c>
    </row>
    <row r="28" spans="2:22" ht="15" x14ac:dyDescent="0.25">
      <c r="B28" s="45">
        <v>19</v>
      </c>
      <c r="C28" s="63" t="s">
        <v>31</v>
      </c>
      <c r="D28" s="88"/>
      <c r="E28" s="88"/>
      <c r="F28" s="88"/>
      <c r="G28" s="88"/>
      <c r="H28" s="88"/>
      <c r="I28" s="88"/>
      <c r="J28" s="88"/>
      <c r="K28" s="80">
        <f>ROUND(SUMIFS(Input!$G:$G,Input!$C:$C,'2.CC Trans-BB.RE collateral'!$A$9,Input!$F:$F,'2.CC Trans-BB.RE collateral'!$D$3,Input!$R:$R,"&lt;&gt;"&amp;$S$1),0)</f>
        <v>0</v>
      </c>
      <c r="L28" s="81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88"/>
      <c r="N28" s="88"/>
      <c r="O28" s="88"/>
      <c r="P28" s="88"/>
      <c r="Q28" s="88"/>
      <c r="R28" s="88"/>
      <c r="S28" s="88"/>
      <c r="T28" s="88"/>
      <c r="U28" s="81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ht="15" x14ac:dyDescent="0.25">
      <c r="B29" s="45">
        <v>20</v>
      </c>
      <c r="C29" s="63" t="s">
        <v>32</v>
      </c>
      <c r="D29" s="88"/>
      <c r="E29" s="88"/>
      <c r="F29" s="88"/>
      <c r="G29" s="88"/>
      <c r="H29" s="88"/>
      <c r="I29" s="88"/>
      <c r="J29" s="88"/>
      <c r="K29" s="80">
        <f>ROUND(SUMIFS(Input!$G:$G,Input!$C:$C,'2.CC Trans-BB.RE collateral'!$A$10,Input!$F:$F,'2.CC Trans-BB.RE collateral'!$D$3,Input!$R:$R,"&lt;&gt;"&amp;$S$1),0)</f>
        <v>37184306</v>
      </c>
      <c r="L29" s="81">
        <f>(SUMIFS(Input!$G:$G,Input!$C:$C,$A$10,Input!$F:$F,'2.CC Trans-BB.RE collateral'!$D$3,Input!$R:$R,"&lt;&gt;"&amp;$S$1,Input!$R:$R,"&lt;&gt;"&amp;"",Input!$R:$R,"&lt;&gt;"&amp;$U$1,Input!$R:$R,"&lt;&gt;"&amp;$S$3))/$K29</f>
        <v>0.95931649228575089</v>
      </c>
      <c r="M29" s="88"/>
      <c r="N29" s="88"/>
      <c r="O29" s="88"/>
      <c r="P29" s="88"/>
      <c r="Q29" s="88"/>
      <c r="R29" s="88"/>
      <c r="S29" s="88"/>
      <c r="T29" s="88"/>
      <c r="U29" s="81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0.94448625581742085</v>
      </c>
    </row>
    <row r="30" spans="2:22" s="42" customFormat="1" ht="12.75" x14ac:dyDescent="0.2">
      <c r="B30" s="45">
        <v>21</v>
      </c>
      <c r="C30" s="63" t="s">
        <v>33</v>
      </c>
      <c r="D30" s="88"/>
      <c r="E30" s="88"/>
      <c r="F30" s="88"/>
      <c r="G30" s="88"/>
      <c r="H30" s="88"/>
      <c r="I30" s="88"/>
      <c r="J30" s="88"/>
      <c r="K30" s="80">
        <f>ROUND(SUMIFS(Input!$G:$G,Input!$C:$C,'2.CC Trans-BB.RE collateral'!$A$11,Input!$F:$F,'2.CC Trans-BB.RE collateral'!$D$3),0)</f>
        <v>0</v>
      </c>
      <c r="L30" s="81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88"/>
      <c r="N30" s="88"/>
      <c r="O30" s="88"/>
      <c r="P30" s="88"/>
      <c r="Q30" s="88"/>
      <c r="R30" s="88"/>
      <c r="S30" s="88"/>
      <c r="T30" s="88"/>
      <c r="U30" s="81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47"/>
    </row>
    <row r="31" spans="2:22" s="42" customFormat="1" ht="12.75" x14ac:dyDescent="0.2">
      <c r="B31" s="45">
        <v>22</v>
      </c>
      <c r="C31" s="65" t="s">
        <v>89</v>
      </c>
      <c r="D31" s="88"/>
      <c r="E31" s="88"/>
      <c r="F31" s="88"/>
      <c r="G31" s="88"/>
      <c r="H31" s="88"/>
      <c r="I31" s="88"/>
      <c r="J31" s="88"/>
      <c r="K31" s="82">
        <f>ROUND(SUM(SUMIFS(Input!$G:$G,Input!$C:$C,{"Garantia Comercial";"Garantia Residencial";"Stock"},Input!$E:$E,"&lt;&gt;"&amp;$A$12,Input!$R:$R,"&lt;&gt;"&amp;$S$1,Input!$F:$F,'2.CC Trans-BB.RE collateral'!$D$3)),0)</f>
        <v>35671518</v>
      </c>
      <c r="L31" s="83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1</v>
      </c>
      <c r="M31" s="80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collateral'!$D$3)),0)</f>
        <v>2786150</v>
      </c>
      <c r="N31" s="80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collateral'!$D$3)),0)</f>
        <v>2415229</v>
      </c>
      <c r="O31" s="80">
        <f>ROUND(SUM(SUMIFS(Input!$G:$G,Input!$C:$C,{"Garantia Comercial";"Garantia Residencial";"Stock"},Input!$H:$H,"&lt;&gt;"&amp;$S$2,Input!$H:$H,"&lt;&gt;"&amp;"",Input!$H:$H,"&lt;&gt;"&amp;$S$1,Input!$D:$D,'2.CC Trans-BB.RE collateral'!O$7&amp;"*",Input!$D:$D,"&lt;&gt;"&amp;'2.CC Trans-BB.RE collateral'!$T$1,Input!$F:$F,'2.CC Trans-BB.RE collateral'!$D$3)),0)</f>
        <v>10850665</v>
      </c>
      <c r="P31" s="80">
        <f>ROUND(SUM(SUMIFS(Input!$G:$G,Input!$C:$C,{"Garantia Comercial";"Garantia Residencial";"Stock"},Input!$H:$H,"&lt;&gt;"&amp;$S$2,Input!$H:$H,"&lt;&gt;"&amp;"",Input!$H:$H,"&lt;&gt;"&amp;$S$1,Input!$D:$D,'2.CC Trans-BB.RE collateral'!P$7&amp;"*",Input!$D:$D,"&lt;&gt;"&amp;'2.CC Trans-BB.RE collateral'!$T$1,Input!$F:$F,'2.CC Trans-BB.RE collateral'!$D$3)),0)</f>
        <v>4226266</v>
      </c>
      <c r="Q31" s="80">
        <f>ROUND(SUM(SUMIFS(Input!$G:$G,Input!$C:$C,{"Garantia Comercial";"Garantia Residencial";"Stock"},Input!$H:$H,"&lt;&gt;"&amp;$S$2,Input!$H:$H,"&lt;&gt;"&amp;"",Input!$H:$H,"&lt;&gt;"&amp;$S$1,Input!$D:$D,'2.CC Trans-BB.RE collateral'!Q$7&amp;"*",Input!$D:$D,"&lt;&gt;"&amp;'2.CC Trans-BB.RE collateral'!$T$1,Input!$F:$F,'2.CC Trans-BB.RE collateral'!$D$3)),0)</f>
        <v>4145996</v>
      </c>
      <c r="R31" s="80">
        <f>ROUND(SUM(SUMIFS(Input!$G:$G,Input!$C:$C,{"Garantia Comercial";"Garantia Residencial";"Stock"},Input!$H:$H,"&lt;&gt;"&amp;$S$2,Input!$H:$H,"&lt;&gt;"&amp;"",Input!$H:$H,"&lt;&gt;"&amp;$S$1,Input!$D:$D,'2.CC Trans-BB.RE collateral'!R$7&amp;"*",Input!$D:$D,"&lt;&gt;"&amp;'2.CC Trans-BB.RE collateral'!$T$1,Input!$F:$F,'2.CC Trans-BB.RE collateral'!$D$3)),0)</f>
        <v>1298413</v>
      </c>
      <c r="S31" s="80">
        <f>ROUND(SUM(SUMIFS(Input!$G:$G,Input!$C:$C,{"Garantia Comercial";"Garantia Residencial";"Stock"},Input!$H:$H,"&lt;&gt;"&amp;$S$2,Input!$H:$H,"&lt;&gt;"&amp;"",Input!$H:$H,"&lt;&gt;"&amp;$S$1,Input!$D:$D,'2.CC Trans-BB.RE collateral'!S$7&amp;"*",Input!$D:$D,"&lt;&gt;"&amp;'2.CC Trans-BB.RE collateral'!$T$1,Input!$F:$F,'2.CC Trans-BB.RE collateral'!$D$3)),0)</f>
        <v>15186</v>
      </c>
      <c r="T31" s="88"/>
      <c r="U31" s="83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47"/>
    </row>
    <row r="32" spans="2:22" s="42" customFormat="1" ht="12.75" x14ac:dyDescent="0.2">
      <c r="B32" s="45"/>
      <c r="C32" s="109" t="s">
        <v>90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1"/>
      <c r="V32" s="47"/>
    </row>
    <row r="33" spans="2:22" s="42" customFormat="1" ht="12.75" x14ac:dyDescent="0.2">
      <c r="B33" s="45">
        <v>23</v>
      </c>
      <c r="C33" s="59" t="s">
        <v>91</v>
      </c>
      <c r="D33" s="84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84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84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84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84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84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84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84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60"/>
      <c r="M33" s="84">
        <f>IFERROR(SUM(SUMIFS(Input!$P:$P,Input!$C:$C,'2.CC Trans-BB.RE collateral'!$A$9,Input!$D:$D,'2.CC Trans-BB.RE collateral'!M$7&amp;"*",Input!$H:$H,{"1-REAL";"SANTANDER"},Input!$F:$F,'2.CC Trans-BB.RE collateral'!$D$3)) / SUM(SUMIFS(Input!$G:$G,Input!$C:$C,'2.CC Trans-BB.RE collateral'!$A$9,Input!$D:$D,'2.CC Trans-BB.RE collateral'!M$7&amp;"*",Input!$H:$H,{"1-REAL";"SANTANDER"},Input!$F:$F,'2.CC Trans-BB.RE collateral'!$D$3)),0)</f>
        <v>0</v>
      </c>
      <c r="N33" s="84">
        <f>IFERROR(SUM(SUMIFS(Input!$P:$P,Input!$C:$C,'2.CC Trans-BB.RE collateral'!$A$9,Input!$D:$D,'2.CC Trans-BB.RE collateral'!N$7&amp;"*",Input!$H:$H,{"1-REAL";"SANTANDER"},Input!$F:$F,'2.CC Trans-BB.RE collateral'!$D$3)) / SUM(SUMIFS(Input!$G:$G,Input!$C:$C,'2.CC Trans-BB.RE collateral'!$A$9,Input!$D:$D,'2.CC Trans-BB.RE collateral'!N$7&amp;"*",Input!$H:$H,{"1-REAL";"SANTANDER"},Input!$F:$F,'2.CC Trans-BB.RE collateral'!$D$3)),0)</f>
        <v>0</v>
      </c>
      <c r="O33" s="84">
        <f>IFERROR(SUM(SUMIFS(Input!$P:$P,Input!$C:$C,'2.CC Trans-BB.RE collateral'!$A$9,Input!$D:$D,'2.CC Trans-BB.RE collateral'!O$7&amp;"*",Input!$H:$H,{"1-REAL";"SANTANDER"},Input!$F:$F,'2.CC Trans-BB.RE collateral'!$D$3)) / SUM(SUMIFS(Input!$G:$G,Input!$C:$C,'2.CC Trans-BB.RE collateral'!$A$9,Input!$D:$D,'2.CC Trans-BB.RE collateral'!O$7&amp;"*",Input!$H:$H,{"1-REAL";"SANTANDER"},Input!$F:$F,'2.CC Trans-BB.RE collateral'!$D$3)),0)</f>
        <v>0</v>
      </c>
      <c r="P33" s="84">
        <f>IFERROR(SUM(SUMIFS(Input!$P:$P,Input!$C:$C,'2.CC Trans-BB.RE collateral'!$A$9,Input!$D:$D,'2.CC Trans-BB.RE collateral'!P$7&amp;"*",Input!$H:$H,{"1-REAL";"SANTANDER"},Input!$F:$F,'2.CC Trans-BB.RE collateral'!$D$3)) / SUM(SUMIFS(Input!$G:$G,Input!$C:$C,'2.CC Trans-BB.RE collateral'!$A$9,Input!$D:$D,'2.CC Trans-BB.RE collateral'!P$7&amp;"*",Input!$H:$H,{"1-REAL";"SANTANDER"},Input!$F:$F,'2.CC Trans-BB.RE collateral'!$D$3)),0)</f>
        <v>0</v>
      </c>
      <c r="Q33" s="84">
        <f>IFERROR(SUM(SUMIFS(Input!$P:$P,Input!$C:$C,'2.CC Trans-BB.RE collateral'!$A$9,Input!$D:$D,'2.CC Trans-BB.RE collateral'!Q$7&amp;"*",Input!$H:$H,{"1-REAL";"SANTANDER"},Input!$F:$F,'2.CC Trans-BB.RE collateral'!$D$3)) / SUM(SUMIFS(Input!$G:$G,Input!$C:$C,'2.CC Trans-BB.RE collateral'!$A$9,Input!$D:$D,'2.CC Trans-BB.RE collateral'!Q$7&amp;"*",Input!$H:$H,{"1-REAL";"SANTANDER"},Input!$F:$F,'2.CC Trans-BB.RE collateral'!$D$3)),0)</f>
        <v>0</v>
      </c>
      <c r="R33" s="84">
        <f>IFERROR(SUM(SUMIFS(Input!$P:$P,Input!$C:$C,'2.CC Trans-BB.RE collateral'!$A$9,Input!$D:$D,'2.CC Trans-BB.RE collateral'!R$7&amp;"*",Input!$H:$H,{"1-REAL";"SANTANDER"},Input!$F:$F,'2.CC Trans-BB.RE collateral'!$D$3)) / SUM(SUMIFS(Input!$G:$G,Input!$C:$C,'2.CC Trans-BB.RE collateral'!$A$9,Input!$D:$D,'2.CC Trans-BB.RE collateral'!R$7&amp;"*",Input!$H:$H,{"1-REAL";"SANTANDER"},Input!$F:$F,'2.CC Trans-BB.RE collateral'!$D$3)),0)</f>
        <v>0</v>
      </c>
      <c r="S33" s="84">
        <f>IFERROR(SUM(SUMIFS(Input!$P:$P,Input!$C:$C,'2.CC Trans-BB.RE collateral'!$A$9,Input!$D:$D,'2.CC Trans-BB.RE collateral'!S$7&amp;"*",Input!$H:$H,{"1-REAL";"SANTANDER"},Input!$F:$F,'2.CC Trans-BB.RE collateral'!$D$3)) / SUM(SUMIFS(Input!$G:$G,Input!$C:$C,'2.CC Trans-BB.RE collateral'!$A$9,Input!$D:$D,'2.CC Trans-BB.RE collateral'!S$7&amp;"*",Input!$H:$H,{"1-REAL";"SANTANDER"},Input!$F:$F,'2.CC Trans-BB.RE collateral'!$D$3)),0)</f>
        <v>0</v>
      </c>
      <c r="T33" s="84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60"/>
      <c r="V33" s="47"/>
    </row>
    <row r="34" spans="2:22" s="42" customFormat="1" ht="12.75" x14ac:dyDescent="0.2">
      <c r="B34" s="45">
        <v>24</v>
      </c>
      <c r="C34" s="59" t="s">
        <v>92</v>
      </c>
      <c r="D34" s="85">
        <f>ROUND(SUMIFS(Input!$G:$G,Input!$C:$C,'2.CC Trans-BB.RE collateral'!$A$9,Input!$Q:$Q,"LTV4",Input!$F:$F,'2.CC Trans-BB.RE collateral'!$D$3),0)</f>
        <v>0</v>
      </c>
      <c r="E34" s="85">
        <f>ROUND(SUMIFS(Input!$G:$G,Input!$C:$C,'2.CC Trans-BB.RE collateral'!$A$9,Input!$Q:$Q,"LTV4",Input!$E:$E,'2.CC Trans-BB.RE collateral'!E$3,Input!$F:$F,'2.CC Trans-BB.RE collateral'!$D$3),0)</f>
        <v>0</v>
      </c>
      <c r="F34" s="85">
        <f>ROUND(SUMIFS(Input!$G:$G,Input!$C:$C,'2.CC Trans-BB.RE collateral'!$A$9,Input!$Q:$Q,"LTV4",Input!$E:$E,'2.CC Trans-BB.RE collateral'!F$3,Input!$F:$F,'2.CC Trans-BB.RE collateral'!$D$3),0)</f>
        <v>0</v>
      </c>
      <c r="G34" s="85">
        <f>ROUND(SUMIFS(Input!$G:$G,Input!$C:$C,'2.CC Trans-BB.RE collateral'!$A$9,Input!$Q:$Q,"LTV4",Input!$E:$E,'2.CC Trans-BB.RE collateral'!G$3,Input!$F:$F,'2.CC Trans-BB.RE collateral'!$D$3),0)</f>
        <v>0</v>
      </c>
      <c r="H34" s="85">
        <f>ROUND(SUMIFS(Input!$G:$G,Input!$C:$C,'2.CC Trans-BB.RE collateral'!$A$9,Input!$Q:$Q,"LTV4",Input!$E:$E,'2.CC Trans-BB.RE collateral'!H$3,Input!$F:$F,'2.CC Trans-BB.RE collateral'!$D$3),0)</f>
        <v>0</v>
      </c>
      <c r="I34" s="85">
        <f>ROUND(SUMIFS(Input!$G:$G,Input!$C:$C,'2.CC Trans-BB.RE collateral'!$A$9,Input!$Q:$Q,"LTV4",Input!$E:$E,'2.CC Trans-BB.RE collateral'!I$3,Input!$F:$F,'2.CC Trans-BB.RE collateral'!$D$3),0)</f>
        <v>0</v>
      </c>
      <c r="J34" s="85">
        <f>ROUND(SUMIFS(Input!$G:$G,Input!$C:$C,'2.CC Trans-BB.RE collateral'!$A$9,Input!$Q:$Q,"LTV4",Input!$E:$E,'2.CC Trans-BB.RE collateral'!J$3,Input!$F:$F,'2.CC Trans-BB.RE collateral'!$D$3),0)</f>
        <v>0</v>
      </c>
      <c r="K34" s="85">
        <f>ROUND(SUMIFS(Input!$G:$G,Input!$C:$C,'2.CC Trans-BB.RE collateral'!$A$9,Input!$Q:$Q,"LTV4",Input!$R:$R,"&lt;&gt;"&amp;$S$1,Input!$F:$F,'2.CC Trans-BB.RE collateral'!$D$3),0)</f>
        <v>0</v>
      </c>
      <c r="L34" s="60"/>
      <c r="M34" s="85">
        <f>ROUND(SUM(SUMIFS(Input!$G:$G,Input!$C:$C,'2.CC Trans-BB.RE collateral'!$A$9,Input!$Q:$Q,"LTV4",Input!$D:$D,'2.CC Trans-BB.RE collateral'!M$7&amp;"*",Input!$H:$H,{"1-REAL";"SANTANDER"},Input!$F:$F,'2.CC Trans-BB.RE collateral'!$D$3)),0)</f>
        <v>0</v>
      </c>
      <c r="N34" s="85">
        <f>ROUND(SUM(SUMIFS(Input!$G:$G,Input!$C:$C,'2.CC Trans-BB.RE collateral'!$A$9,Input!$Q:$Q,"LTV4",Input!$D:$D,'2.CC Trans-BB.RE collateral'!N$7&amp;"*",Input!$H:$H,{"1-REAL";"SANTANDER"},Input!$F:$F,'2.CC Trans-BB.RE collateral'!$D$3)),0)</f>
        <v>0</v>
      </c>
      <c r="O34" s="85">
        <f>ROUND(SUM(SUMIFS(Input!$G:$G,Input!$C:$C,'2.CC Trans-BB.RE collateral'!$A$9,Input!$Q:$Q,"LTV4",Input!$D:$D,'2.CC Trans-BB.RE collateral'!O$7&amp;"*",Input!$H:$H,{"1-REAL";"SANTANDER"},Input!$F:$F,'2.CC Trans-BB.RE collateral'!$D$3)),0)</f>
        <v>0</v>
      </c>
      <c r="P34" s="85">
        <f>ROUND(SUM(SUMIFS(Input!$G:$G,Input!$C:$C,'2.CC Trans-BB.RE collateral'!$A$9,Input!$Q:$Q,"LTV4",Input!$D:$D,'2.CC Trans-BB.RE collateral'!P$7&amp;"*",Input!$H:$H,{"1-REAL";"SANTANDER"},Input!$F:$F,'2.CC Trans-BB.RE collateral'!$D$3)),0)</f>
        <v>0</v>
      </c>
      <c r="Q34" s="85">
        <f>ROUND(SUM(SUMIFS(Input!$G:$G,Input!$C:$C,'2.CC Trans-BB.RE collateral'!$A$9,Input!$Q:$Q,"LTV4",Input!$D:$D,'2.CC Trans-BB.RE collateral'!Q$7&amp;"*",Input!$H:$H,{"1-REAL";"SANTANDER"},Input!$F:$F,'2.CC Trans-BB.RE collateral'!$D$3)),0)</f>
        <v>0</v>
      </c>
      <c r="R34" s="85">
        <f>ROUND(SUM(SUMIFS(Input!$G:$G,Input!$C:$C,'2.CC Trans-BB.RE collateral'!$A$9,Input!$Q:$Q,"LTV4",Input!$D:$D,'2.CC Trans-BB.RE collateral'!R$7&amp;"*",Input!$H:$H,{"1-REAL";"SANTANDER"},Input!$F:$F,'2.CC Trans-BB.RE collateral'!$D$3)),0)</f>
        <v>0</v>
      </c>
      <c r="S34" s="85">
        <f>ROUND(SUM(SUMIFS(Input!$G:$G,Input!$C:$C,'2.CC Trans-BB.RE collateral'!$A$9,Input!$Q:$Q,"LTV4",Input!$D:$D,'2.CC Trans-BB.RE collateral'!S$7&amp;"*",Input!$H:$H,{"1-REAL";"SANTANDER"},Input!$F:$F,'2.CC Trans-BB.RE collateral'!$D$3)),0)</f>
        <v>0</v>
      </c>
      <c r="T34" s="85">
        <f>ROUND(SUMIFS(Input!$G:$G,Input!$C:$C,'2.CC Trans-BB.RE collateral'!$A$9,Input!$Q:$Q,"LTV4",Input!$H:$H,"&lt;&gt;"&amp;S$1,Input!$H:$H,"&lt;&gt;"&amp;S$2,Input!$F:$F,'2.CC Trans-BB.RE collateral'!$D$3),0)</f>
        <v>0</v>
      </c>
      <c r="U34" s="60"/>
      <c r="V34" s="47"/>
    </row>
    <row r="35" spans="2:22" s="42" customFormat="1" ht="12.75" x14ac:dyDescent="0.2">
      <c r="B35" s="45">
        <v>25</v>
      </c>
      <c r="C35" s="59" t="s">
        <v>93</v>
      </c>
      <c r="D35" s="85">
        <f>ROUND(SUMIFS(Input!$G:$G,Input!$C:$C,'2.CC Trans-BB.RE collateral'!$A$9,Input!$Q:$Q,"LTV5",Input!$F:$F,'2.CC Trans-BB.RE collateral'!$D$3),0)</f>
        <v>0</v>
      </c>
      <c r="E35" s="85">
        <f>ROUND(SUMIFS(Input!$G:$G,Input!$C:$C,'2.CC Trans-BB.RE collateral'!$A$9,Input!$Q:$Q,"LTV5",Input!$E:$E,'2.CC Trans-BB.RE collateral'!E$3,Input!$F:$F,'2.CC Trans-BB.RE collateral'!$D$3),0)</f>
        <v>0</v>
      </c>
      <c r="F35" s="85">
        <f>ROUND(SUMIFS(Input!$G:$G,Input!$C:$C,'2.CC Trans-BB.RE collateral'!$A$9,Input!$Q:$Q,"LTV5",Input!$E:$E,'2.CC Trans-BB.RE collateral'!F$3,Input!$F:$F,'2.CC Trans-BB.RE collateral'!$D$3),0)</f>
        <v>0</v>
      </c>
      <c r="G35" s="85">
        <f>ROUND(SUMIFS(Input!$G:$G,Input!$C:$C,'2.CC Trans-BB.RE collateral'!$A$9,Input!$Q:$Q,"LTV5",Input!$E:$E,'2.CC Trans-BB.RE collateral'!G$3,Input!$F:$F,'2.CC Trans-BB.RE collateral'!$D$3),0)</f>
        <v>0</v>
      </c>
      <c r="H35" s="85">
        <f>ROUND(SUMIFS(Input!$G:$G,Input!$C:$C,'2.CC Trans-BB.RE collateral'!$A$9,Input!$Q:$Q,"LTV5",Input!$E:$E,'2.CC Trans-BB.RE collateral'!H$3,Input!$F:$F,'2.CC Trans-BB.RE collateral'!$D$3),0)</f>
        <v>0</v>
      </c>
      <c r="I35" s="85">
        <f>ROUND(SUMIFS(Input!$G:$G,Input!$C:$C,'2.CC Trans-BB.RE collateral'!$A$9,Input!$Q:$Q,"LTV5",Input!$E:$E,'2.CC Trans-BB.RE collateral'!I$3,Input!$F:$F,'2.CC Trans-BB.RE collateral'!$D$3),0)</f>
        <v>0</v>
      </c>
      <c r="J35" s="85">
        <f>ROUND(SUMIFS(Input!$G:$G,Input!$C:$C,'2.CC Trans-BB.RE collateral'!$A$9,Input!$Q:$Q,"LTV5",Input!$E:$E,'2.CC Trans-BB.RE collateral'!J$3,Input!$F:$F,'2.CC Trans-BB.RE collateral'!$D$3),0)</f>
        <v>0</v>
      </c>
      <c r="K35" s="85">
        <f>ROUND(SUMIFS(Input!$G:$G,Input!$C:$C,'2.CC Trans-BB.RE collateral'!$A$9,Input!$Q:$Q,"LTV5",Input!$R:$R,"&lt;&gt;"&amp;$S$1,Input!$F:$F,'2.CC Trans-BB.RE collateral'!$D$3),0)</f>
        <v>0</v>
      </c>
      <c r="L35" s="60"/>
      <c r="M35" s="85">
        <f>ROUND(SUM(SUMIFS(Input!$G:$G,Input!$C:$C,'2.CC Trans-BB.RE collateral'!$A$9,Input!$Q:$Q,"LTV5",Input!$D:$D,'2.CC Trans-BB.RE collateral'!M$7&amp;"*",Input!$H:$H,{"1-REAL";"SANTANDER"},Input!$F:$F,'2.CC Trans-BB.RE collateral'!$D$3)),0)</f>
        <v>0</v>
      </c>
      <c r="N35" s="85">
        <f>ROUND(SUM(SUMIFS(Input!$G:$G,Input!$C:$C,'2.CC Trans-BB.RE collateral'!$A$9,Input!$Q:$Q,"LTV5",Input!$D:$D,'2.CC Trans-BB.RE collateral'!N$7&amp;"*",Input!$H:$H,{"1-REAL";"SANTANDER"},Input!$F:$F,'2.CC Trans-BB.RE collateral'!$D$3)),0)</f>
        <v>0</v>
      </c>
      <c r="O35" s="85">
        <f>ROUND(SUM(SUMIFS(Input!$G:$G,Input!$C:$C,'2.CC Trans-BB.RE collateral'!$A$9,Input!$Q:$Q,"LTV5",Input!$D:$D,'2.CC Trans-BB.RE collateral'!O$7&amp;"*",Input!$H:$H,{"1-REAL";"SANTANDER"},Input!$F:$F,'2.CC Trans-BB.RE collateral'!$D$3)),0)</f>
        <v>0</v>
      </c>
      <c r="P35" s="85">
        <f>ROUND(SUM(SUMIFS(Input!$G:$G,Input!$C:$C,'2.CC Trans-BB.RE collateral'!$A$9,Input!$Q:$Q,"LTV5",Input!$D:$D,'2.CC Trans-BB.RE collateral'!P$7&amp;"*",Input!$H:$H,{"1-REAL";"SANTANDER"},Input!$F:$F,'2.CC Trans-BB.RE collateral'!$D$3)),0)</f>
        <v>0</v>
      </c>
      <c r="Q35" s="85">
        <f>ROUND(SUM(SUMIFS(Input!$G:$G,Input!$C:$C,'2.CC Trans-BB.RE collateral'!$A$9,Input!$Q:$Q,"LTV5",Input!$D:$D,'2.CC Trans-BB.RE collateral'!Q$7&amp;"*",Input!$H:$H,{"1-REAL";"SANTANDER"},Input!$F:$F,'2.CC Trans-BB.RE collateral'!$D$3)),0)</f>
        <v>0</v>
      </c>
      <c r="R35" s="85">
        <f>ROUND(SUM(SUMIFS(Input!$G:$G,Input!$C:$C,'2.CC Trans-BB.RE collateral'!$A$9,Input!$Q:$Q,"LTV5",Input!$D:$D,'2.CC Trans-BB.RE collateral'!R$7&amp;"*",Input!$H:$H,{"1-REAL";"SANTANDER"},Input!$F:$F,'2.CC Trans-BB.RE collateral'!$D$3)),0)</f>
        <v>0</v>
      </c>
      <c r="S35" s="85">
        <f>ROUND(SUM(SUMIFS(Input!$G:$G,Input!$C:$C,'2.CC Trans-BB.RE collateral'!$A$9,Input!$Q:$Q,"LTV5",Input!$D:$D,'2.CC Trans-BB.RE collateral'!S$7&amp;"*",Input!$H:$H,{"1-REAL";"SANTANDER"},Input!$F:$F,'2.CC Trans-BB.RE collateral'!$D$3)),0)</f>
        <v>0</v>
      </c>
      <c r="T35" s="85">
        <f>ROUND(SUMIFS(Input!$G:$G,Input!$C:$C,'2.CC Trans-BB.RE collateral'!$A$9,Input!$Q:$Q,"LTV5",Input!$H:$H,"&lt;&gt;"&amp;S$1,Input!$H:$H,"&lt;&gt;"&amp;S$2,Input!$F:$F,'2.CC Trans-BB.RE collateral'!$D$3),0)</f>
        <v>0</v>
      </c>
      <c r="U35" s="60"/>
      <c r="V35" s="47"/>
    </row>
    <row r="36" spans="2:22" s="42" customFormat="1" ht="12.75" x14ac:dyDescent="0.2">
      <c r="B36" s="45">
        <v>26</v>
      </c>
      <c r="C36" s="59" t="s">
        <v>94</v>
      </c>
      <c r="D36" s="86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86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86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86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86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86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86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86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60"/>
      <c r="M36" s="86">
        <f>IFERROR(SUM(SUMIFS(Input!$J:$J,Input!$C:$C,'2.CC Trans-BB.RE collateral'!$A$9,Input!$D:$D,'2.CC Trans-BB.RE collateral'!M$7&amp;"*",Input!$H:$H,{"1-REAL";"SANTANDER"},Input!$F:$F,'2.CC Trans-BB.RE collateral'!$D$3))  / SUM(SUMIFS(Input!$G:$G,Input!$C:$C,'2.CC Trans-BB.RE collateral'!$A$9,Input!$D:$D,'2.CC Trans-BB.RE collateral'!M$7&amp;"*",Input!$H:$H,{"1-REAL";"SANTANDER"},Input!$F:$F,'2.CC Trans-BB.RE collateral'!$D$3)),0)</f>
        <v>0</v>
      </c>
      <c r="N36" s="86">
        <f>IFERROR(SUM(SUMIFS(Input!$J:$J,Input!$C:$C,'2.CC Trans-BB.RE collateral'!$A$9,Input!$D:$D,'2.CC Trans-BB.RE collateral'!N$7&amp;"*",Input!$H:$H,{"1-REAL";"SANTANDER"},Input!$F:$F,'2.CC Trans-BB.RE collateral'!$D$3))  / SUM(SUMIFS(Input!$G:$G,Input!$C:$C,'2.CC Trans-BB.RE collateral'!$A$9,Input!$D:$D,'2.CC Trans-BB.RE collateral'!N$7&amp;"*",Input!$H:$H,{"1-REAL";"SANTANDER"},Input!$F:$F,'2.CC Trans-BB.RE collateral'!$D$3)),0)</f>
        <v>0</v>
      </c>
      <c r="O36" s="86">
        <f>IFERROR(SUM(SUMIFS(Input!$J:$J,Input!$C:$C,'2.CC Trans-BB.RE collateral'!$A$9,Input!$D:$D,'2.CC Trans-BB.RE collateral'!O$7&amp;"*",Input!$H:$H,{"1-REAL";"SANTANDER"},Input!$F:$F,'2.CC Trans-BB.RE collateral'!$D$3))  / SUM(SUMIFS(Input!$G:$G,Input!$C:$C,'2.CC Trans-BB.RE collateral'!$A$9,Input!$D:$D,'2.CC Trans-BB.RE collateral'!O$7&amp;"*",Input!$H:$H,{"1-REAL";"SANTANDER"},Input!$F:$F,'2.CC Trans-BB.RE collateral'!$D$3)),0)</f>
        <v>0</v>
      </c>
      <c r="P36" s="86">
        <f>IFERROR(SUM(SUMIFS(Input!$J:$J,Input!$C:$C,'2.CC Trans-BB.RE collateral'!$A$9,Input!$D:$D,'2.CC Trans-BB.RE collateral'!P$7&amp;"*",Input!$H:$H,{"1-REAL";"SANTANDER"},Input!$F:$F,'2.CC Trans-BB.RE collateral'!$D$3))  / SUM(SUMIFS(Input!$G:$G,Input!$C:$C,'2.CC Trans-BB.RE collateral'!$A$9,Input!$D:$D,'2.CC Trans-BB.RE collateral'!P$7&amp;"*",Input!$H:$H,{"1-REAL";"SANTANDER"},Input!$F:$F,'2.CC Trans-BB.RE collateral'!$D$3)),0)</f>
        <v>0</v>
      </c>
      <c r="Q36" s="86">
        <f>IFERROR(SUM(SUMIFS(Input!$J:$J,Input!$C:$C,'2.CC Trans-BB.RE collateral'!$A$9,Input!$D:$D,'2.CC Trans-BB.RE collateral'!Q$7&amp;"*",Input!$H:$H,{"1-REAL";"SANTANDER"},Input!$F:$F,'2.CC Trans-BB.RE collateral'!$D$3))  / SUM(SUMIFS(Input!$G:$G,Input!$C:$C,'2.CC Trans-BB.RE collateral'!$A$9,Input!$D:$D,'2.CC Trans-BB.RE collateral'!Q$7&amp;"*",Input!$H:$H,{"1-REAL";"SANTANDER"},Input!$F:$F,'2.CC Trans-BB.RE collateral'!$D$3)),0)</f>
        <v>0</v>
      </c>
      <c r="R36" s="86">
        <f>IFERROR(SUM(SUMIFS(Input!$J:$J,Input!$C:$C,'2.CC Trans-BB.RE collateral'!$A$9,Input!$D:$D,'2.CC Trans-BB.RE collateral'!R$7&amp;"*",Input!$H:$H,{"1-REAL";"SANTANDER"},Input!$F:$F,'2.CC Trans-BB.RE collateral'!$D$3))  / SUM(SUMIFS(Input!$G:$G,Input!$C:$C,'2.CC Trans-BB.RE collateral'!$A$9,Input!$D:$D,'2.CC Trans-BB.RE collateral'!R$7&amp;"*",Input!$H:$H,{"1-REAL";"SANTANDER"},Input!$F:$F,'2.CC Trans-BB.RE collateral'!$D$3)),0)</f>
        <v>0</v>
      </c>
      <c r="S36" s="86">
        <f>IFERROR(SUM(SUMIFS(Input!$J:$J,Input!$C:$C,'2.CC Trans-BB.RE collateral'!$A$9,Input!$D:$D,'2.CC Trans-BB.RE collateral'!S$7&amp;"*",Input!$H:$H,{"1-REAL";"SANTANDER"},Input!$F:$F,'2.CC Trans-BB.RE collateral'!$D$3))  / SUM(SUMIFS(Input!$G:$G,Input!$C:$C,'2.CC Trans-BB.RE collateral'!$A$9,Input!$D:$D,'2.CC Trans-BB.RE collateral'!S$7&amp;"*",Input!$H:$H,{"1-REAL";"SANTANDER"},Input!$F:$F,'2.CC Trans-BB.RE collateral'!$D$3)),0)</f>
        <v>0</v>
      </c>
      <c r="T36" s="86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60"/>
      <c r="V36" s="47"/>
    </row>
    <row r="37" spans="2:22" s="42" customFormat="1" ht="12.75" x14ac:dyDescent="0.2">
      <c r="B37" s="45">
        <v>27</v>
      </c>
      <c r="C37" s="59" t="s">
        <v>95</v>
      </c>
      <c r="D37" s="85">
        <f>ROUND(SUMIFS(Input!$G:$G,Input!$C:$C,'2.CC Trans-BB.RE collateral'!$A$9,Input!$I:$I,"MESG1",Input!$F:$F,'2.CC Trans-BB.RE collateral'!$D$3),0)</f>
        <v>0</v>
      </c>
      <c r="E37" s="85">
        <f>ROUND(SUMIFS(Input!$G:$G,Input!$C:$C,'2.CC Trans-BB.RE collateral'!$A$9,Input!$I:$I,"MESG1",Input!$E:$E,'2.CC Trans-BB.RE collateral'!E$3,Input!$F:$F,'2.CC Trans-BB.RE collateral'!$D$3),0)</f>
        <v>0</v>
      </c>
      <c r="F37" s="85">
        <f>ROUND(SUMIFS(Input!$G:$G,Input!$C:$C,'2.CC Trans-BB.RE collateral'!$A$9,Input!$I:$I,"MESG1",Input!$E:$E,'2.CC Trans-BB.RE collateral'!F$3,Input!$F:$F,'2.CC Trans-BB.RE collateral'!$D$3),0)</f>
        <v>0</v>
      </c>
      <c r="G37" s="85">
        <f>ROUND(SUMIFS(Input!$G:$G,Input!$C:$C,'2.CC Trans-BB.RE collateral'!$A$9,Input!$I:$I,"MESG1",Input!$E:$E,'2.CC Trans-BB.RE collateral'!G$3,Input!$F:$F,'2.CC Trans-BB.RE collateral'!$D$3),0)</f>
        <v>0</v>
      </c>
      <c r="H37" s="85">
        <f>ROUND(SUMIFS(Input!$G:$G,Input!$C:$C,'2.CC Trans-BB.RE collateral'!$A$9,Input!$I:$I,"MESG1",Input!$E:$E,'2.CC Trans-BB.RE collateral'!H$3,Input!$F:$F,'2.CC Trans-BB.RE collateral'!$D$3),0)</f>
        <v>0</v>
      </c>
      <c r="I37" s="85">
        <f>ROUND(SUMIFS(Input!$G:$G,Input!$C:$C,'2.CC Trans-BB.RE collateral'!$A$9,Input!$I:$I,"MESG1",Input!$E:$E,'2.CC Trans-BB.RE collateral'!I$3,Input!$F:$F,'2.CC Trans-BB.RE collateral'!$D$3),0)</f>
        <v>0</v>
      </c>
      <c r="J37" s="85">
        <f>ROUND(SUMIFS(Input!$G:$G,Input!$C:$C,'2.CC Trans-BB.RE collateral'!$A$9,Input!$I:$I,"MESG1",Input!$E:$E,'2.CC Trans-BB.RE collateral'!J$3,Input!$F:$F,'2.CC Trans-BB.RE collateral'!$D$3),0)</f>
        <v>0</v>
      </c>
      <c r="K37" s="85">
        <f>ROUND(SUMIFS(Input!$G:$G,Input!$C:$C,'2.CC Trans-BB.RE collateral'!$A$9,Input!$I:$I,"MESG1",Input!$R:$R,"&lt;&gt;"&amp;$S$1,Input!$F:$F,'2.CC Trans-BB.RE collateral'!$D$3),0)</f>
        <v>0</v>
      </c>
      <c r="L37" s="60"/>
      <c r="M37" s="85">
        <f>ROUND(SUM(SUMIFS(Input!$G:$G,Input!$C:$C,'2.CC Trans-BB.RE collateral'!$A$9,Input!$I:$I,"MESG1",Input!$D:$D,'2.CC Trans-BB.RE collateral'!M$7&amp;"*",Input!$H:$H,{"1-REAL";"SANTANDER"},Input!$F:$F,'2.CC Trans-BB.RE collateral'!$D$3)),0)</f>
        <v>0</v>
      </c>
      <c r="N37" s="85">
        <f>ROUND(SUM(SUMIFS(Input!$G:$G,Input!$C:$C,'2.CC Trans-BB.RE collateral'!$A$9,Input!$I:$I,"MESG1",Input!$D:$D,'2.CC Trans-BB.RE collateral'!N$7&amp;"*",Input!$H:$H,{"1-REAL";"SANTANDER"},Input!$F:$F,'2.CC Trans-BB.RE collateral'!$D$3)),0)</f>
        <v>0</v>
      </c>
      <c r="O37" s="85">
        <f>ROUND(SUM(SUMIFS(Input!$G:$G,Input!$C:$C,'2.CC Trans-BB.RE collateral'!$A$9,Input!$I:$I,"MESG1",Input!$D:$D,'2.CC Trans-BB.RE collateral'!O$7&amp;"*",Input!$H:$H,{"1-REAL";"SANTANDER"},Input!$F:$F,'2.CC Trans-BB.RE collateral'!$D$3)),0)</f>
        <v>0</v>
      </c>
      <c r="P37" s="85">
        <f>ROUND(SUM(SUMIFS(Input!$G:$G,Input!$C:$C,'2.CC Trans-BB.RE collateral'!$A$9,Input!$I:$I,"MESG1",Input!$D:$D,'2.CC Trans-BB.RE collateral'!P$7&amp;"*",Input!$H:$H,{"1-REAL";"SANTANDER"},Input!$F:$F,'2.CC Trans-BB.RE collateral'!$D$3)),0)</f>
        <v>0</v>
      </c>
      <c r="Q37" s="85">
        <f>ROUND(SUM(SUMIFS(Input!$G:$G,Input!$C:$C,'2.CC Trans-BB.RE collateral'!$A$9,Input!$I:$I,"MESG1",Input!$D:$D,'2.CC Trans-BB.RE collateral'!Q$7&amp;"*",Input!$H:$H,{"1-REAL";"SANTANDER"},Input!$F:$F,'2.CC Trans-BB.RE collateral'!$D$3)),0)</f>
        <v>0</v>
      </c>
      <c r="R37" s="85">
        <f>ROUND(SUM(SUMIFS(Input!$G:$G,Input!$C:$C,'2.CC Trans-BB.RE collateral'!$A$9,Input!$I:$I,"MESG1",Input!$D:$D,'2.CC Trans-BB.RE collateral'!R$7&amp;"*",Input!$H:$H,{"1-REAL";"SANTANDER"},Input!$F:$F,'2.CC Trans-BB.RE collateral'!$D$3)),0)</f>
        <v>0</v>
      </c>
      <c r="S37" s="85">
        <f>ROUND(SUM(SUMIFS(Input!$G:$G,Input!$C:$C,'2.CC Trans-BB.RE collateral'!$A$9,Input!$I:$I,"MESG1",Input!$D:$D,'2.CC Trans-BB.RE collateral'!S$7&amp;"*",Input!$H:$H,{"1-REAL";"SANTANDER"},Input!$F:$F,'2.CC Trans-BB.RE collateral'!$D$3)),0)</f>
        <v>0</v>
      </c>
      <c r="T37" s="85">
        <f>ROUND(SUMIFS(Input!$G:$G,Input!$C:$C,'2.CC Trans-BB.RE collateral'!$A$9,Input!$I:$I,"MESG1",Input!$H:$H,"&lt;&gt;"&amp;S$1,Input!$H:$H,"&lt;&gt;"&amp;S$2,Input!$F:$F,'2.CC Trans-BB.RE collateral'!$D$3),0)</f>
        <v>0</v>
      </c>
      <c r="U37" s="60"/>
      <c r="V37" s="47"/>
    </row>
    <row r="38" spans="2:22" s="42" customFormat="1" ht="12.75" x14ac:dyDescent="0.2">
      <c r="B38" s="45">
        <v>28</v>
      </c>
      <c r="C38" s="61" t="s">
        <v>96</v>
      </c>
      <c r="D38" s="84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84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84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84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84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84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84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84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60"/>
      <c r="M38" s="84">
        <f>IFERROR(SUM(SUMIFS(Input!$O:$O,Input!$C:$C,'2.CC Trans-BB.RE collateral'!$A$9,Input!$K:$K,{"NBF1";"NBF2"},Input!$H:$H,"1-REAL",Input!$D:$D,'2.CC Trans-BB.RE collateral'!M$7&amp;"*",Input!$F:$F,'2.CC Trans-BB.RE collateral'!$D$3)) / SUM(SUMIFS(Input!$G:$G,Input!$C:$C,'2.CC Trans-BB.RE collateral'!$A$9,Input!$K:$K,{"NBF1";"NBF2"},Input!$H:$H,"1-REAL",Input!$D:$D,'2.CC Trans-BB.RE collateral'!M$7&amp;"*",Input!$F:$F,'2.CC Trans-BB.RE collateral'!$D$3)),0)</f>
        <v>0</v>
      </c>
      <c r="N38" s="84">
        <f>IFERROR(SUM(SUMIFS(Input!$O:$O,Input!$C:$C,'2.CC Trans-BB.RE collateral'!$A$9,Input!$K:$K,{"NBF1";"NBF2"},Input!$H:$H,"1-REAL",Input!$D:$D,'2.CC Trans-BB.RE collateral'!N$7&amp;"*",Input!$F:$F,'2.CC Trans-BB.RE collateral'!$D$3)) / SUM(SUMIFS(Input!$G:$G,Input!$C:$C,'2.CC Trans-BB.RE collateral'!$A$9,Input!$K:$K,{"NBF1";"NBF2"},Input!$H:$H,"1-REAL",Input!$D:$D,'2.CC Trans-BB.RE collateral'!N$7&amp;"*",Input!$F:$F,'2.CC Trans-BB.RE collateral'!$D$3)),0)</f>
        <v>0</v>
      </c>
      <c r="O38" s="84">
        <f>IFERROR(SUM(SUMIFS(Input!$O:$O,Input!$C:$C,'2.CC Trans-BB.RE collateral'!$A$9,Input!$K:$K,{"NBF1";"NBF2"},Input!$H:$H,"1-REAL",Input!$D:$D,'2.CC Trans-BB.RE collateral'!O$7&amp;"*",Input!$F:$F,'2.CC Trans-BB.RE collateral'!$D$3)) / SUM(SUMIFS(Input!$G:$G,Input!$C:$C,'2.CC Trans-BB.RE collateral'!$A$9,Input!$K:$K,{"NBF1";"NBF2"},Input!$H:$H,"1-REAL",Input!$D:$D,'2.CC Trans-BB.RE collateral'!O$7&amp;"*",Input!$F:$F,'2.CC Trans-BB.RE collateral'!$D$3)),0)</f>
        <v>0</v>
      </c>
      <c r="P38" s="84">
        <f>IFERROR(SUM(SUMIFS(Input!$O:$O,Input!$C:$C,'2.CC Trans-BB.RE collateral'!$A$9,Input!$K:$K,{"NBF1";"NBF2"},Input!$H:$H,"1-REAL",Input!$D:$D,'2.CC Trans-BB.RE collateral'!P$7&amp;"*",Input!$F:$F,'2.CC Trans-BB.RE collateral'!$D$3)) / SUM(SUMIFS(Input!$G:$G,Input!$C:$C,'2.CC Trans-BB.RE collateral'!$A$9,Input!$K:$K,{"NBF1";"NBF2"},Input!$H:$H,"1-REAL",Input!$D:$D,'2.CC Trans-BB.RE collateral'!P$7&amp;"*",Input!$F:$F,'2.CC Trans-BB.RE collateral'!$D$3)),0)</f>
        <v>0</v>
      </c>
      <c r="Q38" s="84">
        <f>IFERROR(SUM(SUMIFS(Input!$O:$O,Input!$C:$C,'2.CC Trans-BB.RE collateral'!$A$9,Input!$K:$K,{"NBF1";"NBF2"},Input!$H:$H,"1-REAL",Input!$D:$D,'2.CC Trans-BB.RE collateral'!Q$7&amp;"*",Input!$F:$F,'2.CC Trans-BB.RE collateral'!$D$3)) / SUM(SUMIFS(Input!$G:$G,Input!$C:$C,'2.CC Trans-BB.RE collateral'!$A$9,Input!$K:$K,{"NBF1";"NBF2"},Input!$H:$H,"1-REAL",Input!$D:$D,'2.CC Trans-BB.RE collateral'!Q$7&amp;"*",Input!$F:$F,'2.CC Trans-BB.RE collateral'!$D$3)),0)</f>
        <v>0</v>
      </c>
      <c r="R38" s="84">
        <f>IFERROR(SUM(SUMIFS(Input!$O:$O,Input!$C:$C,'2.CC Trans-BB.RE collateral'!$A$9,Input!$K:$K,{"NBF1";"NBF2"},Input!$H:$H,"1-REAL",Input!$D:$D,'2.CC Trans-BB.RE collateral'!R$7&amp;"*",Input!$F:$F,'2.CC Trans-BB.RE collateral'!$D$3)) / SUM(SUMIFS(Input!$G:$G,Input!$C:$C,'2.CC Trans-BB.RE collateral'!$A$9,Input!$K:$K,{"NBF1";"NBF2"},Input!$H:$H,"1-REAL",Input!$D:$D,'2.CC Trans-BB.RE collateral'!R$7&amp;"*",Input!$F:$F,'2.CC Trans-BB.RE collateral'!$D$3)),0)</f>
        <v>0</v>
      </c>
      <c r="S38" s="84">
        <f>IFERROR(SUM(SUMIFS(Input!$O:$O,Input!$C:$C,'2.CC Trans-BB.RE collateral'!$A$9,Input!$K:$K,{"NBF1";"NBF2"},Input!$H:$H,"1-REAL",Input!$D:$D,'2.CC Trans-BB.RE collateral'!S$7&amp;"*",Input!$F:$F,'2.CC Trans-BB.RE collateral'!$D$3)) / SUM(SUMIFS(Input!$G:$G,Input!$C:$C,'2.CC Trans-BB.RE collateral'!$A$9,Input!$K:$K,{"NBF1";"NBF2"},Input!$H:$H,"1-REAL",Input!$D:$D,'2.CC Trans-BB.RE collateral'!S$7&amp;"*",Input!$F:$F,'2.CC Trans-BB.RE collateral'!$D$3)),0)</f>
        <v>0</v>
      </c>
      <c r="T38" s="84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60"/>
      <c r="V38" s="47"/>
    </row>
    <row r="39" spans="2:22" s="42" customFormat="1" ht="15.75" customHeight="1" x14ac:dyDescent="0.2">
      <c r="B39" s="45"/>
      <c r="C39" s="106" t="s">
        <v>97</v>
      </c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8"/>
      <c r="V39" s="47"/>
    </row>
    <row r="40" spans="2:22" s="42" customFormat="1" ht="12.75" x14ac:dyDescent="0.2">
      <c r="B40" s="45">
        <v>29</v>
      </c>
      <c r="C40" s="59" t="s">
        <v>98</v>
      </c>
      <c r="D40" s="84">
        <f>IFERROR(SUMIFS(Input!$P:$P,Input!$C:$C,'2.CC Trans-BB.RE collateral'!$A$10,Input!$F:$F,'2.CC Trans-BB.RE collateral'!$D$3) / SUMIFS(Input!$G:$G,Input!$C:$C,'2.CC Trans-BB.RE collateral'!$A$10,Input!$F:$F,'2.CC Trans-BB.RE collateral'!$D$3),0)</f>
        <v>0.65545680542150597</v>
      </c>
      <c r="E40" s="84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0.62126521947824243</v>
      </c>
      <c r="F40" s="84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0.69402230685282973</v>
      </c>
      <c r="G40" s="84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0.67381860691316131</v>
      </c>
      <c r="H40" s="84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0.68760911407306469</v>
      </c>
      <c r="I40" s="84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0.70598657451263758</v>
      </c>
      <c r="J40" s="84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0.6918483421459799</v>
      </c>
      <c r="K40" s="84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0.55046623728838728</v>
      </c>
      <c r="L40" s="60"/>
      <c r="M40" s="84">
        <f>IFERROR(SUM(SUMIFS(Input!$P:$P,Input!$C:$C,'2.CC Trans-BB.RE collateral'!$A$10,Input!$D:$D,'2.CC Trans-BB.RE collateral'!M$7&amp;"*",Input!$H:$H,{"1-REAL";"SANTANDER"},Input!$F:$F,'2.CC Trans-BB.RE collateral'!$D$3)) / SUM(SUMIFS(Input!$G:$G,Input!$C:$C,'2.CC Trans-BB.RE collateral'!$A$10,Input!$D:$D,'2.CC Trans-BB.RE collateral'!M$7&amp;"*",Input!$H:$H,{"1-REAL";"SANTANDER"},Input!$F:$F,'2.CC Trans-BB.RE collateral'!$D$3)),0)</f>
        <v>0.64272233406332469</v>
      </c>
      <c r="N40" s="84">
        <f>IFERROR(SUM(SUMIFS(Input!$P:$P,Input!$C:$C,'2.CC Trans-BB.RE collateral'!$A$10,Input!$D:$D,'2.CC Trans-BB.RE collateral'!N$7&amp;"*",Input!$H:$H,{"1-REAL";"SANTANDER"},Input!$F:$F,'2.CC Trans-BB.RE collateral'!$D$3)) / SUM(SUMIFS(Input!$G:$G,Input!$C:$C,'2.CC Trans-BB.RE collateral'!$A$10,Input!$D:$D,'2.CC Trans-BB.RE collateral'!N$7&amp;"*",Input!$H:$H,{"1-REAL";"SANTANDER"},Input!$F:$F,'2.CC Trans-BB.RE collateral'!$D$3)),0)</f>
        <v>0.6356109456534268</v>
      </c>
      <c r="O40" s="84">
        <f>IFERROR(SUM(SUMIFS(Input!$P:$P,Input!$C:$C,'2.CC Trans-BB.RE collateral'!$A$10,Input!$D:$D,'2.CC Trans-BB.RE collateral'!O$7&amp;"*",Input!$H:$H,{"1-REAL";"SANTANDER"},Input!$F:$F,'2.CC Trans-BB.RE collateral'!$D$3)) / SUM(SUMIFS(Input!$G:$G,Input!$C:$C,'2.CC Trans-BB.RE collateral'!$A$10,Input!$D:$D,'2.CC Trans-BB.RE collateral'!O$7&amp;"*",Input!$H:$H,{"1-REAL";"SANTANDER"},Input!$F:$F,'2.CC Trans-BB.RE collateral'!$D$3)),0)</f>
        <v>0.73024608773589927</v>
      </c>
      <c r="P40" s="84">
        <f>IFERROR(SUM(SUMIFS(Input!$P:$P,Input!$C:$C,'2.CC Trans-BB.RE collateral'!$A$10,Input!$D:$D,'2.CC Trans-BB.RE collateral'!P$7&amp;"*",Input!$H:$H,{"1-REAL";"SANTANDER"},Input!$F:$F,'2.CC Trans-BB.RE collateral'!$D$3)) / SUM(SUMIFS(Input!$G:$G,Input!$C:$C,'2.CC Trans-BB.RE collateral'!$A$10,Input!$D:$D,'2.CC Trans-BB.RE collateral'!P$7&amp;"*",Input!$H:$H,{"1-REAL";"SANTANDER"},Input!$F:$F,'2.CC Trans-BB.RE collateral'!$D$3)),0)</f>
        <v>0.72121822431980209</v>
      </c>
      <c r="Q40" s="84">
        <f>IFERROR(SUM(SUMIFS(Input!$P:$P,Input!$C:$C,'2.CC Trans-BB.RE collateral'!$A$10,Input!$D:$D,'2.CC Trans-BB.RE collateral'!Q$7&amp;"*",Input!$H:$H,{"1-REAL";"SANTANDER"},Input!$F:$F,'2.CC Trans-BB.RE collateral'!$D$3)) / SUM(SUMIFS(Input!$G:$G,Input!$C:$C,'2.CC Trans-BB.RE collateral'!$A$10,Input!$D:$D,'2.CC Trans-BB.RE collateral'!Q$7&amp;"*",Input!$H:$H,{"1-REAL";"SANTANDER"},Input!$F:$F,'2.CC Trans-BB.RE collateral'!$D$3)),0)</f>
        <v>0.68975739756331322</v>
      </c>
      <c r="R40" s="84">
        <f>IFERROR(SUM(SUMIFS(Input!$P:$P,Input!$C:$C,'2.CC Trans-BB.RE collateral'!$A$10,Input!$D:$D,'2.CC Trans-BB.RE collateral'!R$7&amp;"*",Input!$H:$H,{"1-REAL";"SANTANDER"},Input!$F:$F,'2.CC Trans-BB.RE collateral'!$D$3)) / SUM(SUMIFS(Input!$G:$G,Input!$C:$C,'2.CC Trans-BB.RE collateral'!$A$10,Input!$D:$D,'2.CC Trans-BB.RE collateral'!R$7&amp;"*",Input!$H:$H,{"1-REAL";"SANTANDER"},Input!$F:$F,'2.CC Trans-BB.RE collateral'!$D$3)),0)</f>
        <v>0.64978654113434853</v>
      </c>
      <c r="S40" s="84">
        <f>IFERROR(SUM(SUMIFS(Input!$P:$P,Input!$C:$C,'2.CC Trans-BB.RE collateral'!$A$10,Input!$D:$D,'2.CC Trans-BB.RE collateral'!S$7&amp;"*",Input!$H:$H,{"1-REAL";"SANTANDER"},Input!$F:$F,'2.CC Trans-BB.RE collateral'!$D$3)) / SUM(SUMIFS(Input!$G:$G,Input!$C:$C,'2.CC Trans-BB.RE collateral'!$A$10,Input!$D:$D,'2.CC Trans-BB.RE collateral'!S$7&amp;"*",Input!$H:$H,{"1-REAL";"SANTANDER"},Input!$F:$F,'2.CC Trans-BB.RE collateral'!$D$3)),0)</f>
        <v>0</v>
      </c>
      <c r="T40" s="84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0.52156014380992066</v>
      </c>
      <c r="U40" s="60"/>
      <c r="V40" s="47"/>
    </row>
    <row r="41" spans="2:22" s="42" customFormat="1" ht="12.75" x14ac:dyDescent="0.2">
      <c r="B41" s="45">
        <v>30</v>
      </c>
      <c r="C41" s="59" t="s">
        <v>99</v>
      </c>
      <c r="D41" s="85">
        <f>ROUND(SUMIFS(Input!$G:$G,Input!$C:$C,'2.CC Trans-BB.RE collateral'!$A$10,Input!$Q:$Q,"LTV4",Input!$F:$F,'2.CC Trans-BB.RE collateral'!$D$3),0)</f>
        <v>32182913</v>
      </c>
      <c r="E41" s="85">
        <f>ROUND(SUMIFS(Input!$G:$G,Input!$C:$C,'2.CC Trans-BB.RE collateral'!$A$10,Input!$Q:$Q,"LTV4",Input!$E:$E,'2.CC Trans-BB.RE collateral'!E$3,Input!$F:$F,'2.CC Trans-BB.RE collateral'!$D$3),0)</f>
        <v>9693996</v>
      </c>
      <c r="F41" s="85">
        <f>ROUND(SUMIFS(Input!$G:$G,Input!$C:$C,'2.CC Trans-BB.RE collateral'!$A$10,Input!$Q:$Q,"LTV4",Input!$E:$E,'2.CC Trans-BB.RE collateral'!F$3,Input!$F:$F,'2.CC Trans-BB.RE collateral'!$D$3),0)</f>
        <v>13208561</v>
      </c>
      <c r="G41" s="85">
        <f>ROUND(SUMIFS(Input!$G:$G,Input!$C:$C,'2.CC Trans-BB.RE collateral'!$A$10,Input!$Q:$Q,"LTV4",Input!$E:$E,'2.CC Trans-BB.RE collateral'!G$3,Input!$F:$F,'2.CC Trans-BB.RE collateral'!$D$3),0)</f>
        <v>5013049</v>
      </c>
      <c r="H41" s="85">
        <f>ROUND(SUMIFS(Input!$G:$G,Input!$C:$C,'2.CC Trans-BB.RE collateral'!$A$10,Input!$Q:$Q,"LTV4",Input!$E:$E,'2.CC Trans-BB.RE collateral'!H$3,Input!$F:$F,'2.CC Trans-BB.RE collateral'!$D$3),0)</f>
        <v>2096137</v>
      </c>
      <c r="I41" s="85">
        <f>ROUND(SUMIFS(Input!$G:$G,Input!$C:$C,'2.CC Trans-BB.RE collateral'!$A$10,Input!$Q:$Q,"LTV4",Input!$E:$E,'2.CC Trans-BB.RE collateral'!I$3,Input!$F:$F,'2.CC Trans-BB.RE collateral'!$D$3),0)</f>
        <v>1332888</v>
      </c>
      <c r="J41" s="85">
        <f>ROUND(SUMIFS(Input!$G:$G,Input!$C:$C,'2.CC Trans-BB.RE collateral'!$A$10,Input!$Q:$Q,"LTV4",Input!$E:$E,'2.CC Trans-BB.RE collateral'!J$3,Input!$F:$F,'2.CC Trans-BB.RE collateral'!$D$3),0)</f>
        <v>838282</v>
      </c>
      <c r="K41" s="85">
        <f>ROUND(SUMIFS(Input!$G:$G,Input!$C:$C,'2.CC Trans-BB.RE collateral'!$A$10,Input!$Q:$Q,"LTV4",Input!$R:$R,"&lt;&gt;"&amp;$S$1,Input!$F:$F,'2.CC Trans-BB.RE collateral'!$D$3),0)</f>
        <v>3612242</v>
      </c>
      <c r="L41" s="60"/>
      <c r="M41" s="85">
        <f>ROUND(SUM(SUMIFS(Input!$G:$G,Input!$C:$C,'2.CC Trans-BB.RE collateral'!$A$10,Input!$Q:$Q,"LTV4",Input!$D:$D,'2.CC Trans-BB.RE collateral'!M$7&amp;"*",Input!$H:$H,{"1-REAL";"SANTANDER"},Input!$F:$F,'2.CC Trans-BB.RE collateral'!$D$3)),0)</f>
        <v>3323294</v>
      </c>
      <c r="N41" s="85">
        <f>ROUND(SUM(SUMIFS(Input!$G:$G,Input!$C:$C,'2.CC Trans-BB.RE collateral'!$A$10,Input!$Q:$Q,"LTV4",Input!$D:$D,'2.CC Trans-BB.RE collateral'!N$7&amp;"*",Input!$H:$H,{"1-REAL";"SANTANDER"},Input!$F:$F,'2.CC Trans-BB.RE collateral'!$D$3)),0)</f>
        <v>2390447</v>
      </c>
      <c r="O41" s="85">
        <f>ROUND(SUM(SUMIFS(Input!$G:$G,Input!$C:$C,'2.CC Trans-BB.RE collateral'!$A$10,Input!$Q:$Q,"LTV4",Input!$D:$D,'2.CC Trans-BB.RE collateral'!O$7&amp;"*",Input!$H:$H,{"1-REAL";"SANTANDER"},Input!$F:$F,'2.CC Trans-BB.RE collateral'!$D$3)),0)</f>
        <v>10024143</v>
      </c>
      <c r="P41" s="85">
        <f>ROUND(SUM(SUMIFS(Input!$G:$G,Input!$C:$C,'2.CC Trans-BB.RE collateral'!$A$10,Input!$Q:$Q,"LTV4",Input!$D:$D,'2.CC Trans-BB.RE collateral'!P$7&amp;"*",Input!$H:$H,{"1-REAL";"SANTANDER"},Input!$F:$F,'2.CC Trans-BB.RE collateral'!$D$3)),0)</f>
        <v>9638773</v>
      </c>
      <c r="Q41" s="85">
        <f>ROUND(SUM(SUMIFS(Input!$G:$G,Input!$C:$C,'2.CC Trans-BB.RE collateral'!$A$10,Input!$Q:$Q,"LTV4",Input!$D:$D,'2.CC Trans-BB.RE collateral'!Q$7&amp;"*",Input!$H:$H,{"1-REAL";"SANTANDER"},Input!$F:$F,'2.CC Trans-BB.RE collateral'!$D$3)),0)</f>
        <v>4019250</v>
      </c>
      <c r="R41" s="85">
        <f>ROUND(SUM(SUMIFS(Input!$G:$G,Input!$C:$C,'2.CC Trans-BB.RE collateral'!$A$10,Input!$Q:$Q,"LTV4",Input!$D:$D,'2.CC Trans-BB.RE collateral'!R$7&amp;"*",Input!$H:$H,{"1-REAL";"SANTANDER"},Input!$F:$F,'2.CC Trans-BB.RE collateral'!$D$3)),0)</f>
        <v>884013</v>
      </c>
      <c r="S41" s="85">
        <f>ROUND(SUM(SUMIFS(Input!$G:$G,Input!$C:$C,'2.CC Trans-BB.RE collateral'!$A$10,Input!$Q:$Q,"LTV4",Input!$D:$D,'2.CC Trans-BB.RE collateral'!S$7&amp;"*",Input!$H:$H,{"1-REAL";"SANTANDER"},Input!$F:$F,'2.CC Trans-BB.RE collateral'!$D$3)),0)</f>
        <v>0</v>
      </c>
      <c r="T41" s="85">
        <f>ROUND(SUMIFS(Input!$G:$G,Input!$C:$C,'2.CC Trans-BB.RE collateral'!$A$10,Input!$Q:$Q,"LTV4",Input!$H:$H,"&lt;&gt;"&amp;S$1,Input!$H:$H,"&lt;&gt;"&amp;S$2,Input!$F:$F,'2.CC Trans-BB.RE collateral'!$D$3),0)</f>
        <v>1902993</v>
      </c>
      <c r="U41" s="60"/>
      <c r="V41" s="47"/>
    </row>
    <row r="42" spans="2:22" s="42" customFormat="1" ht="12.75" x14ac:dyDescent="0.2">
      <c r="B42" s="45">
        <v>31</v>
      </c>
      <c r="C42" s="59" t="s">
        <v>100</v>
      </c>
      <c r="D42" s="85">
        <f>ROUND(SUMIFS(Input!$G:$G,Input!$C:$C,'2.CC Trans-BB.RE collateral'!$A$10,Input!$Q:$Q,"LTV5",Input!$F:$F,'2.CC Trans-BB.RE collateral'!$D$3),0)</f>
        <v>1616094</v>
      </c>
      <c r="E42" s="85">
        <f>ROUND(SUMIFS(Input!$G:$G,Input!$C:$C,'2.CC Trans-BB.RE collateral'!$A$10,Input!$Q:$Q,"LTV5",Input!$E:$E,'2.CC Trans-BB.RE collateral'!E$3,Input!$F:$F,'2.CC Trans-BB.RE collateral'!$D$3),0)</f>
        <v>103306</v>
      </c>
      <c r="F42" s="85">
        <f>ROUND(SUMIFS(Input!$G:$G,Input!$C:$C,'2.CC Trans-BB.RE collateral'!$A$10,Input!$Q:$Q,"LTV5",Input!$E:$E,'2.CC Trans-BB.RE collateral'!F$3,Input!$F:$F,'2.CC Trans-BB.RE collateral'!$D$3),0)</f>
        <v>0</v>
      </c>
      <c r="G42" s="85">
        <f>ROUND(SUMIFS(Input!$G:$G,Input!$C:$C,'2.CC Trans-BB.RE collateral'!$A$10,Input!$Q:$Q,"LTV5",Input!$E:$E,'2.CC Trans-BB.RE collateral'!G$3,Input!$F:$F,'2.CC Trans-BB.RE collateral'!$D$3),0)</f>
        <v>0</v>
      </c>
      <c r="H42" s="85">
        <f>ROUND(SUMIFS(Input!$G:$G,Input!$C:$C,'2.CC Trans-BB.RE collateral'!$A$10,Input!$Q:$Q,"LTV5",Input!$E:$E,'2.CC Trans-BB.RE collateral'!H$3,Input!$F:$F,'2.CC Trans-BB.RE collateral'!$D$3),0)</f>
        <v>0</v>
      </c>
      <c r="I42" s="85">
        <f>ROUND(SUMIFS(Input!$G:$G,Input!$C:$C,'2.CC Trans-BB.RE collateral'!$A$10,Input!$Q:$Q,"LTV5",Input!$E:$E,'2.CC Trans-BB.RE collateral'!I$3,Input!$F:$F,'2.CC Trans-BB.RE collateral'!$D$3),0)</f>
        <v>0</v>
      </c>
      <c r="J42" s="85">
        <f>ROUND(SUMIFS(Input!$G:$G,Input!$C:$C,'2.CC Trans-BB.RE collateral'!$A$10,Input!$Q:$Q,"LTV5",Input!$E:$E,'2.CC Trans-BB.RE collateral'!J$3,Input!$F:$F,'2.CC Trans-BB.RE collateral'!$D$3),0)</f>
        <v>0</v>
      </c>
      <c r="K42" s="85">
        <f>ROUND(SUMIFS(Input!$G:$G,Input!$C:$C,'2.CC Trans-BB.RE collateral'!$A$10,Input!$Q:$Q,"LTV5",Input!$R:$R,"&lt;&gt;"&amp;$S$1,Input!$F:$F,'2.CC Trans-BB.RE collateral'!$D$3),0)</f>
        <v>1616094</v>
      </c>
      <c r="L42" s="60"/>
      <c r="M42" s="85">
        <f>ROUND(SUM(SUMIFS(Input!$G:$G,Input!$C:$C,'2.CC Trans-BB.RE collateral'!$A$10,Input!$Q:$Q,"LTV5",Input!$D:$D,'2.CC Trans-BB.RE collateral'!M$7&amp;"*",Input!$H:$H,{"1-REAL";"SANTANDER"},Input!$F:$F,'2.CC Trans-BB.RE collateral'!$D$3)),0)</f>
        <v>0</v>
      </c>
      <c r="N42" s="85">
        <f>ROUND(SUM(SUMIFS(Input!$G:$G,Input!$C:$C,'2.CC Trans-BB.RE collateral'!$A$10,Input!$Q:$Q,"LTV5",Input!$D:$D,'2.CC Trans-BB.RE collateral'!N$7&amp;"*",Input!$H:$H,{"1-REAL";"SANTANDER"},Input!$F:$F,'2.CC Trans-BB.RE collateral'!$D$3)),0)</f>
        <v>0</v>
      </c>
      <c r="O42" s="85">
        <f>ROUND(SUM(SUMIFS(Input!$G:$G,Input!$C:$C,'2.CC Trans-BB.RE collateral'!$A$10,Input!$Q:$Q,"LTV5",Input!$D:$D,'2.CC Trans-BB.RE collateral'!O$7&amp;"*",Input!$H:$H,{"1-REAL";"SANTANDER"},Input!$F:$F,'2.CC Trans-BB.RE collateral'!$D$3)),0)</f>
        <v>0</v>
      </c>
      <c r="P42" s="85">
        <f>ROUND(SUM(SUMIFS(Input!$G:$G,Input!$C:$C,'2.CC Trans-BB.RE collateral'!$A$10,Input!$Q:$Q,"LTV5",Input!$D:$D,'2.CC Trans-BB.RE collateral'!P$7&amp;"*",Input!$H:$H,{"1-REAL";"SANTANDER"},Input!$F:$F,'2.CC Trans-BB.RE collateral'!$D$3)),0)</f>
        <v>0</v>
      </c>
      <c r="Q42" s="85">
        <f>ROUND(SUM(SUMIFS(Input!$G:$G,Input!$C:$C,'2.CC Trans-BB.RE collateral'!$A$10,Input!$Q:$Q,"LTV5",Input!$D:$D,'2.CC Trans-BB.RE collateral'!Q$7&amp;"*",Input!$H:$H,{"1-REAL";"SANTANDER"},Input!$F:$F,'2.CC Trans-BB.RE collateral'!$D$3)),0)</f>
        <v>0</v>
      </c>
      <c r="R42" s="85">
        <f>ROUND(SUM(SUMIFS(Input!$G:$G,Input!$C:$C,'2.CC Trans-BB.RE collateral'!$A$10,Input!$Q:$Q,"LTV5",Input!$D:$D,'2.CC Trans-BB.RE collateral'!R$7&amp;"*",Input!$H:$H,{"1-REAL";"SANTANDER"},Input!$F:$F,'2.CC Trans-BB.RE collateral'!$D$3)),0)</f>
        <v>0</v>
      </c>
      <c r="S42" s="85">
        <f>ROUND(SUM(SUMIFS(Input!$G:$G,Input!$C:$C,'2.CC Trans-BB.RE collateral'!$A$10,Input!$Q:$Q,"LTV5",Input!$D:$D,'2.CC Trans-BB.RE collateral'!S$7&amp;"*",Input!$H:$H,{"1-REAL";"SANTANDER"},Input!$F:$F,'2.CC Trans-BB.RE collateral'!$D$3)),0)</f>
        <v>0</v>
      </c>
      <c r="T42" s="85">
        <f>ROUND(SUMIFS(Input!$G:$G,Input!$C:$C,'2.CC Trans-BB.RE collateral'!$A$10,Input!$Q:$Q,"LTV5",Input!$H:$H,"&lt;&gt;"&amp;S$1,Input!$H:$H,"&lt;&gt;"&amp;S$2,Input!$F:$F,'2.CC Trans-BB.RE collateral'!$D$3),0)</f>
        <v>1616094</v>
      </c>
      <c r="U42" s="60"/>
      <c r="V42" s="47"/>
    </row>
    <row r="43" spans="2:22" s="42" customFormat="1" ht="12.75" x14ac:dyDescent="0.2">
      <c r="B43" s="45">
        <v>32</v>
      </c>
      <c r="C43" s="59" t="s">
        <v>101</v>
      </c>
      <c r="D43" s="86">
        <f>IFERROR(SUMIFS(Input!$J:$J,Input!$C:$C,'2.CC Trans-BB.RE collateral'!$A$10,Input!$F:$F,'2.CC Trans-BB.RE collateral'!$D$3) / SUMIFS(Input!$G:$G,Input!$C:$C,'2.CC Trans-BB.RE collateral'!$A$10,Input!$F:$F,'2.CC Trans-BB.RE collateral'!$D$3),0)</f>
        <v>28.625016503222</v>
      </c>
      <c r="E43" s="86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27.162411942785816</v>
      </c>
      <c r="F43" s="86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30.506219007993828</v>
      </c>
      <c r="G43" s="86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30.392070764699742</v>
      </c>
      <c r="H43" s="86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29.577866165696655</v>
      </c>
      <c r="I43" s="86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31.204215472370123</v>
      </c>
      <c r="J43" s="86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31.956970552057964</v>
      </c>
      <c r="K43" s="86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27.12805012415722</v>
      </c>
      <c r="L43" s="60"/>
      <c r="M43" s="86">
        <f>IFERROR(SUM(SUMIFS(Input!$J:$J,Input!$C:$C,'2.CC Trans-BB.RE collateral'!$A$10,Input!$D:$D,'2.CC Trans-BB.RE collateral'!M$7&amp;"*",Input!$H:$H,{"1-REAL";"SANTANDER"},Input!$F:$F,'2.CC Trans-BB.RE collateral'!$D$3))  / SUM(SUMIFS(Input!$G:$G,Input!$C:$C,'2.CC Trans-BB.RE collateral'!$A$10,Input!$D:$D,'2.CC Trans-BB.RE collateral'!M$7&amp;"*",Input!$H:$H,{"1-REAL";"SANTANDER"},Input!$F:$F,'2.CC Trans-BB.RE collateral'!$D$3)),0)</f>
        <v>27.623411100070395</v>
      </c>
      <c r="N43" s="86">
        <f>IFERROR(SUM(SUMIFS(Input!$J:$J,Input!$C:$C,'2.CC Trans-BB.RE collateral'!$A$10,Input!$D:$D,'2.CC Trans-BB.RE collateral'!N$7&amp;"*",Input!$H:$H,{"1-REAL";"SANTANDER"},Input!$F:$F,'2.CC Trans-BB.RE collateral'!$D$3))  / SUM(SUMIFS(Input!$G:$G,Input!$C:$C,'2.CC Trans-BB.RE collateral'!$A$10,Input!$D:$D,'2.CC Trans-BB.RE collateral'!N$7&amp;"*",Input!$H:$H,{"1-REAL";"SANTANDER"},Input!$F:$F,'2.CC Trans-BB.RE collateral'!$D$3)),0)</f>
        <v>27.269655284634112</v>
      </c>
      <c r="O43" s="86">
        <f>IFERROR(SUM(SUMIFS(Input!$J:$J,Input!$C:$C,'2.CC Trans-BB.RE collateral'!$A$10,Input!$D:$D,'2.CC Trans-BB.RE collateral'!O$7&amp;"*",Input!$H:$H,{"1-REAL";"SANTANDER"},Input!$F:$F,'2.CC Trans-BB.RE collateral'!$D$3))  / SUM(SUMIFS(Input!$G:$G,Input!$C:$C,'2.CC Trans-BB.RE collateral'!$A$10,Input!$D:$D,'2.CC Trans-BB.RE collateral'!O$7&amp;"*",Input!$H:$H,{"1-REAL";"SANTANDER"},Input!$F:$F,'2.CC Trans-BB.RE collateral'!$D$3)),0)</f>
        <v>30.624440777566175</v>
      </c>
      <c r="P43" s="86">
        <f>IFERROR(SUM(SUMIFS(Input!$J:$J,Input!$C:$C,'2.CC Trans-BB.RE collateral'!$A$10,Input!$D:$D,'2.CC Trans-BB.RE collateral'!P$7&amp;"*",Input!$H:$H,{"1-REAL";"SANTANDER"},Input!$F:$F,'2.CC Trans-BB.RE collateral'!$D$3))  / SUM(SUMIFS(Input!$G:$G,Input!$C:$C,'2.CC Trans-BB.RE collateral'!$A$10,Input!$D:$D,'2.CC Trans-BB.RE collateral'!P$7&amp;"*",Input!$H:$H,{"1-REAL";"SANTANDER"},Input!$F:$F,'2.CC Trans-BB.RE collateral'!$D$3)),0)</f>
        <v>30.752294355719609</v>
      </c>
      <c r="Q43" s="86">
        <f>IFERROR(SUM(SUMIFS(Input!$J:$J,Input!$C:$C,'2.CC Trans-BB.RE collateral'!$A$10,Input!$D:$D,'2.CC Trans-BB.RE collateral'!Q$7&amp;"*",Input!$H:$H,{"1-REAL";"SANTANDER"},Input!$F:$F,'2.CC Trans-BB.RE collateral'!$D$3))  / SUM(SUMIFS(Input!$G:$G,Input!$C:$C,'2.CC Trans-BB.RE collateral'!$A$10,Input!$D:$D,'2.CC Trans-BB.RE collateral'!Q$7&amp;"*",Input!$H:$H,{"1-REAL";"SANTANDER"},Input!$F:$F,'2.CC Trans-BB.RE collateral'!$D$3)),0)</f>
        <v>30.491072893650966</v>
      </c>
      <c r="R43" s="86">
        <f>IFERROR(SUM(SUMIFS(Input!$J:$J,Input!$C:$C,'2.CC Trans-BB.RE collateral'!$A$10,Input!$D:$D,'2.CC Trans-BB.RE collateral'!R$7&amp;"*",Input!$H:$H,{"1-REAL";"SANTANDER"},Input!$F:$F,'2.CC Trans-BB.RE collateral'!$D$3))  / SUM(SUMIFS(Input!$G:$G,Input!$C:$C,'2.CC Trans-BB.RE collateral'!$A$10,Input!$D:$D,'2.CC Trans-BB.RE collateral'!R$7&amp;"*",Input!$H:$H,{"1-REAL";"SANTANDER"},Input!$F:$F,'2.CC Trans-BB.RE collateral'!$D$3)),0)</f>
        <v>28.957637107894303</v>
      </c>
      <c r="S43" s="86">
        <f>IFERROR(SUM(SUMIFS(Input!$J:$J,Input!$C:$C,'2.CC Trans-BB.RE collateral'!$A$10,Input!$D:$D,'2.CC Trans-BB.RE collateral'!S$7&amp;"*",Input!$H:$H,{"1-REAL";"SANTANDER"},Input!$F:$F,'2.CC Trans-BB.RE collateral'!$D$3))  / SUM(SUMIFS(Input!$G:$G,Input!$C:$C,'2.CC Trans-BB.RE collateral'!$A$10,Input!$D:$D,'2.CC Trans-BB.RE collateral'!S$7&amp;"*",Input!$H:$H,{"1-REAL";"SANTANDER"},Input!$F:$F,'2.CC Trans-BB.RE collateral'!$D$3)),0)</f>
        <v>0</v>
      </c>
      <c r="T43" s="86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25.999805436140651</v>
      </c>
      <c r="U43" s="60"/>
      <c r="V43" s="47"/>
    </row>
    <row r="44" spans="2:22" s="42" customFormat="1" ht="12.75" x14ac:dyDescent="0.2">
      <c r="B44" s="45">
        <v>33</v>
      </c>
      <c r="C44" s="59" t="s">
        <v>102</v>
      </c>
      <c r="D44" s="85">
        <f>ROUND(SUMIFS(Input!$G:$G,Input!$C:$C,'2.CC Trans-BB.RE collateral'!$A$10,Input!$I:$I,"MESG1",Input!$F:$F,'2.CC Trans-BB.RE collateral'!$D$3),0)</f>
        <v>338541</v>
      </c>
      <c r="E44" s="85">
        <f>ROUND(SUMIFS(Input!$G:$G,Input!$C:$C,'2.CC Trans-BB.RE collateral'!$A$10,Input!$I:$I,"MESG1",Input!$E:$E,'2.CC Trans-BB.RE collateral'!E$3,Input!$F:$F,'2.CC Trans-BB.RE collateral'!$D$3),0)</f>
        <v>153975</v>
      </c>
      <c r="F44" s="85">
        <f>ROUND(SUMIFS(Input!$G:$G,Input!$C:$C,'2.CC Trans-BB.RE collateral'!$A$10,Input!$I:$I,"MESG1",Input!$E:$E,'2.CC Trans-BB.RE collateral'!F$3,Input!$F:$F,'2.CC Trans-BB.RE collateral'!$D$3),0)</f>
        <v>109807</v>
      </c>
      <c r="G44" s="85">
        <f>ROUND(SUMIFS(Input!$G:$G,Input!$C:$C,'2.CC Trans-BB.RE collateral'!$A$10,Input!$I:$I,"MESG1",Input!$E:$E,'2.CC Trans-BB.RE collateral'!G$3,Input!$F:$F,'2.CC Trans-BB.RE collateral'!$D$3),0)</f>
        <v>74759</v>
      </c>
      <c r="H44" s="85">
        <f>ROUND(SUMIFS(Input!$G:$G,Input!$C:$C,'2.CC Trans-BB.RE collateral'!$A$10,Input!$I:$I,"MESG1",Input!$E:$E,'2.CC Trans-BB.RE collateral'!H$3,Input!$F:$F,'2.CC Trans-BB.RE collateral'!$D$3),0)</f>
        <v>0</v>
      </c>
      <c r="I44" s="85">
        <f>ROUND(SUMIFS(Input!$G:$G,Input!$C:$C,'2.CC Trans-BB.RE collateral'!$A$10,Input!$I:$I,"MESG1",Input!$E:$E,'2.CC Trans-BB.RE collateral'!I$3,Input!$F:$F,'2.CC Trans-BB.RE collateral'!$D$3),0)</f>
        <v>0</v>
      </c>
      <c r="J44" s="85">
        <f>ROUND(SUMIFS(Input!$G:$G,Input!$C:$C,'2.CC Trans-BB.RE collateral'!$A$10,Input!$I:$I,"MESG1",Input!$E:$E,'2.CC Trans-BB.RE collateral'!J$3,Input!$F:$F,'2.CC Trans-BB.RE collateral'!$D$3),0)</f>
        <v>0</v>
      </c>
      <c r="K44" s="85">
        <f>ROUND(SUMIFS(Input!$G:$G,Input!$C:$C,'2.CC Trans-BB.RE collateral'!$A$10,Input!$I:$I,"MESG1",Input!$R:$R,"&lt;&gt;"&amp;$S$1,Input!$F:$F,'2.CC Trans-BB.RE collateral'!$D$3),0)</f>
        <v>338541</v>
      </c>
      <c r="L44" s="60"/>
      <c r="M44" s="85">
        <f>ROUND(SUM(SUMIFS(Input!$G:$G,Input!$C:$C,'2.CC Trans-BB.RE collateral'!$A$10,Input!$I:$I,"MESG1",Input!$D:$D,'2.CC Trans-BB.RE collateral'!M$7&amp;"*",Input!$H:$H,{"1-REAL";"SANTANDER"},Input!$F:$F,'2.CC Trans-BB.RE collateral'!$D$3)),0)</f>
        <v>0</v>
      </c>
      <c r="N44" s="85">
        <f>ROUND(SUM(SUMIFS(Input!$G:$G,Input!$C:$C,'2.CC Trans-BB.RE collateral'!$A$10,Input!$I:$I,"MESG1",Input!$D:$D,'2.CC Trans-BB.RE collateral'!N$7&amp;"*",Input!$H:$H,{"1-REAL";"SANTANDER"},Input!$F:$F,'2.CC Trans-BB.RE collateral'!$D$3)),0)</f>
        <v>0</v>
      </c>
      <c r="O44" s="85">
        <f>ROUND(SUM(SUMIFS(Input!$G:$G,Input!$C:$C,'2.CC Trans-BB.RE collateral'!$A$10,Input!$I:$I,"MESG1",Input!$D:$D,'2.CC Trans-BB.RE collateral'!O$7&amp;"*",Input!$H:$H,{"1-REAL";"SANTANDER"},Input!$F:$F,'2.CC Trans-BB.RE collateral'!$D$3)),0)</f>
        <v>0</v>
      </c>
      <c r="P44" s="85">
        <f>ROUND(SUM(SUMIFS(Input!$G:$G,Input!$C:$C,'2.CC Trans-BB.RE collateral'!$A$10,Input!$I:$I,"MESG1",Input!$D:$D,'2.CC Trans-BB.RE collateral'!P$7&amp;"*",Input!$H:$H,{"1-REAL";"SANTANDER"},Input!$F:$F,'2.CC Trans-BB.RE collateral'!$D$3)),0)</f>
        <v>0</v>
      </c>
      <c r="Q44" s="85">
        <f>ROUND(SUM(SUMIFS(Input!$G:$G,Input!$C:$C,'2.CC Trans-BB.RE collateral'!$A$10,Input!$I:$I,"MESG1",Input!$D:$D,'2.CC Trans-BB.RE collateral'!Q$7&amp;"*",Input!$H:$H,{"1-REAL";"SANTANDER"},Input!$F:$F,'2.CC Trans-BB.RE collateral'!$D$3)),0)</f>
        <v>0</v>
      </c>
      <c r="R44" s="85">
        <f>ROUND(SUM(SUMIFS(Input!$G:$G,Input!$C:$C,'2.CC Trans-BB.RE collateral'!$A$10,Input!$I:$I,"MESG1",Input!$D:$D,'2.CC Trans-BB.RE collateral'!R$7&amp;"*",Input!$H:$H,{"1-REAL";"SANTANDER"},Input!$F:$F,'2.CC Trans-BB.RE collateral'!$D$3)),0)</f>
        <v>15537</v>
      </c>
      <c r="S44" s="85">
        <f>ROUND(SUM(SUMIFS(Input!$G:$G,Input!$C:$C,'2.CC Trans-BB.RE collateral'!$A$10,Input!$I:$I,"MESG1",Input!$D:$D,'2.CC Trans-BB.RE collateral'!S$7&amp;"*",Input!$H:$H,{"1-REAL";"SANTANDER"},Input!$F:$F,'2.CC Trans-BB.RE collateral'!$D$3)),0)</f>
        <v>0</v>
      </c>
      <c r="T44" s="85">
        <f>ROUND(SUMIFS(Input!$G:$G,Input!$C:$C,'2.CC Trans-BB.RE collateral'!$A$10,Input!$I:$I,"MESG1",Input!$H:$H,"&lt;&gt;"&amp;S$1,Input!$H:$H,"&lt;&gt;"&amp;S$2,Input!$F:$F,'2.CC Trans-BB.RE collateral'!$D$3),0)</f>
        <v>323004</v>
      </c>
      <c r="U44" s="60"/>
      <c r="V44" s="47"/>
    </row>
    <row r="45" spans="2:22" s="42" customFormat="1" ht="12.75" x14ac:dyDescent="0.2">
      <c r="B45" s="45">
        <v>34</v>
      </c>
      <c r="C45" s="59" t="s">
        <v>103</v>
      </c>
      <c r="D45" s="84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2.9995059237985358E-2</v>
      </c>
      <c r="E45" s="84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2.9842623787073155E-2</v>
      </c>
      <c r="F45" s="84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3.0132730791190818E-2</v>
      </c>
      <c r="G45" s="84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3.049509281909997E-2</v>
      </c>
      <c r="H45" s="84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2.9999999999999995E-2</v>
      </c>
      <c r="I45" s="84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2.9999999999999995E-2</v>
      </c>
      <c r="J45" s="84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3.0000000000000006E-2</v>
      </c>
      <c r="K45" s="84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3.058498240743308E-2</v>
      </c>
      <c r="L45" s="60"/>
      <c r="M45" s="84">
        <f>IFERROR(SUM(SUMIFS(Input!$O:$O,Input!$C:$C,'2.CC Trans-BB.RE collateral'!$A$10,Input!$K:$K,{"NBF1";"NBF2"},Input!$H:$H,"1-REAL",Input!$D:$D,'2.CC Trans-BB.RE collateral'!M$7&amp;"*",Input!$F:$F,'2.CC Trans-BB.RE collateral'!$D$3)) / SUM(SUMIFS(Input!$G:$G,Input!$C:$C,'2.CC Trans-BB.RE collateral'!$A$10,Input!$K:$K,{"NBF1";"NBF2"},Input!$H:$H,"1-REAL",Input!$D:$D,'2.CC Trans-BB.RE collateral'!M$7&amp;"*",Input!$F:$F,'2.CC Trans-BB.RE collateral'!$D$3)),0)</f>
        <v>2.970198176263034E-2</v>
      </c>
      <c r="N45" s="84">
        <f>IFERROR(SUM(SUMIFS(Input!$O:$O,Input!$C:$C,'2.CC Trans-BB.RE collateral'!$A$10,Input!$K:$K,{"NBF1";"NBF2"},Input!$H:$H,"1-REAL",Input!$D:$D,'2.CC Trans-BB.RE collateral'!N$7&amp;"*",Input!$F:$F,'2.CC Trans-BB.RE collateral'!$D$3)) / SUM(SUMIFS(Input!$G:$G,Input!$C:$C,'2.CC Trans-BB.RE collateral'!$A$10,Input!$K:$K,{"NBF1";"NBF2"},Input!$H:$H,"1-REAL",Input!$D:$D,'2.CC Trans-BB.RE collateral'!N$7&amp;"*",Input!$F:$F,'2.CC Trans-BB.RE collateral'!$D$3)),0)</f>
        <v>2.981989087835573E-2</v>
      </c>
      <c r="O45" s="84">
        <f>IFERROR(SUM(SUMIFS(Input!$O:$O,Input!$C:$C,'2.CC Trans-BB.RE collateral'!$A$10,Input!$K:$K,{"NBF1";"NBF2"},Input!$H:$H,"1-REAL",Input!$D:$D,'2.CC Trans-BB.RE collateral'!O$7&amp;"*",Input!$F:$F,'2.CC Trans-BB.RE collateral'!$D$3)) / SUM(SUMIFS(Input!$G:$G,Input!$C:$C,'2.CC Trans-BB.RE collateral'!$A$10,Input!$K:$K,{"NBF1";"NBF2"},Input!$H:$H,"1-REAL",Input!$D:$D,'2.CC Trans-BB.RE collateral'!O$7&amp;"*",Input!$F:$F,'2.CC Trans-BB.RE collateral'!$D$3)),0)</f>
        <v>2.9970886583591767E-2</v>
      </c>
      <c r="P45" s="84">
        <f>IFERROR(SUM(SUMIFS(Input!$O:$O,Input!$C:$C,'2.CC Trans-BB.RE collateral'!$A$10,Input!$K:$K,{"NBF1";"NBF2"},Input!$H:$H,"1-REAL",Input!$D:$D,'2.CC Trans-BB.RE collateral'!P$7&amp;"*",Input!$F:$F,'2.CC Trans-BB.RE collateral'!$D$3)) / SUM(SUMIFS(Input!$G:$G,Input!$C:$C,'2.CC Trans-BB.RE collateral'!$A$10,Input!$K:$K,{"NBF1";"NBF2"},Input!$H:$H,"1-REAL",Input!$D:$D,'2.CC Trans-BB.RE collateral'!P$7&amp;"*",Input!$F:$F,'2.CC Trans-BB.RE collateral'!$D$3)),0)</f>
        <v>2.9891716137170347E-2</v>
      </c>
      <c r="Q45" s="84">
        <f>IFERROR(SUM(SUMIFS(Input!$O:$O,Input!$C:$C,'2.CC Trans-BB.RE collateral'!$A$10,Input!$K:$K,{"NBF1";"NBF2"},Input!$H:$H,"1-REAL",Input!$D:$D,'2.CC Trans-BB.RE collateral'!Q$7&amp;"*",Input!$F:$F,'2.CC Trans-BB.RE collateral'!$D$3)) / SUM(SUMIFS(Input!$G:$G,Input!$C:$C,'2.CC Trans-BB.RE collateral'!$A$10,Input!$K:$K,{"NBF1";"NBF2"},Input!$H:$H,"1-REAL",Input!$D:$D,'2.CC Trans-BB.RE collateral'!Q$7&amp;"*",Input!$F:$F,'2.CC Trans-BB.RE collateral'!$D$3)),0)</f>
        <v>3.0627596426393587E-2</v>
      </c>
      <c r="R45" s="84">
        <f>IFERROR(SUM(SUMIFS(Input!$O:$O,Input!$C:$C,'2.CC Trans-BB.RE collateral'!$A$10,Input!$K:$K,{"NBF1";"NBF2"},Input!$H:$H,"1-REAL",Input!$D:$D,'2.CC Trans-BB.RE collateral'!R$7&amp;"*",Input!$F:$F,'2.CC Trans-BB.RE collateral'!$D$3)) / SUM(SUMIFS(Input!$G:$G,Input!$C:$C,'2.CC Trans-BB.RE collateral'!$A$10,Input!$K:$K,{"NBF1";"NBF2"},Input!$H:$H,"1-REAL",Input!$D:$D,'2.CC Trans-BB.RE collateral'!R$7&amp;"*",Input!$F:$F,'2.CC Trans-BB.RE collateral'!$D$3)),0)</f>
        <v>3.0000000000000002E-2</v>
      </c>
      <c r="S45" s="84">
        <f>IFERROR(SUM(SUMIFS(Input!$O:$O,Input!$C:$C,'2.CC Trans-BB.RE collateral'!$A$10,Input!$K:$K,{"NBF1";"NBF2"},Input!$H:$H,"1-REAL",Input!$D:$D,'2.CC Trans-BB.RE collateral'!S$7&amp;"*",Input!$F:$F,'2.CC Trans-BB.RE collateral'!$D$3)) / SUM(SUMIFS(Input!$G:$G,Input!$C:$C,'2.CC Trans-BB.RE collateral'!$A$10,Input!$K:$K,{"NBF1";"NBF2"},Input!$H:$H,"1-REAL",Input!$D:$D,'2.CC Trans-BB.RE collateral'!S$7&amp;"*",Input!$F:$F,'2.CC Trans-BB.RE collateral'!$D$3)),0)</f>
        <v>0</v>
      </c>
      <c r="T45" s="84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3.0438476774993565E-2</v>
      </c>
      <c r="U45" s="60"/>
      <c r="V45" s="47"/>
    </row>
    <row r="46" spans="2:22" s="42" customFormat="1" ht="12.75" x14ac:dyDescent="0.2">
      <c r="B46" s="66"/>
      <c r="C46" s="67"/>
      <c r="D46" s="68"/>
      <c r="K46" s="68"/>
      <c r="L46" s="69"/>
      <c r="M46" s="70"/>
      <c r="N46" s="70"/>
      <c r="O46" s="70"/>
      <c r="P46" s="70"/>
      <c r="Q46" s="70"/>
      <c r="R46" s="70"/>
      <c r="S46" s="70"/>
      <c r="T46" s="70"/>
      <c r="U46" s="69"/>
      <c r="V46" s="47"/>
    </row>
    <row r="47" spans="2:22" s="42" customFormat="1" ht="12.75" x14ac:dyDescent="0.2">
      <c r="B47" s="71" t="s">
        <v>104</v>
      </c>
      <c r="C47" s="67"/>
      <c r="D47" s="68"/>
      <c r="E47" s="68"/>
      <c r="F47" s="68"/>
      <c r="G47" s="68"/>
      <c r="H47" s="68"/>
      <c r="I47" s="68"/>
      <c r="J47" s="68"/>
      <c r="K47" s="68"/>
      <c r="L47" s="69"/>
      <c r="M47" s="72"/>
      <c r="N47" s="72"/>
      <c r="O47" s="72"/>
      <c r="P47" s="72"/>
      <c r="Q47" s="72"/>
      <c r="R47" s="72"/>
      <c r="S47" s="72"/>
      <c r="T47" s="70"/>
      <c r="U47" s="69"/>
      <c r="V47" s="47"/>
    </row>
    <row r="48" spans="2:22" s="42" customFormat="1" ht="12.75" x14ac:dyDescent="0.2">
      <c r="B48" s="73"/>
      <c r="C48" s="67"/>
      <c r="D48" s="68"/>
      <c r="E48" s="96" t="s">
        <v>105</v>
      </c>
      <c r="F48" s="96"/>
      <c r="G48" s="96"/>
      <c r="H48" s="96"/>
      <c r="I48" s="96"/>
      <c r="J48" s="96"/>
      <c r="K48" s="68"/>
      <c r="L48" s="68"/>
      <c r="M48" s="96" t="s">
        <v>105</v>
      </c>
      <c r="N48" s="96"/>
      <c r="O48" s="96"/>
      <c r="P48" s="96"/>
      <c r="Q48" s="96"/>
      <c r="R48" s="96"/>
      <c r="S48" s="96"/>
      <c r="T48" s="70"/>
      <c r="U48" s="69"/>
      <c r="V48" s="47"/>
    </row>
    <row r="49" spans="2:22" s="42" customFormat="1" ht="14.25" customHeight="1" x14ac:dyDescent="0.2">
      <c r="C49" s="67"/>
      <c r="D49" s="68"/>
      <c r="E49" s="74" t="s">
        <v>13</v>
      </c>
      <c r="F49" s="74" t="s">
        <v>14</v>
      </c>
      <c r="G49" s="74" t="s">
        <v>15</v>
      </c>
      <c r="H49" s="74" t="s">
        <v>16</v>
      </c>
      <c r="I49" s="74" t="s">
        <v>17</v>
      </c>
      <c r="J49" s="74" t="s">
        <v>18</v>
      </c>
      <c r="K49" s="68"/>
      <c r="M49" s="74" t="s">
        <v>19</v>
      </c>
      <c r="N49" s="74" t="s">
        <v>20</v>
      </c>
      <c r="O49" s="74" t="s">
        <v>21</v>
      </c>
      <c r="P49" s="74" t="s">
        <v>22</v>
      </c>
      <c r="Q49" s="74" t="s">
        <v>23</v>
      </c>
      <c r="R49" s="74" t="s">
        <v>24</v>
      </c>
      <c r="S49" s="74" t="s">
        <v>25</v>
      </c>
      <c r="T49" s="70"/>
      <c r="U49" s="69"/>
      <c r="V49" s="47"/>
    </row>
    <row r="50" spans="2:22" s="42" customFormat="1" ht="12.75" x14ac:dyDescent="0.2">
      <c r="B50" s="45">
        <v>35</v>
      </c>
      <c r="C50" s="67"/>
      <c r="D50" s="68" t="s">
        <v>106</v>
      </c>
      <c r="E50" s="85">
        <f>ROUND(SUM(SUMIFS(Input!$G:$G,Input!$E:$E,'2.CC Trans-BB.RE collateral'!E$3,Input!$C:$C,'2.CC Trans-BB.RE collateral'!$A$9,Input!$K:$K,{"NBF1";"NBF2"})),0)</f>
        <v>144167304</v>
      </c>
      <c r="F50" s="85">
        <f>ROUND(SUM(SUMIFS(Input!$G:$G,Input!$E:$E,'2.CC Trans-BB.RE collateral'!F$3,Input!$C:$C,'2.CC Trans-BB.RE collateral'!$A$9,Input!$K:$K,{"NBF1";"NBF2"})),0)</f>
        <v>220613010</v>
      </c>
      <c r="G50" s="85">
        <f>ROUND(SUM(SUMIFS(Input!$G:$G,Input!$E:$E,'2.CC Trans-BB.RE collateral'!G$3,Input!$C:$C,'2.CC Trans-BB.RE collateral'!$A$9,Input!$K:$K,{"NBF1";"NBF2"})),0)</f>
        <v>35430645</v>
      </c>
      <c r="H50" s="85">
        <f>ROUND(SUM(SUMIFS(Input!$G:$G,Input!$E:$E,'2.CC Trans-BB.RE collateral'!H$3,Input!$C:$C,'2.CC Trans-BB.RE collateral'!$A$9,Input!$K:$K,{"NBF1";"NBF2"})),0)</f>
        <v>966818</v>
      </c>
      <c r="I50" s="85">
        <f>ROUND(SUM(SUMIFS(Input!$G:$G,Input!$E:$E,'2.CC Trans-BB.RE collateral'!I$3,Input!$C:$C,'2.CC Trans-BB.RE collateral'!$A$9,Input!$K:$K,{"NBF1";"NBF2"})),0)</f>
        <v>2046050</v>
      </c>
      <c r="J50" s="85">
        <f>ROUND(SUM(SUMIFS(Input!$G:$G,Input!$E:$E,'2.CC Trans-BB.RE collateral'!J$3,Input!$C:$C,'2.CC Trans-BB.RE collateral'!$A$9,Input!$K:$K,{"NBF1";"NBF2"})),0)</f>
        <v>1154337</v>
      </c>
      <c r="K50" s="68"/>
      <c r="L50" s="68" t="s">
        <v>106</v>
      </c>
      <c r="M50" s="85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5275484</v>
      </c>
      <c r="N50" s="85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10990807</v>
      </c>
      <c r="O50" s="85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29428661</v>
      </c>
      <c r="P50" s="85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1514316</v>
      </c>
      <c r="Q50" s="85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1703160</v>
      </c>
      <c r="R50" s="85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414547</v>
      </c>
      <c r="S50" s="85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70"/>
      <c r="U50" s="69"/>
      <c r="V50" s="47"/>
    </row>
    <row r="51" spans="2:22" s="42" customFormat="1" ht="3" customHeight="1" x14ac:dyDescent="0.2">
      <c r="B51" s="75"/>
      <c r="C51" s="67"/>
      <c r="D51" s="68"/>
      <c r="E51" s="87"/>
      <c r="F51" s="87"/>
      <c r="G51" s="87"/>
      <c r="H51" s="87"/>
      <c r="I51" s="87"/>
      <c r="J51" s="87"/>
      <c r="K51" s="68"/>
      <c r="L51" s="68"/>
      <c r="M51" s="87"/>
      <c r="N51" s="87"/>
      <c r="O51" s="87"/>
      <c r="P51" s="87"/>
      <c r="Q51" s="87"/>
      <c r="R51" s="87"/>
      <c r="S51" s="87"/>
      <c r="T51" s="70"/>
      <c r="U51" s="69"/>
      <c r="V51" s="47"/>
    </row>
    <row r="52" spans="2:22" s="42" customFormat="1" ht="12.75" x14ac:dyDescent="0.2">
      <c r="B52" s="45">
        <v>36</v>
      </c>
      <c r="C52" s="67"/>
      <c r="D52" s="76" t="s">
        <v>13</v>
      </c>
      <c r="E52" s="85">
        <f>ROUND(SUM(SUMIFS(Input!$G:$G,Input!$E:$E,'2.CC Trans-BB.RE collateral'!E$3,Input!$C:$C,'2.CC Trans-BB.RE collateral'!$A$9,Input!$L:$L,"PEPS1",Input!$K:$K,"NBF3")),0)</f>
        <v>563341807</v>
      </c>
      <c r="F52" s="85">
        <f>ROUND(SUM(SUMIFS(Input!$G:$G,Input!$E:$E,'2.CC Trans-BB.RE collateral'!F$3,Input!$C:$C,'2.CC Trans-BB.RE collateral'!$A$9,Input!$L:$L,"PEPS1",Input!$K:$K,"NBF3")),0)</f>
        <v>1250046219</v>
      </c>
      <c r="G52" s="85">
        <f>ROUND(SUM(SUMIFS(Input!$G:$G,Input!$E:$E,'2.CC Trans-BB.RE collateral'!G$3,Input!$C:$C,'2.CC Trans-BB.RE collateral'!$A$9,Input!$L:$L,"PEPS1",Input!$K:$K,"NBF3")),0)</f>
        <v>144060078</v>
      </c>
      <c r="H52" s="85">
        <f>ROUND(SUM(SUMIFS(Input!$G:$G,Input!$E:$E,'2.CC Trans-BB.RE collateral'!H$3,Input!$C:$C,'2.CC Trans-BB.RE collateral'!$A$9,Input!$L:$L,"PEPS1",Input!$K:$K,"NBF3")),0)</f>
        <v>8462739</v>
      </c>
      <c r="I52" s="85">
        <f>ROUND(SUM(SUMIFS(Input!$G:$G,Input!$E:$E,'2.CC Trans-BB.RE collateral'!I$3,Input!$C:$C,'2.CC Trans-BB.RE collateral'!$A$9,Input!$L:$L,"PEPS1",Input!$K:$K,"NBF3")),0)</f>
        <v>4442916</v>
      </c>
      <c r="J52" s="85">
        <f>ROUND(SUM(SUMIFS(Input!$G:$G,Input!$E:$E,'2.CC Trans-BB.RE collateral'!J$3,Input!$C:$C,'2.CC Trans-BB.RE collateral'!$A$9,Input!$L:$L,"PEPS1",Input!$K:$K,"NBF3")),0)</f>
        <v>2064500</v>
      </c>
      <c r="K52" s="68"/>
      <c r="L52" s="76" t="s">
        <v>19</v>
      </c>
      <c r="M52" s="85">
        <f>ROUND(SUM(SUMIFS(Input!$G:$G,Input!$D:$D,'2.CC Trans-BB.RE collateral'!M$7&amp;"*",Input!$C:$C,'2.CC Trans-BB.RE collateral'!$A$9,Input!$M:$M,"PEPC1",Input!$H:$H,{"1-REAL";"SANTANDER"},Input!$K:$K,"NBF3")),0)</f>
        <v>3542197</v>
      </c>
      <c r="N52" s="85">
        <f>ROUND(SUM(SUMIFS(Input!$G:$G,Input!$D:$D,'2.CC Trans-BB.RE collateral'!N$7&amp;"*",Input!$C:$C,'2.CC Trans-BB.RE collateral'!$A$9,Input!$M:$M,"PEPC1",Input!$H:$H,{"1-REAL";"SANTANDER"},Input!$K:$K,"NBF3")),0)</f>
        <v>0</v>
      </c>
      <c r="O52" s="85">
        <f>ROUND(SUM(SUMIFS(Input!$G:$G,Input!$D:$D,'2.CC Trans-BB.RE collateral'!O$7&amp;"*",Input!$C:$C,'2.CC Trans-BB.RE collateral'!$A$9,Input!$M:$M,"PEPC1",Input!$H:$H,{"1-REAL";"SANTANDER"},Input!$K:$K,"NBF3")),0)</f>
        <v>0</v>
      </c>
      <c r="P52" s="85">
        <f>ROUND(SUM(SUMIFS(Input!$G:$G,Input!$D:$D,'2.CC Trans-BB.RE collateral'!P$7&amp;"*",Input!$C:$C,'2.CC Trans-BB.RE collateral'!$A$9,Input!$M:$M,"PEPC1",Input!$H:$H,{"1-REAL";"SANTANDER"},Input!$K:$K,"NBF3")),0)</f>
        <v>0</v>
      </c>
      <c r="Q52" s="85">
        <f>ROUND(SUM(SUMIFS(Input!$G:$G,Input!$D:$D,'2.CC Trans-BB.RE collateral'!Q$7&amp;"*",Input!$C:$C,'2.CC Trans-BB.RE collateral'!$A$9,Input!$M:$M,"PEPC1",Input!$H:$H,{"1-REAL";"SANTANDER"},Input!$K:$K,"NBF3")),0)</f>
        <v>0</v>
      </c>
      <c r="R52" s="85">
        <f>ROUND(SUM(SUMIFS(Input!$G:$G,Input!$D:$D,'2.CC Trans-BB.RE collateral'!R$7&amp;"*",Input!$C:$C,'2.CC Trans-BB.RE collateral'!$A$9,Input!$M:$M,"PEPC1",Input!$H:$H,{"1-REAL";"SANTANDER"},Input!$K:$K,"NBF3")),0)</f>
        <v>0</v>
      </c>
      <c r="S52" s="85">
        <f>ROUND(SUM(SUMIFS(Input!$G:$G,Input!$D:$D,'2.CC Trans-BB.RE collateral'!S$7&amp;"*",Input!$C:$C,'2.CC Trans-BB.RE collateral'!$A$9,Input!$M:$M,"PEPC1",Input!$H:$H,{"1-REAL";"SANTANDER"},Input!$K:$K,"NBF3")),0)</f>
        <v>0</v>
      </c>
      <c r="T52" s="70"/>
      <c r="U52" s="69"/>
      <c r="V52" s="47"/>
    </row>
    <row r="53" spans="2:22" s="42" customFormat="1" ht="12.75" x14ac:dyDescent="0.2">
      <c r="B53" s="45">
        <v>37</v>
      </c>
      <c r="C53" s="67"/>
      <c r="D53" s="76" t="s">
        <v>14</v>
      </c>
      <c r="E53" s="85">
        <f>ROUND(SUM(SUMIFS(Input!$G:$G,Input!$E:$E,'2.CC Trans-BB.RE collateral'!E$3,Input!$C:$C,'2.CC Trans-BB.RE collateral'!$A$9,Input!$L:$L,"PEPS2",Input!$K:$K,"NBF3")),0)</f>
        <v>0</v>
      </c>
      <c r="F53" s="85">
        <f>ROUND(SUM(SUMIFS(Input!$G:$G,Input!$E:$E,'2.CC Trans-BB.RE collateral'!F$3,Input!$C:$C,'2.CC Trans-BB.RE collateral'!$A$9,Input!$L:$L,"PEPS2",Input!$K:$K,"NBF3")),0)</f>
        <v>0</v>
      </c>
      <c r="G53" s="85">
        <f>ROUND(SUM(SUMIFS(Input!$G:$G,Input!$E:$E,'2.CC Trans-BB.RE collateral'!G$3,Input!$C:$C,'2.CC Trans-BB.RE collateral'!$A$9,Input!$L:$L,"PEPS2",Input!$K:$K,"NBF3")),0)</f>
        <v>0</v>
      </c>
      <c r="H53" s="85">
        <f>ROUND(SUM(SUMIFS(Input!$G:$G,Input!$E:$E,'2.CC Trans-BB.RE collateral'!H$3,Input!$C:$C,'2.CC Trans-BB.RE collateral'!$A$9,Input!$L:$L,"PEPS2",Input!$K:$K,"NBF3")),0)</f>
        <v>0</v>
      </c>
      <c r="I53" s="85">
        <f>ROUND(SUM(SUMIFS(Input!$G:$G,Input!$E:$E,'2.CC Trans-BB.RE collateral'!I$3,Input!$C:$C,'2.CC Trans-BB.RE collateral'!$A$9,Input!$L:$L,"PEPS2",Input!$K:$K,"NBF3")),0)</f>
        <v>0</v>
      </c>
      <c r="J53" s="85">
        <f>ROUND(SUM(SUMIFS(Input!$G:$G,Input!$E:$E,'2.CC Trans-BB.RE collateral'!J$3,Input!$C:$C,'2.CC Trans-BB.RE collateral'!$A$9,Input!$L:$L,"PEPS2",Input!$K:$K,"NBF3")),0)</f>
        <v>0</v>
      </c>
      <c r="K53" s="68"/>
      <c r="L53" s="76" t="s">
        <v>20</v>
      </c>
      <c r="M53" s="85">
        <f>ROUND(SUM(SUMIFS(Input!$G:$G,Input!$D:$D,'2.CC Trans-BB.RE collateral'!M$7&amp;"*",Input!$C:$C,'2.CC Trans-BB.RE collateral'!$A$9,Input!$M:$M,"PEPC2",Input!$H:$H,{"1-REAL";"SANTANDER"},Input!$K:$K,"NBF3")),0)</f>
        <v>0</v>
      </c>
      <c r="N53" s="85">
        <f>ROUND(SUM(SUMIFS(Input!$G:$G,Input!$D:$D,'2.CC Trans-BB.RE collateral'!N$7&amp;"*",Input!$C:$C,'2.CC Trans-BB.RE collateral'!$A$9,Input!$M:$M,"PEPC2",Input!$H:$H,{"1-REAL";"SANTANDER"},Input!$K:$K,"NBF3")),0)</f>
        <v>98792913</v>
      </c>
      <c r="O53" s="85">
        <f>ROUND(SUM(SUMIFS(Input!$G:$G,Input!$D:$D,'2.CC Trans-BB.RE collateral'!O$7&amp;"*",Input!$C:$C,'2.CC Trans-BB.RE collateral'!$A$9,Input!$M:$M,"PEPC2",Input!$H:$H,{"1-REAL";"SANTANDER"},Input!$K:$K,"NBF3")),0)</f>
        <v>0</v>
      </c>
      <c r="P53" s="85">
        <f>ROUND(SUM(SUMIFS(Input!$G:$G,Input!$D:$D,'2.CC Trans-BB.RE collateral'!P$7&amp;"*",Input!$C:$C,'2.CC Trans-BB.RE collateral'!$A$9,Input!$M:$M,"PEPC2",Input!$H:$H,{"1-REAL";"SANTANDER"},Input!$K:$K,"NBF3")),0)</f>
        <v>0</v>
      </c>
      <c r="Q53" s="85">
        <f>ROUND(SUM(SUMIFS(Input!$G:$G,Input!$D:$D,'2.CC Trans-BB.RE collateral'!Q$7&amp;"*",Input!$C:$C,'2.CC Trans-BB.RE collateral'!$A$9,Input!$M:$M,"PEPC2",Input!$H:$H,{"1-REAL";"SANTANDER"},Input!$K:$K,"NBF3")),0)</f>
        <v>0</v>
      </c>
      <c r="R53" s="85">
        <f>ROUND(SUM(SUMIFS(Input!$G:$G,Input!$D:$D,'2.CC Trans-BB.RE collateral'!R$7&amp;"*",Input!$C:$C,'2.CC Trans-BB.RE collateral'!$A$9,Input!$M:$M,"PEPC2",Input!$H:$H,{"1-REAL";"SANTANDER"},Input!$K:$K,"NBF3")),0)</f>
        <v>0</v>
      </c>
      <c r="S53" s="85">
        <f>ROUND(SUM(SUMIFS(Input!$G:$G,Input!$D:$D,'2.CC Trans-BB.RE collateral'!S$7&amp;"*",Input!$C:$C,'2.CC Trans-BB.RE collateral'!$A$9,Input!$M:$M,"PEPC2",Input!$H:$H,{"1-REAL";"SANTANDER"},Input!$K:$K,"NBF3")),0)</f>
        <v>30204</v>
      </c>
      <c r="T53" s="70"/>
      <c r="U53" s="69"/>
      <c r="V53" s="47"/>
    </row>
    <row r="54" spans="2:22" s="42" customFormat="1" ht="12.75" x14ac:dyDescent="0.2">
      <c r="B54" s="45">
        <v>38</v>
      </c>
      <c r="C54" s="67"/>
      <c r="D54" s="76" t="s">
        <v>15</v>
      </c>
      <c r="E54" s="85">
        <f>ROUND(SUM(SUMIFS(Input!$G:$G,Input!$E:$E,'2.CC Trans-BB.RE collateral'!E$3,Input!$C:$C,'2.CC Trans-BB.RE collateral'!$A$9,Input!$L:$L,"PEPS3",Input!$K:$K,"NBF3")),0)</f>
        <v>0</v>
      </c>
      <c r="F54" s="85">
        <f>ROUND(SUM(SUMIFS(Input!$G:$G,Input!$E:$E,'2.CC Trans-BB.RE collateral'!F$3,Input!$C:$C,'2.CC Trans-BB.RE collateral'!$A$9,Input!$L:$L,"PEPS3",Input!$K:$K,"NBF3")),0)</f>
        <v>0</v>
      </c>
      <c r="G54" s="85">
        <f>ROUND(SUM(SUMIFS(Input!$G:$G,Input!$E:$E,'2.CC Trans-BB.RE collateral'!G$3,Input!$C:$C,'2.CC Trans-BB.RE collateral'!$A$9,Input!$L:$L,"PEPS3",Input!$K:$K,"NBF3")),0)</f>
        <v>0</v>
      </c>
      <c r="H54" s="85">
        <f>ROUND(SUM(SUMIFS(Input!$G:$G,Input!$E:$E,'2.CC Trans-BB.RE collateral'!H$3,Input!$C:$C,'2.CC Trans-BB.RE collateral'!$A$9,Input!$L:$L,"PEPS3",Input!$K:$K,"NBF3")),0)</f>
        <v>0</v>
      </c>
      <c r="I54" s="85">
        <f>ROUND(SUM(SUMIFS(Input!$G:$G,Input!$E:$E,'2.CC Trans-BB.RE collateral'!I$3,Input!$C:$C,'2.CC Trans-BB.RE collateral'!$A$9,Input!$L:$L,"PEPS3",Input!$K:$K,"NBF3")),0)</f>
        <v>0</v>
      </c>
      <c r="J54" s="85">
        <f>ROUND(SUM(SUMIFS(Input!$G:$G,Input!$E:$E,'2.CC Trans-BB.RE collateral'!J$3,Input!$C:$C,'2.CC Trans-BB.RE collateral'!$A$9,Input!$L:$L,"PEPS3",Input!$K:$K,"NBF3")),0)</f>
        <v>0</v>
      </c>
      <c r="K54" s="68"/>
      <c r="L54" s="76" t="s">
        <v>21</v>
      </c>
      <c r="M54" s="85">
        <f>ROUND(SUM(SUMIFS(Input!$G:$G,Input!$D:$D,'2.CC Trans-BB.RE collateral'!M$7&amp;"*",Input!$C:$C,'2.CC Trans-BB.RE collateral'!$A$9,Input!$M:$M,"PEPC3",Input!$H:$H,{"1-REAL";"SANTANDER"},Input!$K:$K,"NBF3")),0)</f>
        <v>0</v>
      </c>
      <c r="N54" s="85">
        <f>ROUND(SUM(SUMIFS(Input!$G:$G,Input!$D:$D,'2.CC Trans-BB.RE collateral'!N$7&amp;"*",Input!$C:$C,'2.CC Trans-BB.RE collateral'!$A$9,Input!$M:$M,"PEPC3",Input!$H:$H,{"1-REAL";"SANTANDER"},Input!$K:$K,"NBF3")),0)</f>
        <v>2977241</v>
      </c>
      <c r="O54" s="85">
        <f>ROUND(SUM(SUMIFS(Input!$G:$G,Input!$D:$D,'2.CC Trans-BB.RE collateral'!O$7&amp;"*",Input!$C:$C,'2.CC Trans-BB.RE collateral'!$A$9,Input!$M:$M,"PEPC3",Input!$H:$H,{"1-REAL";"SANTANDER"},Input!$K:$K,"NBF3")),0)</f>
        <v>76835321</v>
      </c>
      <c r="P54" s="85">
        <f>ROUND(SUM(SUMIFS(Input!$G:$G,Input!$D:$D,'2.CC Trans-BB.RE collateral'!P$7&amp;"*",Input!$C:$C,'2.CC Trans-BB.RE collateral'!$A$9,Input!$M:$M,"PEPC3",Input!$H:$H,{"1-REAL";"SANTANDER"},Input!$K:$K,"NBF3")),0)</f>
        <v>0</v>
      </c>
      <c r="Q54" s="85">
        <f>ROUND(SUM(SUMIFS(Input!$G:$G,Input!$D:$D,'2.CC Trans-BB.RE collateral'!Q$7&amp;"*",Input!$C:$C,'2.CC Trans-BB.RE collateral'!$A$9,Input!$M:$M,"PEPC3",Input!$H:$H,{"1-REAL";"SANTANDER"},Input!$K:$K,"NBF3")),0)</f>
        <v>0</v>
      </c>
      <c r="R54" s="85">
        <f>ROUND(SUM(SUMIFS(Input!$G:$G,Input!$D:$D,'2.CC Trans-BB.RE collateral'!R$7&amp;"*",Input!$C:$C,'2.CC Trans-BB.RE collateral'!$A$9,Input!$M:$M,"PEPC3",Input!$H:$H,{"1-REAL";"SANTANDER"},Input!$K:$K,"NBF3")),0)</f>
        <v>501228</v>
      </c>
      <c r="S54" s="85">
        <f>ROUND(SUM(SUMIFS(Input!$G:$G,Input!$D:$D,'2.CC Trans-BB.RE collateral'!S$7&amp;"*",Input!$C:$C,'2.CC Trans-BB.RE collateral'!$A$9,Input!$M:$M,"PEPC3",Input!$H:$H,{"1-REAL";"SANTANDER"},Input!$K:$K,"NBF3")),0)</f>
        <v>0</v>
      </c>
      <c r="T54" s="70"/>
      <c r="U54" s="69"/>
      <c r="V54" s="47"/>
    </row>
    <row r="55" spans="2:22" s="42" customFormat="1" ht="12.75" x14ac:dyDescent="0.2">
      <c r="B55" s="45">
        <v>39</v>
      </c>
      <c r="C55" s="67"/>
      <c r="D55" s="76" t="s">
        <v>16</v>
      </c>
      <c r="E55" s="85">
        <f>ROUND(SUM(SUMIFS(Input!$G:$G,Input!$E:$E,'2.CC Trans-BB.RE collateral'!E$3,Input!$C:$C,'2.CC Trans-BB.RE collateral'!$A$9,Input!$L:$L,"PEPS4",Input!$K:$K,"NBF3")),0)</f>
        <v>0</v>
      </c>
      <c r="F55" s="85">
        <f>ROUND(SUM(SUMIFS(Input!$G:$G,Input!$E:$E,'2.CC Trans-BB.RE collateral'!F$3,Input!$C:$C,'2.CC Trans-BB.RE collateral'!$A$9,Input!$L:$L,"PEPS4",Input!$K:$K,"NBF3")),0)</f>
        <v>0</v>
      </c>
      <c r="G55" s="85">
        <f>ROUND(SUM(SUMIFS(Input!$G:$G,Input!$E:$E,'2.CC Trans-BB.RE collateral'!G$3,Input!$C:$C,'2.CC Trans-BB.RE collateral'!$A$9,Input!$L:$L,"PEPS4",Input!$K:$K,"NBF3")),0)</f>
        <v>0</v>
      </c>
      <c r="H55" s="85">
        <f>ROUND(SUM(SUMIFS(Input!$G:$G,Input!$E:$E,'2.CC Trans-BB.RE collateral'!H$3,Input!$C:$C,'2.CC Trans-BB.RE collateral'!$A$9,Input!$L:$L,"PEPS4",Input!$K:$K,"NBF3")),0)</f>
        <v>0</v>
      </c>
      <c r="I55" s="85">
        <f>ROUND(SUM(SUMIFS(Input!$G:$G,Input!$E:$E,'2.CC Trans-BB.RE collateral'!I$3,Input!$C:$C,'2.CC Trans-BB.RE collateral'!$A$9,Input!$L:$L,"PEPS4",Input!$K:$K,"NBF3")),0)</f>
        <v>0</v>
      </c>
      <c r="J55" s="85">
        <f>ROUND(SUM(SUMIFS(Input!$G:$G,Input!$E:$E,'2.CC Trans-BB.RE collateral'!J$3,Input!$C:$C,'2.CC Trans-BB.RE collateral'!$A$9,Input!$L:$L,"PEPS4",Input!$K:$K,"NBF3")),0)</f>
        <v>0</v>
      </c>
      <c r="K55" s="68"/>
      <c r="L55" s="76" t="s">
        <v>22</v>
      </c>
      <c r="M55" s="85">
        <f>ROUND(SUM(SUMIFS(Input!$G:$G,Input!$D:$D,'2.CC Trans-BB.RE collateral'!M$7&amp;"*",Input!$C:$C,'2.CC Trans-BB.RE collateral'!$A$9,Input!$M:$M,"PEPC4",Input!$H:$H,{"1-REAL";"SANTANDER"},Input!$K:$K,"NBF3")),0)</f>
        <v>0</v>
      </c>
      <c r="N55" s="85">
        <f>ROUND(SUM(SUMIFS(Input!$G:$G,Input!$D:$D,'2.CC Trans-BB.RE collateral'!N$7&amp;"*",Input!$C:$C,'2.CC Trans-BB.RE collateral'!$A$9,Input!$M:$M,"PEPC4",Input!$H:$H,{"1-REAL";"SANTANDER"},Input!$K:$K,"NBF3")),0)</f>
        <v>0</v>
      </c>
      <c r="O55" s="85">
        <f>ROUND(SUM(SUMIFS(Input!$G:$G,Input!$D:$D,'2.CC Trans-BB.RE collateral'!O$7&amp;"*",Input!$C:$C,'2.CC Trans-BB.RE collateral'!$A$9,Input!$M:$M,"PEPC4",Input!$H:$H,{"1-REAL";"SANTANDER"},Input!$K:$K,"NBF3")),0)</f>
        <v>0</v>
      </c>
      <c r="P55" s="85">
        <f>ROUND(SUM(SUMIFS(Input!$G:$G,Input!$D:$D,'2.CC Trans-BB.RE collateral'!P$7&amp;"*",Input!$C:$C,'2.CC Trans-BB.RE collateral'!$A$9,Input!$M:$M,"PEPC4",Input!$H:$H,{"1-REAL";"SANTANDER"},Input!$K:$K,"NBF3")),0)</f>
        <v>16230688</v>
      </c>
      <c r="Q55" s="85">
        <f>ROUND(SUM(SUMIFS(Input!$G:$G,Input!$D:$D,'2.CC Trans-BB.RE collateral'!Q$7&amp;"*",Input!$C:$C,'2.CC Trans-BB.RE collateral'!$A$9,Input!$M:$M,"PEPC4",Input!$H:$H,{"1-REAL";"SANTANDER"},Input!$K:$K,"NBF3")),0)</f>
        <v>0</v>
      </c>
      <c r="R55" s="85">
        <f>ROUND(SUM(SUMIFS(Input!$G:$G,Input!$D:$D,'2.CC Trans-BB.RE collateral'!R$7&amp;"*",Input!$C:$C,'2.CC Trans-BB.RE collateral'!$A$9,Input!$M:$M,"PEPC4",Input!$H:$H,{"1-REAL";"SANTANDER"},Input!$K:$K,"NBF3")),0)</f>
        <v>0</v>
      </c>
      <c r="S55" s="85">
        <f>ROUND(SUM(SUMIFS(Input!$G:$G,Input!$D:$D,'2.CC Trans-BB.RE collateral'!S$7&amp;"*",Input!$C:$C,'2.CC Trans-BB.RE collateral'!$A$9,Input!$M:$M,"PEPC4",Input!$H:$H,{"1-REAL";"SANTANDER"},Input!$K:$K,"NBF3")),0)</f>
        <v>0</v>
      </c>
      <c r="T55" s="70"/>
      <c r="U55" s="69"/>
      <c r="V55" s="47"/>
    </row>
    <row r="56" spans="2:22" s="42" customFormat="1" ht="12.75" x14ac:dyDescent="0.2">
      <c r="B56" s="45">
        <v>40</v>
      </c>
      <c r="C56" s="67"/>
      <c r="D56" s="76" t="s">
        <v>17</v>
      </c>
      <c r="E56" s="85">
        <f>ROUND(SUM(SUMIFS(Input!$G:$G,Input!$E:$E,'2.CC Trans-BB.RE collateral'!E$3,Input!$C:$C,'2.CC Trans-BB.RE collateral'!$A$9,Input!$L:$L,"PEPS5",Input!$K:$K,"NBF3")),0)</f>
        <v>0</v>
      </c>
      <c r="F56" s="85">
        <f>ROUND(SUM(SUMIFS(Input!$G:$G,Input!$E:$E,'2.CC Trans-BB.RE collateral'!F$3,Input!$C:$C,'2.CC Trans-BB.RE collateral'!$A$9,Input!$L:$L,"PEPS5",Input!$K:$K,"NBF3")),0)</f>
        <v>0</v>
      </c>
      <c r="G56" s="85">
        <f>ROUND(SUM(SUMIFS(Input!$G:$G,Input!$E:$E,'2.CC Trans-BB.RE collateral'!G$3,Input!$C:$C,'2.CC Trans-BB.RE collateral'!$A$9,Input!$L:$L,"PEPS5",Input!$K:$K,"NBF3")),0)</f>
        <v>0</v>
      </c>
      <c r="H56" s="85">
        <f>ROUND(SUM(SUMIFS(Input!$G:$G,Input!$E:$E,'2.CC Trans-BB.RE collateral'!H$3,Input!$C:$C,'2.CC Trans-BB.RE collateral'!$A$9,Input!$L:$L,"PEPS5",Input!$K:$K,"NBF3")),0)</f>
        <v>0</v>
      </c>
      <c r="I56" s="85">
        <f>ROUND(SUM(SUMIFS(Input!$G:$G,Input!$E:$E,'2.CC Trans-BB.RE collateral'!I$3,Input!$C:$C,'2.CC Trans-BB.RE collateral'!$A$9,Input!$L:$L,"PEPS5",Input!$K:$K,"NBF3")),0)</f>
        <v>0</v>
      </c>
      <c r="J56" s="85">
        <f>ROUND(SUM(SUMIFS(Input!$G:$G,Input!$E:$E,'2.CC Trans-BB.RE collateral'!J$3,Input!$C:$C,'2.CC Trans-BB.RE collateral'!$A$9,Input!$L:$L,"PEPS5",Input!$K:$K,"NBF3")),0)</f>
        <v>0</v>
      </c>
      <c r="K56" s="68"/>
      <c r="L56" s="76" t="s">
        <v>23</v>
      </c>
      <c r="M56" s="85">
        <f>ROUND(SUM(SUMIFS(Input!$G:$G,Input!$D:$D,'2.CC Trans-BB.RE collateral'!M$7&amp;"*",Input!$C:$C,'2.CC Trans-BB.RE collateral'!$A$9,Input!$M:$M,"PEPC5",Input!$H:$H,{"1-REAL";"SANTANDER"},Input!$K:$K,"NBF3")),0)</f>
        <v>0</v>
      </c>
      <c r="N56" s="85">
        <f>ROUND(SUM(SUMIFS(Input!$G:$G,Input!$D:$D,'2.CC Trans-BB.RE collateral'!N$7&amp;"*",Input!$C:$C,'2.CC Trans-BB.RE collateral'!$A$9,Input!$M:$M,"PEPC5",Input!$H:$H,{"1-REAL";"SANTANDER"},Input!$K:$K,"NBF3")),0)</f>
        <v>0</v>
      </c>
      <c r="O56" s="85">
        <f>ROUND(SUM(SUMIFS(Input!$G:$G,Input!$D:$D,'2.CC Trans-BB.RE collateral'!O$7&amp;"*",Input!$C:$C,'2.CC Trans-BB.RE collateral'!$A$9,Input!$M:$M,"PEPC5",Input!$H:$H,{"1-REAL";"SANTANDER"},Input!$K:$K,"NBF3")),0)</f>
        <v>0</v>
      </c>
      <c r="P56" s="85">
        <f>ROUND(SUM(SUMIFS(Input!$G:$G,Input!$D:$D,'2.CC Trans-BB.RE collateral'!P$7&amp;"*",Input!$C:$C,'2.CC Trans-BB.RE collateral'!$A$9,Input!$M:$M,"PEPC5",Input!$H:$H,{"1-REAL";"SANTANDER"},Input!$K:$K,"NBF3")),0)</f>
        <v>0</v>
      </c>
      <c r="Q56" s="85">
        <f>ROUND(SUM(SUMIFS(Input!$G:$G,Input!$D:$D,'2.CC Trans-BB.RE collateral'!Q$7&amp;"*",Input!$C:$C,'2.CC Trans-BB.RE collateral'!$A$9,Input!$M:$M,"PEPC5",Input!$H:$H,{"1-REAL";"SANTANDER"},Input!$K:$K,"NBF3")),0)</f>
        <v>21870466</v>
      </c>
      <c r="R56" s="85">
        <f>ROUND(SUM(SUMIFS(Input!$G:$G,Input!$D:$D,'2.CC Trans-BB.RE collateral'!R$7&amp;"*",Input!$C:$C,'2.CC Trans-BB.RE collateral'!$A$9,Input!$M:$M,"PEPC5",Input!$H:$H,{"1-REAL";"SANTANDER"},Input!$K:$K,"NBF3")),0)</f>
        <v>0</v>
      </c>
      <c r="S56" s="85">
        <f>ROUND(SUM(SUMIFS(Input!$G:$G,Input!$D:$D,'2.CC Trans-BB.RE collateral'!S$7&amp;"*",Input!$C:$C,'2.CC Trans-BB.RE collateral'!$A$9,Input!$M:$M,"PEPC5",Input!$H:$H,{"1-REAL";"SANTANDER"},Input!$K:$K,"NBF3")),0)</f>
        <v>0</v>
      </c>
      <c r="T56" s="70"/>
      <c r="U56" s="69"/>
      <c r="V56" s="47"/>
    </row>
    <row r="57" spans="2:22" s="42" customFormat="1" ht="12.75" x14ac:dyDescent="0.2">
      <c r="B57" s="45">
        <v>41</v>
      </c>
      <c r="C57" s="67"/>
      <c r="D57" s="76" t="s">
        <v>18</v>
      </c>
      <c r="E57" s="85">
        <f>ROUND(SUM(SUMIFS(Input!$G:$G,Input!$E:$E,'2.CC Trans-BB.RE collateral'!E$3,Input!$C:$C,'2.CC Trans-BB.RE collateral'!$A$9,Input!$L:$L,"PEPS6",Input!$K:$K,"NBF3")),0)</f>
        <v>0</v>
      </c>
      <c r="F57" s="85">
        <f>ROUND(SUM(SUMIFS(Input!$G:$G,Input!$E:$E,'2.CC Trans-BB.RE collateral'!F$3,Input!$C:$C,'2.CC Trans-BB.RE collateral'!$A$9,Input!$L:$L,"PEPS6",Input!$K:$K,"NBF3")),0)</f>
        <v>0</v>
      </c>
      <c r="G57" s="85">
        <f>ROUND(SUM(SUMIFS(Input!$G:$G,Input!$E:$E,'2.CC Trans-BB.RE collateral'!G$3,Input!$C:$C,'2.CC Trans-BB.RE collateral'!$A$9,Input!$L:$L,"PEPS6",Input!$K:$K,"NBF3")),0)</f>
        <v>0</v>
      </c>
      <c r="H57" s="85">
        <f>ROUND(SUM(SUMIFS(Input!$G:$G,Input!$E:$E,'2.CC Trans-BB.RE collateral'!H$3,Input!$C:$C,'2.CC Trans-BB.RE collateral'!$A$9,Input!$L:$L,"PEPS6",Input!$K:$K,"NBF3")),0)</f>
        <v>0</v>
      </c>
      <c r="I57" s="85">
        <f>ROUND(SUM(SUMIFS(Input!$G:$G,Input!$E:$E,'2.CC Trans-BB.RE collateral'!I$3,Input!$C:$C,'2.CC Trans-BB.RE collateral'!$A$9,Input!$L:$L,"PEPS6",Input!$K:$K,"NBF3")),0)</f>
        <v>0</v>
      </c>
      <c r="J57" s="85">
        <f>ROUND(SUM(SUMIFS(Input!$G:$G,Input!$E:$E,'2.CC Trans-BB.RE collateral'!J$3,Input!$C:$C,'2.CC Trans-BB.RE collateral'!$A$9,Input!$L:$L,"PEPS6",Input!$K:$K,"NBF3")),0)</f>
        <v>0</v>
      </c>
      <c r="K57" s="68"/>
      <c r="L57" s="76" t="s">
        <v>24</v>
      </c>
      <c r="M57" s="85">
        <f>ROUND(SUM(SUMIFS(Input!$G:$G,Input!$D:$D,'2.CC Trans-BB.RE collateral'!M$7&amp;"*",Input!$C:$C,'2.CC Trans-BB.RE collateral'!$A$9,Input!$M:$M,"PEPC6",Input!$H:$H,{"1-REAL";"SANTANDER"},Input!$K:$K,"NBF3")),0)</f>
        <v>0</v>
      </c>
      <c r="N57" s="85">
        <f>ROUND(SUM(SUMIFS(Input!$G:$G,Input!$D:$D,'2.CC Trans-BB.RE collateral'!N$7&amp;"*",Input!$C:$C,'2.CC Trans-BB.RE collateral'!$A$9,Input!$M:$M,"PEPC6",Input!$H:$H,{"1-REAL";"SANTANDER"},Input!$K:$K,"NBF3")),0)</f>
        <v>0</v>
      </c>
      <c r="O57" s="85">
        <f>ROUND(SUM(SUMIFS(Input!$G:$G,Input!$D:$D,'2.CC Trans-BB.RE collateral'!O$7&amp;"*",Input!$C:$C,'2.CC Trans-BB.RE collateral'!$A$9,Input!$M:$M,"PEPC6",Input!$H:$H,{"1-REAL";"SANTANDER"},Input!$K:$K,"NBF3")),0)</f>
        <v>0</v>
      </c>
      <c r="P57" s="85">
        <f>ROUND(SUM(SUMIFS(Input!$G:$G,Input!$D:$D,'2.CC Trans-BB.RE collateral'!P$7&amp;"*",Input!$C:$C,'2.CC Trans-BB.RE collateral'!$A$9,Input!$M:$M,"PEPC6",Input!$H:$H,{"1-REAL";"SANTANDER"},Input!$K:$K,"NBF3")),0)</f>
        <v>0</v>
      </c>
      <c r="Q57" s="85">
        <f>ROUND(SUM(SUMIFS(Input!$G:$G,Input!$D:$D,'2.CC Trans-BB.RE collateral'!Q$7&amp;"*",Input!$C:$C,'2.CC Trans-BB.RE collateral'!$A$9,Input!$M:$M,"PEPC6",Input!$H:$H,{"1-REAL";"SANTANDER"},Input!$K:$K,"NBF3")),0)</f>
        <v>0</v>
      </c>
      <c r="R57" s="85">
        <f>ROUND(SUM(SUMIFS(Input!$G:$G,Input!$D:$D,'2.CC Trans-BB.RE collateral'!R$7&amp;"*",Input!$C:$C,'2.CC Trans-BB.RE collateral'!$A$9,Input!$M:$M,"PEPC6",Input!$H:$H,{"1-REAL";"SANTANDER"},Input!$K:$K,"NBF3")),0)</f>
        <v>9878216</v>
      </c>
      <c r="S57" s="85">
        <f>ROUND(SUM(SUMIFS(Input!$G:$G,Input!$D:$D,'2.CC Trans-BB.RE collateral'!S$7&amp;"*",Input!$C:$C,'2.CC Trans-BB.RE collateral'!$A$9,Input!$M:$M,"PEPC6",Input!$H:$H,{"1-REAL";"SANTANDER"},Input!$K:$K,"NBF3")),0)</f>
        <v>0</v>
      </c>
      <c r="T57" s="70"/>
      <c r="U57" s="69"/>
      <c r="V57" s="47"/>
    </row>
    <row r="58" spans="2:22" s="42" customFormat="1" ht="15" x14ac:dyDescent="0.25">
      <c r="B58" s="45">
        <v>42</v>
      </c>
      <c r="C58" s="64"/>
      <c r="D58" s="64"/>
      <c r="E58" s="64"/>
      <c r="F58" s="77"/>
      <c r="G58" s="64"/>
      <c r="H58" s="64"/>
      <c r="I58" s="64"/>
      <c r="J58" s="68"/>
      <c r="K58" s="68"/>
      <c r="L58" s="76" t="s">
        <v>25</v>
      </c>
      <c r="M58" s="85">
        <f>ROUND(SUM(SUMIFS(Input!$G:$G,Input!$D:$D,'2.CC Trans-BB.RE collateral'!M$7&amp;"*",Input!$C:$C,'2.CC Trans-BB.RE collateral'!$A$9,Input!$M:$M,"PEPC7",Input!$H:$H,{"1-REAL";"SANTANDER"},Input!$K:$K,"NBF3")),0)</f>
        <v>0</v>
      </c>
      <c r="N58" s="85">
        <f>ROUND(SUM(SUMIFS(Input!$G:$G,Input!$D:$D,'2.CC Trans-BB.RE collateral'!N$7&amp;"*",Input!$C:$C,'2.CC Trans-BB.RE collateral'!$A$9,Input!$M:$M,"PEPC7",Input!$H:$H,{"1-REAL";"SANTANDER"},Input!$K:$K,"NBF3")),0)</f>
        <v>0</v>
      </c>
      <c r="O58" s="85">
        <f>ROUND(SUM(SUMIFS(Input!$G:$G,Input!$D:$D,'2.CC Trans-BB.RE collateral'!O$7&amp;"*",Input!$C:$C,'2.CC Trans-BB.RE collateral'!$A$9,Input!$M:$M,"PEPC7",Input!$H:$H,{"1-REAL";"SANTANDER"},Input!$K:$K,"NBF3")),0)</f>
        <v>0</v>
      </c>
      <c r="P58" s="85">
        <f>ROUND(SUM(SUMIFS(Input!$G:$G,Input!$D:$D,'2.CC Trans-BB.RE collateral'!P$7&amp;"*",Input!$C:$C,'2.CC Trans-BB.RE collateral'!$A$9,Input!$M:$M,"PEPC7",Input!$H:$H,{"1-REAL";"SANTANDER"},Input!$K:$K,"NBF3")),0)</f>
        <v>0</v>
      </c>
      <c r="Q58" s="85">
        <f>ROUND(SUM(SUMIFS(Input!$G:$G,Input!$D:$D,'2.CC Trans-BB.RE collateral'!Q$7&amp;"*",Input!$C:$C,'2.CC Trans-BB.RE collateral'!$A$9,Input!$M:$M,"PEPC7",Input!$H:$H,{"1-REAL";"SANTANDER"},Input!$K:$K,"NBF3")),0)</f>
        <v>0</v>
      </c>
      <c r="R58" s="85">
        <f>ROUND(SUM(SUMIFS(Input!$G:$G,Input!$D:$D,'2.CC Trans-BB.RE collateral'!R$7&amp;"*",Input!$C:$C,'2.CC Trans-BB.RE collateral'!$A$9,Input!$M:$M,"PEPC7",Input!$H:$H,{"1-REAL";"SANTANDER"},Input!$K:$K,"NBF3")),0)</f>
        <v>0</v>
      </c>
      <c r="S58" s="85">
        <f>ROUND(SUM(SUMIFS(Input!$G:$G,Input!$D:$D,'2.CC Trans-BB.RE collateral'!S$7&amp;"*",Input!$C:$C,'2.CC Trans-BB.RE collateral'!$A$9,Input!$M:$M,"PEPC7",Input!$H:$H,{"1-REAL";"SANTANDER"},Input!$K:$K,"NBF3")),0)</f>
        <v>40436</v>
      </c>
      <c r="T58" s="70"/>
      <c r="U58" s="69"/>
      <c r="V58" s="47"/>
    </row>
    <row r="59" spans="2:22" ht="15" x14ac:dyDescent="0.25"/>
    <row r="60" spans="2:22" s="42" customFormat="1" ht="12.75" x14ac:dyDescent="0.2">
      <c r="B60" s="71" t="s">
        <v>107</v>
      </c>
      <c r="C60" s="67"/>
      <c r="D60" s="68"/>
      <c r="E60" s="68"/>
      <c r="F60" s="68"/>
      <c r="G60" s="68"/>
      <c r="H60" s="68"/>
      <c r="I60" s="68"/>
      <c r="J60" s="68"/>
      <c r="K60" s="68"/>
      <c r="L60" s="69"/>
      <c r="M60" s="72"/>
      <c r="N60" s="72"/>
      <c r="O60" s="72"/>
      <c r="P60" s="72"/>
      <c r="Q60" s="72"/>
      <c r="R60" s="72"/>
      <c r="S60" s="72"/>
      <c r="T60" s="70"/>
      <c r="U60" s="69"/>
      <c r="V60" s="47"/>
    </row>
    <row r="61" spans="2:22" s="42" customFormat="1" ht="12.75" x14ac:dyDescent="0.2">
      <c r="B61" s="73"/>
      <c r="C61" s="67"/>
      <c r="D61" s="68"/>
      <c r="E61" s="96" t="s">
        <v>105</v>
      </c>
      <c r="F61" s="96"/>
      <c r="G61" s="96"/>
      <c r="H61" s="96"/>
      <c r="I61" s="96"/>
      <c r="J61" s="96"/>
      <c r="K61" s="68"/>
      <c r="L61" s="68"/>
      <c r="M61" s="96" t="s">
        <v>105</v>
      </c>
      <c r="N61" s="96"/>
      <c r="O61" s="96"/>
      <c r="P61" s="96"/>
      <c r="Q61" s="96"/>
      <c r="R61" s="96"/>
      <c r="S61" s="96"/>
      <c r="T61" s="70"/>
      <c r="U61" s="69"/>
      <c r="V61" s="47"/>
    </row>
    <row r="62" spans="2:22" s="42" customFormat="1" ht="14.25" customHeight="1" x14ac:dyDescent="0.2">
      <c r="C62" s="67"/>
      <c r="D62" s="68"/>
      <c r="E62" s="74" t="s">
        <v>13</v>
      </c>
      <c r="F62" s="74" t="s">
        <v>14</v>
      </c>
      <c r="G62" s="74" t="s">
        <v>15</v>
      </c>
      <c r="H62" s="74" t="s">
        <v>16</v>
      </c>
      <c r="I62" s="74" t="s">
        <v>17</v>
      </c>
      <c r="J62" s="74" t="s">
        <v>18</v>
      </c>
      <c r="K62" s="68"/>
      <c r="M62" s="74" t="s">
        <v>19</v>
      </c>
      <c r="N62" s="74" t="s">
        <v>20</v>
      </c>
      <c r="O62" s="74" t="s">
        <v>21</v>
      </c>
      <c r="P62" s="74" t="s">
        <v>22</v>
      </c>
      <c r="Q62" s="74" t="s">
        <v>23</v>
      </c>
      <c r="R62" s="74" t="s">
        <v>24</v>
      </c>
      <c r="S62" s="74" t="s">
        <v>25</v>
      </c>
      <c r="T62" s="70"/>
      <c r="U62" s="69"/>
      <c r="V62" s="47"/>
    </row>
    <row r="63" spans="2:22" s="42" customFormat="1" ht="14.25" customHeight="1" x14ac:dyDescent="0.2">
      <c r="B63" s="45">
        <v>43</v>
      </c>
      <c r="C63" s="67"/>
      <c r="D63" s="68" t="s">
        <v>106</v>
      </c>
      <c r="E63" s="85">
        <f>ROUND(SUM(SUMIFS(Input!$G:$G,Input!$E:$E,'2.CC Trans-BB.RE collateral'!E$3,Input!$C:$C,'2.CC Trans-BB.RE collateral'!$A$10,Input!$K:$K,{"NBF1";"NBF2"})),0)</f>
        <v>2029103723</v>
      </c>
      <c r="F63" s="85">
        <f>ROUND(SUM(SUMIFS(Input!$G:$G,Input!$E:$E,'2.CC Trans-BB.RE collateral'!F$3,Input!$C:$C,'2.CC Trans-BB.RE collateral'!$A$10,Input!$K:$K,{"NBF1";"NBF2"})),0)</f>
        <v>1472757494</v>
      </c>
      <c r="G63" s="85">
        <f>ROUND(SUM(SUMIFS(Input!$G:$G,Input!$E:$E,'2.CC Trans-BB.RE collateral'!G$3,Input!$C:$C,'2.CC Trans-BB.RE collateral'!$A$10,Input!$K:$K,{"NBF1";"NBF2"})),0)</f>
        <v>798260925</v>
      </c>
      <c r="H63" s="85">
        <f>ROUND(SUM(SUMIFS(Input!$G:$G,Input!$E:$E,'2.CC Trans-BB.RE collateral'!H$3,Input!$C:$C,'2.CC Trans-BB.RE collateral'!$A$10,Input!$K:$K,{"NBF1";"NBF2"})),0)</f>
        <v>359813961</v>
      </c>
      <c r="I63" s="85">
        <f>ROUND(SUM(SUMIFS(Input!$G:$G,Input!$E:$E,'2.CC Trans-BB.RE collateral'!I$3,Input!$C:$C,'2.CC Trans-BB.RE collateral'!$A$10,Input!$K:$K,{"NBF1";"NBF2"})),0)</f>
        <v>157139610</v>
      </c>
      <c r="J63" s="85">
        <f>ROUND(SUM(SUMIFS(Input!$G:$G,Input!$E:$E,'2.CC Trans-BB.RE collateral'!J$3,Input!$C:$C,'2.CC Trans-BB.RE collateral'!$A$10,Input!$K:$K,{"NBF1";"NBF2"})),0)</f>
        <v>146144641</v>
      </c>
      <c r="K63" s="68"/>
      <c r="L63" s="68" t="s">
        <v>106</v>
      </c>
      <c r="M63" s="85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692334160</v>
      </c>
      <c r="N63" s="85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406553980</v>
      </c>
      <c r="O63" s="85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991052548</v>
      </c>
      <c r="P63" s="85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1008913983</v>
      </c>
      <c r="Q63" s="85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580463540</v>
      </c>
      <c r="R63" s="85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253853337</v>
      </c>
      <c r="S63" s="85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70"/>
      <c r="U63" s="69"/>
      <c r="V63" s="47"/>
    </row>
    <row r="64" spans="2:22" s="42" customFormat="1" ht="3" customHeight="1" x14ac:dyDescent="0.2">
      <c r="B64" s="75"/>
      <c r="C64" s="67"/>
      <c r="D64" s="68"/>
      <c r="E64" s="87"/>
      <c r="F64" s="87"/>
      <c r="G64" s="87"/>
      <c r="H64" s="87"/>
      <c r="I64" s="87"/>
      <c r="J64" s="87"/>
      <c r="K64" s="68"/>
      <c r="L64" s="68"/>
      <c r="M64" s="87"/>
      <c r="N64" s="87"/>
      <c r="O64" s="87"/>
      <c r="P64" s="87"/>
      <c r="Q64" s="87"/>
      <c r="R64" s="87"/>
      <c r="S64" s="87"/>
      <c r="T64" s="70"/>
      <c r="U64" s="69"/>
      <c r="V64" s="47"/>
    </row>
    <row r="65" spans="2:22" s="42" customFormat="1" ht="12.75" x14ac:dyDescent="0.2">
      <c r="B65" s="45">
        <v>44</v>
      </c>
      <c r="C65" s="67"/>
      <c r="D65" s="76" t="s">
        <v>13</v>
      </c>
      <c r="E65" s="85">
        <f>ROUND(SUM(SUMIFS(Input!$G:$G,Input!$E:$E,'2.CC Trans-BB.RE collateral'!E$3,Input!$C:$C,'2.CC Trans-BB.RE collateral'!$A$10,Input!$L:$L,"PEPS1",Input!$K:$K,"NBF3")),0)</f>
        <v>11299557555</v>
      </c>
      <c r="F65" s="85">
        <f>ROUND(SUM(SUMIFS(Input!$G:$G,Input!$E:$E,'2.CC Trans-BB.RE collateral'!F$3,Input!$C:$C,'2.CC Trans-BB.RE collateral'!$A$10,Input!$L:$L,"PEPS1",Input!$K:$K,"NBF3")),0)</f>
        <v>7465648313</v>
      </c>
      <c r="G65" s="85">
        <f>ROUND(SUM(SUMIFS(Input!$G:$G,Input!$E:$E,'2.CC Trans-BB.RE collateral'!G$3,Input!$C:$C,'2.CC Trans-BB.RE collateral'!$A$10,Input!$L:$L,"PEPS1",Input!$K:$K,"NBF3")),0)</f>
        <v>2044392667</v>
      </c>
      <c r="H65" s="85">
        <f>ROUND(SUM(SUMIFS(Input!$G:$G,Input!$E:$E,'2.CC Trans-BB.RE collateral'!H$3,Input!$C:$C,'2.CC Trans-BB.RE collateral'!$A$10,Input!$L:$L,"PEPS1",Input!$K:$K,"NBF3")),0)</f>
        <v>303929540</v>
      </c>
      <c r="I65" s="85">
        <f>ROUND(SUM(SUMIFS(Input!$G:$G,Input!$E:$E,'2.CC Trans-BB.RE collateral'!I$3,Input!$C:$C,'2.CC Trans-BB.RE collateral'!$A$10,Input!$L:$L,"PEPS1",Input!$K:$K,"NBF3")),0)</f>
        <v>71690221</v>
      </c>
      <c r="J65" s="85">
        <f>ROUND(SUM(SUMIFS(Input!$G:$G,Input!$E:$E,'2.CC Trans-BB.RE collateral'!J$3,Input!$C:$C,'2.CC Trans-BB.RE collateral'!$A$10,Input!$L:$L,"PEPS1",Input!$K:$K,"NBF3")),0)</f>
        <v>82057720</v>
      </c>
      <c r="K65" s="68"/>
      <c r="L65" s="76" t="s">
        <v>19</v>
      </c>
      <c r="M65" s="85">
        <f>ROUND(SUM(SUMIFS(Input!$G:$G,Input!$D:$D,'2.CC Trans-BB.RE collateral'!M$7&amp;"*",Input!$C:$C,'2.CC Trans-BB.RE collateral'!$A$10,Input!$M:$M,"PEPC1",Input!$H:$H,{"1-REAL";"SANTANDER"},Input!$K:$K,"NBF3")),0)</f>
        <v>1555456520</v>
      </c>
      <c r="N65" s="85">
        <f>ROUND(SUM(SUMIFS(Input!$G:$G,Input!$D:$D,'2.CC Trans-BB.RE collateral'!N$7&amp;"*",Input!$C:$C,'2.CC Trans-BB.RE collateral'!$A$10,Input!$M:$M,"PEPC1",Input!$H:$H,{"1-REAL";"SANTANDER"},Input!$K:$K,"NBF3")),0)</f>
        <v>2117751</v>
      </c>
      <c r="O65" s="85">
        <f>ROUND(SUM(SUMIFS(Input!$G:$G,Input!$D:$D,'2.CC Trans-BB.RE collateral'!O$7&amp;"*",Input!$C:$C,'2.CC Trans-BB.RE collateral'!$A$10,Input!$M:$M,"PEPC1",Input!$H:$H,{"1-REAL";"SANTANDER"},Input!$K:$K,"NBF3")),0)</f>
        <v>1809702</v>
      </c>
      <c r="P65" s="85">
        <f>ROUND(SUM(SUMIFS(Input!$G:$G,Input!$D:$D,'2.CC Trans-BB.RE collateral'!P$7&amp;"*",Input!$C:$C,'2.CC Trans-BB.RE collateral'!$A$10,Input!$M:$M,"PEPC1",Input!$H:$H,{"1-REAL";"SANTANDER"},Input!$K:$K,"NBF3")),0)</f>
        <v>805555</v>
      </c>
      <c r="Q65" s="85">
        <f>ROUND(SUM(SUMIFS(Input!$G:$G,Input!$D:$D,'2.CC Trans-BB.RE collateral'!Q$7&amp;"*",Input!$C:$C,'2.CC Trans-BB.RE collateral'!$A$10,Input!$M:$M,"PEPC1",Input!$H:$H,{"1-REAL";"SANTANDER"},Input!$K:$K,"NBF3")),0)</f>
        <v>417047</v>
      </c>
      <c r="R65" s="85">
        <f>ROUND(SUM(SUMIFS(Input!$G:$G,Input!$D:$D,'2.CC Trans-BB.RE collateral'!R$7&amp;"*",Input!$C:$C,'2.CC Trans-BB.RE collateral'!$A$10,Input!$M:$M,"PEPC1",Input!$H:$H,{"1-REAL";"SANTANDER"},Input!$K:$K,"NBF3")),0)</f>
        <v>253638</v>
      </c>
      <c r="S65" s="85">
        <f>ROUND(SUM(SUMIFS(Input!$G:$G,Input!$D:$D,'2.CC Trans-BB.RE collateral'!S$7&amp;"*",Input!$C:$C,'2.CC Trans-BB.RE collateral'!$A$10,Input!$M:$M,"PEPC1",Input!$H:$H,{"1-REAL";"SANTANDER"},Input!$K:$K,"NBF3")),0)</f>
        <v>0</v>
      </c>
      <c r="T65" s="70"/>
      <c r="U65" s="69"/>
      <c r="V65" s="47"/>
    </row>
    <row r="66" spans="2:22" s="42" customFormat="1" ht="12.75" x14ac:dyDescent="0.2">
      <c r="B66" s="45">
        <v>45</v>
      </c>
      <c r="C66" s="67"/>
      <c r="D66" s="76" t="s">
        <v>14</v>
      </c>
      <c r="E66" s="85">
        <f>ROUND(SUM(SUMIFS(Input!$G:$G,Input!$E:$E,'2.CC Trans-BB.RE collateral'!E$3,Input!$C:$C,'2.CC Trans-BB.RE collateral'!$A$10,Input!$L:$L,"PEPS2",Input!$K:$K,"NBF3")),0)</f>
        <v>0</v>
      </c>
      <c r="F66" s="85">
        <f>ROUND(SUM(SUMIFS(Input!$G:$G,Input!$E:$E,'2.CC Trans-BB.RE collateral'!F$3,Input!$C:$C,'2.CC Trans-BB.RE collateral'!$A$10,Input!$L:$L,"PEPS2",Input!$K:$K,"NBF3")),0)</f>
        <v>0</v>
      </c>
      <c r="G66" s="85">
        <f>ROUND(SUM(SUMIFS(Input!$G:$G,Input!$E:$E,'2.CC Trans-BB.RE collateral'!G$3,Input!$C:$C,'2.CC Trans-BB.RE collateral'!$A$10,Input!$L:$L,"PEPS2",Input!$K:$K,"NBF3")),0)</f>
        <v>0</v>
      </c>
      <c r="H66" s="85">
        <f>ROUND(SUM(SUMIFS(Input!$G:$G,Input!$E:$E,'2.CC Trans-BB.RE collateral'!H$3,Input!$C:$C,'2.CC Trans-BB.RE collateral'!$A$10,Input!$L:$L,"PEPS2",Input!$K:$K,"NBF3")),0)</f>
        <v>0</v>
      </c>
      <c r="I66" s="85">
        <f>ROUND(SUM(SUMIFS(Input!$G:$G,Input!$E:$E,'2.CC Trans-BB.RE collateral'!I$3,Input!$C:$C,'2.CC Trans-BB.RE collateral'!$A$10,Input!$L:$L,"PEPS2",Input!$K:$K,"NBF3")),0)</f>
        <v>0</v>
      </c>
      <c r="J66" s="85">
        <f>ROUND(SUM(SUMIFS(Input!$G:$G,Input!$E:$E,'2.CC Trans-BB.RE collateral'!J$3,Input!$C:$C,'2.CC Trans-BB.RE collateral'!$A$10,Input!$L:$L,"PEPS2",Input!$K:$K,"NBF3")),0)</f>
        <v>0</v>
      </c>
      <c r="K66" s="68"/>
      <c r="L66" s="76" t="s">
        <v>20</v>
      </c>
      <c r="M66" s="85">
        <f>ROUND(SUM(SUMIFS(Input!$G:$G,Input!$D:$D,'2.CC Trans-BB.RE collateral'!M$7&amp;"*",Input!$C:$C,'2.CC Trans-BB.RE collateral'!$A$10,Input!$M:$M,"PEPC2",Input!$H:$H,{"1-REAL";"SANTANDER"},Input!$K:$K,"NBF3")),0)</f>
        <v>2645312</v>
      </c>
      <c r="N66" s="85">
        <f>ROUND(SUM(SUMIFS(Input!$G:$G,Input!$D:$D,'2.CC Trans-BB.RE collateral'!N$7&amp;"*",Input!$C:$C,'2.CC Trans-BB.RE collateral'!$A$10,Input!$M:$M,"PEPC2",Input!$H:$H,{"1-REAL";"SANTANDER"},Input!$K:$K,"NBF3")),0)</f>
        <v>1481643107</v>
      </c>
      <c r="O66" s="85">
        <f>ROUND(SUM(SUMIFS(Input!$G:$G,Input!$D:$D,'2.CC Trans-BB.RE collateral'!O$7&amp;"*",Input!$C:$C,'2.CC Trans-BB.RE collateral'!$A$10,Input!$M:$M,"PEPC2",Input!$H:$H,{"1-REAL";"SANTANDER"},Input!$K:$K,"NBF3")),0)</f>
        <v>2328176</v>
      </c>
      <c r="P66" s="85">
        <f>ROUND(SUM(SUMIFS(Input!$G:$G,Input!$D:$D,'2.CC Trans-BB.RE collateral'!P$7&amp;"*",Input!$C:$C,'2.CC Trans-BB.RE collateral'!$A$10,Input!$M:$M,"PEPC2",Input!$H:$H,{"1-REAL";"SANTANDER"},Input!$K:$K,"NBF3")),0)</f>
        <v>726682</v>
      </c>
      <c r="Q66" s="85">
        <f>ROUND(SUM(SUMIFS(Input!$G:$G,Input!$D:$D,'2.CC Trans-BB.RE collateral'!Q$7&amp;"*",Input!$C:$C,'2.CC Trans-BB.RE collateral'!$A$10,Input!$M:$M,"PEPC2",Input!$H:$H,{"1-REAL";"SANTANDER"},Input!$K:$K,"NBF3")),0)</f>
        <v>364638</v>
      </c>
      <c r="R66" s="85">
        <f>ROUND(SUM(SUMIFS(Input!$G:$G,Input!$D:$D,'2.CC Trans-BB.RE collateral'!R$7&amp;"*",Input!$C:$C,'2.CC Trans-BB.RE collateral'!$A$10,Input!$M:$M,"PEPC2",Input!$H:$H,{"1-REAL";"SANTANDER"},Input!$K:$K,"NBF3")),0)</f>
        <v>457811</v>
      </c>
      <c r="S66" s="85">
        <f>ROUND(SUM(SUMIFS(Input!$G:$G,Input!$D:$D,'2.CC Trans-BB.RE collateral'!S$7&amp;"*",Input!$C:$C,'2.CC Trans-BB.RE collateral'!$A$10,Input!$M:$M,"PEPC2",Input!$H:$H,{"1-REAL";"SANTANDER"},Input!$K:$K,"NBF3")),0)</f>
        <v>0</v>
      </c>
      <c r="T66" s="70"/>
      <c r="U66" s="69"/>
      <c r="V66" s="47"/>
    </row>
    <row r="67" spans="2:22" s="42" customFormat="1" ht="12.75" x14ac:dyDescent="0.2">
      <c r="B67" s="45">
        <v>46</v>
      </c>
      <c r="C67" s="67"/>
      <c r="D67" s="76" t="s">
        <v>15</v>
      </c>
      <c r="E67" s="85">
        <f>ROUND(SUM(SUMIFS(Input!$G:$G,Input!$E:$E,'2.CC Trans-BB.RE collateral'!E$3,Input!$C:$C,'2.CC Trans-BB.RE collateral'!$A$10,Input!$L:$L,"PEPS3",Input!$K:$K,"NBF3")),0)</f>
        <v>0</v>
      </c>
      <c r="F67" s="85">
        <f>ROUND(SUM(SUMIFS(Input!$G:$G,Input!$E:$E,'2.CC Trans-BB.RE collateral'!F$3,Input!$C:$C,'2.CC Trans-BB.RE collateral'!$A$10,Input!$L:$L,"PEPS3",Input!$K:$K,"NBF3")),0)</f>
        <v>0</v>
      </c>
      <c r="G67" s="85">
        <f>ROUND(SUM(SUMIFS(Input!$G:$G,Input!$E:$E,'2.CC Trans-BB.RE collateral'!G$3,Input!$C:$C,'2.CC Trans-BB.RE collateral'!$A$10,Input!$L:$L,"PEPS3",Input!$K:$K,"NBF3")),0)</f>
        <v>0</v>
      </c>
      <c r="H67" s="85">
        <f>ROUND(SUM(SUMIFS(Input!$G:$G,Input!$E:$E,'2.CC Trans-BB.RE collateral'!H$3,Input!$C:$C,'2.CC Trans-BB.RE collateral'!$A$10,Input!$L:$L,"PEPS3",Input!$K:$K,"NBF3")),0)</f>
        <v>0</v>
      </c>
      <c r="I67" s="85">
        <f>ROUND(SUM(SUMIFS(Input!$G:$G,Input!$E:$E,'2.CC Trans-BB.RE collateral'!I$3,Input!$C:$C,'2.CC Trans-BB.RE collateral'!$A$10,Input!$L:$L,"PEPS3",Input!$K:$K,"NBF3")),0)</f>
        <v>0</v>
      </c>
      <c r="J67" s="85">
        <f>ROUND(SUM(SUMIFS(Input!$G:$G,Input!$E:$E,'2.CC Trans-BB.RE collateral'!J$3,Input!$C:$C,'2.CC Trans-BB.RE collateral'!$A$10,Input!$L:$L,"PEPS3",Input!$K:$K,"NBF3")),0)</f>
        <v>0</v>
      </c>
      <c r="K67" s="68"/>
      <c r="L67" s="76" t="s">
        <v>21</v>
      </c>
      <c r="M67" s="85">
        <f>ROUND(SUM(SUMIFS(Input!$G:$G,Input!$D:$D,'2.CC Trans-BB.RE collateral'!M$7&amp;"*",Input!$C:$C,'2.CC Trans-BB.RE collateral'!$A$10,Input!$M:$M,"PEPC3",Input!$H:$H,{"1-REAL";"SANTANDER"},Input!$K:$K,"NBF3")),0)</f>
        <v>5542360</v>
      </c>
      <c r="N67" s="85">
        <f>ROUND(SUM(SUMIFS(Input!$G:$G,Input!$D:$D,'2.CC Trans-BB.RE collateral'!N$7&amp;"*",Input!$C:$C,'2.CC Trans-BB.RE collateral'!$A$10,Input!$M:$M,"PEPC3",Input!$H:$H,{"1-REAL";"SANTANDER"},Input!$K:$K,"NBF3")),0)</f>
        <v>12019761</v>
      </c>
      <c r="O67" s="85">
        <f>ROUND(SUM(SUMIFS(Input!$G:$G,Input!$D:$D,'2.CC Trans-BB.RE collateral'!O$7&amp;"*",Input!$C:$C,'2.CC Trans-BB.RE collateral'!$A$10,Input!$M:$M,"PEPC3",Input!$H:$H,{"1-REAL";"SANTANDER"},Input!$K:$K,"NBF3")),0)</f>
        <v>2836352397</v>
      </c>
      <c r="P67" s="85">
        <f>ROUND(SUM(SUMIFS(Input!$G:$G,Input!$D:$D,'2.CC Trans-BB.RE collateral'!P$7&amp;"*",Input!$C:$C,'2.CC Trans-BB.RE collateral'!$A$10,Input!$M:$M,"PEPC3",Input!$H:$H,{"1-REAL";"SANTANDER"},Input!$K:$K,"NBF3")),0)</f>
        <v>3715128</v>
      </c>
      <c r="Q67" s="85">
        <f>ROUND(SUM(SUMIFS(Input!$G:$G,Input!$D:$D,'2.CC Trans-BB.RE collateral'!Q$7&amp;"*",Input!$C:$C,'2.CC Trans-BB.RE collateral'!$A$10,Input!$M:$M,"PEPC3",Input!$H:$H,{"1-REAL";"SANTANDER"},Input!$K:$K,"NBF3")),0)</f>
        <v>1846043</v>
      </c>
      <c r="R67" s="85">
        <f>ROUND(SUM(SUMIFS(Input!$G:$G,Input!$D:$D,'2.CC Trans-BB.RE collateral'!R$7&amp;"*",Input!$C:$C,'2.CC Trans-BB.RE collateral'!$A$10,Input!$M:$M,"PEPC3",Input!$H:$H,{"1-REAL";"SANTANDER"},Input!$K:$K,"NBF3")),0)</f>
        <v>284206</v>
      </c>
      <c r="S67" s="85">
        <f>ROUND(SUM(SUMIFS(Input!$G:$G,Input!$D:$D,'2.CC Trans-BB.RE collateral'!S$7&amp;"*",Input!$C:$C,'2.CC Trans-BB.RE collateral'!$A$10,Input!$M:$M,"PEPC3",Input!$H:$H,{"1-REAL";"SANTANDER"},Input!$K:$K,"NBF3")),0)</f>
        <v>0</v>
      </c>
      <c r="T67" s="70"/>
      <c r="U67" s="69"/>
      <c r="V67" s="47"/>
    </row>
    <row r="68" spans="2:22" s="42" customFormat="1" ht="12.75" x14ac:dyDescent="0.2">
      <c r="B68" s="45">
        <v>47</v>
      </c>
      <c r="C68" s="67"/>
      <c r="D68" s="76" t="s">
        <v>16</v>
      </c>
      <c r="E68" s="85">
        <f>ROUND(SUM(SUMIFS(Input!$G:$G,Input!$E:$E,'2.CC Trans-BB.RE collateral'!E$3,Input!$C:$C,'2.CC Trans-BB.RE collateral'!$A$10,Input!$L:$L,"PEPS4",Input!$K:$K,"NBF3")),0)</f>
        <v>0</v>
      </c>
      <c r="F68" s="85">
        <f>ROUND(SUM(SUMIFS(Input!$G:$G,Input!$E:$E,'2.CC Trans-BB.RE collateral'!F$3,Input!$C:$C,'2.CC Trans-BB.RE collateral'!$A$10,Input!$L:$L,"PEPS4",Input!$K:$K,"NBF3")),0)</f>
        <v>0</v>
      </c>
      <c r="G68" s="85">
        <f>ROUND(SUM(SUMIFS(Input!$G:$G,Input!$E:$E,'2.CC Trans-BB.RE collateral'!G$3,Input!$C:$C,'2.CC Trans-BB.RE collateral'!$A$10,Input!$L:$L,"PEPS4",Input!$K:$K,"NBF3")),0)</f>
        <v>0</v>
      </c>
      <c r="H68" s="85">
        <f>ROUND(SUM(SUMIFS(Input!$G:$G,Input!$E:$E,'2.CC Trans-BB.RE collateral'!H$3,Input!$C:$C,'2.CC Trans-BB.RE collateral'!$A$10,Input!$L:$L,"PEPS4",Input!$K:$K,"NBF3")),0)</f>
        <v>0</v>
      </c>
      <c r="I68" s="85">
        <f>ROUND(SUM(SUMIFS(Input!$G:$G,Input!$E:$E,'2.CC Trans-BB.RE collateral'!I$3,Input!$C:$C,'2.CC Trans-BB.RE collateral'!$A$10,Input!$L:$L,"PEPS4",Input!$K:$K,"NBF3")),0)</f>
        <v>0</v>
      </c>
      <c r="J68" s="85">
        <f>ROUND(SUM(SUMIFS(Input!$G:$G,Input!$E:$E,'2.CC Trans-BB.RE collateral'!J$3,Input!$C:$C,'2.CC Trans-BB.RE collateral'!$A$10,Input!$L:$L,"PEPS4",Input!$K:$K,"NBF3")),0)</f>
        <v>0</v>
      </c>
      <c r="K68" s="68"/>
      <c r="L68" s="76" t="s">
        <v>22</v>
      </c>
      <c r="M68" s="85">
        <f>ROUND(SUM(SUMIFS(Input!$G:$G,Input!$D:$D,'2.CC Trans-BB.RE collateral'!M$7&amp;"*",Input!$C:$C,'2.CC Trans-BB.RE collateral'!$A$10,Input!$M:$M,"PEPC4",Input!$H:$H,{"1-REAL";"SANTANDER"},Input!$K:$K,"NBF3")),0)</f>
        <v>10910084</v>
      </c>
      <c r="N68" s="85">
        <f>ROUND(SUM(SUMIFS(Input!$G:$G,Input!$D:$D,'2.CC Trans-BB.RE collateral'!N$7&amp;"*",Input!$C:$C,'2.CC Trans-BB.RE collateral'!$A$10,Input!$M:$M,"PEPC4",Input!$H:$H,{"1-REAL";"SANTANDER"},Input!$K:$K,"NBF3")),0)</f>
        <v>7424653</v>
      </c>
      <c r="O68" s="85">
        <f>ROUND(SUM(SUMIFS(Input!$G:$G,Input!$D:$D,'2.CC Trans-BB.RE collateral'!O$7&amp;"*",Input!$C:$C,'2.CC Trans-BB.RE collateral'!$A$10,Input!$M:$M,"PEPC4",Input!$H:$H,{"1-REAL";"SANTANDER"},Input!$K:$K,"NBF3")),0)</f>
        <v>7461992</v>
      </c>
      <c r="P68" s="85">
        <f>ROUND(SUM(SUMIFS(Input!$G:$G,Input!$D:$D,'2.CC Trans-BB.RE collateral'!P$7&amp;"*",Input!$C:$C,'2.CC Trans-BB.RE collateral'!$A$10,Input!$M:$M,"PEPC4",Input!$H:$H,{"1-REAL";"SANTANDER"},Input!$K:$K,"NBF3")),0)</f>
        <v>2862770535</v>
      </c>
      <c r="Q68" s="85">
        <f>ROUND(SUM(SUMIFS(Input!$G:$G,Input!$D:$D,'2.CC Trans-BB.RE collateral'!Q$7&amp;"*",Input!$C:$C,'2.CC Trans-BB.RE collateral'!$A$10,Input!$M:$M,"PEPC4",Input!$H:$H,{"1-REAL";"SANTANDER"},Input!$K:$K,"NBF3")),0)</f>
        <v>2630195</v>
      </c>
      <c r="R68" s="85">
        <f>ROUND(SUM(SUMIFS(Input!$G:$G,Input!$D:$D,'2.CC Trans-BB.RE collateral'!R$7&amp;"*",Input!$C:$C,'2.CC Trans-BB.RE collateral'!$A$10,Input!$M:$M,"PEPC4",Input!$H:$H,{"1-REAL";"SANTANDER"},Input!$K:$K,"NBF3")),0)</f>
        <v>964189</v>
      </c>
      <c r="S68" s="85">
        <f>ROUND(SUM(SUMIFS(Input!$G:$G,Input!$D:$D,'2.CC Trans-BB.RE collateral'!S$7&amp;"*",Input!$C:$C,'2.CC Trans-BB.RE collateral'!$A$10,Input!$M:$M,"PEPC4",Input!$H:$H,{"1-REAL";"SANTANDER"},Input!$K:$K,"NBF3")),0)</f>
        <v>0</v>
      </c>
      <c r="T68" s="70"/>
      <c r="U68" s="69"/>
      <c r="V68" s="47"/>
    </row>
    <row r="69" spans="2:22" s="42" customFormat="1" ht="12.75" x14ac:dyDescent="0.2">
      <c r="B69" s="45">
        <v>48</v>
      </c>
      <c r="C69" s="67"/>
      <c r="D69" s="76" t="s">
        <v>17</v>
      </c>
      <c r="E69" s="85">
        <f>ROUND(SUM(SUMIFS(Input!$G:$G,Input!$E:$E,'2.CC Trans-BB.RE collateral'!E$3,Input!$C:$C,'2.CC Trans-BB.RE collateral'!$A$10,Input!$L:$L,"PEPS5",Input!$K:$K,"NBF3")),0)</f>
        <v>0</v>
      </c>
      <c r="F69" s="85">
        <f>ROUND(SUM(SUMIFS(Input!$G:$G,Input!$E:$E,'2.CC Trans-BB.RE collateral'!F$3,Input!$C:$C,'2.CC Trans-BB.RE collateral'!$A$10,Input!$L:$L,"PEPS5",Input!$K:$K,"NBF3")),0)</f>
        <v>0</v>
      </c>
      <c r="G69" s="85">
        <f>ROUND(SUM(SUMIFS(Input!$G:$G,Input!$E:$E,'2.CC Trans-BB.RE collateral'!G$3,Input!$C:$C,'2.CC Trans-BB.RE collateral'!$A$10,Input!$L:$L,"PEPS5",Input!$K:$K,"NBF3")),0)</f>
        <v>0</v>
      </c>
      <c r="H69" s="85">
        <f>ROUND(SUM(SUMIFS(Input!$G:$G,Input!$E:$E,'2.CC Trans-BB.RE collateral'!H$3,Input!$C:$C,'2.CC Trans-BB.RE collateral'!$A$10,Input!$L:$L,"PEPS5",Input!$K:$K,"NBF3")),0)</f>
        <v>0</v>
      </c>
      <c r="I69" s="85">
        <f>ROUND(SUM(SUMIFS(Input!$G:$G,Input!$E:$E,'2.CC Trans-BB.RE collateral'!I$3,Input!$C:$C,'2.CC Trans-BB.RE collateral'!$A$10,Input!$L:$L,"PEPS5",Input!$K:$K,"NBF3")),0)</f>
        <v>0</v>
      </c>
      <c r="J69" s="85">
        <f>ROUND(SUM(SUMIFS(Input!$G:$G,Input!$E:$E,'2.CC Trans-BB.RE collateral'!J$3,Input!$C:$C,'2.CC Trans-BB.RE collateral'!$A$10,Input!$L:$L,"PEPS5",Input!$K:$K,"NBF3")),0)</f>
        <v>0</v>
      </c>
      <c r="K69" s="68"/>
      <c r="L69" s="76" t="s">
        <v>23</v>
      </c>
      <c r="M69" s="85">
        <f>ROUND(SUM(SUMIFS(Input!$G:$G,Input!$D:$D,'2.CC Trans-BB.RE collateral'!M$7&amp;"*",Input!$C:$C,'2.CC Trans-BB.RE collateral'!$A$10,Input!$M:$M,"PEPC5",Input!$H:$H,{"1-REAL";"SANTANDER"},Input!$K:$K,"NBF3")),0)</f>
        <v>4223136</v>
      </c>
      <c r="N69" s="85">
        <f>ROUND(SUM(SUMIFS(Input!$G:$G,Input!$D:$D,'2.CC Trans-BB.RE collateral'!N$7&amp;"*",Input!$C:$C,'2.CC Trans-BB.RE collateral'!$A$10,Input!$M:$M,"PEPC5",Input!$H:$H,{"1-REAL";"SANTANDER"},Input!$K:$K,"NBF3")),0)</f>
        <v>2165280</v>
      </c>
      <c r="O69" s="85">
        <f>ROUND(SUM(SUMIFS(Input!$G:$G,Input!$D:$D,'2.CC Trans-BB.RE collateral'!O$7&amp;"*",Input!$C:$C,'2.CC Trans-BB.RE collateral'!$A$10,Input!$M:$M,"PEPC5",Input!$H:$H,{"1-REAL";"SANTANDER"},Input!$K:$K,"NBF3")),0)</f>
        <v>3705118</v>
      </c>
      <c r="P69" s="85">
        <f>ROUND(SUM(SUMIFS(Input!$G:$G,Input!$D:$D,'2.CC Trans-BB.RE collateral'!P$7&amp;"*",Input!$C:$C,'2.CC Trans-BB.RE collateral'!$A$10,Input!$M:$M,"PEPC5",Input!$H:$H,{"1-REAL";"SANTANDER"},Input!$K:$K,"NBF3")),0)</f>
        <v>1818361</v>
      </c>
      <c r="Q69" s="85">
        <f>ROUND(SUM(SUMIFS(Input!$G:$G,Input!$D:$D,'2.CC Trans-BB.RE collateral'!Q$7&amp;"*",Input!$C:$C,'2.CC Trans-BB.RE collateral'!$A$10,Input!$M:$M,"PEPC5",Input!$H:$H,{"1-REAL";"SANTANDER"},Input!$K:$K,"NBF3")),0)</f>
        <v>1580294869</v>
      </c>
      <c r="R69" s="85">
        <f>ROUND(SUM(SUMIFS(Input!$G:$G,Input!$D:$D,'2.CC Trans-BB.RE collateral'!R$7&amp;"*",Input!$C:$C,'2.CC Trans-BB.RE collateral'!$A$10,Input!$M:$M,"PEPC5",Input!$H:$H,{"1-REAL";"SANTANDER"},Input!$K:$K,"NBF3")),0)</f>
        <v>535283</v>
      </c>
      <c r="S69" s="85">
        <f>ROUND(SUM(SUMIFS(Input!$G:$G,Input!$D:$D,'2.CC Trans-BB.RE collateral'!S$7&amp;"*",Input!$C:$C,'2.CC Trans-BB.RE collateral'!$A$10,Input!$M:$M,"PEPC5",Input!$H:$H,{"1-REAL";"SANTANDER"},Input!$K:$K,"NBF3")),0)</f>
        <v>233449</v>
      </c>
      <c r="T69" s="70"/>
      <c r="U69" s="69"/>
      <c r="V69" s="47"/>
    </row>
    <row r="70" spans="2:22" s="42" customFormat="1" ht="12.75" x14ac:dyDescent="0.2">
      <c r="B70" s="45">
        <v>49</v>
      </c>
      <c r="C70" s="67"/>
      <c r="D70" s="76" t="s">
        <v>18</v>
      </c>
      <c r="E70" s="85">
        <f>ROUND(SUM(SUMIFS(Input!$G:$G,Input!$E:$E,'2.CC Trans-BB.RE collateral'!E$3,Input!$C:$C,'2.CC Trans-BB.RE collateral'!$A$10,Input!$L:$L,"PEPS6",Input!$K:$K,"NBF3")),0)</f>
        <v>0</v>
      </c>
      <c r="F70" s="85">
        <f>ROUND(SUM(SUMIFS(Input!$G:$G,Input!$E:$E,'2.CC Trans-BB.RE collateral'!F$3,Input!$C:$C,'2.CC Trans-BB.RE collateral'!$A$10,Input!$L:$L,"PEPS6",Input!$K:$K,"NBF3")),0)</f>
        <v>0</v>
      </c>
      <c r="G70" s="85">
        <f>ROUND(SUM(SUMIFS(Input!$G:$G,Input!$E:$E,'2.CC Trans-BB.RE collateral'!G$3,Input!$C:$C,'2.CC Trans-BB.RE collateral'!$A$10,Input!$L:$L,"PEPS6",Input!$K:$K,"NBF3")),0)</f>
        <v>0</v>
      </c>
      <c r="H70" s="85">
        <f>ROUND(SUM(SUMIFS(Input!$G:$G,Input!$E:$E,'2.CC Trans-BB.RE collateral'!H$3,Input!$C:$C,'2.CC Trans-BB.RE collateral'!$A$10,Input!$L:$L,"PEPS6",Input!$K:$K,"NBF3")),0)</f>
        <v>0</v>
      </c>
      <c r="I70" s="85">
        <f>ROUND(SUM(SUMIFS(Input!$G:$G,Input!$E:$E,'2.CC Trans-BB.RE collateral'!I$3,Input!$C:$C,'2.CC Trans-BB.RE collateral'!$A$10,Input!$L:$L,"PEPS6",Input!$K:$K,"NBF3")),0)</f>
        <v>0</v>
      </c>
      <c r="J70" s="85">
        <f>ROUND(SUM(SUMIFS(Input!$G:$G,Input!$E:$E,'2.CC Trans-BB.RE collateral'!J$3,Input!$C:$C,'2.CC Trans-BB.RE collateral'!$A$10,Input!$L:$L,"PEPS6",Input!$K:$K,"NBF3")),0)</f>
        <v>0</v>
      </c>
      <c r="K70" s="68"/>
      <c r="L70" s="76" t="s">
        <v>24</v>
      </c>
      <c r="M70" s="85">
        <f>ROUND(SUM(SUMIFS(Input!$G:$G,Input!$D:$D,'2.CC Trans-BB.RE collateral'!M$7&amp;"*",Input!$C:$C,'2.CC Trans-BB.RE collateral'!$A$10,Input!$M:$M,"PEPC6",Input!$H:$H,{"1-REAL";"SANTANDER"},Input!$K:$K,"NBF3")),0)</f>
        <v>3943093</v>
      </c>
      <c r="N70" s="85">
        <f>ROUND(SUM(SUMIFS(Input!$G:$G,Input!$D:$D,'2.CC Trans-BB.RE collateral'!N$7&amp;"*",Input!$C:$C,'2.CC Trans-BB.RE collateral'!$A$10,Input!$M:$M,"PEPC6",Input!$H:$H,{"1-REAL";"SANTANDER"},Input!$K:$K,"NBF3")),0)</f>
        <v>729791</v>
      </c>
      <c r="O70" s="85">
        <f>ROUND(SUM(SUMIFS(Input!$G:$G,Input!$D:$D,'2.CC Trans-BB.RE collateral'!O$7&amp;"*",Input!$C:$C,'2.CC Trans-BB.RE collateral'!$A$10,Input!$M:$M,"PEPC6",Input!$H:$H,{"1-REAL";"SANTANDER"},Input!$K:$K,"NBF3")),0)</f>
        <v>1540362</v>
      </c>
      <c r="P70" s="85">
        <f>ROUND(SUM(SUMIFS(Input!$G:$G,Input!$D:$D,'2.CC Trans-BB.RE collateral'!P$7&amp;"*",Input!$C:$C,'2.CC Trans-BB.RE collateral'!$A$10,Input!$M:$M,"PEPC6",Input!$H:$H,{"1-REAL";"SANTANDER"},Input!$K:$K,"NBF3")),0)</f>
        <v>889469</v>
      </c>
      <c r="Q70" s="85">
        <f>ROUND(SUM(SUMIFS(Input!$G:$G,Input!$D:$D,'2.CC Trans-BB.RE collateral'!Q$7&amp;"*",Input!$C:$C,'2.CC Trans-BB.RE collateral'!$A$10,Input!$M:$M,"PEPC6",Input!$H:$H,{"1-REAL";"SANTANDER"},Input!$K:$K,"NBF3")),0)</f>
        <v>785935</v>
      </c>
      <c r="R70" s="85">
        <f>ROUND(SUM(SUMIFS(Input!$G:$G,Input!$D:$D,'2.CC Trans-BB.RE collateral'!R$7&amp;"*",Input!$C:$C,'2.CC Trans-BB.RE collateral'!$A$10,Input!$M:$M,"PEPC6",Input!$H:$H,{"1-REAL";"SANTANDER"},Input!$K:$K,"NBF3")),0)</f>
        <v>713339131</v>
      </c>
      <c r="S70" s="85">
        <f>ROUND(SUM(SUMIFS(Input!$G:$G,Input!$D:$D,'2.CC Trans-BB.RE collateral'!S$7&amp;"*",Input!$C:$C,'2.CC Trans-BB.RE collateral'!$A$10,Input!$M:$M,"PEPC6",Input!$H:$H,{"1-REAL";"SANTANDER"},Input!$K:$K,"NBF3")),0)</f>
        <v>55483</v>
      </c>
      <c r="T70" s="70"/>
      <c r="U70" s="69"/>
      <c r="V70" s="47"/>
    </row>
    <row r="71" spans="2:22" s="42" customFormat="1" ht="15" x14ac:dyDescent="0.25">
      <c r="B71" s="45">
        <v>50</v>
      </c>
      <c r="C71" s="64"/>
      <c r="D71" s="64"/>
      <c r="E71" s="64"/>
      <c r="F71" s="64"/>
      <c r="G71" s="64"/>
      <c r="H71" s="64"/>
      <c r="I71" s="64"/>
      <c r="J71" s="68"/>
      <c r="K71" s="68"/>
      <c r="L71" s="76" t="s">
        <v>25</v>
      </c>
      <c r="M71" s="85">
        <f>ROUND(SUM(SUMIFS(Input!$G:$G,Input!$D:$D,'2.CC Trans-BB.RE collateral'!M$7&amp;"*",Input!$C:$C,'2.CC Trans-BB.RE collateral'!$A$10,Input!$M:$M,"PEPC7",Input!$H:$H,{"1-REAL";"SANTANDER"},Input!$K:$K,"NBF3")),0)</f>
        <v>0</v>
      </c>
      <c r="N71" s="85">
        <f>ROUND(SUM(SUMIFS(Input!$G:$G,Input!$D:$D,'2.CC Trans-BB.RE collateral'!N$7&amp;"*",Input!$C:$C,'2.CC Trans-BB.RE collateral'!$A$10,Input!$M:$M,"PEPC7",Input!$H:$H,{"1-REAL";"SANTANDER"},Input!$K:$K,"NBF3")),0)</f>
        <v>0</v>
      </c>
      <c r="O71" s="85">
        <f>ROUND(SUM(SUMIFS(Input!$G:$G,Input!$D:$D,'2.CC Trans-BB.RE collateral'!O$7&amp;"*",Input!$C:$C,'2.CC Trans-BB.RE collateral'!$A$10,Input!$M:$M,"PEPC7",Input!$H:$H,{"1-REAL";"SANTANDER"},Input!$K:$K,"NBF3")),0)</f>
        <v>45548</v>
      </c>
      <c r="P71" s="85">
        <f>ROUND(SUM(SUMIFS(Input!$G:$G,Input!$D:$D,'2.CC Trans-BB.RE collateral'!P$7&amp;"*",Input!$C:$C,'2.CC Trans-BB.RE collateral'!$A$10,Input!$M:$M,"PEPC7",Input!$H:$H,{"1-REAL";"SANTANDER"},Input!$K:$K,"NBF3")),0)</f>
        <v>0</v>
      </c>
      <c r="Q71" s="85">
        <f>ROUND(SUM(SUMIFS(Input!$G:$G,Input!$D:$D,'2.CC Trans-BB.RE collateral'!Q$7&amp;"*",Input!$C:$C,'2.CC Trans-BB.RE collateral'!$A$10,Input!$M:$M,"PEPC7",Input!$H:$H,{"1-REAL";"SANTANDER"},Input!$K:$K,"NBF3")),0)</f>
        <v>0</v>
      </c>
      <c r="R71" s="85">
        <f>ROUND(SUM(SUMIFS(Input!$G:$G,Input!$D:$D,'2.CC Trans-BB.RE collateral'!R$7&amp;"*",Input!$C:$C,'2.CC Trans-BB.RE collateral'!$A$10,Input!$M:$M,"PEPC7",Input!$H:$H,{"1-REAL";"SANTANDER"},Input!$K:$K,"NBF3")),0)</f>
        <v>0</v>
      </c>
      <c r="S71" s="85">
        <f>ROUND(SUM(SUMIFS(Input!$G:$G,Input!$D:$D,'2.CC Trans-BB.RE collateral'!S$7&amp;"*",Input!$C:$C,'2.CC Trans-BB.RE collateral'!$A$10,Input!$M:$M,"PEPC7",Input!$H:$H,{"1-REAL";"SANTANDER"},Input!$K:$K,"NBF3")),0)</f>
        <v>2051226</v>
      </c>
      <c r="T71" s="70"/>
      <c r="U71" s="69"/>
      <c r="V71" s="47"/>
    </row>
    <row r="72" spans="2:22" ht="15" x14ac:dyDescent="0.25"/>
    <row r="81" ht="15" hidden="1" x14ac:dyDescent="0.25"/>
    <row r="82" ht="15" hidden="1" x14ac:dyDescent="0.25"/>
    <row r="83" ht="15" hidden="1" x14ac:dyDescent="0.25"/>
    <row r="84" ht="15" hidden="1" x14ac:dyDescent="0.25"/>
    <row r="85" ht="15" hidden="1" x14ac:dyDescent="0.25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D40:K40 D14:K14 D21:K21 M21:T21 M40:T40 M33:T33 M14:T14" xr:uid="{00000000-0002-0000-0300-000000000000}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 xr:uid="{00000000-0002-0000-0300-000001000000}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 xr:uid="{00000000-0002-0000-0300-000002000000}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0BEAC4-6CD5-489F-BDFE-3A44F7C053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91f81de-e01a-4b25-b573-c3f90f157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schemas.openxmlformats.org/package/2006/metadata/core-properties"/>
    <ds:schemaRef ds:uri="http://schemas.microsoft.com/sharepoint/v3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  <ds:schemaRef ds:uri="691f81de-e01a-4b25-b573-c3f90f15769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Hélder Filipe Felicidade Fernandes</cp:lastModifiedBy>
  <dcterms:created xsi:type="dcterms:W3CDTF">2021-09-06T12:20:44Z</dcterms:created>
  <dcterms:modified xsi:type="dcterms:W3CDTF">2026-02-20T12:07:53Z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