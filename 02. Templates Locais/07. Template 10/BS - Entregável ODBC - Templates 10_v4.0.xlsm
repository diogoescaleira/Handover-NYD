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2494" documentId="13_ncr:1_{CD14A276-76CF-4651-85A0-8394FE79180C}" xr6:coauthVersionLast="47" xr6:coauthVersionMax="47" xr10:uidLastSave="{AA0BEF57-8272-4D84-9011-731FACA9716B}"/>
  <bookViews>
    <workbookView xWindow="-108" yWindow="-108" windowWidth="23256" windowHeight="12456" activeTab="1" xr2:uid="{00000000-000D-0000-FFFF-FFFF00000000}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#REF!</definedName>
    <definedName name="___INDEX_SHEET___ASAP_Utilities">#REF!</definedName>
    <definedName name="___PERIODO">#REF!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#REF!</definedName>
    <definedName name="__123Graph_B" hidden="1">#REF!</definedName>
    <definedName name="__123Graph_X" hidden="1">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#REF!</definedName>
    <definedName name="_dim4">#REF!</definedName>
    <definedName name="_emptyrow1_iNdEx_22">#REF!</definedName>
    <definedName name="_emptyrow1_iNdEx_25">#REF!</definedName>
    <definedName name="_F">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Input!#REF!</definedName>
    <definedName name="_ftnref1_50">#REF!</definedName>
    <definedName name="_ftnref1_50_10">#REF!</definedName>
    <definedName name="_ftnref1_50_15">#REF!</definedName>
    <definedName name="_ftnref1_50_18">#REF!</definedName>
    <definedName name="_ftnref1_50_19">#REF!</definedName>
    <definedName name="_ftnref1_50_20">#REF!</definedName>
    <definedName name="_ftnref1_50_21">#REF!</definedName>
    <definedName name="_ftnref1_50_23">#REF!</definedName>
    <definedName name="_ftnref1_50_24">#REF!</definedName>
    <definedName name="_ftnref1_50_27">#REF!</definedName>
    <definedName name="_ftnref1_50_28">#REF!</definedName>
    <definedName name="_ftnref1_50_4">#REF!</definedName>
    <definedName name="_ftnref1_50_5">#REF!</definedName>
    <definedName name="_ftnref1_50_9">#REF!</definedName>
    <definedName name="_ftnref1_51">#REF!</definedName>
    <definedName name="_ftnref1_51_10">#REF!</definedName>
    <definedName name="_ftnref1_51_15">#REF!</definedName>
    <definedName name="_ftnref1_51_18">#REF!</definedName>
    <definedName name="_ftnref1_51_19">#REF!</definedName>
    <definedName name="_ftnref1_51_20">#REF!</definedName>
    <definedName name="_ftnref1_51_21">#REF!</definedName>
    <definedName name="_ftnref1_51_23">#REF!</definedName>
    <definedName name="_ftnref1_51_24">#REF!</definedName>
    <definedName name="_ftnref1_51_4">#REF!</definedName>
    <definedName name="_ftnref1_51_5">#REF!</definedName>
    <definedName name="_ftref1_50">#REF!</definedName>
    <definedName name="_h">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_xleta.SUM" hidden="1" xlm="1">#NAME?</definedName>
    <definedName name="_xleta.SUMIFS" hidden="1" xlm="1">#NAME?</definedName>
    <definedName name="a" hidden="1">#REF!</definedName>
    <definedName name="a.1">#REF!</definedName>
    <definedName name="A_Automaticos__">#REF!</definedName>
    <definedName name="A_L_Entity">#REF!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#REF!</definedName>
    <definedName name="ACPAL">#REF!</definedName>
    <definedName name="ACPAL_1">#REF!</definedName>
    <definedName name="ACPAL_1_valid">#REF!</definedName>
    <definedName name="ACPAL_2">#REF!</definedName>
    <definedName name="ACPAL_2_valid">#REF!</definedName>
    <definedName name="ACPAL_3">#REF!</definedName>
    <definedName name="ACPAL_3_valid">#REF!</definedName>
    <definedName name="ACPAL_result">#REF!</definedName>
    <definedName name="acsa">#REF!</definedName>
    <definedName name="ACTAD">#REF!</definedName>
    <definedName name="ActgIntByTypeSummary">#REF!</definedName>
    <definedName name="ActgLCRS">#REF!</definedName>
    <definedName name="ACTGLNINTERST">#REF!</definedName>
    <definedName name="ACTGLNSAGE">#REF!</definedName>
    <definedName name="ActgOvdAgeing">#REF!</definedName>
    <definedName name="ActgSpainRisk">#REF!</definedName>
    <definedName name="ACTIN">#REF!</definedName>
    <definedName name="ActLcrs">#REF!</definedName>
    <definedName name="ACTLCRSUM">#REF!</definedName>
    <definedName name="ACUM_CHANGE">#REF!</definedName>
    <definedName name="ACUMULADOS">#REF!</definedName>
    <definedName name="ad">#REF!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#REF!</definedName>
    <definedName name="Anal_Liq">#REF!</definedName>
    <definedName name="Anexo">#REF!</definedName>
    <definedName name="ANFee">#REF!</definedName>
    <definedName name="AÑOS">#REF!</definedName>
    <definedName name="anscount" hidden="1">1</definedName>
    <definedName name="ANSI_FINAL">#REF!</definedName>
    <definedName name="aPP">#REF!</definedName>
    <definedName name="area1">#REF!</definedName>
    <definedName name="area2">#REF!</definedName>
    <definedName name="area3">#REF!</definedName>
    <definedName name="AreaROE">#REF!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#REF!</definedName>
    <definedName name="asf">#REF!</definedName>
    <definedName name="avfd">#REF!</definedName>
    <definedName name="AVOMA">#REF!</definedName>
    <definedName name="b" hidden="1">#REF!</definedName>
    <definedName name="ba">#REF!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#REF!</definedName>
    <definedName name="CAPI_1">#REF!</definedName>
    <definedName name="CAPI_result">#REF!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#REF!</definedName>
    <definedName name="CD_SIXVAL">#REF!</definedName>
    <definedName name="CD_TCVAL">#REF!</definedName>
    <definedName name="CD_TipoCambioBX">#REF!</definedName>
    <definedName name="cierre">#REF!</definedName>
    <definedName name="CIQWBGuid" hidden="1">"03f4930e-b33c-4382-a597-a94ab15a402c"</definedName>
    <definedName name="Class_of_securities">#REF!</definedName>
    <definedName name="Class_of_security">#REF!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#REF!</definedName>
    <definedName name="CompanyK7">#REF!</definedName>
    <definedName name="Conexplicación">#REF!</definedName>
    <definedName name="Consulta_C91">#REF!</definedName>
    <definedName name="COPIAR_NIVELES">#REF!</definedName>
    <definedName name="corrCamb40">#REF!</definedName>
    <definedName name="corrval40">#REF!</definedName>
    <definedName name="CostA">#REF!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#REF!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#REF!</definedName>
    <definedName name="CurrentIndexNo">#REF!</definedName>
    <definedName name="CVAMI">#REF!</definedName>
    <definedName name="d">#REF!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#REF!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#REF!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#REF!</definedName>
    <definedName name="DINFO_1">#REF!</definedName>
    <definedName name="DINFO_1_valid">#REF!</definedName>
    <definedName name="DINFO_2">#REF!</definedName>
    <definedName name="DINFO_result">#REF!</definedName>
    <definedName name="DormantRetrieve">#REF!</definedName>
    <definedName name="DPCSP">#REF!</definedName>
    <definedName name="DPI">#REF!</definedName>
    <definedName name="dsa">#REF!</definedName>
    <definedName name="e">#REF!</definedName>
    <definedName name="e001ESP">#REF!</definedName>
    <definedName name="e001imp">#REF!</definedName>
    <definedName name="e002ESP">#REF!</definedName>
    <definedName name="e002imp">#REF!</definedName>
    <definedName name="e003ESP">#REF!</definedName>
    <definedName name="e003imp">#REF!</definedName>
    <definedName name="e004ESP">#REF!</definedName>
    <definedName name="e005ESP">#REF!</definedName>
    <definedName name="e005imp">#REF!</definedName>
    <definedName name="e006ESP">#REF!</definedName>
    <definedName name="e006imp">#REF!</definedName>
    <definedName name="e007ESP">#REF!</definedName>
    <definedName name="e007IMP">#REF!</definedName>
    <definedName name="e008esp">#REF!</definedName>
    <definedName name="edc">#REF!</definedName>
    <definedName name="ee">#REF!</definedName>
    <definedName name="eeeee">#REF!</definedName>
    <definedName name="efdsafavc" hidden="1">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#REF!</definedName>
    <definedName name="end_row_2">#REF!</definedName>
    <definedName name="endst">#REF!</definedName>
    <definedName name="ENSDT">#REF!</definedName>
    <definedName name="enter_entity">#REF!</definedName>
    <definedName name="entities_non_validate">#REF!</definedName>
    <definedName name="Entity">#REF!</definedName>
    <definedName name="Entity_Code">#REF!</definedName>
    <definedName name="entity_level_3">#REF!</definedName>
    <definedName name="entityAlias">#REF!</definedName>
    <definedName name="EntityLevel">#REF!</definedName>
    <definedName name="entitynew">#REF!</definedName>
    <definedName name="EPES">#REF!</definedName>
    <definedName name="EPES_1">#REF!</definedName>
    <definedName name="EPES_2">#REF!</definedName>
    <definedName name="EPES_2_valid">#REF!</definedName>
    <definedName name="EPES_result">#REF!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#REF!</definedName>
    <definedName name="especifi">#REF!</definedName>
    <definedName name="ESS_Entity">#REF!</definedName>
    <definedName name="ESS_Period">#REF!</definedName>
    <definedName name="ESS_Report">#REF!</definedName>
    <definedName name="ESS_Reporting">#REF!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#REF!</definedName>
    <definedName name="FESP2">#REF!</definedName>
    <definedName name="FF">#REF!</definedName>
    <definedName name="fff">#REF!</definedName>
    <definedName name="fgf">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#REF!</definedName>
    <definedName name="FINVE_1_valid">#REF!</definedName>
    <definedName name="FINVE_2">#REF!</definedName>
    <definedName name="FINVE_2_valid">#REF!</definedName>
    <definedName name="FINVE_3">#REF!</definedName>
    <definedName name="FINVE_3_valid">#REF!</definedName>
    <definedName name="FINVE_4">#REF!</definedName>
    <definedName name="FINVE_4_valid">#REF!</definedName>
    <definedName name="FINVE_5">#REF!</definedName>
    <definedName name="FINVE_5_valid">#REF!</definedName>
    <definedName name="FINVE_6">#REF!</definedName>
    <definedName name="FINVE_6_valid">#REF!</definedName>
    <definedName name="FINVE_7">#REF!</definedName>
    <definedName name="FINVE_7_valid">#REF!</definedName>
    <definedName name="FINVE_8">#REF!</definedName>
    <definedName name="FINVE_8_valid">#REF!</definedName>
    <definedName name="FINVE_9">#REF!</definedName>
    <definedName name="FINVE_9_valid">#REF!</definedName>
    <definedName name="FINVE_Open_End_Inv_AUM">#REF!</definedName>
    <definedName name="FINVE_Pension_AUM">#REF!</definedName>
    <definedName name="FINVE_result">#REF!</definedName>
    <definedName name="FINVE_section_Type">#REF!</definedName>
    <definedName name="FINVE_section_type_11">#REF!</definedName>
    <definedName name="FINVE_section_type_12">#REF!</definedName>
    <definedName name="FINVE_section_type_13">#REF!</definedName>
    <definedName name="FINVE_section_type_14">#REF!</definedName>
    <definedName name="FINVE_section_type_15">#REF!</definedName>
    <definedName name="FINVE_section_type_16">#REF!</definedName>
    <definedName name="FINVE_section_type_17">#REF!</definedName>
    <definedName name="FINVE_section_type_18">#REF!</definedName>
    <definedName name="FISOCBAS">#REF!</definedName>
    <definedName name="FONRF">#REF!</definedName>
    <definedName name="FORBEARANCE">#REF!</definedName>
    <definedName name="FORBESEP00001">#REF!</definedName>
    <definedName name="formatCol">#REF!</definedName>
    <definedName name="formatRow">#REF!</definedName>
    <definedName name="FORWARDS">#REF!</definedName>
    <definedName name="Frequency">#REF!</definedName>
    <definedName name="fs..">#REF!</definedName>
    <definedName name="Funciones">#REF!</definedName>
    <definedName name="FUT_FX_BANXICO">#REF!</definedName>
    <definedName name="FUT_FX_VAL">#REF!</definedName>
    <definedName name="FUTUROS_BANXICO">#REF!</definedName>
    <definedName name="FUTUROS_VALUACION">#REF!</definedName>
    <definedName name="fwf">#REF!</definedName>
    <definedName name="FX">#REF!</definedName>
    <definedName name="FXX">#REF!</definedName>
    <definedName name="FXXX">#REF!</definedName>
    <definedName name="FXXXX">#REF!</definedName>
    <definedName name="g">#REF!</definedName>
    <definedName name="GAmort">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#REF!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#REF!</definedName>
    <definedName name="INDICE_MEMORIA_ROF">#REF!</definedName>
    <definedName name="INFORMES">#REF!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#REF!</definedName>
    <definedName name="IVA">#REF!</definedName>
    <definedName name="j">#REF!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#REF!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#REF!</definedName>
    <definedName name="KC">#REF!</definedName>
    <definedName name="KF">#REF!</definedName>
    <definedName name="KG">#REF!</definedName>
    <definedName name="legal1">#REF!</definedName>
    <definedName name="legal2">#REF!</definedName>
    <definedName name="legal3">#REF!</definedName>
    <definedName name="LiborCrystalIndex">#REF!</definedName>
    <definedName name="LINECOLLATERAL">#REF!</definedName>
    <definedName name="LIST_SOC">#REF!</definedName>
    <definedName name="LnAge">#REF!</definedName>
    <definedName name="LNDATA">#REF!</definedName>
    <definedName name="Local_currency_units">#REF!</definedName>
    <definedName name="lstCountries">#REF!</definedName>
    <definedName name="lstCurrencies">#REF!</definedName>
    <definedName name="lstProductUSorOther">#REF!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#REF!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#REF!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#REF!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#REF!</definedName>
    <definedName name="nm" hidden="1">#REF!</definedName>
    <definedName name="nnn">#REF!</definedName>
    <definedName name="NODER">#REF!</definedName>
    <definedName name="NOMINAL">#REF!</definedName>
    <definedName name="Nominal_Intereses">#REF!</definedName>
    <definedName name="nominal_neto">#REF!</definedName>
    <definedName name="NOTIONAL">#REF!</definedName>
    <definedName name="NPI">#REF!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#REF!</definedName>
    <definedName name="OCI_BRUTO_EFECTO_FISCAL">#REF!</definedName>
    <definedName name="OldRunDate">#REF!</definedName>
    <definedName name="OnServer">#REF!</definedName>
    <definedName name="opfut_banxico">#REF!</definedName>
    <definedName name="opfut_sensibilidad">#REF!</definedName>
    <definedName name="opfut_valuación">#REF!</definedName>
    <definedName name="ORIGEN_INMOVILIZADO">#REF!</definedName>
    <definedName name="OTC_VAL">#REF!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#REF!</definedName>
    <definedName name="outputCell">#REF!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#REF!</definedName>
    <definedName name="param_account_level">#REF!</definedName>
    <definedName name="param_account_name">#REF!</definedName>
    <definedName name="param_account_order">#REF!</definedName>
    <definedName name="param_contyp">#REF!</definedName>
    <definedName name="param_database">#REF!</definedName>
    <definedName name="param_entity_level">#REF!</definedName>
    <definedName name="param_entity_order">#REF!</definedName>
    <definedName name="param_Epassword">#REF!</definedName>
    <definedName name="param_Eserver">#REF!</definedName>
    <definedName name="param_Eusername">#REF!</definedName>
    <definedName name="param_month_name">#REF!</definedName>
    <definedName name="param_password">#REF!</definedName>
    <definedName name="param_periodicity">#REF!</definedName>
    <definedName name="param_sqlip">#REF!</definedName>
    <definedName name="param_username">#REF!</definedName>
    <definedName name="param_version_name">#REF!</definedName>
    <definedName name="Parameters">#REF!</definedName>
    <definedName name="PARTOT">#REF!</definedName>
    <definedName name="PASUB">#REF!</definedName>
    <definedName name="PASUB2562">#REF!</definedName>
    <definedName name="PATRED">#REF!</definedName>
    <definedName name="PAYTX">#REF!</definedName>
    <definedName name="pCounterparty">#REF!</definedName>
    <definedName name="pDB">#REF!</definedName>
    <definedName name="PERFORMING">#REF!</definedName>
    <definedName name="Period">#REF!</definedName>
    <definedName name="PERIODS">#REF!</definedName>
    <definedName name="PERNO">#REF!</definedName>
    <definedName name="pGetDate">#REF!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#REF!</definedName>
    <definedName name="POCIS">#REF!</definedName>
    <definedName name="POS_CAMBIARIA">#REF!</definedName>
    <definedName name="POSITIVE_FAIR_VALUE">#REF!</definedName>
    <definedName name="pPassword">#REF!</definedName>
    <definedName name="pPeriod">#REF!</definedName>
    <definedName name="PREFERENTES">#REF!</definedName>
    <definedName name="pRelationship">#REF!</definedName>
    <definedName name="Prima_Dolares">#REF!</definedName>
    <definedName name="Prima_Pesos">#REF!</definedName>
    <definedName name="Prima_Pesos_USD">#REF!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#REF!</definedName>
    <definedName name="ProfitShareSummary">#REF!</definedName>
    <definedName name="PropDOCToRunDate">#REF!</definedName>
    <definedName name="PROPOSITO_INMOVILIZADO_MATERIAL">#REF!</definedName>
    <definedName name="pServer">#REF!</definedName>
    <definedName name="pUsername">#REF!</definedName>
    <definedName name="pVersion">#REF!</definedName>
    <definedName name="PYASE">#REF!</definedName>
    <definedName name="qaz">#REF!</definedName>
    <definedName name="qee">#REF!</definedName>
    <definedName name="qw">#REF!</definedName>
    <definedName name="qwer">#REF!</definedName>
    <definedName name="RangoBORRAR">#REF!</definedName>
    <definedName name="RANGOCOPIAR">#REF!</definedName>
    <definedName name="RANGOCOPIAR2">#REF!</definedName>
    <definedName name="RCFUB_1">#REF!</definedName>
    <definedName name="RCFUB_1_valid">#REF!</definedName>
    <definedName name="RCFUB_result">#REF!</definedName>
    <definedName name="Rdo_vta_autocartera">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#REF!</definedName>
    <definedName name="Report_Input">#REF!</definedName>
    <definedName name="Report_Title">#REF!</definedName>
    <definedName name="REPORTE_BANXICO">#REF!</definedName>
    <definedName name="Reporting">#REF!</definedName>
    <definedName name="RESERVAS_RESTRINGIDAS">#REF!</definedName>
    <definedName name="resumar97acu">#REF!</definedName>
    <definedName name="RESUMEN">#REF!</definedName>
    <definedName name="RESUMEN_FWD">#REF!</definedName>
    <definedName name="RESUMEN_FX">#REF!</definedName>
    <definedName name="ret">#REF!</definedName>
    <definedName name="Retrieve2005">#REF!</definedName>
    <definedName name="Retrieve2006">#REF!</definedName>
    <definedName name="rfgf">#REF!</definedName>
    <definedName name="RFIJ_1">#REF!</definedName>
    <definedName name="RFIJ_1_valid">#REF!</definedName>
    <definedName name="RFIJ_2">#REF!</definedName>
    <definedName name="RFIJ_2_valid">#REF!</definedName>
    <definedName name="RFIJ_3">#REF!</definedName>
    <definedName name="RFIJ_3_valid">#REF!</definedName>
    <definedName name="RFIJ_4">#REF!</definedName>
    <definedName name="RFIJ_4_valid">#REF!</definedName>
    <definedName name="RFIJ_5">#REF!</definedName>
    <definedName name="RFIJ_5_valid">#REF!</definedName>
    <definedName name="RFIJ_class_of_securities">#REF!</definedName>
    <definedName name="RFIJ_result">#REF!</definedName>
    <definedName name="RICON">#REF!</definedName>
    <definedName name="RIESGO_OPERATIVO">#REF!</definedName>
    <definedName name="RIESGO_TOMADOR">#REF!</definedName>
    <definedName name="Rof">#REF!</definedName>
    <definedName name="Rounding">#REF!</definedName>
    <definedName name="rounding1">#REF!</definedName>
    <definedName name="RPLOC">#REF!</definedName>
    <definedName name="RunDateMinusOne">#REF!</definedName>
    <definedName name="RVBL_0">#REF!</definedName>
    <definedName name="RVBL_1">#REF!</definedName>
    <definedName name="RVBL_1_valid">#REF!</definedName>
    <definedName name="RVBL_150_result">#REF!</definedName>
    <definedName name="RVBL_2">#REF!</definedName>
    <definedName name="RVBL_2_valid">#REF!</definedName>
    <definedName name="RVBL_3">#REF!</definedName>
    <definedName name="RVBL_3_valid">#REF!</definedName>
    <definedName name="RVBL_4">#REF!</definedName>
    <definedName name="RVBL_4_valid">#REF!</definedName>
    <definedName name="RVBL_5">#REF!</definedName>
    <definedName name="RVBL_5_valid">#REF!</definedName>
    <definedName name="RVBL_6">#REF!</definedName>
    <definedName name="RVBL_6_valid">#REF!</definedName>
    <definedName name="RVBL_7">#REF!</definedName>
    <definedName name="RVBL_Auto">#REF!</definedName>
    <definedName name="RVBL_class_of_securities">#REF!</definedName>
    <definedName name="RVBL_port_type_1">#REF!</definedName>
    <definedName name="RVBL_port_type_2">#REF!</definedName>
    <definedName name="RVBL_port_type_3">#REF!</definedName>
    <definedName name="RVBL_port_type_4">#REF!</definedName>
    <definedName name="RVBL_port_type_5">#REF!</definedName>
    <definedName name="RVBL_port_type_6">#REF!</definedName>
    <definedName name="RVBL_result">#REF!</definedName>
    <definedName name="s">#REF!</definedName>
    <definedName name="SaleEXP">#REF!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#REF!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#REF!</definedName>
    <definedName name="SENS_FUTUROS">#REF!</definedName>
    <definedName name="SENSIBILIDAD">#REF!</definedName>
    <definedName name="SettlementDate">#REF!</definedName>
    <definedName name="sg_activity">#REF!</definedName>
    <definedName name="sg_audit_cif">#REF!</definedName>
    <definedName name="sg_audit_exer">#REF!</definedName>
    <definedName name="sg_audit_exists">#REF!</definedName>
    <definedName name="sg_audit_inscription_data">#REF!</definedName>
    <definedName name="sg_audit_obligatory">#REF!</definedName>
    <definedName name="sg_audit_social_denomination">#REF!</definedName>
    <definedName name="sg_cargabal_code">#REF!</definedName>
    <definedName name="sg_country">#REF!</definedName>
    <definedName name="sg_excercise_end">#REF!</definedName>
    <definedName name="sg_legal_form">#REF!</definedName>
    <definedName name="sg_local_identification">#REF!</definedName>
    <definedName name="sg_province_state">#REF!</definedName>
    <definedName name="sg_registry_name">#REF!</definedName>
    <definedName name="sg_status_detail">#REF!</definedName>
    <definedName name="sg_status_form">#REF!</definedName>
    <definedName name="sg_statutory_address">#REF!</definedName>
    <definedName name="sg_statutory_purpose">#REF!</definedName>
    <definedName name="sg_supervision_area_unit">#REF!</definedName>
    <definedName name="sg_supervision_division">#REF!</definedName>
    <definedName name="sg_zip_postalcode">#REF!</definedName>
    <definedName name="SGRAL_1">#REF!</definedName>
    <definedName name="SGRAL_1_valid">#REF!</definedName>
    <definedName name="SGRAL_2">#REF!</definedName>
    <definedName name="SGRAL_2_valid">#REF!</definedName>
    <definedName name="SGRAL_3">#REF!</definedName>
    <definedName name="SGRAL_3_valid">#REF!</definedName>
    <definedName name="SGRAL_4">#REF!</definedName>
    <definedName name="SGRAL_4_valid">#REF!</definedName>
    <definedName name="sgral_capital_type">#REF!</definedName>
    <definedName name="sgral_end_date">#REF!</definedName>
    <definedName name="sgral_form">#REF!</definedName>
    <definedName name="sgral_list">#REF!</definedName>
    <definedName name="sgral_registry">#REF!</definedName>
    <definedName name="SGRAL_result">#REF!</definedName>
    <definedName name="SGRAL_VAL">#REF!</definedName>
    <definedName name="ShortTermLiborIndex">#REF!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#REF!</definedName>
    <definedName name="sss">#REF!</definedName>
    <definedName name="st..">#REF!</definedName>
    <definedName name="start_row_2">#REF!</definedName>
    <definedName name="startRow">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#REF!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#REF!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#REF!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#REF!</definedName>
    <definedName name="Val_ACPAL2">#REF!</definedName>
    <definedName name="Val_ACPAL3">#REF!</definedName>
    <definedName name="Val_DINFO1">#REF!</definedName>
    <definedName name="Val_DINFO2">#REF!</definedName>
    <definedName name="Val_DINFO3">#REF!</definedName>
    <definedName name="Val_DINFO4">#REF!</definedName>
    <definedName name="Val_EPES1">#REF!</definedName>
    <definedName name="Val_FINVE1">#REF!</definedName>
    <definedName name="Val_FINVE2">#REF!</definedName>
    <definedName name="Val_FINVE3">#REF!</definedName>
    <definedName name="VAL_MERCADO">#REF!</definedName>
    <definedName name="Val_RCFUB1">#REF!</definedName>
    <definedName name="Val_RCFUB2">#REF!</definedName>
    <definedName name="Val_RFIJ1">#REF!</definedName>
    <definedName name="Val_RFIJ10">#REF!</definedName>
    <definedName name="Val_RFIJ11">#REF!</definedName>
    <definedName name="Val_RFIJ12">#REF!</definedName>
    <definedName name="Val_RFIJ13">#REF!</definedName>
    <definedName name="Val_RFIJ14">#REF!</definedName>
    <definedName name="Val_RFIJ15">#REF!</definedName>
    <definedName name="Val_RFIJ2">#REF!</definedName>
    <definedName name="Val_RFIJ3">#REF!</definedName>
    <definedName name="Val_RFIJ4">#REF!</definedName>
    <definedName name="Val_RFIJ5">#REF!</definedName>
    <definedName name="Val_RFIJ6">#REF!</definedName>
    <definedName name="Val_RFIJ7">#REF!</definedName>
    <definedName name="Val_RFIJ8">#REF!</definedName>
    <definedName name="Val_RFIJ9">#REF!</definedName>
    <definedName name="Val_RVBL1">#REF!</definedName>
    <definedName name="Val_RVBL10">#REF!</definedName>
    <definedName name="Val_RVBL11">#REF!</definedName>
    <definedName name="Val_RVBL2">#REF!</definedName>
    <definedName name="Val_RVBL3">#REF!</definedName>
    <definedName name="Val_RVBL4">#REF!</definedName>
    <definedName name="Val_RVBL5">#REF!</definedName>
    <definedName name="Val_RVBL6">#REF!</definedName>
    <definedName name="Val_RVBL7">#REF!</definedName>
    <definedName name="Val_RVBL8">#REF!</definedName>
    <definedName name="Val_RVBL9">#REF!</definedName>
    <definedName name="Val_SGRAL1">#REF!</definedName>
    <definedName name="Validaciones">#REF!</definedName>
    <definedName name="validaciones_old">#REF!</definedName>
    <definedName name="VALOR_CONTABLE">#REF!</definedName>
    <definedName name="VALUACION_MDO">#REF!,#REF!</definedName>
    <definedName name="VENAN">#REF!</definedName>
    <definedName name="Ver_Rep_Lookup">#REF!</definedName>
    <definedName name="Version">#REF!</definedName>
    <definedName name="vlookup">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#REF!</definedName>
    <definedName name="vto.">#REF!</definedName>
    <definedName name="vww">#REF!</definedName>
    <definedName name="w" hidden="1">{"savings2",#N/A,FALSE,"AN Net Receipts"}</definedName>
    <definedName name="w_1" hidden="1">{"savings2",#N/A,FALSE,"AN Net Receipts"}</definedName>
    <definedName name="we">#REF!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#REF!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#REF!</definedName>
    <definedName name="x">#REF!</definedName>
    <definedName name="XBRL">#REF!</definedName>
    <definedName name="xf">#REF!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7" hidden="1">#REF!</definedName>
    <definedName name="XRefColumnsCount" hidden="1">6</definedName>
    <definedName name="XRefCopy1" hidden="1">#REF!</definedName>
    <definedName name="XRefCopy10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7Row" hidden="1">#REF!</definedName>
    <definedName name="XRefCopy18Row" hidden="1">#REF!</definedName>
    <definedName name="XRefCopy19Row" hidden="1">#REF!</definedName>
    <definedName name="XRefCopy1Row" hidden="1">#REF!</definedName>
    <definedName name="XRefCopy2" hidden="1">#REF!</definedName>
    <definedName name="XRefCopy20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Row" hidden="1">#REF!</definedName>
    <definedName name="XRefCopy3" hidden="1">#REF!</definedName>
    <definedName name="XRefCopy3Row" hidden="1">#REF!</definedName>
    <definedName name="XRefCopy4" hidden="1">#REF!</definedName>
    <definedName name="XRefCopy4Row" hidden="1">#REF!</definedName>
    <definedName name="XRefCopy6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9" hidden="1">#REF!</definedName>
    <definedName name="XRefCopy9Row" hidden="1">#REF!</definedName>
    <definedName name="XRefCopyRangeCount" hidden="1">10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Row" hidden="1">#REF!</definedName>
    <definedName name="XRefPaste2" hidden="1">#REF!</definedName>
    <definedName name="XRefPaste2Row" hidden="1">#REF!</definedName>
    <definedName name="XRefPaste3" hidden="1">#REF!</definedName>
    <definedName name="XRefPaste3Row" hidden="1">#REF!</definedName>
    <definedName name="XRefPaste4" hidden="1">#REF!</definedName>
    <definedName name="XRefPaste4Row" hidden="1">#REF!</definedName>
    <definedName name="XRefPaste5Row" hidden="1">#REF!</definedName>
    <definedName name="XRefPaste6" hidden="1">#REF!</definedName>
    <definedName name="XRefPaste6Row" hidden="1">#REF!</definedName>
    <definedName name="XRefPaste7Row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13</definedName>
    <definedName name="xv">#REF!</definedName>
    <definedName name="xx">#REF!</definedName>
    <definedName name="xxf">#REF!</definedName>
    <definedName name="xxxf">#REF!</definedName>
    <definedName name="xxxx">#REF!</definedName>
    <definedName name="xxxxf">#REF!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#REF!</definedName>
    <definedName name="yes_no">#REF!</definedName>
    <definedName name="yui" hidden="1">{"savings2",#N/A,FALSE,"AN Net Receipts"}</definedName>
    <definedName name="yui_1" hidden="1">{"savings2",#N/A,FALSE,"AN Net Receipts"}</definedName>
    <definedName name="zaq">#REF!</definedName>
    <definedName name="zxq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51" l="1"/>
  <c r="F8" i="51" s="1"/>
  <c r="E20" i="51"/>
  <c r="G20" i="51" s="1"/>
  <c r="E19" i="51"/>
  <c r="G19" i="51" s="1"/>
  <c r="E18" i="51"/>
  <c r="F18" i="51" s="1"/>
  <c r="E17" i="51"/>
  <c r="F17" i="51" s="1"/>
  <c r="E16" i="51"/>
  <c r="F16" i="51" s="1"/>
  <c r="E15" i="51"/>
  <c r="F15" i="51" s="1"/>
  <c r="E14" i="51"/>
  <c r="F14" i="51" s="1"/>
  <c r="E13" i="51"/>
  <c r="F13" i="51" s="1"/>
  <c r="E12" i="51"/>
  <c r="G12" i="51" s="1"/>
  <c r="E11" i="51"/>
  <c r="G11" i="51" s="1"/>
  <c r="E10" i="51"/>
  <c r="F10" i="51" s="1"/>
  <c r="E9" i="51"/>
  <c r="F9" i="51" s="1"/>
  <c r="E7" i="51"/>
  <c r="F7" i="51" s="1"/>
  <c r="F20" i="51" l="1"/>
  <c r="G14" i="51"/>
  <c r="F11" i="51"/>
  <c r="F19" i="51"/>
  <c r="G13" i="51"/>
  <c r="G7" i="51"/>
  <c r="G15" i="51"/>
  <c r="G8" i="51"/>
  <c r="G16" i="51"/>
  <c r="G9" i="51"/>
  <c r="G17" i="51"/>
  <c r="F12" i="51"/>
  <c r="G10" i="51"/>
  <c r="G18" i="51"/>
  <c r="F10" i="29"/>
</calcChain>
</file>

<file path=xl/sharedStrings.xml><?xml version="1.0" encoding="utf-8"?>
<sst xmlns="http://schemas.openxmlformats.org/spreadsheetml/2006/main" count="695" uniqueCount="83">
  <si>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</si>
  <si>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</si>
  <si>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</si>
  <si>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</si>
  <si>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</si>
  <si>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</si>
  <si>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</si>
  <si>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</si>
  <si>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</si>
  <si>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</si>
  <si>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</si>
  <si>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</si>
  <si>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</si>
  <si>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</si>
  <si>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</si>
  <si>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</si>
  <si>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</si>
  <si>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</si>
  <si>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</si>
  <si>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</si>
  <si>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</si>
  <si>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</si>
  <si>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</si>
  <si>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</si>
  <si>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</si>
  <si>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</si>
  <si>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</si>
  <si>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</si>
  <si>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</si>
  <si>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</si>
  <si>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</si>
  <si>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</si>
  <si>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</si>
  <si>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</si>
  <si>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</si>
  <si>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</si>
  <si>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</si>
  <si>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</si>
  <si>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</si>
  <si>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</si>
  <si>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</si>
  <si>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</si>
  <si>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</si>
  <si>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particulares</t>
  </si>
  <si>
    <t>Garantia Comercial</t>
  </si>
  <si>
    <t>GFI1</t>
  </si>
  <si>
    <t>BONDS</t>
  </si>
  <si>
    <t>PESG1</t>
  </si>
  <si>
    <t>Garantia Residencial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</si>
  <si>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</si>
  <si>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</si>
  <si>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</si>
  <si>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</si>
  <si>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</si>
  <si>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</si>
  <si>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</si>
  <si>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</si>
  <si>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</si>
  <si>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</si>
  <si>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</si>
  <si>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</si>
  <si>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</si>
  <si>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</si>
  <si>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</si>
  <si>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</si>
  <si>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</si>
  <si>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10 Granular_v2.0.sql" e </t>
    </r>
    <r>
      <rPr>
        <i/>
        <sz val="9"/>
        <color theme="1"/>
        <rFont val="Calibri"/>
        <family val="2"/>
        <scheme val="minor"/>
      </rPr>
      <t>"BS_Geracao Template 10 Agregado_v2.0.sql".</t>
    </r>
  </si>
  <si>
    <t>acute_changes</t>
  </si>
  <si>
    <t>chronic_changes</t>
  </si>
  <si>
    <t>flag_physical_risk</t>
  </si>
  <si>
    <t>Garantia Real</t>
  </si>
  <si>
    <t>GFI2</t>
  </si>
  <si>
    <t>ACUT2</t>
  </si>
  <si>
    <t>CHRO1</t>
  </si>
  <si>
    <t>Sem Garantia</t>
  </si>
  <si>
    <t>PESG4</t>
  </si>
  <si>
    <t>PESG3</t>
  </si>
  <si>
    <t>CHRO2</t>
  </si>
  <si>
    <t>setor publico</t>
  </si>
  <si>
    <t>instituicoes de credito</t>
  </si>
  <si>
    <t>ACUT1</t>
  </si>
  <si>
    <t>PESG2</t>
  </si>
  <si>
    <t>bancos centrais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</si>
</sst>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/>
    <xf numFmtId="0" fontId="14" fillId="0" borderId="0" xfId="0" applyFont="1"/>
    <xf numFmtId="0" fontId="13" fillId="0" borderId="0" xfId="0" applyFont="1"/>
    <xf numFmtId="0" fontId="2" fillId="0" borderId="0" xfId="0" applyFont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2" xfId="0" applyFont="1" applyFill="1" applyBorder="1" applyAlignment="1">
      <alignment vertical="center"/>
    </xf>
    <xf numFmtId="0" fontId="3" fillId="4" borderId="12" xfId="0" applyFont="1" applyFill="1" applyBorder="1"/>
    <xf numFmtId="0" fontId="20" fillId="4" borderId="12" xfId="0" applyFont="1" applyFill="1" applyBorder="1"/>
    <xf numFmtId="0" fontId="9" fillId="2" borderId="0" xfId="0" applyFont="1" applyFill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2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ill="1" applyBorder="1" applyProtection="1">
      <protection locked="0"/>
    </xf>
    <xf numFmtId="0" fontId="1" fillId="2" borderId="0" xfId="0" applyFont="1" applyFill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11" fillId="0" borderId="0" xfId="0" applyFont="1" applyAlignment="1" applyProtection="1">
      <alignment horizontal="centerContinuous"/>
      <protection locked="0"/>
    </xf>
    <xf numFmtId="0" fontId="0" fillId="2" borderId="8" xfId="0" applyFill="1" applyBorder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3" xfId="0" applyFont="1" applyFill="1" applyBorder="1" applyAlignment="1">
      <alignment horizontal="center"/>
    </xf>
    <xf numFmtId="0" fontId="25" fillId="7" borderId="13" xfId="0" applyFont="1" applyFill="1" applyBorder="1"/>
    <xf numFmtId="164" fontId="25" fillId="7" borderId="13" xfId="4" applyNumberFormat="1" applyFont="1" applyFill="1" applyBorder="1"/>
    <xf numFmtId="0" fontId="25" fillId="0" borderId="13" xfId="0" applyFont="1" applyBorder="1"/>
    <xf numFmtId="0" fontId="25" fillId="7" borderId="13" xfId="0" applyFont="1" applyFill="1" applyBorder="1" applyAlignment="1">
      <alignment horizontal="left" indent="2"/>
    </xf>
    <xf numFmtId="164" fontId="25" fillId="0" borderId="13" xfId="4" applyNumberFormat="1" applyFont="1" applyFill="1" applyBorder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0" xfId="0" applyFont="1" applyFill="1" applyAlignment="1">
      <alignment horizontal="left" vertical="center" wrapText="1" indent="1"/>
    </xf>
    <xf numFmtId="0" fontId="25" fillId="0" borderId="16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4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/>
    </xf>
    <xf numFmtId="0" fontId="3" fillId="4" borderId="0" xfId="0" applyFont="1" applyFill="1"/>
  </cellXfs>
  <cellStyles count="6">
    <cellStyle name="Comma" xfId="4" builtinId="3"/>
    <cellStyle name="Currency" xfId="5" builtinId="4"/>
    <cellStyle name="Normal" xfId="0" builtinId="0"/>
    <cellStyle name="Normal 2 10" xfId="3" xr:uid="{00000000-0005-0000-0000-000003000000}"/>
    <cellStyle name="Normal 3 2 7" xfId="2" xr:uid="{00000000-0005-0000-0000-000004000000}"/>
    <cellStyle name="Normal 3 5 4" xfId="1" xr:uid="{00000000-0005-0000-0000-000005000000}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16670" y="1750060"/>
          <a:ext cx="156639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55322" y="2495162"/>
          <a:ext cx="156011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88119" y="1749476"/>
          <a:ext cx="157027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39909" y="1741164"/>
          <a:ext cx="59417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X65"/>
  <sheetViews>
    <sheetView showGridLines="0" zoomScaleNormal="100" workbookViewId="0">
      <pane ySplit="4" topLeftCell="A6" activePane="bottomLeft" state="frozen"/>
      <selection pane="bottomLeft" activeCell="A9" sqref="A9:A10"/>
    </sheetView>
  </sheetViews>
  <sheetFormatPr defaultColWidth="0" defaultRowHeight="0" customHeight="1" zeroHeight="1" x14ac:dyDescent="0.3"/>
  <cols>
    <col min="1" max="2" width="3.5546875" customWidth="1"/>
    <col min="3" max="4" width="7.5546875" customWidth="1"/>
    <col min="5" max="5" width="0.44140625" customWidth="1"/>
    <col min="6" max="6" width="7.5546875" customWidth="1"/>
    <col min="7" max="7" width="0.44140625" customWidth="1"/>
    <col min="8" max="21" width="10.5546875" customWidth="1"/>
    <col min="22" max="22" width="14.44140625" customWidth="1"/>
    <col min="23" max="23" width="8.5546875" customWidth="1"/>
    <col min="24" max="24" width="3.5546875" customWidth="1"/>
  </cols>
  <sheetData>
    <row r="1" spans="1:24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</row>
    <row r="5" spans="1:24" s="6" customFormat="1" ht="15" thickTop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4" ht="15" customHeight="1" x14ac:dyDescent="0.3">
      <c r="A6" s="4"/>
      <c r="B6" s="13" t="s">
        <v>23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4"/>
    </row>
    <row r="7" spans="1:24" ht="8.1" customHeight="1" x14ac:dyDescent="0.3">
      <c r="A7" s="4"/>
      <c r="B7" s="7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4" s="6" customFormat="1" ht="14.4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4" ht="14.4" x14ac:dyDescent="0.3"/>
    <row r="10" spans="1:24" ht="14.4" x14ac:dyDescent="0.3"/>
    <row r="11" spans="1:24" ht="14.4" x14ac:dyDescent="0.3"/>
    <row r="12" spans="1:24" ht="14.4" x14ac:dyDescent="0.3"/>
    <row r="13" spans="1:24" ht="14.4" x14ac:dyDescent="0.3"/>
    <row r="14" spans="1:24" ht="14.4" x14ac:dyDescent="0.3"/>
    <row r="15" spans="1:24" ht="14.4" x14ac:dyDescent="0.3"/>
    <row r="16" spans="1:24" ht="14.4" x14ac:dyDescent="0.3"/>
    <row r="17" spans="2:22" ht="14.4" x14ac:dyDescent="0.3"/>
    <row r="18" spans="2:22" ht="14.4" x14ac:dyDescent="0.3"/>
    <row r="19" spans="2:22" ht="14.4" x14ac:dyDescent="0.3"/>
    <row r="20" spans="2:22" ht="14.4" x14ac:dyDescent="0.3"/>
    <row r="21" spans="2:22" ht="14.4" x14ac:dyDescent="0.3"/>
    <row r="22" spans="2:22" ht="14.4" x14ac:dyDescent="0.3"/>
    <row r="23" spans="2:22" ht="14.4" x14ac:dyDescent="0.3"/>
    <row r="24" spans="2:22" ht="13.35" customHeight="1" x14ac:dyDescent="0.3">
      <c r="B24" s="60" t="s">
        <v>4</v>
      </c>
      <c r="C24" s="60"/>
      <c r="D24" s="60"/>
      <c r="E24" s="8"/>
      <c r="F24" s="59" t="s">
        <v>66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9"/>
      <c r="R24" s="9"/>
      <c r="S24" s="9"/>
      <c r="T24" s="9"/>
      <c r="U24" s="9"/>
      <c r="V24" s="9"/>
    </row>
    <row r="25" spans="2:22" ht="13.35" customHeight="1" x14ac:dyDescent="0.3">
      <c r="B25" s="60"/>
      <c r="C25" s="60"/>
      <c r="D25" s="60"/>
      <c r="E25" s="8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9"/>
      <c r="R25" s="9"/>
      <c r="S25" s="9"/>
      <c r="T25" s="9"/>
      <c r="U25" s="9"/>
      <c r="V25" s="9"/>
    </row>
    <row r="26" spans="2:22" ht="8.1" customHeight="1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</row>
    <row r="27" spans="2:22" ht="12" customHeight="1" x14ac:dyDescent="0.3">
      <c r="B27" s="10"/>
      <c r="C27" s="57" t="s">
        <v>5</v>
      </c>
      <c r="D27" s="57"/>
      <c r="E27" s="57"/>
      <c r="F27" s="57"/>
      <c r="G27" s="8"/>
      <c r="H27" s="58" t="s">
        <v>37</v>
      </c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2:22" ht="12" customHeight="1" x14ac:dyDescent="0.3">
      <c r="B28" s="10"/>
      <c r="C28" s="57"/>
      <c r="D28" s="57"/>
      <c r="E28" s="57"/>
      <c r="F28" s="57"/>
      <c r="G28" s="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2:22" ht="3" customHeight="1" x14ac:dyDescent="0.3">
      <c r="B29" s="10"/>
      <c r="C29" s="11"/>
      <c r="D29" s="11"/>
      <c r="E29" s="11"/>
      <c r="F29" s="11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</row>
    <row r="30" spans="2:22" ht="12" customHeight="1" x14ac:dyDescent="0.3">
      <c r="B30" s="10"/>
      <c r="C30" s="57" t="s">
        <v>6</v>
      </c>
      <c r="D30" s="57"/>
      <c r="E30" s="57"/>
      <c r="F30" s="57"/>
      <c r="G30" s="8"/>
      <c r="H30" s="12" t="s">
        <v>34</v>
      </c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</row>
    <row r="31" spans="2:22" ht="12" customHeight="1" x14ac:dyDescent="0.3">
      <c r="B31" s="10"/>
      <c r="C31" s="57"/>
      <c r="D31" s="57"/>
      <c r="E31" s="57"/>
      <c r="F31" s="57"/>
      <c r="G31" s="8"/>
      <c r="H31" s="12" t="s">
        <v>33</v>
      </c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</row>
    <row r="32" spans="2:22" ht="12" customHeight="1" x14ac:dyDescent="0.3">
      <c r="B32" s="10"/>
      <c r="C32" s="57"/>
      <c r="D32" s="57"/>
      <c r="E32" s="57"/>
      <c r="F32" s="57"/>
      <c r="G32" s="8"/>
      <c r="H32" s="12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</row>
    <row r="33" spans="2:22" ht="12" customHeight="1" x14ac:dyDescent="0.3">
      <c r="B33" s="10"/>
      <c r="C33" s="57"/>
      <c r="D33" s="57"/>
      <c r="E33" s="57"/>
      <c r="F33" s="57"/>
      <c r="G33" s="8"/>
      <c r="H33" s="12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</row>
    <row r="34" spans="2:22" ht="12" customHeight="1" x14ac:dyDescent="0.3">
      <c r="B34" s="10"/>
      <c r="C34" s="57"/>
      <c r="D34" s="57"/>
      <c r="E34" s="57"/>
      <c r="F34" s="57"/>
      <c r="G34" s="8"/>
      <c r="H34" s="12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</row>
    <row r="35" spans="2:22" ht="12" customHeight="1" x14ac:dyDescent="0.3">
      <c r="B35" s="10"/>
      <c r="C35" s="57"/>
      <c r="D35" s="57"/>
      <c r="E35" s="57"/>
      <c r="F35" s="57"/>
      <c r="G35" s="8"/>
      <c r="H35" s="12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</row>
    <row r="36" spans="2:22" ht="12" customHeight="1" x14ac:dyDescent="0.3">
      <c r="B36" s="10"/>
      <c r="C36" s="57"/>
      <c r="D36" s="57"/>
      <c r="E36" s="57"/>
      <c r="F36" s="57"/>
      <c r="G36" s="8"/>
      <c r="H36" s="12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</row>
    <row r="37" spans="2:22" ht="3" customHeight="1" x14ac:dyDescent="0.3"/>
    <row r="38" spans="2:22" ht="12" customHeight="1" x14ac:dyDescent="0.3">
      <c r="B38" s="10"/>
      <c r="C38" s="57" t="s">
        <v>7</v>
      </c>
      <c r="D38" s="57"/>
      <c r="E38" s="57"/>
      <c r="F38" s="57"/>
      <c r="G38" s="8"/>
      <c r="H38" s="12" t="s">
        <v>8</v>
      </c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spans="2:22" ht="12" customHeight="1" x14ac:dyDescent="0.3">
      <c r="B39" s="10"/>
      <c r="C39" s="57"/>
      <c r="D39" s="57"/>
      <c r="E39" s="57"/>
      <c r="F39" s="57"/>
      <c r="G39" s="8"/>
      <c r="H39" s="12" t="s">
        <v>9</v>
      </c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</row>
    <row r="40" spans="2:22" ht="3" customHeight="1" x14ac:dyDescent="0.3"/>
    <row r="41" spans="2:22" ht="12" customHeight="1" x14ac:dyDescent="0.3">
      <c r="B41" s="10"/>
      <c r="C41" s="57" t="s">
        <v>10</v>
      </c>
      <c r="D41" s="57"/>
      <c r="E41" s="57"/>
      <c r="F41" s="57"/>
      <c r="G41" s="8"/>
      <c r="H41" s="12" t="s">
        <v>11</v>
      </c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</row>
    <row r="42" spans="2:22" ht="12" customHeight="1" x14ac:dyDescent="0.3">
      <c r="B42" s="10"/>
      <c r="C42" s="57"/>
      <c r="D42" s="57"/>
      <c r="E42" s="57"/>
      <c r="F42" s="57"/>
      <c r="G42" s="8"/>
      <c r="H42" s="12" t="s">
        <v>12</v>
      </c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</row>
    <row r="43" spans="2:22" ht="10.35" customHeight="1" x14ac:dyDescent="0.3"/>
    <row r="44" spans="2:22" ht="13.35" customHeight="1" x14ac:dyDescent="0.3">
      <c r="B44" s="60" t="s">
        <v>13</v>
      </c>
      <c r="C44" s="60"/>
      <c r="D44" s="60"/>
      <c r="E44" s="8"/>
      <c r="F44" s="59" t="s">
        <v>20</v>
      </c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9"/>
      <c r="R44" s="9"/>
      <c r="S44" s="9"/>
      <c r="T44" s="9"/>
      <c r="U44" s="9"/>
      <c r="V44" s="9"/>
    </row>
    <row r="45" spans="2:22" ht="13.35" customHeight="1" x14ac:dyDescent="0.3">
      <c r="B45" s="60"/>
      <c r="C45" s="60"/>
      <c r="D45" s="60"/>
      <c r="E45" s="8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9"/>
      <c r="R45" s="9"/>
      <c r="S45" s="9"/>
      <c r="T45" s="9"/>
      <c r="U45" s="9"/>
      <c r="V45" s="9"/>
    </row>
    <row r="46" spans="2:22" ht="8.1" customHeight="1" x14ac:dyDescent="0.3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</row>
    <row r="47" spans="2:22" ht="12" customHeight="1" x14ac:dyDescent="0.3">
      <c r="B47" s="10"/>
      <c r="C47" s="57" t="s">
        <v>14</v>
      </c>
      <c r="D47" s="57"/>
      <c r="E47" s="57"/>
      <c r="F47" s="57"/>
      <c r="G47" s="8"/>
      <c r="H47" s="58" t="s">
        <v>15</v>
      </c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</row>
    <row r="48" spans="2:22" ht="12" customHeight="1" x14ac:dyDescent="0.3">
      <c r="B48" s="10"/>
      <c r="C48" s="57"/>
      <c r="D48" s="57"/>
      <c r="E48" s="57"/>
      <c r="F48" s="57"/>
      <c r="G48" s="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</row>
    <row r="49" spans="2:22" ht="3" customHeight="1" x14ac:dyDescent="0.3"/>
    <row r="50" spans="2:22" ht="12" customHeight="1" x14ac:dyDescent="0.3">
      <c r="B50" s="10"/>
      <c r="C50" s="57" t="s">
        <v>16</v>
      </c>
      <c r="D50" s="57"/>
      <c r="E50" s="57"/>
      <c r="F50" s="57"/>
      <c r="G50" s="8"/>
      <c r="H50" s="58" t="s">
        <v>21</v>
      </c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</row>
    <row r="51" spans="2:22" ht="12" customHeight="1" x14ac:dyDescent="0.3">
      <c r="B51" s="10"/>
      <c r="C51" s="57"/>
      <c r="D51" s="57"/>
      <c r="E51" s="57"/>
      <c r="F51" s="57"/>
      <c r="G51" s="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</row>
    <row r="52" spans="2:22" ht="3" customHeight="1" x14ac:dyDescent="0.3"/>
    <row r="53" spans="2:22" ht="12" customHeight="1" x14ac:dyDescent="0.3">
      <c r="B53" s="10"/>
      <c r="C53" s="57" t="s">
        <v>17</v>
      </c>
      <c r="D53" s="57"/>
      <c r="E53" s="57"/>
      <c r="F53" s="57"/>
      <c r="G53" s="8"/>
      <c r="H53" s="58" t="s">
        <v>22</v>
      </c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</row>
    <row r="54" spans="2:22" ht="12" customHeight="1" x14ac:dyDescent="0.3">
      <c r="B54" s="10"/>
      <c r="C54" s="57"/>
      <c r="D54" s="57"/>
      <c r="E54" s="57"/>
      <c r="F54" s="57"/>
      <c r="G54" s="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</row>
    <row r="55" spans="2:22" ht="3" customHeight="1" x14ac:dyDescent="0.3"/>
    <row r="56" spans="2:22" ht="12" customHeight="1" x14ac:dyDescent="0.3">
      <c r="B56" s="10"/>
      <c r="C56" s="57" t="s">
        <v>18</v>
      </c>
      <c r="D56" s="57"/>
      <c r="E56" s="57"/>
      <c r="F56" s="57"/>
      <c r="G56" s="8"/>
      <c r="H56" s="59" t="s">
        <v>35</v>
      </c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</row>
    <row r="57" spans="2:22" ht="12" customHeight="1" x14ac:dyDescent="0.3">
      <c r="B57" s="10"/>
      <c r="C57" s="57"/>
      <c r="D57" s="57"/>
      <c r="E57" s="57"/>
      <c r="F57" s="57"/>
      <c r="G57" s="8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</row>
    <row r="58" spans="2:22" ht="3" customHeight="1" x14ac:dyDescent="0.3"/>
    <row r="59" spans="2:22" ht="9" customHeight="1" x14ac:dyDescent="0.3"/>
    <row r="60" spans="2:22" ht="13.35" customHeight="1" x14ac:dyDescent="0.3">
      <c r="B60" s="60" t="s">
        <v>19</v>
      </c>
      <c r="C60" s="60"/>
      <c r="D60" s="60"/>
      <c r="E60" s="8"/>
      <c r="F60" s="59" t="s">
        <v>36</v>
      </c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9"/>
      <c r="R60" s="9"/>
      <c r="S60" s="9"/>
      <c r="T60" s="9"/>
      <c r="U60" s="9"/>
      <c r="V60" s="9"/>
    </row>
    <row r="61" spans="2:22" ht="13.35" customHeight="1" x14ac:dyDescent="0.3">
      <c r="B61" s="60"/>
      <c r="C61" s="60"/>
      <c r="D61" s="60"/>
      <c r="E61" s="8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9"/>
      <c r="R61" s="9"/>
      <c r="S61" s="9"/>
      <c r="T61" s="9"/>
      <c r="U61" s="9"/>
      <c r="V61" s="9"/>
    </row>
    <row r="62" spans="2:22" ht="14.4" x14ac:dyDescent="0.3"/>
    <row r="63" spans="2:22" ht="14.4" hidden="1" x14ac:dyDescent="0.3"/>
    <row r="64" spans="2:22" ht="14.85" hidden="1" customHeight="1" x14ac:dyDescent="0.3"/>
    <row r="65" ht="14.85" hidden="1" customHeight="1" x14ac:dyDescent="0.3"/>
  </sheetData>
  <mergeCells count="19"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  <mergeCell ref="C53:F54"/>
    <mergeCell ref="H53:V54"/>
    <mergeCell ref="C56:F57"/>
    <mergeCell ref="H56:V57"/>
    <mergeCell ref="B60:D61"/>
    <mergeCell ref="F60:P6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5546875" style="24" customWidth="1"/>
    <col min="3" max="4" width="10.5546875" style="24" customWidth="1"/>
    <col min="5" max="5" width="5.5546875" style="24" customWidth="1"/>
    <col min="6" max="6" width="10.5546875" style="24" customWidth="1"/>
    <col min="7" max="7" width="8.5546875" style="24" customWidth="1"/>
    <col min="8" max="8" width="3.5546875" style="24" customWidth="1"/>
    <col min="9" max="13" width="10.5546875" style="24" hidden="1" customWidth="1"/>
    <col min="14" max="16384" width="8.88671875" style="24" hidden="1"/>
  </cols>
  <sheetData>
    <row r="1" spans="1:8" s="17" customFormat="1" ht="14.4" x14ac:dyDescent="0.3"/>
    <row r="2" spans="1:8" s="17" customFormat="1" ht="5.0999999999999996" customHeight="1" x14ac:dyDescent="0.3"/>
    <row r="3" spans="1:8" s="17" customFormat="1" ht="14.4" x14ac:dyDescent="0.3"/>
    <row r="4" spans="1:8" s="17" customFormat="1" ht="5.0999999999999996" customHeight="1" thickBot="1" x14ac:dyDescent="0.35">
      <c r="A4" s="18"/>
      <c r="B4" s="19"/>
      <c r="C4" s="19"/>
      <c r="D4" s="19"/>
      <c r="E4" s="19"/>
      <c r="F4" s="19"/>
      <c r="G4" s="19"/>
    </row>
    <row r="5" spans="1:8" s="17" customFormat="1" ht="8.1" customHeight="1" thickTop="1" x14ac:dyDescent="0.3">
      <c r="A5" s="20"/>
      <c r="B5" s="20"/>
      <c r="C5" s="20"/>
      <c r="D5" s="20"/>
      <c r="E5" s="20"/>
      <c r="F5" s="20"/>
      <c r="G5" s="20"/>
      <c r="H5" s="20"/>
    </row>
    <row r="6" spans="1:8" s="25" customFormat="1" ht="14.4" x14ac:dyDescent="0.3">
      <c r="A6" s="21"/>
      <c r="B6" s="22" t="s">
        <v>0</v>
      </c>
      <c r="C6" s="23"/>
      <c r="D6" s="23"/>
      <c r="E6" s="23"/>
      <c r="F6" s="23"/>
      <c r="G6" s="23"/>
      <c r="H6" s="24"/>
    </row>
    <row r="7" spans="1:8" s="25" customFormat="1" ht="3.9" customHeight="1" x14ac:dyDescent="0.3">
      <c r="A7" s="21"/>
      <c r="B7" s="26"/>
      <c r="C7" s="21"/>
      <c r="D7" s="21"/>
      <c r="E7" s="21"/>
      <c r="F7" s="21"/>
      <c r="G7" s="21"/>
      <c r="H7" s="24"/>
    </row>
    <row r="8" spans="1:8" s="25" customFormat="1" ht="8.1" customHeight="1" x14ac:dyDescent="0.3">
      <c r="A8" s="21"/>
      <c r="B8" s="27"/>
      <c r="C8" s="28"/>
      <c r="D8" s="28"/>
      <c r="E8" s="28"/>
      <c r="F8" s="28"/>
      <c r="G8" s="29"/>
      <c r="H8" s="24"/>
    </row>
    <row r="9" spans="1:8" s="25" customFormat="1" ht="14.4" x14ac:dyDescent="0.3">
      <c r="A9" s="24"/>
      <c r="B9" s="30"/>
      <c r="C9" s="31" t="s">
        <v>1</v>
      </c>
      <c r="D9" s="31"/>
      <c r="E9" s="32"/>
      <c r="F9" s="33">
        <v>45838</v>
      </c>
      <c r="G9" s="34"/>
      <c r="H9" s="24"/>
    </row>
    <row r="10" spans="1:8" s="25" customFormat="1" ht="8.1" customHeight="1" x14ac:dyDescent="0.3">
      <c r="A10" s="24"/>
      <c r="B10" s="30"/>
      <c r="C10" s="35"/>
      <c r="D10" s="35"/>
      <c r="E10" s="1"/>
      <c r="F10" s="16" t="str">
        <f>YEAR(F9)&amp;"-"&amp;TEXT(MONTH(F9),"00")&amp;"-"&amp;TEXT(DAY(F9),"00")</f>
        <v>2025-06-30</v>
      </c>
      <c r="G10" s="40"/>
      <c r="H10" s="24"/>
    </row>
    <row r="11" spans="1:8" s="25" customFormat="1" ht="8.1" customHeight="1" x14ac:dyDescent="0.3">
      <c r="A11" s="24"/>
      <c r="B11" s="30"/>
      <c r="C11" s="17"/>
      <c r="D11" s="17"/>
      <c r="E11" s="17"/>
      <c r="F11" s="17"/>
      <c r="G11" s="34"/>
      <c r="H11" s="24"/>
    </row>
    <row r="12" spans="1:8" s="25" customFormat="1" ht="14.4" x14ac:dyDescent="0.3">
      <c r="A12" s="24"/>
      <c r="B12" s="30"/>
      <c r="C12" s="31" t="s">
        <v>2</v>
      </c>
      <c r="D12" s="31"/>
      <c r="E12" s="32"/>
      <c r="F12" s="32"/>
      <c r="G12" s="34"/>
      <c r="H12" s="24"/>
    </row>
    <row r="13" spans="1:8" s="25" customFormat="1" ht="8.1" customHeight="1" x14ac:dyDescent="0.3">
      <c r="A13" s="24"/>
      <c r="B13" s="30"/>
      <c r="C13" s="17"/>
      <c r="D13" s="17"/>
      <c r="E13" s="17"/>
      <c r="F13" s="17"/>
      <c r="G13" s="34"/>
      <c r="H13" s="24"/>
    </row>
    <row r="14" spans="1:8" s="25" customFormat="1" ht="8.1" customHeight="1" x14ac:dyDescent="0.3">
      <c r="A14" s="24"/>
      <c r="B14" s="30"/>
      <c r="C14" s="17"/>
      <c r="D14" s="17"/>
      <c r="E14" s="17"/>
      <c r="F14" s="17"/>
      <c r="G14" s="34"/>
      <c r="H14" s="24"/>
    </row>
    <row r="15" spans="1:8" s="25" customFormat="1" ht="14.4" x14ac:dyDescent="0.3">
      <c r="A15" s="24"/>
      <c r="B15" s="30"/>
      <c r="C15" s="31" t="s">
        <v>3</v>
      </c>
      <c r="D15" s="31"/>
      <c r="E15" s="32"/>
      <c r="F15" s="32"/>
      <c r="G15" s="34"/>
      <c r="H15" s="24"/>
    </row>
    <row r="16" spans="1:8" s="25" customFormat="1" ht="8.1" customHeight="1" x14ac:dyDescent="0.3">
      <c r="A16" s="24"/>
      <c r="B16" s="30"/>
      <c r="C16" s="17"/>
      <c r="D16" s="17"/>
      <c r="E16" s="17"/>
      <c r="F16" s="17"/>
      <c r="G16" s="34"/>
      <c r="H16" s="24"/>
    </row>
    <row r="17" spans="1:8" s="25" customFormat="1" ht="8.1" customHeight="1" x14ac:dyDescent="0.3">
      <c r="A17" s="24"/>
      <c r="B17" s="36"/>
      <c r="C17" s="37"/>
      <c r="D17" s="37"/>
      <c r="E17" s="37"/>
      <c r="F17" s="37"/>
      <c r="G17" s="38"/>
      <c r="H17" s="24"/>
    </row>
    <row r="18" spans="1:8" s="25" customFormat="1" ht="14.4" x14ac:dyDescent="0.3">
      <c r="A18" s="24"/>
      <c r="B18" s="24"/>
      <c r="C18" s="24"/>
      <c r="D18" s="24"/>
      <c r="E18" s="24"/>
      <c r="F18" s="24"/>
      <c r="G18" s="24"/>
      <c r="H18" s="24"/>
    </row>
    <row r="19" spans="1:8" ht="14.4" hidden="1" x14ac:dyDescent="0.3"/>
    <row r="20" spans="1:8" ht="14.4" hidden="1" x14ac:dyDescent="0.3"/>
    <row r="21" spans="1:8" ht="14.4" hidden="1" x14ac:dyDescent="0.3"/>
    <row r="22" spans="1:8" ht="14.4" hidden="1" x14ac:dyDescent="0.3">
      <c r="F22" s="39"/>
      <c r="G22" s="39"/>
    </row>
    <row r="23" spans="1:8" ht="14.4" hidden="1" x14ac:dyDescent="0.3"/>
    <row r="24" spans="1:8" ht="14.4" hidden="1" x14ac:dyDescent="0.3"/>
    <row r="25" spans="1:8" ht="14.4" hidden="1" x14ac:dyDescent="0.3"/>
    <row r="26" spans="1:8" ht="14.4" hidden="1" x14ac:dyDescent="0.3"/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103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5546875" customWidth="1"/>
    <col min="3" max="3" width="16" customWidth="1"/>
    <col min="4" max="4" width="10.5546875" customWidth="1"/>
    <col min="5" max="5" width="10.44140625" customWidth="1"/>
    <col min="6" max="10" width="14.88671875" customWidth="1"/>
    <col min="11" max="11" width="15.88671875" bestFit="1" customWidth="1"/>
    <col min="12" max="12" width="3.5546875" style="41" customWidth="1"/>
    <col min="13" max="13" width="3.5546875" customWidth="1"/>
    <col min="14" max="30" width="0" hidden="1" customWidth="1"/>
    <col min="31" max="16384" width="8.88671875" hidden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42"/>
      <c r="M1" s="1"/>
    </row>
    <row r="2" spans="1:13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42"/>
      <c r="M2" s="1"/>
    </row>
    <row r="3" spans="1:13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42"/>
      <c r="M3" s="1"/>
    </row>
    <row r="4" spans="1:13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43"/>
      <c r="M4" s="1"/>
    </row>
    <row r="5" spans="1:13" ht="15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4"/>
    </row>
    <row r="6" spans="1:13" x14ac:dyDescent="0.3">
      <c r="C6" s="68" t="s">
        <v>38</v>
      </c>
      <c r="D6" s="68" t="s">
        <v>24</v>
      </c>
      <c r="E6" s="68" t="s">
        <v>39</v>
      </c>
      <c r="F6" s="68" t="s">
        <v>40</v>
      </c>
      <c r="G6" s="68" t="s">
        <v>41</v>
      </c>
      <c r="H6" s="68" t="s">
        <v>67</v>
      </c>
      <c r="I6" s="68" t="s">
        <v>68</v>
      </c>
      <c r="J6" s="68" t="s">
        <v>69</v>
      </c>
      <c r="K6" s="68" t="s">
        <v>25</v>
      </c>
    </row>
    <row r="7" spans="1:13" x14ac:dyDescent="0.3">
      <c r="C7" t="s">
        <v>46</v>
      </c>
      <c r="D7" t="s">
        <v>27</v>
      </c>
      <c r="F7" t="s">
        <v>71</v>
      </c>
      <c r="H7" t="s">
        <v>72</v>
      </c>
      <c r="I7" t="s">
        <v>77</v>
      </c>
      <c r="J7">
        <v>0</v>
      </c>
      <c r="K7">
        <v>-1</v>
      </c>
    </row>
    <row r="8" spans="1:13" x14ac:dyDescent="0.3">
      <c r="C8" t="s">
        <v>42</v>
      </c>
      <c r="D8" t="s">
        <v>78</v>
      </c>
      <c r="E8" t="s">
        <v>70</v>
      </c>
      <c r="F8" t="s">
        <v>45</v>
      </c>
      <c r="G8" t="s">
        <v>81</v>
      </c>
      <c r="H8" t="s">
        <v>72</v>
      </c>
      <c r="I8" t="s">
        <v>77</v>
      </c>
      <c r="J8">
        <v>0</v>
      </c>
      <c r="K8">
        <v>19711</v>
      </c>
    </row>
    <row r="9" spans="1:13" x14ac:dyDescent="0.3">
      <c r="C9" t="s">
        <v>42</v>
      </c>
      <c r="D9" t="s">
        <v>27</v>
      </c>
      <c r="E9" t="s">
        <v>74</v>
      </c>
      <c r="F9" t="s">
        <v>71</v>
      </c>
      <c r="H9" t="s">
        <v>72</v>
      </c>
      <c r="I9" t="s">
        <v>73</v>
      </c>
      <c r="J9">
        <v>1</v>
      </c>
      <c r="K9">
        <v>816949684</v>
      </c>
    </row>
    <row r="10" spans="1:13" x14ac:dyDescent="0.3">
      <c r="C10" t="s">
        <v>42</v>
      </c>
      <c r="D10" t="s">
        <v>26</v>
      </c>
      <c r="E10" t="s">
        <v>70</v>
      </c>
      <c r="F10" t="s">
        <v>45</v>
      </c>
      <c r="G10" t="s">
        <v>81</v>
      </c>
      <c r="H10" t="s">
        <v>72</v>
      </c>
      <c r="I10" t="s">
        <v>77</v>
      </c>
      <c r="J10">
        <v>0</v>
      </c>
      <c r="K10">
        <v>983455</v>
      </c>
    </row>
    <row r="11" spans="1:13" x14ac:dyDescent="0.3">
      <c r="C11" t="s">
        <v>42</v>
      </c>
      <c r="D11" t="s">
        <v>26</v>
      </c>
      <c r="E11" t="s">
        <v>48</v>
      </c>
      <c r="F11" t="s">
        <v>45</v>
      </c>
      <c r="G11" t="s">
        <v>76</v>
      </c>
      <c r="H11" t="s">
        <v>72</v>
      </c>
      <c r="I11" t="s">
        <v>77</v>
      </c>
      <c r="J11">
        <v>0</v>
      </c>
      <c r="K11">
        <v>79699748</v>
      </c>
    </row>
    <row r="12" spans="1:13" x14ac:dyDescent="0.3">
      <c r="C12" t="s">
        <v>42</v>
      </c>
      <c r="D12" t="s">
        <v>43</v>
      </c>
      <c r="E12" t="s">
        <v>70</v>
      </c>
      <c r="F12" t="s">
        <v>45</v>
      </c>
      <c r="G12" t="s">
        <v>75</v>
      </c>
      <c r="H12" t="s">
        <v>72</v>
      </c>
      <c r="I12" t="s">
        <v>77</v>
      </c>
      <c r="J12">
        <v>0</v>
      </c>
      <c r="K12">
        <v>43234</v>
      </c>
    </row>
    <row r="13" spans="1:13" x14ac:dyDescent="0.3">
      <c r="C13" t="s">
        <v>42</v>
      </c>
      <c r="D13" t="s">
        <v>26</v>
      </c>
      <c r="E13" t="s">
        <v>44</v>
      </c>
      <c r="F13" t="s">
        <v>45</v>
      </c>
      <c r="G13" t="s">
        <v>75</v>
      </c>
      <c r="H13" t="s">
        <v>72</v>
      </c>
      <c r="I13" t="s">
        <v>77</v>
      </c>
      <c r="J13">
        <v>0</v>
      </c>
      <c r="K13">
        <v>126790811</v>
      </c>
    </row>
    <row r="14" spans="1:13" x14ac:dyDescent="0.3">
      <c r="C14" t="s">
        <v>46</v>
      </c>
      <c r="D14" t="s">
        <v>26</v>
      </c>
      <c r="E14" t="s">
        <v>74</v>
      </c>
      <c r="F14" t="s">
        <v>71</v>
      </c>
      <c r="H14" t="s">
        <v>72</v>
      </c>
      <c r="I14" t="s">
        <v>73</v>
      </c>
      <c r="J14">
        <v>1</v>
      </c>
      <c r="K14">
        <v>73405912</v>
      </c>
    </row>
    <row r="15" spans="1:13" x14ac:dyDescent="0.3">
      <c r="C15" t="s">
        <v>42</v>
      </c>
      <c r="D15" t="s">
        <v>78</v>
      </c>
      <c r="E15" t="s">
        <v>48</v>
      </c>
      <c r="F15" t="s">
        <v>71</v>
      </c>
      <c r="H15" t="s">
        <v>72</v>
      </c>
      <c r="I15" t="s">
        <v>77</v>
      </c>
      <c r="J15">
        <v>0</v>
      </c>
      <c r="K15">
        <v>173195</v>
      </c>
    </row>
    <row r="16" spans="1:13" x14ac:dyDescent="0.3">
      <c r="C16" t="s">
        <v>42</v>
      </c>
      <c r="D16" t="s">
        <v>27</v>
      </c>
      <c r="E16" t="s">
        <v>70</v>
      </c>
      <c r="F16" t="s">
        <v>71</v>
      </c>
      <c r="H16" t="s">
        <v>72</v>
      </c>
      <c r="I16" t="s">
        <v>73</v>
      </c>
      <c r="J16">
        <v>1</v>
      </c>
      <c r="K16">
        <v>39111399</v>
      </c>
    </row>
    <row r="17" spans="3:11" x14ac:dyDescent="0.3">
      <c r="C17" t="s">
        <v>42</v>
      </c>
      <c r="D17" t="s">
        <v>27</v>
      </c>
      <c r="E17" t="s">
        <v>74</v>
      </c>
      <c r="F17" t="s">
        <v>45</v>
      </c>
      <c r="G17" t="s">
        <v>75</v>
      </c>
      <c r="H17" t="s">
        <v>72</v>
      </c>
      <c r="I17" t="s">
        <v>73</v>
      </c>
      <c r="J17">
        <v>1</v>
      </c>
      <c r="K17">
        <v>52137123</v>
      </c>
    </row>
    <row r="18" spans="3:11" x14ac:dyDescent="0.3">
      <c r="C18" t="s">
        <v>46</v>
      </c>
      <c r="D18" t="s">
        <v>27</v>
      </c>
      <c r="E18" t="s">
        <v>48</v>
      </c>
      <c r="F18" t="s">
        <v>45</v>
      </c>
      <c r="G18" t="s">
        <v>76</v>
      </c>
      <c r="H18" t="s">
        <v>72</v>
      </c>
      <c r="I18" t="s">
        <v>77</v>
      </c>
      <c r="J18">
        <v>0</v>
      </c>
      <c r="K18">
        <v>602337</v>
      </c>
    </row>
    <row r="19" spans="3:11" x14ac:dyDescent="0.3">
      <c r="C19" t="s">
        <v>42</v>
      </c>
      <c r="D19" t="s">
        <v>43</v>
      </c>
      <c r="E19" t="s">
        <v>70</v>
      </c>
      <c r="F19" t="s">
        <v>71</v>
      </c>
      <c r="H19" t="s">
        <v>72</v>
      </c>
      <c r="I19" t="s">
        <v>77</v>
      </c>
      <c r="J19">
        <v>0</v>
      </c>
      <c r="K19">
        <v>120288931</v>
      </c>
    </row>
    <row r="20" spans="3:11" x14ac:dyDescent="0.3">
      <c r="C20" t="s">
        <v>46</v>
      </c>
      <c r="D20" t="s">
        <v>27</v>
      </c>
      <c r="E20" t="s">
        <v>74</v>
      </c>
      <c r="F20" t="s">
        <v>45</v>
      </c>
      <c r="G20" t="s">
        <v>75</v>
      </c>
      <c r="H20" t="s">
        <v>72</v>
      </c>
      <c r="I20" t="s">
        <v>77</v>
      </c>
      <c r="J20">
        <v>0</v>
      </c>
      <c r="K20">
        <v>246569598</v>
      </c>
    </row>
    <row r="21" spans="3:11" x14ac:dyDescent="0.3">
      <c r="C21" t="s">
        <v>42</v>
      </c>
      <c r="D21" t="s">
        <v>78</v>
      </c>
      <c r="E21" t="s">
        <v>74</v>
      </c>
      <c r="F21" t="s">
        <v>45</v>
      </c>
      <c r="G21" t="s">
        <v>47</v>
      </c>
      <c r="H21" t="s">
        <v>72</v>
      </c>
      <c r="I21" t="s">
        <v>77</v>
      </c>
      <c r="J21">
        <v>0</v>
      </c>
      <c r="K21">
        <v>5073111</v>
      </c>
    </row>
    <row r="22" spans="3:11" x14ac:dyDescent="0.3">
      <c r="C22" t="s">
        <v>42</v>
      </c>
      <c r="D22" t="s">
        <v>78</v>
      </c>
      <c r="E22" t="s">
        <v>74</v>
      </c>
      <c r="F22" t="s">
        <v>45</v>
      </c>
      <c r="G22" t="s">
        <v>76</v>
      </c>
      <c r="H22" t="s">
        <v>72</v>
      </c>
      <c r="I22" t="s">
        <v>77</v>
      </c>
      <c r="J22">
        <v>0</v>
      </c>
      <c r="K22">
        <v>1834793</v>
      </c>
    </row>
    <row r="23" spans="3:11" x14ac:dyDescent="0.3">
      <c r="C23" t="s">
        <v>42</v>
      </c>
      <c r="D23" t="s">
        <v>26</v>
      </c>
      <c r="E23" t="s">
        <v>48</v>
      </c>
      <c r="F23" t="s">
        <v>45</v>
      </c>
      <c r="G23" t="s">
        <v>47</v>
      </c>
      <c r="H23" t="s">
        <v>72</v>
      </c>
      <c r="I23" t="s">
        <v>77</v>
      </c>
      <c r="J23">
        <v>0</v>
      </c>
      <c r="K23">
        <v>15896157</v>
      </c>
    </row>
    <row r="24" spans="3:11" x14ac:dyDescent="0.3">
      <c r="C24" t="s">
        <v>42</v>
      </c>
      <c r="D24" t="s">
        <v>78</v>
      </c>
      <c r="E24" t="s">
        <v>44</v>
      </c>
      <c r="F24" t="s">
        <v>71</v>
      </c>
      <c r="H24" t="s">
        <v>72</v>
      </c>
      <c r="I24" t="s">
        <v>77</v>
      </c>
      <c r="J24">
        <v>0</v>
      </c>
      <c r="K24">
        <v>3036338</v>
      </c>
    </row>
    <row r="25" spans="3:11" x14ac:dyDescent="0.3">
      <c r="C25" t="s">
        <v>42</v>
      </c>
      <c r="D25" t="s">
        <v>79</v>
      </c>
      <c r="E25" t="s">
        <v>44</v>
      </c>
      <c r="F25" t="s">
        <v>71</v>
      </c>
      <c r="H25" t="s">
        <v>72</v>
      </c>
      <c r="I25" t="s">
        <v>77</v>
      </c>
      <c r="J25">
        <v>0</v>
      </c>
      <c r="K25">
        <v>381407</v>
      </c>
    </row>
    <row r="26" spans="3:11" x14ac:dyDescent="0.3">
      <c r="C26" t="s">
        <v>42</v>
      </c>
      <c r="D26" t="s">
        <v>43</v>
      </c>
      <c r="E26" t="s">
        <v>74</v>
      </c>
      <c r="F26" t="s">
        <v>45</v>
      </c>
      <c r="G26" t="s">
        <v>76</v>
      </c>
      <c r="H26" t="s">
        <v>72</v>
      </c>
      <c r="I26" t="s">
        <v>77</v>
      </c>
      <c r="J26">
        <v>0</v>
      </c>
      <c r="K26">
        <v>1214020</v>
      </c>
    </row>
    <row r="27" spans="3:11" x14ac:dyDescent="0.3">
      <c r="C27" t="s">
        <v>46</v>
      </c>
      <c r="D27" t="s">
        <v>26</v>
      </c>
      <c r="E27" t="s">
        <v>70</v>
      </c>
      <c r="F27" t="s">
        <v>71</v>
      </c>
      <c r="H27" t="s">
        <v>72</v>
      </c>
      <c r="I27" t="s">
        <v>73</v>
      </c>
      <c r="J27">
        <v>1</v>
      </c>
      <c r="K27">
        <v>15476209</v>
      </c>
    </row>
    <row r="28" spans="3:11" x14ac:dyDescent="0.3">
      <c r="C28" t="s">
        <v>42</v>
      </c>
      <c r="D28" t="s">
        <v>27</v>
      </c>
      <c r="E28" t="s">
        <v>70</v>
      </c>
      <c r="F28" t="s">
        <v>45</v>
      </c>
      <c r="G28" t="s">
        <v>75</v>
      </c>
      <c r="H28" t="s">
        <v>72</v>
      </c>
      <c r="I28" t="s">
        <v>77</v>
      </c>
      <c r="J28">
        <v>0</v>
      </c>
      <c r="K28">
        <v>3540384</v>
      </c>
    </row>
    <row r="29" spans="3:11" x14ac:dyDescent="0.3">
      <c r="C29" t="s">
        <v>42</v>
      </c>
      <c r="D29" t="s">
        <v>27</v>
      </c>
      <c r="E29" t="s">
        <v>74</v>
      </c>
      <c r="F29" t="s">
        <v>71</v>
      </c>
      <c r="H29" t="s">
        <v>80</v>
      </c>
      <c r="I29" t="s">
        <v>73</v>
      </c>
      <c r="J29">
        <v>1</v>
      </c>
      <c r="K29">
        <v>22942997</v>
      </c>
    </row>
    <row r="30" spans="3:11" x14ac:dyDescent="0.3">
      <c r="C30" t="s">
        <v>46</v>
      </c>
      <c r="D30" t="s">
        <v>27</v>
      </c>
      <c r="E30" t="s">
        <v>70</v>
      </c>
      <c r="F30" t="s">
        <v>71</v>
      </c>
      <c r="H30" t="s">
        <v>72</v>
      </c>
      <c r="I30" t="s">
        <v>73</v>
      </c>
      <c r="J30">
        <v>1</v>
      </c>
      <c r="K30">
        <v>751771</v>
      </c>
    </row>
    <row r="31" spans="3:11" x14ac:dyDescent="0.3">
      <c r="C31" t="s">
        <v>42</v>
      </c>
      <c r="D31" t="s">
        <v>79</v>
      </c>
      <c r="F31" t="s">
        <v>71</v>
      </c>
      <c r="H31" t="s">
        <v>72</v>
      </c>
      <c r="I31" t="s">
        <v>77</v>
      </c>
      <c r="J31">
        <v>0</v>
      </c>
      <c r="K31">
        <v>15542</v>
      </c>
    </row>
    <row r="32" spans="3:11" x14ac:dyDescent="0.3">
      <c r="C32" t="s">
        <v>46</v>
      </c>
      <c r="D32" t="s">
        <v>26</v>
      </c>
      <c r="E32" t="s">
        <v>74</v>
      </c>
      <c r="F32" t="s">
        <v>71</v>
      </c>
      <c r="H32" t="s">
        <v>72</v>
      </c>
      <c r="I32" t="s">
        <v>77</v>
      </c>
      <c r="J32">
        <v>0</v>
      </c>
      <c r="K32">
        <v>596390485</v>
      </c>
    </row>
    <row r="33" spans="3:11" x14ac:dyDescent="0.3">
      <c r="C33" t="s">
        <v>42</v>
      </c>
      <c r="D33" t="s">
        <v>27</v>
      </c>
      <c r="E33" t="s">
        <v>70</v>
      </c>
      <c r="F33" t="s">
        <v>71</v>
      </c>
      <c r="H33" t="s">
        <v>80</v>
      </c>
      <c r="I33" t="s">
        <v>73</v>
      </c>
      <c r="J33">
        <v>1</v>
      </c>
      <c r="K33">
        <v>2378481</v>
      </c>
    </row>
    <row r="34" spans="3:11" x14ac:dyDescent="0.3">
      <c r="C34" t="s">
        <v>42</v>
      </c>
      <c r="D34" t="s">
        <v>27</v>
      </c>
      <c r="E34" t="s">
        <v>44</v>
      </c>
      <c r="F34" t="s">
        <v>71</v>
      </c>
      <c r="H34" t="s">
        <v>72</v>
      </c>
      <c r="I34" t="s">
        <v>77</v>
      </c>
      <c r="J34">
        <v>1</v>
      </c>
      <c r="K34">
        <v>144645398</v>
      </c>
    </row>
    <row r="35" spans="3:11" x14ac:dyDescent="0.3">
      <c r="C35" t="s">
        <v>42</v>
      </c>
      <c r="D35" t="s">
        <v>27</v>
      </c>
      <c r="E35" t="s">
        <v>70</v>
      </c>
      <c r="F35" t="s">
        <v>45</v>
      </c>
      <c r="G35" t="s">
        <v>75</v>
      </c>
      <c r="H35" t="s">
        <v>72</v>
      </c>
      <c r="I35" t="s">
        <v>73</v>
      </c>
      <c r="J35">
        <v>1</v>
      </c>
      <c r="K35">
        <v>450931</v>
      </c>
    </row>
    <row r="36" spans="3:11" x14ac:dyDescent="0.3">
      <c r="C36" t="s">
        <v>42</v>
      </c>
      <c r="D36" t="s">
        <v>43</v>
      </c>
      <c r="E36" t="s">
        <v>44</v>
      </c>
      <c r="F36" t="s">
        <v>45</v>
      </c>
      <c r="G36" t="s">
        <v>76</v>
      </c>
      <c r="H36" t="s">
        <v>72</v>
      </c>
      <c r="I36" t="s">
        <v>77</v>
      </c>
      <c r="J36">
        <v>0</v>
      </c>
      <c r="K36">
        <v>3506850</v>
      </c>
    </row>
    <row r="37" spans="3:11" x14ac:dyDescent="0.3">
      <c r="C37" t="s">
        <v>42</v>
      </c>
      <c r="D37" t="s">
        <v>43</v>
      </c>
      <c r="E37" t="s">
        <v>48</v>
      </c>
      <c r="F37" t="s">
        <v>45</v>
      </c>
      <c r="G37" t="s">
        <v>76</v>
      </c>
      <c r="H37" t="s">
        <v>72</v>
      </c>
      <c r="I37" t="s">
        <v>77</v>
      </c>
      <c r="J37">
        <v>0</v>
      </c>
      <c r="K37">
        <v>2539490315</v>
      </c>
    </row>
    <row r="38" spans="3:11" x14ac:dyDescent="0.3">
      <c r="C38" t="s">
        <v>42</v>
      </c>
      <c r="D38" t="s">
        <v>27</v>
      </c>
      <c r="F38" t="s">
        <v>71</v>
      </c>
      <c r="H38" t="s">
        <v>72</v>
      </c>
      <c r="I38" t="s">
        <v>77</v>
      </c>
      <c r="J38">
        <v>0</v>
      </c>
      <c r="K38">
        <v>92544</v>
      </c>
    </row>
    <row r="39" spans="3:11" x14ac:dyDescent="0.3">
      <c r="C39" t="s">
        <v>42</v>
      </c>
      <c r="D39" t="s">
        <v>27</v>
      </c>
      <c r="E39" t="s">
        <v>44</v>
      </c>
      <c r="F39" t="s">
        <v>45</v>
      </c>
      <c r="G39" t="s">
        <v>76</v>
      </c>
      <c r="H39" t="s">
        <v>72</v>
      </c>
      <c r="I39" t="s">
        <v>77</v>
      </c>
      <c r="J39">
        <v>1</v>
      </c>
      <c r="K39">
        <v>5276023</v>
      </c>
    </row>
    <row r="40" spans="3:11" x14ac:dyDescent="0.3">
      <c r="C40" t="s">
        <v>46</v>
      </c>
      <c r="D40" t="s">
        <v>27</v>
      </c>
      <c r="E40" t="s">
        <v>74</v>
      </c>
      <c r="F40" t="s">
        <v>71</v>
      </c>
      <c r="H40" t="s">
        <v>80</v>
      </c>
      <c r="I40" t="s">
        <v>73</v>
      </c>
      <c r="J40">
        <v>1</v>
      </c>
      <c r="K40">
        <v>1407777</v>
      </c>
    </row>
    <row r="41" spans="3:11" x14ac:dyDescent="0.3">
      <c r="C41" t="s">
        <v>42</v>
      </c>
      <c r="D41" t="s">
        <v>79</v>
      </c>
      <c r="E41" t="s">
        <v>74</v>
      </c>
      <c r="F41" t="s">
        <v>71</v>
      </c>
      <c r="H41" t="s">
        <v>72</v>
      </c>
      <c r="I41" t="s">
        <v>77</v>
      </c>
      <c r="J41">
        <v>0</v>
      </c>
      <c r="K41">
        <v>494525065</v>
      </c>
    </row>
    <row r="42" spans="3:11" x14ac:dyDescent="0.3">
      <c r="C42" t="s">
        <v>42</v>
      </c>
      <c r="D42" t="s">
        <v>78</v>
      </c>
      <c r="E42" t="s">
        <v>74</v>
      </c>
      <c r="F42" t="s">
        <v>45</v>
      </c>
      <c r="G42" t="s">
        <v>81</v>
      </c>
      <c r="H42" t="s">
        <v>72</v>
      </c>
      <c r="I42" t="s">
        <v>77</v>
      </c>
      <c r="J42">
        <v>0</v>
      </c>
      <c r="K42">
        <v>4691072</v>
      </c>
    </row>
    <row r="43" spans="3:11" x14ac:dyDescent="0.3">
      <c r="C43" t="s">
        <v>42</v>
      </c>
      <c r="D43" t="s">
        <v>78</v>
      </c>
      <c r="E43" t="s">
        <v>74</v>
      </c>
      <c r="F43" t="s">
        <v>71</v>
      </c>
      <c r="H43" t="s">
        <v>72</v>
      </c>
      <c r="I43" t="s">
        <v>77</v>
      </c>
      <c r="J43">
        <v>0</v>
      </c>
      <c r="K43">
        <v>3456509921</v>
      </c>
    </row>
    <row r="44" spans="3:11" x14ac:dyDescent="0.3">
      <c r="C44" t="s">
        <v>42</v>
      </c>
      <c r="D44" t="s">
        <v>27</v>
      </c>
      <c r="E44" t="s">
        <v>74</v>
      </c>
      <c r="F44" t="s">
        <v>71</v>
      </c>
      <c r="H44" t="s">
        <v>72</v>
      </c>
      <c r="I44" t="s">
        <v>77</v>
      </c>
      <c r="J44">
        <v>0</v>
      </c>
      <c r="K44">
        <v>4536163980</v>
      </c>
    </row>
    <row r="45" spans="3:11" x14ac:dyDescent="0.3">
      <c r="C45" t="s">
        <v>42</v>
      </c>
      <c r="D45" t="s">
        <v>43</v>
      </c>
      <c r="E45" t="s">
        <v>44</v>
      </c>
      <c r="F45" t="s">
        <v>45</v>
      </c>
      <c r="G45" t="s">
        <v>47</v>
      </c>
      <c r="H45" t="s">
        <v>72</v>
      </c>
      <c r="I45" t="s">
        <v>77</v>
      </c>
      <c r="J45">
        <v>0</v>
      </c>
      <c r="K45">
        <v>3513106</v>
      </c>
    </row>
    <row r="46" spans="3:11" x14ac:dyDescent="0.3">
      <c r="C46" t="s">
        <v>46</v>
      </c>
      <c r="D46" t="s">
        <v>27</v>
      </c>
      <c r="E46" t="s">
        <v>74</v>
      </c>
      <c r="F46" t="s">
        <v>71</v>
      </c>
      <c r="H46" t="s">
        <v>72</v>
      </c>
      <c r="I46" t="s">
        <v>77</v>
      </c>
      <c r="J46">
        <v>0</v>
      </c>
      <c r="K46">
        <v>2534479030</v>
      </c>
    </row>
    <row r="47" spans="3:11" x14ac:dyDescent="0.3">
      <c r="C47" t="s">
        <v>42</v>
      </c>
      <c r="D47" t="s">
        <v>27</v>
      </c>
      <c r="E47" t="s">
        <v>74</v>
      </c>
      <c r="F47" t="s">
        <v>71</v>
      </c>
      <c r="H47" t="s">
        <v>80</v>
      </c>
      <c r="I47" t="s">
        <v>77</v>
      </c>
      <c r="J47">
        <v>1</v>
      </c>
      <c r="K47">
        <v>7166135</v>
      </c>
    </row>
    <row r="48" spans="3:11" x14ac:dyDescent="0.3">
      <c r="C48" t="s">
        <v>42</v>
      </c>
      <c r="D48" t="s">
        <v>79</v>
      </c>
      <c r="E48" t="s">
        <v>44</v>
      </c>
      <c r="F48" t="s">
        <v>45</v>
      </c>
      <c r="G48" t="s">
        <v>76</v>
      </c>
      <c r="H48" t="s">
        <v>72</v>
      </c>
      <c r="I48" t="s">
        <v>77</v>
      </c>
      <c r="J48">
        <v>0</v>
      </c>
      <c r="K48">
        <v>416060</v>
      </c>
    </row>
    <row r="49" spans="3:11" x14ac:dyDescent="0.3">
      <c r="C49" t="s">
        <v>42</v>
      </c>
      <c r="D49" t="s">
        <v>78</v>
      </c>
      <c r="E49" t="s">
        <v>48</v>
      </c>
      <c r="F49" t="s">
        <v>45</v>
      </c>
      <c r="G49" t="s">
        <v>47</v>
      </c>
      <c r="H49" t="s">
        <v>72</v>
      </c>
      <c r="I49" t="s">
        <v>77</v>
      </c>
      <c r="J49">
        <v>0</v>
      </c>
      <c r="K49">
        <v>3160481</v>
      </c>
    </row>
    <row r="50" spans="3:11" x14ac:dyDescent="0.3">
      <c r="C50" t="s">
        <v>42</v>
      </c>
      <c r="D50" t="s">
        <v>27</v>
      </c>
      <c r="E50" t="s">
        <v>44</v>
      </c>
      <c r="F50" t="s">
        <v>71</v>
      </c>
      <c r="H50" t="s">
        <v>72</v>
      </c>
      <c r="I50" t="s">
        <v>77</v>
      </c>
      <c r="J50">
        <v>0</v>
      </c>
      <c r="K50">
        <v>1325486521</v>
      </c>
    </row>
    <row r="51" spans="3:11" x14ac:dyDescent="0.3">
      <c r="C51" t="s">
        <v>42</v>
      </c>
      <c r="D51" t="s">
        <v>78</v>
      </c>
      <c r="F51" t="s">
        <v>71</v>
      </c>
      <c r="H51" t="s">
        <v>72</v>
      </c>
      <c r="I51" t="s">
        <v>77</v>
      </c>
      <c r="J51">
        <v>0</v>
      </c>
      <c r="K51">
        <v>1847169</v>
      </c>
    </row>
    <row r="52" spans="3:11" x14ac:dyDescent="0.3">
      <c r="C52" t="s">
        <v>42</v>
      </c>
      <c r="D52" t="s">
        <v>82</v>
      </c>
      <c r="E52" t="s">
        <v>74</v>
      </c>
      <c r="F52" t="s">
        <v>71</v>
      </c>
      <c r="H52" t="s">
        <v>72</v>
      </c>
      <c r="I52" t="s">
        <v>77</v>
      </c>
      <c r="J52">
        <v>0</v>
      </c>
      <c r="K52">
        <v>1837834733</v>
      </c>
    </row>
    <row r="53" spans="3:11" x14ac:dyDescent="0.3">
      <c r="C53" t="s">
        <v>42</v>
      </c>
      <c r="D53" t="s">
        <v>27</v>
      </c>
      <c r="E53" t="s">
        <v>74</v>
      </c>
      <c r="F53" t="s">
        <v>45</v>
      </c>
      <c r="G53" t="s">
        <v>75</v>
      </c>
      <c r="H53" t="s">
        <v>72</v>
      </c>
      <c r="I53" t="s">
        <v>77</v>
      </c>
      <c r="J53">
        <v>0</v>
      </c>
      <c r="K53">
        <v>397703184</v>
      </c>
    </row>
    <row r="54" spans="3:11" x14ac:dyDescent="0.3">
      <c r="C54" t="s">
        <v>42</v>
      </c>
      <c r="D54" t="s">
        <v>26</v>
      </c>
      <c r="E54" t="s">
        <v>70</v>
      </c>
      <c r="F54" t="s">
        <v>71</v>
      </c>
      <c r="H54" t="s">
        <v>72</v>
      </c>
      <c r="I54" t="s">
        <v>73</v>
      </c>
      <c r="J54">
        <v>1</v>
      </c>
      <c r="K54">
        <v>420786</v>
      </c>
    </row>
    <row r="55" spans="3:11" x14ac:dyDescent="0.3">
      <c r="C55" t="s">
        <v>42</v>
      </c>
      <c r="D55" t="s">
        <v>27</v>
      </c>
      <c r="E55" t="s">
        <v>74</v>
      </c>
      <c r="F55" t="s">
        <v>45</v>
      </c>
      <c r="G55" t="s">
        <v>76</v>
      </c>
      <c r="H55" t="s">
        <v>72</v>
      </c>
      <c r="I55" t="s">
        <v>77</v>
      </c>
      <c r="J55">
        <v>0</v>
      </c>
      <c r="K55">
        <v>17519255</v>
      </c>
    </row>
    <row r="56" spans="3:11" x14ac:dyDescent="0.3">
      <c r="C56" t="s">
        <v>42</v>
      </c>
      <c r="D56" t="s">
        <v>27</v>
      </c>
      <c r="E56" t="s">
        <v>44</v>
      </c>
      <c r="F56" t="s">
        <v>71</v>
      </c>
      <c r="H56" t="s">
        <v>72</v>
      </c>
      <c r="I56" t="s">
        <v>73</v>
      </c>
      <c r="J56">
        <v>1</v>
      </c>
      <c r="K56">
        <v>145689</v>
      </c>
    </row>
    <row r="57" spans="3:11" x14ac:dyDescent="0.3">
      <c r="C57" t="s">
        <v>42</v>
      </c>
      <c r="D57" t="s">
        <v>43</v>
      </c>
      <c r="E57" t="s">
        <v>48</v>
      </c>
      <c r="F57" t="s">
        <v>45</v>
      </c>
      <c r="G57" t="s">
        <v>47</v>
      </c>
      <c r="H57" t="s">
        <v>72</v>
      </c>
      <c r="I57" t="s">
        <v>77</v>
      </c>
      <c r="J57">
        <v>0</v>
      </c>
      <c r="K57">
        <v>8360597</v>
      </c>
    </row>
    <row r="58" spans="3:11" x14ac:dyDescent="0.3">
      <c r="C58" t="s">
        <v>42</v>
      </c>
      <c r="D58" t="s">
        <v>27</v>
      </c>
      <c r="E58" t="s">
        <v>70</v>
      </c>
      <c r="F58" t="s">
        <v>71</v>
      </c>
      <c r="H58" t="s">
        <v>80</v>
      </c>
      <c r="I58" t="s">
        <v>77</v>
      </c>
      <c r="J58">
        <v>1</v>
      </c>
      <c r="K58">
        <v>75652</v>
      </c>
    </row>
    <row r="59" spans="3:11" x14ac:dyDescent="0.3">
      <c r="C59" t="s">
        <v>42</v>
      </c>
      <c r="D59" t="s">
        <v>78</v>
      </c>
      <c r="E59" t="s">
        <v>70</v>
      </c>
      <c r="F59" t="s">
        <v>71</v>
      </c>
      <c r="H59" t="s">
        <v>72</v>
      </c>
      <c r="I59" t="s">
        <v>77</v>
      </c>
      <c r="J59">
        <v>0</v>
      </c>
      <c r="K59">
        <v>4460203</v>
      </c>
    </row>
    <row r="60" spans="3:11" x14ac:dyDescent="0.3">
      <c r="C60" t="s">
        <v>42</v>
      </c>
      <c r="D60" t="s">
        <v>26</v>
      </c>
      <c r="E60" t="s">
        <v>44</v>
      </c>
      <c r="F60" t="s">
        <v>45</v>
      </c>
      <c r="G60" t="s">
        <v>47</v>
      </c>
      <c r="H60" t="s">
        <v>72</v>
      </c>
      <c r="I60" t="s">
        <v>77</v>
      </c>
      <c r="J60">
        <v>0</v>
      </c>
      <c r="K60">
        <v>5743932</v>
      </c>
    </row>
    <row r="61" spans="3:11" x14ac:dyDescent="0.3">
      <c r="C61" t="s">
        <v>42</v>
      </c>
      <c r="D61" t="s">
        <v>26</v>
      </c>
      <c r="E61" t="s">
        <v>44</v>
      </c>
      <c r="F61" t="s">
        <v>71</v>
      </c>
      <c r="H61" t="s">
        <v>72</v>
      </c>
      <c r="I61" t="s">
        <v>77</v>
      </c>
      <c r="J61">
        <v>0</v>
      </c>
      <c r="K61">
        <v>91105433</v>
      </c>
    </row>
    <row r="62" spans="3:11" x14ac:dyDescent="0.3">
      <c r="C62" t="s">
        <v>46</v>
      </c>
      <c r="D62" t="s">
        <v>27</v>
      </c>
      <c r="E62" t="s">
        <v>48</v>
      </c>
      <c r="F62" t="s">
        <v>71</v>
      </c>
      <c r="H62" t="s">
        <v>72</v>
      </c>
      <c r="I62" t="s">
        <v>77</v>
      </c>
      <c r="J62">
        <v>0</v>
      </c>
      <c r="K62">
        <v>7038603</v>
      </c>
    </row>
    <row r="63" spans="3:11" x14ac:dyDescent="0.3">
      <c r="C63" t="s">
        <v>42</v>
      </c>
      <c r="D63" t="s">
        <v>26</v>
      </c>
      <c r="E63" t="s">
        <v>74</v>
      </c>
      <c r="F63" t="s">
        <v>71</v>
      </c>
      <c r="H63" t="s">
        <v>80</v>
      </c>
      <c r="I63" t="s">
        <v>73</v>
      </c>
      <c r="J63">
        <v>1</v>
      </c>
      <c r="K63">
        <v>366392</v>
      </c>
    </row>
    <row r="64" spans="3:11" x14ac:dyDescent="0.3">
      <c r="C64" t="s">
        <v>42</v>
      </c>
      <c r="D64" t="s">
        <v>27</v>
      </c>
      <c r="E64" t="s">
        <v>48</v>
      </c>
      <c r="F64" t="s">
        <v>71</v>
      </c>
      <c r="H64" t="s">
        <v>72</v>
      </c>
      <c r="I64" t="s">
        <v>77</v>
      </c>
      <c r="J64">
        <v>1</v>
      </c>
      <c r="K64">
        <v>8283003</v>
      </c>
    </row>
    <row r="65" spans="3:11" x14ac:dyDescent="0.3">
      <c r="C65" t="s">
        <v>42</v>
      </c>
      <c r="D65" t="s">
        <v>26</v>
      </c>
      <c r="E65" t="s">
        <v>74</v>
      </c>
      <c r="F65" t="s">
        <v>71</v>
      </c>
      <c r="H65" t="s">
        <v>72</v>
      </c>
      <c r="I65" t="s">
        <v>77</v>
      </c>
      <c r="J65">
        <v>0</v>
      </c>
      <c r="K65">
        <v>219291934</v>
      </c>
    </row>
    <row r="66" spans="3:11" x14ac:dyDescent="0.3">
      <c r="C66" t="s">
        <v>42</v>
      </c>
      <c r="D66" t="s">
        <v>27</v>
      </c>
      <c r="E66" t="s">
        <v>70</v>
      </c>
      <c r="F66" t="s">
        <v>45</v>
      </c>
      <c r="G66" t="s">
        <v>81</v>
      </c>
      <c r="H66" t="s">
        <v>72</v>
      </c>
      <c r="I66" t="s">
        <v>77</v>
      </c>
      <c r="J66">
        <v>0</v>
      </c>
      <c r="K66">
        <v>86915521</v>
      </c>
    </row>
    <row r="67" spans="3:11" x14ac:dyDescent="0.3">
      <c r="C67" t="s">
        <v>42</v>
      </c>
      <c r="D67" t="s">
        <v>26</v>
      </c>
      <c r="E67" t="s">
        <v>48</v>
      </c>
      <c r="F67" t="s">
        <v>45</v>
      </c>
      <c r="G67" t="s">
        <v>75</v>
      </c>
      <c r="H67" t="s">
        <v>72</v>
      </c>
      <c r="I67" t="s">
        <v>77</v>
      </c>
      <c r="J67">
        <v>0</v>
      </c>
      <c r="K67">
        <v>10961943</v>
      </c>
    </row>
    <row r="68" spans="3:11" x14ac:dyDescent="0.3">
      <c r="C68" t="s">
        <v>42</v>
      </c>
      <c r="D68" t="s">
        <v>27</v>
      </c>
      <c r="E68" t="s">
        <v>70</v>
      </c>
      <c r="F68" t="s">
        <v>45</v>
      </c>
      <c r="G68" t="s">
        <v>81</v>
      </c>
      <c r="H68" t="s">
        <v>72</v>
      </c>
      <c r="I68" t="s">
        <v>73</v>
      </c>
      <c r="J68">
        <v>1</v>
      </c>
      <c r="K68">
        <v>7889605</v>
      </c>
    </row>
    <row r="69" spans="3:11" x14ac:dyDescent="0.3">
      <c r="C69" t="s">
        <v>42</v>
      </c>
      <c r="D69" t="s">
        <v>27</v>
      </c>
      <c r="E69" t="s">
        <v>48</v>
      </c>
      <c r="F69" t="s">
        <v>45</v>
      </c>
      <c r="G69" t="s">
        <v>75</v>
      </c>
      <c r="H69" t="s">
        <v>72</v>
      </c>
      <c r="I69" t="s">
        <v>77</v>
      </c>
      <c r="J69">
        <v>0</v>
      </c>
      <c r="K69">
        <v>34707755</v>
      </c>
    </row>
    <row r="70" spans="3:11" x14ac:dyDescent="0.3">
      <c r="C70" t="s">
        <v>42</v>
      </c>
      <c r="D70" t="s">
        <v>26</v>
      </c>
      <c r="E70" t="s">
        <v>44</v>
      </c>
      <c r="F70" t="s">
        <v>45</v>
      </c>
      <c r="G70" t="s">
        <v>76</v>
      </c>
      <c r="H70" t="s">
        <v>72</v>
      </c>
      <c r="I70" t="s">
        <v>77</v>
      </c>
      <c r="J70">
        <v>0</v>
      </c>
      <c r="K70">
        <v>70774601</v>
      </c>
    </row>
    <row r="71" spans="3:11" x14ac:dyDescent="0.3">
      <c r="C71" t="s">
        <v>42</v>
      </c>
      <c r="D71" t="s">
        <v>27</v>
      </c>
      <c r="E71" t="s">
        <v>48</v>
      </c>
      <c r="F71" t="s">
        <v>45</v>
      </c>
      <c r="G71" t="s">
        <v>47</v>
      </c>
      <c r="H71" t="s">
        <v>72</v>
      </c>
      <c r="I71" t="s">
        <v>77</v>
      </c>
      <c r="J71">
        <v>0</v>
      </c>
      <c r="K71">
        <v>65019330</v>
      </c>
    </row>
    <row r="72" spans="3:11" x14ac:dyDescent="0.3">
      <c r="C72" t="s">
        <v>42</v>
      </c>
      <c r="D72" t="s">
        <v>26</v>
      </c>
      <c r="E72" t="s">
        <v>70</v>
      </c>
      <c r="F72" t="s">
        <v>71</v>
      </c>
      <c r="H72" t="s">
        <v>72</v>
      </c>
      <c r="I72" t="s">
        <v>77</v>
      </c>
      <c r="J72">
        <v>0</v>
      </c>
      <c r="K72">
        <v>6049455</v>
      </c>
    </row>
    <row r="73" spans="3:11" x14ac:dyDescent="0.3">
      <c r="C73" t="s">
        <v>42</v>
      </c>
      <c r="D73" t="s">
        <v>79</v>
      </c>
      <c r="E73" t="s">
        <v>70</v>
      </c>
      <c r="F73" t="s">
        <v>71</v>
      </c>
      <c r="H73" t="s">
        <v>72</v>
      </c>
      <c r="I73" t="s">
        <v>77</v>
      </c>
      <c r="J73">
        <v>0</v>
      </c>
      <c r="K73">
        <v>40</v>
      </c>
    </row>
    <row r="74" spans="3:11" x14ac:dyDescent="0.3">
      <c r="C74" t="s">
        <v>42</v>
      </c>
      <c r="D74" t="s">
        <v>27</v>
      </c>
      <c r="E74" t="s">
        <v>70</v>
      </c>
      <c r="F74" t="s">
        <v>71</v>
      </c>
      <c r="H74" t="s">
        <v>72</v>
      </c>
      <c r="I74" t="s">
        <v>77</v>
      </c>
      <c r="J74">
        <v>0</v>
      </c>
      <c r="K74">
        <v>521550824</v>
      </c>
    </row>
    <row r="75" spans="3:11" x14ac:dyDescent="0.3">
      <c r="C75" t="s">
        <v>42</v>
      </c>
      <c r="D75" t="s">
        <v>26</v>
      </c>
      <c r="E75" t="s">
        <v>74</v>
      </c>
      <c r="F75" t="s">
        <v>45</v>
      </c>
      <c r="G75" t="s">
        <v>75</v>
      </c>
      <c r="H75" t="s">
        <v>72</v>
      </c>
      <c r="I75" t="s">
        <v>73</v>
      </c>
      <c r="J75">
        <v>1</v>
      </c>
      <c r="K75">
        <v>46937329</v>
      </c>
    </row>
    <row r="76" spans="3:11" x14ac:dyDescent="0.3">
      <c r="C76" t="s">
        <v>42</v>
      </c>
      <c r="D76" t="s">
        <v>26</v>
      </c>
      <c r="E76" t="s">
        <v>74</v>
      </c>
      <c r="F76" t="s">
        <v>45</v>
      </c>
      <c r="G76" t="s">
        <v>75</v>
      </c>
      <c r="H76" t="s">
        <v>72</v>
      </c>
      <c r="I76" t="s">
        <v>77</v>
      </c>
      <c r="J76">
        <v>0</v>
      </c>
      <c r="K76">
        <v>15837143</v>
      </c>
    </row>
    <row r="77" spans="3:11" x14ac:dyDescent="0.3">
      <c r="C77" t="s">
        <v>42</v>
      </c>
      <c r="D77" t="s">
        <v>26</v>
      </c>
      <c r="F77" t="s">
        <v>71</v>
      </c>
      <c r="H77" t="s">
        <v>72</v>
      </c>
      <c r="I77" t="s">
        <v>77</v>
      </c>
      <c r="J77">
        <v>0</v>
      </c>
      <c r="K77">
        <v>1</v>
      </c>
    </row>
    <row r="78" spans="3:11" x14ac:dyDescent="0.3">
      <c r="C78" t="s">
        <v>42</v>
      </c>
      <c r="D78" t="s">
        <v>27</v>
      </c>
      <c r="E78" t="s">
        <v>70</v>
      </c>
      <c r="F78" t="s">
        <v>45</v>
      </c>
      <c r="G78" t="s">
        <v>81</v>
      </c>
      <c r="H78" t="s">
        <v>80</v>
      </c>
      <c r="I78" t="s">
        <v>73</v>
      </c>
      <c r="J78">
        <v>1</v>
      </c>
      <c r="K78">
        <v>292579</v>
      </c>
    </row>
    <row r="79" spans="3:11" x14ac:dyDescent="0.3">
      <c r="C79" t="s">
        <v>42</v>
      </c>
      <c r="D79" t="s">
        <v>27</v>
      </c>
      <c r="E79" t="s">
        <v>48</v>
      </c>
      <c r="F79" t="s">
        <v>71</v>
      </c>
      <c r="H79" t="s">
        <v>72</v>
      </c>
      <c r="I79" t="s">
        <v>73</v>
      </c>
      <c r="J79">
        <v>1</v>
      </c>
      <c r="K79">
        <v>491520</v>
      </c>
    </row>
    <row r="80" spans="3:11" x14ac:dyDescent="0.3">
      <c r="C80" t="s">
        <v>42</v>
      </c>
      <c r="D80" t="s">
        <v>27</v>
      </c>
      <c r="E80" t="s">
        <v>74</v>
      </c>
      <c r="F80" t="s">
        <v>45</v>
      </c>
      <c r="G80" t="s">
        <v>81</v>
      </c>
      <c r="H80" t="s">
        <v>72</v>
      </c>
      <c r="I80" t="s">
        <v>77</v>
      </c>
      <c r="J80">
        <v>0</v>
      </c>
      <c r="K80">
        <v>47472338</v>
      </c>
    </row>
    <row r="81" spans="3:11" x14ac:dyDescent="0.3">
      <c r="C81" t="s">
        <v>42</v>
      </c>
      <c r="D81" t="s">
        <v>27</v>
      </c>
      <c r="E81" t="s">
        <v>48</v>
      </c>
      <c r="F81" t="s">
        <v>45</v>
      </c>
      <c r="G81" t="s">
        <v>47</v>
      </c>
      <c r="H81" t="s">
        <v>72</v>
      </c>
      <c r="I81" t="s">
        <v>77</v>
      </c>
      <c r="J81">
        <v>1</v>
      </c>
      <c r="K81">
        <v>98947</v>
      </c>
    </row>
    <row r="82" spans="3:11" x14ac:dyDescent="0.3">
      <c r="C82" t="s">
        <v>42</v>
      </c>
      <c r="D82" t="s">
        <v>43</v>
      </c>
      <c r="E82" t="s">
        <v>74</v>
      </c>
      <c r="F82" t="s">
        <v>45</v>
      </c>
      <c r="G82" t="s">
        <v>75</v>
      </c>
      <c r="H82" t="s">
        <v>72</v>
      </c>
      <c r="I82" t="s">
        <v>77</v>
      </c>
      <c r="J82">
        <v>0</v>
      </c>
      <c r="K82">
        <v>2137874</v>
      </c>
    </row>
    <row r="83" spans="3:11" x14ac:dyDescent="0.3">
      <c r="C83" t="s">
        <v>42</v>
      </c>
      <c r="D83" t="s">
        <v>27</v>
      </c>
      <c r="E83" t="s">
        <v>44</v>
      </c>
      <c r="F83" t="s">
        <v>45</v>
      </c>
      <c r="G83" t="s">
        <v>47</v>
      </c>
      <c r="H83" t="s">
        <v>72</v>
      </c>
      <c r="I83" t="s">
        <v>77</v>
      </c>
      <c r="J83">
        <v>0</v>
      </c>
      <c r="K83">
        <v>45436028</v>
      </c>
    </row>
    <row r="84" spans="3:11" x14ac:dyDescent="0.3">
      <c r="C84" t="s">
        <v>42</v>
      </c>
      <c r="D84" t="s">
        <v>27</v>
      </c>
      <c r="E84" t="s">
        <v>48</v>
      </c>
      <c r="F84" t="s">
        <v>71</v>
      </c>
      <c r="H84" t="s">
        <v>72</v>
      </c>
      <c r="I84" t="s">
        <v>77</v>
      </c>
      <c r="J84">
        <v>0</v>
      </c>
      <c r="K84">
        <v>427917600</v>
      </c>
    </row>
    <row r="85" spans="3:11" x14ac:dyDescent="0.3">
      <c r="C85" t="s">
        <v>42</v>
      </c>
      <c r="D85" t="s">
        <v>27</v>
      </c>
      <c r="E85" t="s">
        <v>44</v>
      </c>
      <c r="F85" t="s">
        <v>45</v>
      </c>
      <c r="G85" t="s">
        <v>76</v>
      </c>
      <c r="H85" t="s">
        <v>72</v>
      </c>
      <c r="I85" t="s">
        <v>77</v>
      </c>
      <c r="J85">
        <v>0</v>
      </c>
      <c r="K85">
        <v>280643687</v>
      </c>
    </row>
    <row r="86" spans="3:11" x14ac:dyDescent="0.3">
      <c r="C86" t="s">
        <v>42</v>
      </c>
      <c r="D86" t="s">
        <v>43</v>
      </c>
      <c r="E86" t="s">
        <v>48</v>
      </c>
      <c r="F86" t="s">
        <v>71</v>
      </c>
      <c r="H86" t="s">
        <v>72</v>
      </c>
      <c r="I86" t="s">
        <v>77</v>
      </c>
      <c r="J86">
        <v>0</v>
      </c>
      <c r="K86">
        <v>21598306261</v>
      </c>
    </row>
    <row r="87" spans="3:11" x14ac:dyDescent="0.3">
      <c r="C87" t="s">
        <v>46</v>
      </c>
      <c r="D87" t="s">
        <v>78</v>
      </c>
      <c r="E87" t="s">
        <v>74</v>
      </c>
      <c r="F87" t="s">
        <v>71</v>
      </c>
      <c r="H87" t="s">
        <v>72</v>
      </c>
      <c r="I87" t="s">
        <v>77</v>
      </c>
      <c r="J87">
        <v>0</v>
      </c>
      <c r="K87">
        <v>9176258917</v>
      </c>
    </row>
    <row r="88" spans="3:11" x14ac:dyDescent="0.3">
      <c r="C88" t="s">
        <v>46</v>
      </c>
      <c r="D88" t="s">
        <v>27</v>
      </c>
      <c r="E88" t="s">
        <v>74</v>
      </c>
      <c r="F88" t="s">
        <v>71</v>
      </c>
      <c r="H88" t="s">
        <v>72</v>
      </c>
      <c r="I88" t="s">
        <v>73</v>
      </c>
      <c r="J88">
        <v>1</v>
      </c>
      <c r="K88">
        <v>165928349</v>
      </c>
    </row>
    <row r="89" spans="3:11" x14ac:dyDescent="0.3">
      <c r="C89" t="s">
        <v>46</v>
      </c>
      <c r="D89" t="s">
        <v>27</v>
      </c>
      <c r="E89" t="s">
        <v>44</v>
      </c>
      <c r="F89" t="s">
        <v>71</v>
      </c>
      <c r="H89" t="s">
        <v>72</v>
      </c>
      <c r="I89" t="s">
        <v>77</v>
      </c>
      <c r="J89">
        <v>1</v>
      </c>
      <c r="K89">
        <v>26954467</v>
      </c>
    </row>
    <row r="90" spans="3:11" x14ac:dyDescent="0.3">
      <c r="C90" t="s">
        <v>42</v>
      </c>
      <c r="D90" t="s">
        <v>27</v>
      </c>
      <c r="E90" t="s">
        <v>44</v>
      </c>
      <c r="F90" t="s">
        <v>45</v>
      </c>
      <c r="G90" t="s">
        <v>75</v>
      </c>
      <c r="H90" t="s">
        <v>72</v>
      </c>
      <c r="I90" t="s">
        <v>77</v>
      </c>
      <c r="J90">
        <v>0</v>
      </c>
      <c r="K90">
        <v>295631622</v>
      </c>
    </row>
    <row r="91" spans="3:11" x14ac:dyDescent="0.3">
      <c r="C91" t="s">
        <v>42</v>
      </c>
      <c r="D91" t="s">
        <v>43</v>
      </c>
      <c r="E91" t="s">
        <v>44</v>
      </c>
      <c r="F91" t="s">
        <v>71</v>
      </c>
      <c r="H91" t="s">
        <v>72</v>
      </c>
      <c r="I91" t="s">
        <v>77</v>
      </c>
      <c r="J91">
        <v>0</v>
      </c>
      <c r="K91">
        <v>161002706</v>
      </c>
    </row>
    <row r="92" spans="3:11" x14ac:dyDescent="0.3">
      <c r="C92" t="s">
        <v>42</v>
      </c>
      <c r="D92" t="s">
        <v>26</v>
      </c>
      <c r="E92" t="s">
        <v>48</v>
      </c>
      <c r="F92" t="s">
        <v>71</v>
      </c>
      <c r="H92" t="s">
        <v>72</v>
      </c>
      <c r="I92" t="s">
        <v>77</v>
      </c>
      <c r="J92">
        <v>0</v>
      </c>
      <c r="K92">
        <v>11191362</v>
      </c>
    </row>
    <row r="93" spans="3:11" x14ac:dyDescent="0.3">
      <c r="C93" t="s">
        <v>42</v>
      </c>
      <c r="D93" t="s">
        <v>27</v>
      </c>
      <c r="E93" t="s">
        <v>44</v>
      </c>
      <c r="F93" t="s">
        <v>45</v>
      </c>
      <c r="G93" t="s">
        <v>47</v>
      </c>
      <c r="H93" t="s">
        <v>72</v>
      </c>
      <c r="I93" t="s">
        <v>77</v>
      </c>
      <c r="J93">
        <v>1</v>
      </c>
      <c r="K93">
        <v>70139</v>
      </c>
    </row>
    <row r="94" spans="3:11" x14ac:dyDescent="0.3">
      <c r="C94" t="s">
        <v>42</v>
      </c>
      <c r="D94" t="s">
        <v>27</v>
      </c>
      <c r="E94" t="s">
        <v>48</v>
      </c>
      <c r="F94" t="s">
        <v>45</v>
      </c>
      <c r="G94" t="s">
        <v>76</v>
      </c>
      <c r="H94" t="s">
        <v>72</v>
      </c>
      <c r="I94" t="s">
        <v>77</v>
      </c>
      <c r="J94">
        <v>0</v>
      </c>
      <c r="K94">
        <v>308609999</v>
      </c>
    </row>
    <row r="95" spans="3:11" x14ac:dyDescent="0.3">
      <c r="C95" t="s">
        <v>42</v>
      </c>
      <c r="D95" t="s">
        <v>43</v>
      </c>
      <c r="E95" t="s">
        <v>74</v>
      </c>
      <c r="F95" t="s">
        <v>71</v>
      </c>
      <c r="H95" t="s">
        <v>72</v>
      </c>
      <c r="I95" t="s">
        <v>77</v>
      </c>
      <c r="J95">
        <v>0</v>
      </c>
      <c r="K95">
        <v>2236154590</v>
      </c>
    </row>
    <row r="96" spans="3:11" x14ac:dyDescent="0.3">
      <c r="C96" t="s">
        <v>42</v>
      </c>
      <c r="D96" t="s">
        <v>43</v>
      </c>
      <c r="E96" t="s">
        <v>70</v>
      </c>
      <c r="F96" t="s">
        <v>45</v>
      </c>
      <c r="G96" t="s">
        <v>47</v>
      </c>
      <c r="H96" t="s">
        <v>72</v>
      </c>
      <c r="I96" t="s">
        <v>77</v>
      </c>
      <c r="J96">
        <v>0</v>
      </c>
      <c r="K96">
        <v>47716</v>
      </c>
    </row>
    <row r="97" spans="3:11" x14ac:dyDescent="0.3">
      <c r="C97" t="s">
        <v>46</v>
      </c>
      <c r="D97" t="s">
        <v>27</v>
      </c>
      <c r="E97" t="s">
        <v>74</v>
      </c>
      <c r="F97" t="s">
        <v>45</v>
      </c>
      <c r="G97" t="s">
        <v>75</v>
      </c>
      <c r="H97" t="s">
        <v>80</v>
      </c>
      <c r="I97" t="s">
        <v>77</v>
      </c>
      <c r="J97">
        <v>1</v>
      </c>
      <c r="K97">
        <v>40209627</v>
      </c>
    </row>
    <row r="98" spans="3:11" x14ac:dyDescent="0.3">
      <c r="C98" t="s">
        <v>46</v>
      </c>
      <c r="D98" t="s">
        <v>26</v>
      </c>
      <c r="E98" t="s">
        <v>70</v>
      </c>
      <c r="F98" t="s">
        <v>71</v>
      </c>
      <c r="H98" t="s">
        <v>72</v>
      </c>
      <c r="I98" t="s">
        <v>77</v>
      </c>
      <c r="J98">
        <v>0</v>
      </c>
      <c r="K98">
        <v>1511210</v>
      </c>
    </row>
    <row r="99" spans="3:11" x14ac:dyDescent="0.3">
      <c r="C99" t="s">
        <v>42</v>
      </c>
      <c r="D99" t="s">
        <v>26</v>
      </c>
      <c r="E99" t="s">
        <v>74</v>
      </c>
      <c r="F99" t="s">
        <v>71</v>
      </c>
      <c r="H99" t="s">
        <v>72</v>
      </c>
      <c r="I99" t="s">
        <v>73</v>
      </c>
      <c r="J99">
        <v>1</v>
      </c>
      <c r="K99">
        <v>6453922</v>
      </c>
    </row>
    <row r="100" spans="3:11" x14ac:dyDescent="0.3">
      <c r="C100" t="s">
        <v>42</v>
      </c>
      <c r="D100" t="s">
        <v>27</v>
      </c>
      <c r="E100" t="s">
        <v>48</v>
      </c>
      <c r="F100" t="s">
        <v>45</v>
      </c>
      <c r="G100" t="s">
        <v>76</v>
      </c>
      <c r="H100" t="s">
        <v>72</v>
      </c>
      <c r="I100" t="s">
        <v>77</v>
      </c>
      <c r="J100">
        <v>1</v>
      </c>
      <c r="K100">
        <v>2563252</v>
      </c>
    </row>
    <row r="101" spans="3:11" x14ac:dyDescent="0.3">
      <c r="C101" t="s">
        <v>42</v>
      </c>
      <c r="D101" t="s">
        <v>27</v>
      </c>
      <c r="E101" t="s">
        <v>74</v>
      </c>
      <c r="F101" t="s">
        <v>45</v>
      </c>
      <c r="G101" t="s">
        <v>81</v>
      </c>
      <c r="H101" t="s">
        <v>72</v>
      </c>
      <c r="I101" t="s">
        <v>73</v>
      </c>
      <c r="J101">
        <v>1</v>
      </c>
      <c r="K101">
        <v>13413132</v>
      </c>
    </row>
    <row r="102" spans="3:11" x14ac:dyDescent="0.3">
      <c r="C102" t="s">
        <v>42</v>
      </c>
      <c r="D102" t="s">
        <v>43</v>
      </c>
      <c r="E102" t="s">
        <v>70</v>
      </c>
      <c r="F102" t="s">
        <v>45</v>
      </c>
      <c r="G102" t="s">
        <v>81</v>
      </c>
      <c r="H102" t="s">
        <v>72</v>
      </c>
      <c r="I102" t="s">
        <v>77</v>
      </c>
      <c r="J102">
        <v>0</v>
      </c>
      <c r="K102">
        <v>1425124</v>
      </c>
    </row>
    <row r="103" spans="3:11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M43"/>
  <sheetViews>
    <sheetView showGridLines="0" zoomScale="79" zoomScaleNormal="90" workbookViewId="0"/>
  </sheetViews>
  <sheetFormatPr defaultColWidth="8.88671875" defaultRowHeight="14.4" x14ac:dyDescent="0.3"/>
  <cols>
    <col min="1" max="1" width="3.5546875" style="45" customWidth="1"/>
    <col min="2" max="2" width="3.44140625" style="45" customWidth="1"/>
    <col min="3" max="3" width="60.5546875" style="45" customWidth="1"/>
    <col min="4" max="4" width="62.109375" style="45" bestFit="1" customWidth="1"/>
    <col min="5" max="5" width="35" style="45" bestFit="1" customWidth="1"/>
    <col min="6" max="6" width="35" style="45" customWidth="1"/>
    <col min="7" max="7" width="36.5546875" style="45" customWidth="1"/>
    <col min="8" max="8" width="41.5546875" style="45" customWidth="1"/>
    <col min="9" max="9" width="8.88671875" style="45"/>
    <col min="10" max="10" width="26.5546875" style="45" bestFit="1" customWidth="1"/>
    <col min="11" max="11" width="22.88671875" style="45" bestFit="1" customWidth="1"/>
    <col min="12" max="12" width="20.5546875" style="45" bestFit="1" customWidth="1"/>
    <col min="13" max="16384" width="8.88671875" style="45"/>
  </cols>
  <sheetData>
    <row r="2" spans="1:8" x14ac:dyDescent="0.3">
      <c r="C2" s="46" t="s">
        <v>49</v>
      </c>
    </row>
    <row r="3" spans="1:8" x14ac:dyDescent="0.3">
      <c r="A3" s="47"/>
    </row>
    <row r="4" spans="1:8" x14ac:dyDescent="0.3">
      <c r="A4" s="47"/>
      <c r="C4" s="48" t="s">
        <v>28</v>
      </c>
      <c r="D4" s="48" t="s">
        <v>29</v>
      </c>
      <c r="E4" s="48" t="s">
        <v>30</v>
      </c>
      <c r="F4" s="48" t="s">
        <v>31</v>
      </c>
      <c r="G4" s="48" t="s">
        <v>32</v>
      </c>
      <c r="H4" s="48" t="s">
        <v>50</v>
      </c>
    </row>
    <row r="5" spans="1:8" x14ac:dyDescent="0.3">
      <c r="A5" s="47"/>
      <c r="C5" s="66" t="s">
        <v>51</v>
      </c>
      <c r="D5" s="66" t="s">
        <v>52</v>
      </c>
      <c r="E5" s="66" t="s">
        <v>53</v>
      </c>
      <c r="F5" s="61" t="s">
        <v>54</v>
      </c>
      <c r="G5" s="61" t="s">
        <v>55</v>
      </c>
      <c r="H5" s="63" t="s">
        <v>56</v>
      </c>
    </row>
    <row r="6" spans="1:8" x14ac:dyDescent="0.3">
      <c r="A6" s="47"/>
      <c r="C6" s="67"/>
      <c r="D6" s="67"/>
      <c r="E6" s="67"/>
      <c r="F6" s="62"/>
      <c r="G6" s="62"/>
      <c r="H6" s="64"/>
    </row>
    <row r="7" spans="1:8" ht="14.4" customHeight="1" x14ac:dyDescent="0.3">
      <c r="A7" s="47"/>
      <c r="B7" s="49">
        <v>1</v>
      </c>
      <c r="C7" s="63" t="s">
        <v>57</v>
      </c>
      <c r="D7" s="49" t="s">
        <v>58</v>
      </c>
      <c r="E7" s="50">
        <f>(SUMIFS(Input!$K:$K,Input!$F:$F,'10.Other mitigating actions'!$A$21,Input!$C:$C,'10.Other mitigating actions'!$C$21,Input!$D:$D,'10.Other mitigating actions'!$D$21))/1000000</f>
        <v>0</v>
      </c>
      <c r="F7" s="50" t="str">
        <f>+IF(E7&gt;0,"Policy and legal risk","")</f>
        <v/>
      </c>
      <c r="G7" s="51" t="str">
        <f>+IF(E7&gt;0,IF(_xlfn.MAXIFS(Input!$J:$J,Input!$F:$F,'10.Other mitigating actions'!$A$21,Input!$C:$C,'10.Other mitigating actions'!$C$21,Input!$D:$D,'10.Other mitigating actions'!$D$21)=1,"Si","No"),"")</f>
        <v/>
      </c>
      <c r="H7" s="49"/>
    </row>
    <row r="8" spans="1:8" x14ac:dyDescent="0.3">
      <c r="A8" s="47"/>
      <c r="B8" s="49">
        <v>2</v>
      </c>
      <c r="C8" s="65"/>
      <c r="D8" s="49" t="s">
        <v>59</v>
      </c>
      <c r="E8" s="50">
        <f>(SUMIFS(Input!$K:$K,Input!$F:$F,'10.Other mitigating actions'!$A$21,Input!$C:$C,'10.Other mitigating actions'!$C$21,Input!$D:$D,'10.Other mitigating actions'!$D$22))/1000000</f>
        <v>287.38156199999997</v>
      </c>
      <c r="F8" s="50" t="str">
        <f t="shared" ref="F8:F20" si="0">+IF(E8&gt;0,"Policy and legal risk","")</f>
        <v>Policy and legal risk</v>
      </c>
      <c r="G8" s="51" t="str">
        <f>+IF(E8&gt;0,IF(_xlfn.MAXIFS(Input!$J:$J,Input!$F:$F,'10.Other mitigating actions'!$A$21,Input!$C:$C,'10.Other mitigating actions'!$C$21,Input!$D:$D,'10.Other mitigating actions'!$D$22)=1,"Si","No"),"")</f>
        <v>Si</v>
      </c>
      <c r="H8" s="49"/>
    </row>
    <row r="9" spans="1:8" x14ac:dyDescent="0.3">
      <c r="A9" s="47"/>
      <c r="B9" s="49">
        <v>3</v>
      </c>
      <c r="C9" s="65"/>
      <c r="D9" s="52" t="s">
        <v>60</v>
      </c>
      <c r="E9" s="50">
        <f>(SUMIFS(Input!$K:$K,Input!$F:$F,'10.Other mitigating actions'!$A$21,Input!$C:$C,'10.Other mitigating actions'!$C$21,Input!$D:$D,'10.Other mitigating actions'!$D$22,Input!$E:$E,'10.Other mitigating actions'!$D$23))/1000000</f>
        <v>0</v>
      </c>
      <c r="F9" s="50" t="str">
        <f t="shared" si="0"/>
        <v/>
      </c>
      <c r="G9" s="51" t="str">
        <f>+IF(E9&gt;0,IF(_xlfn.MAXIFS(Input!$J:$J,Input!$F:$F,'10.Other mitigating actions'!$A$21,Input!$C:$C,'10.Other mitigating actions'!$C$21,Input!$D:$D,'10.Other mitigating actions'!$D$22,Input!$E:$E,'10.Other mitigating actions'!$D$23)=1,"Si","No"),"")</f>
        <v/>
      </c>
      <c r="H9" s="49"/>
    </row>
    <row r="10" spans="1:8" x14ac:dyDescent="0.3">
      <c r="A10" s="47"/>
      <c r="B10" s="49">
        <v>4</v>
      </c>
      <c r="C10" s="65"/>
      <c r="D10" s="49" t="s">
        <v>61</v>
      </c>
      <c r="E10" s="50">
        <f>(SUMIFS(Input!$K:$K,Input!$F:$F,'10.Other mitigating actions'!$A$21,Input!$C:$C,'10.Other mitigating actions'!$C$21,Input!$D:$D,'10.Other mitigating actions'!$D$24))/1000000</f>
        <v>0</v>
      </c>
      <c r="F10" s="50" t="str">
        <f t="shared" si="0"/>
        <v/>
      </c>
      <c r="G10" s="51" t="str">
        <f>+IF(E10&gt;0,IF(_xlfn.MAXIFS(Input!$J:$J,Input!$F:$F,'10.Other mitigating actions'!$A$21,Input!$C:$C,'10.Other mitigating actions'!$C$21,Input!$D:$D,'10.Other mitigating actions'!$D$24)=1,"Si","No"),"")</f>
        <v/>
      </c>
      <c r="H10" s="49"/>
    </row>
    <row r="11" spans="1:8" x14ac:dyDescent="0.3">
      <c r="A11" s="47"/>
      <c r="B11" s="49">
        <v>5</v>
      </c>
      <c r="C11" s="65"/>
      <c r="D11" s="52" t="s">
        <v>62</v>
      </c>
      <c r="E11" s="50">
        <f>(SUMIFS(Input!$K:$K,Input!$F:$F,'10.Other mitigating actions'!$A$21,Input!$C:$C,'10.Other mitigating actions'!$C$21,Input!$D:$D,'10.Other mitigating actions'!$D$24,Input!$E:$E,'10.Other mitigating actions'!$D$25))/1000000</f>
        <v>0</v>
      </c>
      <c r="F11" s="50" t="str">
        <f t="shared" si="0"/>
        <v/>
      </c>
      <c r="G11" s="51" t="str">
        <f>+IF(E11&gt;0,IF(_xlfn.MAXIFS(Input!$J:$J,Input!$F:$F,'10.Other mitigating actions'!$A$21,Input!$C:$C,'10.Other mitigating actions'!$C$21,Input!$D:$D,'10.Other mitigating actions'!$D$24,Input!$E:$E,'10.Other mitigating actions'!$D$25)=1,"Si","No"),"")</f>
        <v/>
      </c>
      <c r="H11" s="49"/>
    </row>
    <row r="12" spans="1:8" x14ac:dyDescent="0.3">
      <c r="A12" s="47"/>
      <c r="B12" s="49">
        <v>6</v>
      </c>
      <c r="C12" s="65"/>
      <c r="D12" s="52" t="s">
        <v>63</v>
      </c>
      <c r="E12" s="53">
        <f>(SUMIFS(Input!$K:$K,Input!$F:$F,'10.Other mitigating actions'!$A$21,Input!$C:$C,'10.Other mitigating actions'!$C$21,Input!$D:$D,'10.Other mitigating actions'!$D$24,Input!$G:$G,"*"&amp;'10.Other mitigating actions'!$D$26&amp;"*"))/1000000</f>
        <v>0</v>
      </c>
      <c r="F12" s="50" t="str">
        <f t="shared" si="0"/>
        <v/>
      </c>
      <c r="G12" s="51" t="str">
        <f>+IF(E12&gt;0,IF(_xlfn.MAXIFS(Input!$J:$J,Input!$F:$F,'10.Other mitigating actions'!$A$21,Input!$C:$C,'10.Other mitigating actions'!$C$21,Input!$D:$D,'10.Other mitigating actions'!$D$24,Input!$G:$G,"*"&amp;'10.Other mitigating actions'!$D$26&amp;"*")=1,"Si","No"),"")</f>
        <v/>
      </c>
      <c r="H12" s="49"/>
    </row>
    <row r="13" spans="1:8" x14ac:dyDescent="0.3">
      <c r="A13" s="47"/>
      <c r="B13" s="49">
        <v>7</v>
      </c>
      <c r="C13" s="64"/>
      <c r="D13" s="49" t="s">
        <v>64</v>
      </c>
      <c r="E13" s="53">
        <f>(SUMIFS(Input!$K:$K,Input!$F:$F,'10.Other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50" t="str">
        <f t="shared" si="0"/>
        <v/>
      </c>
      <c r="G13" s="51" t="str">
        <f>+IF(E13&gt;0,IF(_xlfn.MAXIFS(Input!$J:$J,Input!$F:$F,'10.Other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actions'!$D$21)=1,"Si","No"),"")</f>
        <v/>
      </c>
      <c r="H13" s="49"/>
    </row>
    <row r="14" spans="1:8" ht="14.4" customHeight="1" x14ac:dyDescent="0.3">
      <c r="A14" s="47"/>
      <c r="B14" s="49">
        <v>8</v>
      </c>
      <c r="C14" s="63" t="s">
        <v>65</v>
      </c>
      <c r="D14" s="49" t="s">
        <v>58</v>
      </c>
      <c r="E14" s="53">
        <f>(SUMIFS(Input!$K:$K,Input!$F:$F,'10.Other mitigating actions'!$A$21,Input!$C:$C,'10.Other mitigating actions'!$C$22,Input!$D:$D,'10.Other mitigating actions'!$D$21))/1000000</f>
        <v>373.62511899999998</v>
      </c>
      <c r="F14" s="50" t="str">
        <f t="shared" si="0"/>
        <v>Policy and legal risk</v>
      </c>
      <c r="G14" s="51" t="str">
        <f>+IF(E14&gt;0,IF(_xlfn.MAXIFS(Input!$J:$J,Input!$F:$F,'10.Other mitigating actions'!$A$21,Input!$C:$C,'10.Other mitigating actions'!$C$22,Input!$D:$D,'10.Other mitigating actions'!$D$21)=1,"Si","No"),"")</f>
        <v>Si</v>
      </c>
      <c r="H14" s="49"/>
    </row>
    <row r="15" spans="1:8" x14ac:dyDescent="0.3">
      <c r="A15" s="47"/>
      <c r="B15" s="49">
        <v>9</v>
      </c>
      <c r="C15" s="65"/>
      <c r="D15" s="49" t="s">
        <v>59</v>
      </c>
      <c r="E15" s="53">
        <f>(SUMIFS(Input!$K:$K,Input!$F:$F,'10.Other mitigating actions'!$A$21,Input!$C:$C,'10.Other mitigating actions'!$C$22,Input!$D:$D,'10.Other mitigating actions'!$D$22))/1000000</f>
        <v>1665.390834</v>
      </c>
      <c r="F15" s="50" t="str">
        <f t="shared" si="0"/>
        <v>Policy and legal risk</v>
      </c>
      <c r="G15" s="51" t="str">
        <f>+IF(E15&gt;0,IF(_xlfn.MAXIFS(Input!$J:$J,Input!$F:$F,'10.Other mitigating actions'!$A$21,Input!$C:$C,'10.Other mitigating actions'!$C$22,Input!$D:$D,'10.Other mitigating actions'!$D$22)=1,"Si","No"),"")</f>
        <v>Si</v>
      </c>
      <c r="H15" s="49"/>
    </row>
    <row r="16" spans="1:8" x14ac:dyDescent="0.3">
      <c r="A16" s="47"/>
      <c r="B16" s="49">
        <v>10</v>
      </c>
      <c r="C16" s="65"/>
      <c r="D16" s="52" t="s">
        <v>60</v>
      </c>
      <c r="E16" s="53">
        <f>(SUMIFS(Input!$K:$K,Input!$F:$F,'10.Other mitigating actions'!$A$21,Input!$C:$C,'10.Other mitigating actions'!$C$22,Input!$D:$D,'10.Other mitigating actions'!$D$22,Input!$E:$E,'10.Other mitigating actions'!$D$23))/1000000</f>
        <v>627.05749900000001</v>
      </c>
      <c r="F16" s="50" t="str">
        <f t="shared" si="0"/>
        <v>Policy and legal risk</v>
      </c>
      <c r="G16" s="51" t="str">
        <f>+IF(E16&gt;0,IF(_xlfn.MAXIFS(Input!$J:$J,Input!$F:$F,'10.Other mitigating actions'!$A$21,Input!$C:$C,'10.Other mitigating actions'!$C$22,Input!$D:$D,'10.Other mitigating actions'!$D$22,Input!$E:$E,'10.Other mitigating actions'!$D$23)=1,"Si","No"),"")</f>
        <v>Si</v>
      </c>
      <c r="H16" s="49"/>
    </row>
    <row r="17" spans="1:13" x14ac:dyDescent="0.3">
      <c r="A17" s="47"/>
      <c r="B17" s="49">
        <v>11</v>
      </c>
      <c r="C17" s="65"/>
      <c r="D17" s="49" t="s">
        <v>61</v>
      </c>
      <c r="E17" s="53">
        <f>(SUMIFS(Input!$K:$K,Input!$F:$F,'10.Other mitigating actions'!$A$21,Input!$C:$C,'10.Other mitigating actions'!$C$22,Input!$D:$D,'10.Other mitigating actions'!$D$24))/1000000</f>
        <v>2559.738836</v>
      </c>
      <c r="F17" s="50" t="str">
        <f t="shared" si="0"/>
        <v>Policy and legal risk</v>
      </c>
      <c r="G17" s="51" t="str">
        <f>+IF(E17&gt;0,IF(_xlfn.MAXIFS(Input!$J:$J,Input!$F:$F,'10.Other mitigating actions'!$A$21,Input!$C:$C,'10.Other mitigating actions'!$C$22,Input!$D:$D,'10.Other mitigating actions'!$D$24)=1,"Si","No"),"")</f>
        <v>No</v>
      </c>
      <c r="H17" s="49"/>
    </row>
    <row r="18" spans="1:13" x14ac:dyDescent="0.3">
      <c r="A18" s="47"/>
      <c r="B18" s="49">
        <v>12</v>
      </c>
      <c r="C18" s="65"/>
      <c r="D18" s="52" t="s">
        <v>62</v>
      </c>
      <c r="E18" s="53">
        <f>(SUMIFS(Input!$K:$K,Input!$F:$F,'10.Other mitigating actions'!$A$21,Input!$C:$C,'10.Other mitigating actions'!$C$22,Input!$D:$D,'10.Other mitigating actions'!$D$24,Input!$E:$E,'10.Other mitigating actions'!$D$25))/1000000</f>
        <v>2547.8509119999999</v>
      </c>
      <c r="F18" s="50" t="str">
        <f t="shared" si="0"/>
        <v>Policy and legal risk</v>
      </c>
      <c r="G18" s="51" t="str">
        <f>+IF(E18&gt;0,IF(_xlfn.MAXIFS(Input!$J:$J,Input!$F:$F,'10.Other mitigating actions'!$A$21,Input!$C:$C,'10.Other mitigating actions'!$C$22,Input!$D:$D,'10.Other mitigating actions'!$D$24,Input!$E:$E,'10.Other mitigating actions'!$D$25)=1,"Si","No"),"")</f>
        <v>No</v>
      </c>
      <c r="H18" s="49"/>
    </row>
    <row r="19" spans="1:13" x14ac:dyDescent="0.3">
      <c r="A19" s="47"/>
      <c r="B19" s="49">
        <v>13</v>
      </c>
      <c r="C19" s="65"/>
      <c r="D19" s="52" t="s">
        <v>63</v>
      </c>
      <c r="E19" s="53">
        <f>(SUMIFS(Input!$K:$K,Input!$F:$F,'10.Other mitigating actions'!$A$21,Input!$C:$C,'10.Other mitigating actions'!$C$22,Input!$D:$D,'10.Other mitigating actions'!$D$24,Input!$G:$G,"*"&amp;'10.Other mitigating actions'!$D$26&amp;"*"))/1000000</f>
        <v>11.921419</v>
      </c>
      <c r="F19" s="50" t="str">
        <f t="shared" si="0"/>
        <v>Policy and legal risk</v>
      </c>
      <c r="G19" s="51" t="str">
        <f>+IF(E19&gt;0,IF(_xlfn.MAXIFS(Input!$J:$J,Input!$F:$F,'10.Other mitigating actions'!$A$21,Input!$C:$C,'10.Other mitigating actions'!$C$22,Input!$D:$D,'10.Other mitigating actions'!$D$24,Input!$G:$G,"*"&amp;'10.Other mitigating actions'!$D$26&amp;"*")=1,"Si","No"),"")</f>
        <v>No</v>
      </c>
      <c r="H19" s="49"/>
    </row>
    <row r="20" spans="1:13" x14ac:dyDescent="0.3">
      <c r="A20" s="47"/>
      <c r="B20" s="49">
        <v>14</v>
      </c>
      <c r="C20" s="64"/>
      <c r="D20" s="49" t="s">
        <v>64</v>
      </c>
      <c r="E20" s="50">
        <f>(SUMIFS(Input!$K:$K,Input!$F:$F,'10.Other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15.195228</v>
      </c>
      <c r="F20" s="50" t="str">
        <f t="shared" si="0"/>
        <v>Policy and legal risk</v>
      </c>
      <c r="G20" s="51" t="str">
        <f>+IF(E20&gt;0,IF(_xlfn.MAXIFS(Input!$J:$J,Input!$F:$F,'10.Other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actions'!$D$21)=1,"Si","No"),"")</f>
        <v>No</v>
      </c>
      <c r="H20" s="49"/>
    </row>
    <row r="21" spans="1:13" x14ac:dyDescent="0.3">
      <c r="A21" s="56" t="s">
        <v>45</v>
      </c>
      <c r="B21" s="56"/>
      <c r="C21" s="56" t="s">
        <v>46</v>
      </c>
      <c r="D21" s="56" t="s">
        <v>26</v>
      </c>
      <c r="E21" s="47"/>
      <c r="F21" s="47"/>
      <c r="G21" s="47"/>
      <c r="H21" s="47"/>
      <c r="I21" s="47"/>
    </row>
    <row r="22" spans="1:13" x14ac:dyDescent="0.3">
      <c r="A22" s="56"/>
      <c r="B22" s="56"/>
      <c r="C22" s="56" t="s">
        <v>42</v>
      </c>
      <c r="D22" s="56" t="s">
        <v>27</v>
      </c>
      <c r="E22" s="47"/>
      <c r="F22" s="47"/>
      <c r="G22" s="47"/>
      <c r="H22" s="47"/>
      <c r="I22" s="6"/>
      <c r="J22"/>
      <c r="K22"/>
      <c r="L22"/>
      <c r="M22"/>
    </row>
    <row r="23" spans="1:13" x14ac:dyDescent="0.3">
      <c r="A23" s="56"/>
      <c r="B23" s="56"/>
      <c r="C23" s="56"/>
      <c r="D23" s="41" t="s">
        <v>44</v>
      </c>
      <c r="E23" s="47"/>
      <c r="F23" s="47"/>
      <c r="G23" s="47"/>
      <c r="H23" s="47"/>
      <c r="I23" s="6"/>
      <c r="J23"/>
      <c r="K23"/>
      <c r="L23"/>
      <c r="M23"/>
    </row>
    <row r="24" spans="1:13" x14ac:dyDescent="0.3">
      <c r="A24" s="56"/>
      <c r="B24" s="56"/>
      <c r="C24" s="56"/>
      <c r="D24" s="56" t="s">
        <v>43</v>
      </c>
      <c r="E24" s="47"/>
      <c r="F24" s="47"/>
      <c r="G24" s="47"/>
      <c r="H24" s="47"/>
      <c r="I24" s="6"/>
      <c r="J24"/>
      <c r="K24"/>
      <c r="L24"/>
      <c r="M24"/>
    </row>
    <row r="25" spans="1:13" x14ac:dyDescent="0.3">
      <c r="A25" s="56"/>
      <c r="B25" s="56"/>
      <c r="C25" s="56"/>
      <c r="D25" s="41" t="s">
        <v>48</v>
      </c>
      <c r="E25" s="47"/>
      <c r="F25" s="47"/>
      <c r="G25" s="47"/>
      <c r="H25" s="47"/>
      <c r="I25" s="6"/>
      <c r="J25"/>
      <c r="K25"/>
      <c r="L25"/>
      <c r="M25"/>
    </row>
    <row r="26" spans="1:13" x14ac:dyDescent="0.3">
      <c r="A26" s="56"/>
      <c r="B26" s="56"/>
      <c r="C26" s="56"/>
      <c r="D26" s="56" t="s">
        <v>47</v>
      </c>
      <c r="E26" s="47"/>
      <c r="F26" s="47"/>
      <c r="G26" s="47"/>
      <c r="H26" s="6"/>
      <c r="I26" s="6"/>
      <c r="J26"/>
      <c r="K26"/>
      <c r="L26"/>
      <c r="M26"/>
    </row>
    <row r="27" spans="1:13" x14ac:dyDescent="0.3">
      <c r="A27" s="56"/>
      <c r="B27" s="56"/>
      <c r="C27" s="56"/>
      <c r="D27" s="56"/>
      <c r="E27" s="47"/>
      <c r="F27" s="47"/>
      <c r="G27" s="47"/>
      <c r="H27" s="6"/>
      <c r="I27" s="6"/>
      <c r="J27"/>
      <c r="K27"/>
      <c r="L27"/>
      <c r="M27"/>
    </row>
    <row r="28" spans="1:13" x14ac:dyDescent="0.3">
      <c r="B28" s="47"/>
      <c r="C28" s="47"/>
      <c r="D28" s="47"/>
      <c r="E28" s="47"/>
      <c r="F28" s="47"/>
      <c r="G28" s="47"/>
      <c r="H28" s="6"/>
      <c r="I28" s="6"/>
      <c r="J28"/>
      <c r="K28"/>
      <c r="L28"/>
      <c r="M28"/>
    </row>
    <row r="29" spans="1:13" x14ac:dyDescent="0.3">
      <c r="A29" s="46"/>
      <c r="B29" s="47"/>
      <c r="C29" s="47"/>
      <c r="D29" s="47"/>
      <c r="E29" s="47"/>
      <c r="F29" s="47"/>
      <c r="G29" s="47"/>
      <c r="H29" s="6"/>
      <c r="I29" s="6"/>
      <c r="J29"/>
      <c r="K29"/>
      <c r="L29"/>
      <c r="M29"/>
    </row>
    <row r="30" spans="1:13" x14ac:dyDescent="0.3">
      <c r="B30" s="47"/>
      <c r="C30" s="47"/>
      <c r="D30" s="47"/>
      <c r="E30" s="47"/>
      <c r="F30" s="47"/>
      <c r="G30" s="47"/>
      <c r="H30" s="6"/>
      <c r="I30" s="6"/>
      <c r="J30"/>
      <c r="K30"/>
      <c r="L30"/>
      <c r="M30"/>
    </row>
    <row r="31" spans="1:13" x14ac:dyDescent="0.3">
      <c r="B31" s="47"/>
      <c r="C31" s="47"/>
      <c r="D31" s="47"/>
      <c r="E31" s="47"/>
      <c r="F31" s="47"/>
      <c r="G31" s="47"/>
      <c r="H31" s="6"/>
      <c r="I31" s="6"/>
      <c r="J31"/>
      <c r="K31"/>
      <c r="L31"/>
      <c r="M31"/>
    </row>
    <row r="32" spans="1:13" x14ac:dyDescent="0.3">
      <c r="B32" s="47"/>
      <c r="C32" s="47"/>
      <c r="D32" s="47"/>
      <c r="E32" s="47"/>
      <c r="F32" s="54"/>
      <c r="G32" s="47"/>
      <c r="H32" s="47"/>
      <c r="I32" s="6"/>
      <c r="J32"/>
      <c r="K32"/>
      <c r="L32"/>
      <c r="M32"/>
    </row>
    <row r="33" spans="2:13" x14ac:dyDescent="0.3">
      <c r="B33" s="47"/>
      <c r="C33" s="47"/>
      <c r="D33" s="47"/>
      <c r="E33" s="47"/>
      <c r="F33" s="54"/>
      <c r="G33" s="47"/>
      <c r="H33" s="47"/>
      <c r="I33" s="6"/>
      <c r="J33"/>
      <c r="K33"/>
      <c r="L33"/>
      <c r="M33"/>
    </row>
    <row r="34" spans="2:13" x14ac:dyDescent="0.3">
      <c r="B34" s="47"/>
      <c r="C34" s="47"/>
      <c r="D34" s="47"/>
      <c r="E34" s="47"/>
      <c r="F34" s="55"/>
      <c r="G34" s="47"/>
      <c r="H34" s="47"/>
      <c r="I34" s="47"/>
    </row>
    <row r="35" spans="2:13" x14ac:dyDescent="0.3">
      <c r="B35" s="47"/>
      <c r="C35" s="47"/>
      <c r="D35" s="47"/>
      <c r="E35" s="47"/>
      <c r="F35" s="47"/>
      <c r="G35" s="47"/>
      <c r="H35" s="47"/>
      <c r="I35" s="6"/>
      <c r="J35"/>
      <c r="K35"/>
      <c r="L35"/>
      <c r="M35"/>
    </row>
    <row r="36" spans="2:13" x14ac:dyDescent="0.3">
      <c r="B36" s="47"/>
      <c r="C36" s="47"/>
      <c r="D36" s="47"/>
      <c r="E36" s="47"/>
      <c r="F36" s="47"/>
      <c r="G36" s="47"/>
      <c r="H36" s="47"/>
      <c r="I36" s="6"/>
      <c r="J36"/>
      <c r="K36"/>
      <c r="L36"/>
      <c r="M36"/>
    </row>
    <row r="37" spans="2:13" x14ac:dyDescent="0.3">
      <c r="B37" s="47"/>
      <c r="C37" s="47"/>
      <c r="D37" s="47"/>
      <c r="E37" s="47"/>
      <c r="F37" s="47"/>
      <c r="G37" s="47"/>
      <c r="H37" s="47"/>
      <c r="I37" s="6"/>
      <c r="J37"/>
      <c r="K37"/>
      <c r="L37"/>
      <c r="M37"/>
    </row>
    <row r="38" spans="2:13" ht="33" customHeight="1" x14ac:dyDescent="0.3">
      <c r="B38" s="47"/>
      <c r="C38" s="47"/>
      <c r="D38" s="47"/>
      <c r="E38" s="47"/>
      <c r="F38" s="47"/>
      <c r="G38" s="47"/>
      <c r="H38" s="47"/>
      <c r="I38" s="6"/>
      <c r="J38"/>
      <c r="K38"/>
      <c r="L38"/>
      <c r="M38"/>
    </row>
    <row r="39" spans="2:13" x14ac:dyDescent="0.3">
      <c r="I39"/>
      <c r="J39"/>
      <c r="K39"/>
      <c r="L39"/>
      <c r="M39"/>
    </row>
    <row r="40" spans="2:13" x14ac:dyDescent="0.3">
      <c r="I40"/>
      <c r="J40"/>
      <c r="K40"/>
      <c r="L40"/>
      <c r="M40"/>
    </row>
    <row r="41" spans="2:13" x14ac:dyDescent="0.3">
      <c r="I41"/>
      <c r="J41"/>
      <c r="K41"/>
      <c r="L41"/>
      <c r="M41"/>
    </row>
    <row r="42" spans="2:13" x14ac:dyDescent="0.3">
      <c r="I42"/>
      <c r="J42"/>
      <c r="K42"/>
      <c r="L42"/>
      <c r="M42"/>
    </row>
    <row r="43" spans="2:13" x14ac:dyDescent="0.3">
      <c r="I43"/>
      <c r="J43"/>
      <c r="K43"/>
      <c r="L43"/>
      <c r="M43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68B05C3-57FA-4F87-B10C-C65E71A6F560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691f81de-e01a-4b25-b573-c3f90f157691"/>
    <ds:schemaRef ds:uri="http://schemas.microsoft.com/sharepoint/v3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2025-10-20T12:03:38Z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