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923/Shared Documents/Geral/02. Templates Locais/02. Template 1/"/>
    </mc:Choice>
  </mc:AlternateContent>
  <xr:revisionPtr revIDLastSave="45" documentId="11_5641FAE4C6190A278E0871A31C30A3F5788A0846" xr6:coauthVersionLast="47" xr6:coauthVersionMax="47" xr10:uidLastSave="{E2F0C929-E34C-4055-9929-88F15C45C1C4}"/>
  <bookViews>
    <workbookView xWindow="-110" yWindow="-110" windowWidth="19420" windowHeight="10300" firstSheet="1" activeTab="1" xr2:uid="{00000000-000D-0000-FFFF-FFFF00000000}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Input!#REF!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0" i="35" l="1"/>
  <c r="L60" i="35"/>
  <c r="M59" i="35"/>
  <c r="L59" i="35"/>
  <c r="M57" i="35"/>
  <c r="L57" i="35"/>
  <c r="M56" i="35"/>
  <c r="L56" i="35"/>
  <c r="M55" i="35"/>
  <c r="L55" i="35"/>
  <c r="M54" i="35"/>
  <c r="L54" i="35"/>
  <c r="M53" i="35"/>
  <c r="L53" i="35"/>
  <c r="M52" i="35"/>
  <c r="L52" i="35"/>
  <c r="M51" i="35"/>
  <c r="L51" i="35"/>
  <c r="M50" i="35"/>
  <c r="L50" i="35"/>
  <c r="M49" i="35"/>
  <c r="L49" i="35"/>
  <c r="M48" i="35"/>
  <c r="L48" i="35"/>
  <c r="M47" i="35"/>
  <c r="L47" i="35"/>
  <c r="M46" i="35"/>
  <c r="L46" i="35"/>
  <c r="M45" i="35"/>
  <c r="L45" i="35"/>
  <c r="M44" i="35"/>
  <c r="L44" i="35"/>
  <c r="M43" i="35"/>
  <c r="L43" i="35"/>
  <c r="M42" i="35"/>
  <c r="L42" i="35"/>
  <c r="M41" i="35"/>
  <c r="L41" i="35"/>
  <c r="M40" i="35"/>
  <c r="L40" i="35"/>
  <c r="M39" i="35"/>
  <c r="L39" i="35"/>
  <c r="M38" i="35"/>
  <c r="L38" i="35"/>
  <c r="M37" i="35"/>
  <c r="L37" i="35"/>
  <c r="M36" i="35"/>
  <c r="L36" i="35"/>
  <c r="M35" i="35"/>
  <c r="L35" i="35"/>
  <c r="M34" i="35"/>
  <c r="L34" i="35"/>
  <c r="M33" i="35"/>
  <c r="L33" i="35"/>
  <c r="M32" i="35"/>
  <c r="L32" i="35"/>
  <c r="M31" i="35"/>
  <c r="L31" i="35"/>
  <c r="M30" i="35"/>
  <c r="L30" i="35"/>
  <c r="M29" i="35"/>
  <c r="L29" i="35"/>
  <c r="M28" i="35"/>
  <c r="L28" i="35"/>
  <c r="M27" i="35"/>
  <c r="L27" i="35"/>
  <c r="M26" i="35"/>
  <c r="L26" i="35"/>
  <c r="M25" i="35"/>
  <c r="L25" i="35"/>
  <c r="M24" i="35"/>
  <c r="L24" i="35"/>
  <c r="M23" i="35"/>
  <c r="L23" i="35"/>
  <c r="M22" i="35"/>
  <c r="L22" i="35"/>
  <c r="M21" i="35"/>
  <c r="L21" i="35"/>
  <c r="M20" i="35"/>
  <c r="L20" i="35"/>
  <c r="M19" i="35"/>
  <c r="L19" i="35"/>
  <c r="M18" i="35"/>
  <c r="L18" i="35"/>
  <c r="M17" i="35"/>
  <c r="L17" i="35"/>
  <c r="M16" i="35"/>
  <c r="L16" i="35"/>
  <c r="M15" i="35"/>
  <c r="L15" i="35"/>
  <c r="M14" i="35"/>
  <c r="L14" i="35"/>
  <c r="M13" i="35"/>
  <c r="L13" i="35"/>
  <c r="M12" i="35"/>
  <c r="L12" i="35"/>
  <c r="M11" i="35"/>
  <c r="L11" i="35"/>
  <c r="M10" i="35"/>
  <c r="L10" i="35"/>
  <c r="M9" i="35"/>
  <c r="L9" i="35"/>
  <c r="M8" i="35"/>
  <c r="L8" i="35"/>
  <c r="M7" i="35"/>
  <c r="L7" i="35"/>
  <c r="N57" i="35" l="1"/>
  <c r="N56" i="35"/>
  <c r="N55" i="35"/>
  <c r="N54" i="35"/>
  <c r="N53" i="35"/>
  <c r="N52" i="35"/>
  <c r="N51" i="35"/>
  <c r="N50" i="35"/>
  <c r="N49" i="35"/>
  <c r="N48" i="35"/>
  <c r="N47" i="35"/>
  <c r="N46" i="35"/>
  <c r="N45" i="35"/>
  <c r="N44" i="35"/>
  <c r="N43" i="35"/>
  <c r="N42" i="35"/>
  <c r="N41" i="35"/>
  <c r="N40" i="35"/>
  <c r="N39" i="35"/>
  <c r="N38" i="35"/>
  <c r="N37" i="35"/>
  <c r="N36" i="35"/>
  <c r="N35" i="35"/>
  <c r="N34" i="35"/>
  <c r="N33" i="35"/>
  <c r="N32" i="35"/>
  <c r="N31" i="35"/>
  <c r="N30" i="35"/>
  <c r="N29" i="35"/>
  <c r="N28" i="35"/>
  <c r="N27" i="35"/>
  <c r="N26" i="35"/>
  <c r="N25" i="35"/>
  <c r="N24" i="35"/>
  <c r="N23" i="35"/>
  <c r="N22" i="35"/>
  <c r="N21" i="35"/>
  <c r="N20" i="35"/>
  <c r="N19" i="35"/>
  <c r="N18" i="35"/>
  <c r="N17" i="35"/>
  <c r="N16" i="35"/>
  <c r="N15" i="35"/>
  <c r="N14" i="35"/>
  <c r="N13" i="35"/>
  <c r="N12" i="35"/>
  <c r="N11" i="35"/>
  <c r="N10" i="35"/>
  <c r="N9" i="35"/>
  <c r="N8" i="35"/>
  <c r="N59" i="35"/>
  <c r="N7" i="35"/>
  <c r="I60" i="35" l="1"/>
  <c r="R60" i="35"/>
  <c r="Q60" i="35"/>
  <c r="P60" i="35"/>
  <c r="O60" i="35"/>
  <c r="K60" i="35"/>
  <c r="J60" i="35"/>
  <c r="H60" i="35"/>
  <c r="G60" i="35"/>
  <c r="F60" i="35"/>
  <c r="E60" i="35"/>
  <c r="D60" i="35"/>
  <c r="N60" i="35" s="1"/>
  <c r="R59" i="35"/>
  <c r="Q59" i="35"/>
  <c r="P59" i="35"/>
  <c r="O59" i="35"/>
  <c r="K59" i="35"/>
  <c r="J59" i="35"/>
  <c r="I59" i="35"/>
  <c r="H59" i="35"/>
  <c r="G59" i="35"/>
  <c r="F59" i="35"/>
  <c r="E59" i="35"/>
  <c r="D59" i="35"/>
  <c r="S59" i="35" s="1"/>
  <c r="R57" i="35"/>
  <c r="Q57" i="35"/>
  <c r="P57" i="35"/>
  <c r="O57" i="35"/>
  <c r="K57" i="35"/>
  <c r="J57" i="35"/>
  <c r="I57" i="35"/>
  <c r="H57" i="35"/>
  <c r="G57" i="35"/>
  <c r="F57" i="35"/>
  <c r="E57" i="35"/>
  <c r="D57" i="35"/>
  <c r="S57" i="35" s="1"/>
  <c r="R56" i="35"/>
  <c r="Q56" i="35"/>
  <c r="P56" i="35"/>
  <c r="O56" i="35"/>
  <c r="K56" i="35"/>
  <c r="J56" i="35"/>
  <c r="I56" i="35"/>
  <c r="H56" i="35"/>
  <c r="G56" i="35"/>
  <c r="F56" i="35"/>
  <c r="E56" i="35"/>
  <c r="D56" i="35"/>
  <c r="S56" i="35" s="1"/>
  <c r="R55" i="35"/>
  <c r="Q55" i="35"/>
  <c r="P55" i="35"/>
  <c r="O55" i="35"/>
  <c r="K55" i="35"/>
  <c r="J55" i="35"/>
  <c r="I55" i="35"/>
  <c r="H55" i="35"/>
  <c r="G55" i="35"/>
  <c r="F55" i="35"/>
  <c r="E55" i="35"/>
  <c r="D55" i="35"/>
  <c r="S55" i="35" s="1"/>
  <c r="R54" i="35"/>
  <c r="Q54" i="35"/>
  <c r="P54" i="35"/>
  <c r="O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K7" i="35"/>
  <c r="J7" i="35"/>
  <c r="I7" i="35"/>
  <c r="H7" i="35"/>
  <c r="G7" i="35"/>
  <c r="F7" i="35"/>
  <c r="E7" i="35"/>
  <c r="D7" i="35"/>
  <c r="S7" i="35" s="1"/>
  <c r="S60" i="35" l="1"/>
  <c r="O58" i="35"/>
  <c r="L58" i="35"/>
  <c r="J58" i="35"/>
  <c r="Q58" i="35"/>
  <c r="P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G6" i="35"/>
  <c r="O6" i="35"/>
  <c r="O61" i="35" s="1"/>
  <c r="P6" i="35"/>
  <c r="P61" i="35" s="1"/>
  <c r="E6" i="35"/>
  <c r="E61" i="35" s="1"/>
  <c r="M6" i="35"/>
  <c r="M61" i="35" s="1"/>
  <c r="D6" i="35"/>
  <c r="N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N58" i="35" s="1"/>
  <c r="S6" i="35" l="1"/>
  <c r="S58" i="35"/>
  <c r="G61" i="35"/>
  <c r="H61" i="35"/>
  <c r="D61" i="35"/>
  <c r="F10" i="29"/>
  <c r="S61" i="35" l="1"/>
  <c r="N61" i="35"/>
</calcChain>
</file>

<file path=xl/sharedStrings.xml><?xml version="1.0" encoding="utf-8"?>
<sst xmlns="http://schemas.openxmlformats.org/spreadsheetml/2006/main" count="197" uniqueCount="183">
  <si>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</si>
  <si>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</si>
  <si>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r>
      <t xml:space="preserve">Geração de informação através da corrida dos </t>
    </r>
    <r>
      <rPr>
        <i/>
        <sz val="9"/>
        <color theme="1"/>
        <rFont val="Calibri"/>
        <family val="2"/>
        <scheme val="minor"/>
      </rPr>
      <t>scripts</t>
    </r>
    <r>
      <rPr>
        <sz val="9"/>
        <color theme="1"/>
        <rFont val="Calibri"/>
        <family val="2"/>
        <scheme val="minor"/>
      </rPr>
      <t xml:space="preserve">: "BS_Geracao Template 1 Granular_v2.0.sql" e </t>
    </r>
    <r>
      <rPr>
        <i/>
        <sz val="9"/>
        <color theme="1"/>
        <rFont val="Calibri"/>
        <family val="2"/>
        <scheme val="minor"/>
      </rPr>
      <t>"BS_Geracao Template 1 Agregado_v2.0.sql".</t>
    </r>
  </si>
  <si>
    <t>1.1. Execução</t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</si>
  <si>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</si>
  <si>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t>1.2. Parâmetros</t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</si>
  <si>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</si>
  <si>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</si>
  <si>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</si>
  <si>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</si>
  <si>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</si>
  <si>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</si>
  <si>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</si>
  <si>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</si>
  <si>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</si>
  <si>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</si>
  <si>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</si>
  <si>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</si>
  <si>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</si>
  <si>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</si>
  <si>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t>2.3. Atualizar informação</t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</si>
  <si>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</si>
  <si>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t>2.4. Consultar informação</t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</si>
  <si>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</si>
  <si>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t>3. Reporte BdP</t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</si>
  <si>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</si>
  <si>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</si>
  <si>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</si>
  <si>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</si>
  <si>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</si>
  <si>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t>valor bruto</t>
  </si>
  <si>
    <t>stage 2</t>
  </si>
  <si>
    <t>stage 3</t>
  </si>
  <si>
    <t>imparidade</t>
  </si>
  <si>
    <t>D35.1.1</t>
  </si>
  <si>
    <t>excluido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</si>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</sst>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97">
    <xf numFmtId="0" fontId="0" fillId="0" borderId="0" xfId="0"/>
    <xf numFmtId="0" fontId="1" fillId="2" borderId="0" xfId="0" applyFont="1" applyFill="1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/>
    <xf numFmtId="0" fontId="17" fillId="0" borderId="0" xfId="0" applyFont="1"/>
    <xf numFmtId="0" fontId="16" fillId="0" borderId="0" xfId="0" applyFont="1"/>
    <xf numFmtId="0" fontId="5" fillId="0" borderId="0" xfId="0" applyFont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2" xfId="0" applyFont="1" applyFill="1" applyBorder="1" applyAlignment="1">
      <alignment vertical="center"/>
    </xf>
    <xf numFmtId="0" fontId="6" fillId="5" borderId="12" xfId="0" applyFont="1" applyFill="1" applyBorder="1"/>
    <xf numFmtId="0" fontId="23" fillId="5" borderId="12" xfId="0" applyFont="1" applyFill="1" applyBorder="1"/>
    <xf numFmtId="0" fontId="12" fillId="3" borderId="0" xfId="0" applyFont="1" applyFill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Protection="1">
      <protection locked="0"/>
    </xf>
    <xf numFmtId="0" fontId="8" fillId="0" borderId="0" xfId="0" applyFont="1" applyProtection="1">
      <protection locked="0"/>
    </xf>
    <xf numFmtId="0" fontId="9" fillId="0" borderId="2" xfId="0" applyFont="1" applyBorder="1" applyProtection="1">
      <protection locked="0"/>
    </xf>
    <xf numFmtId="0" fontId="8" fillId="0" borderId="2" xfId="0" applyFont="1" applyBorder="1" applyProtection="1">
      <protection locked="0"/>
    </xf>
    <xf numFmtId="0" fontId="0" fillId="0" borderId="0" xfId="0" applyProtection="1">
      <protection locked="0"/>
    </xf>
    <xf numFmtId="0" fontId="10" fillId="0" borderId="0" xfId="0" applyFont="1" applyProtection="1">
      <protection locked="0"/>
    </xf>
    <xf numFmtId="0" fontId="9" fillId="0" borderId="0" xfId="0" applyFont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3" borderId="6" xfId="0" applyFill="1" applyBorder="1" applyProtection="1">
      <protection locked="0"/>
    </xf>
    <xf numFmtId="0" fontId="11" fillId="3" borderId="0" xfId="0" applyFont="1" applyFill="1" applyAlignment="1" applyProtection="1">
      <alignment horizontal="left"/>
      <protection locked="0"/>
    </xf>
    <xf numFmtId="0" fontId="6" fillId="3" borderId="0" xfId="0" applyFont="1" applyFill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ill="1" applyBorder="1" applyProtection="1">
      <protection locked="0"/>
    </xf>
    <xf numFmtId="0" fontId="2" fillId="3" borderId="0" xfId="0" applyFont="1" applyFill="1" applyProtection="1">
      <protection locked="0"/>
    </xf>
    <xf numFmtId="0" fontId="0" fillId="3" borderId="9" xfId="0" applyFill="1" applyBorder="1" applyProtection="1">
      <protection locked="0"/>
    </xf>
    <xf numFmtId="0" fontId="0" fillId="3" borderId="10" xfId="0" applyFill="1" applyBorder="1" applyProtection="1">
      <protection locked="0"/>
    </xf>
    <xf numFmtId="0" fontId="0" fillId="3" borderId="11" xfId="0" applyFill="1" applyBorder="1" applyProtection="1">
      <protection locked="0"/>
    </xf>
    <xf numFmtId="0" fontId="14" fillId="0" borderId="0" xfId="0" applyFont="1" applyAlignment="1" applyProtection="1">
      <alignment horizontal="centerContinuous"/>
      <protection locked="0"/>
    </xf>
    <xf numFmtId="0" fontId="0" fillId="3" borderId="8" xfId="0" applyFill="1" applyBorder="1"/>
    <xf numFmtId="0" fontId="25" fillId="2" borderId="0" xfId="0" applyFont="1" applyFill="1" applyAlignment="1">
      <alignment horizontal="left"/>
    </xf>
    <xf numFmtId="0" fontId="26" fillId="2" borderId="13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horizontal="center"/>
    </xf>
    <xf numFmtId="0" fontId="26" fillId="2" borderId="15" xfId="0" applyFont="1" applyFill="1" applyBorder="1" applyAlignment="1">
      <alignment vertical="center" wrapText="1"/>
    </xf>
    <xf numFmtId="0" fontId="27" fillId="2" borderId="19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27" fillId="2" borderId="15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6" fillId="2" borderId="14" xfId="0" applyFont="1" applyFill="1" applyBorder="1" applyAlignment="1">
      <alignment horizontal="left" vertical="center" wrapText="1"/>
    </xf>
    <xf numFmtId="0" fontId="1" fillId="2" borderId="14" xfId="0" applyFont="1" applyFill="1" applyBorder="1" applyAlignment="1">
      <alignment horizontal="left" vertical="center" indent="1"/>
    </xf>
    <xf numFmtId="0" fontId="29" fillId="2" borderId="14" xfId="0" applyFont="1" applyFill="1" applyBorder="1" applyAlignment="1">
      <alignment horizontal="left" vertical="center" indent="3"/>
    </xf>
    <xf numFmtId="0" fontId="29" fillId="2" borderId="14" xfId="0" applyFont="1" applyFill="1" applyBorder="1" applyAlignment="1">
      <alignment horizontal="left" vertical="center" wrapText="1" indent="3"/>
    </xf>
    <xf numFmtId="0" fontId="2" fillId="2" borderId="14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4" xfId="0" applyFont="1" applyFill="1" applyBorder="1" applyAlignment="1">
      <alignment horizontal="left" vertical="center" wrapText="1"/>
    </xf>
    <xf numFmtId="0" fontId="2" fillId="2" borderId="14" xfId="0" applyFont="1" applyFill="1" applyBorder="1" applyAlignment="1">
      <alignment horizontal="left" vertical="center" wrapText="1" indent="1"/>
    </xf>
    <xf numFmtId="0" fontId="2" fillId="2" borderId="14" xfId="0" applyFont="1" applyFill="1" applyBorder="1" applyAlignment="1">
      <alignment horizontal="left" vertical="center"/>
    </xf>
    <xf numFmtId="0" fontId="2" fillId="2" borderId="18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4" xfId="0" applyNumberFormat="1" applyFont="1" applyFill="1" applyBorder="1" applyAlignment="1">
      <alignment horizontal="right" vertical="center" wrapText="1"/>
    </xf>
    <xf numFmtId="4" fontId="1" fillId="0" borderId="14" xfId="0" applyNumberFormat="1" applyFont="1" applyBorder="1" applyAlignment="1">
      <alignment horizontal="right" vertical="center" wrapText="1"/>
    </xf>
    <xf numFmtId="4" fontId="29" fillId="0" borderId="14" xfId="0" applyNumberFormat="1" applyFont="1" applyBorder="1" applyAlignment="1">
      <alignment horizontal="right" vertical="center" wrapText="1"/>
    </xf>
    <xf numFmtId="4" fontId="1" fillId="0" borderId="14" xfId="0" applyNumberFormat="1" applyFont="1" applyBorder="1" applyAlignment="1">
      <alignment horizontal="right" vertical="center"/>
    </xf>
    <xf numFmtId="4" fontId="1" fillId="0" borderId="14" xfId="0" applyNumberFormat="1" applyFont="1" applyBorder="1" applyAlignment="1">
      <alignment horizontal="right"/>
    </xf>
    <xf numFmtId="4" fontId="1" fillId="2" borderId="14" xfId="0" applyNumberFormat="1" applyFont="1" applyFill="1" applyBorder="1" applyAlignment="1">
      <alignment horizontal="right" vertical="center"/>
    </xf>
    <xf numFmtId="4" fontId="1" fillId="2" borderId="14" xfId="0" applyNumberFormat="1" applyFont="1" applyFill="1" applyBorder="1" applyAlignment="1">
      <alignment horizontal="right"/>
    </xf>
    <xf numFmtId="4" fontId="1" fillId="2" borderId="14" xfId="0" quotePrefix="1" applyNumberFormat="1" applyFont="1" applyFill="1" applyBorder="1" applyAlignment="1">
      <alignment horizontal="right" wrapText="1"/>
    </xf>
    <xf numFmtId="4" fontId="30" fillId="0" borderId="0" xfId="0" applyNumberFormat="1" applyFont="1" applyAlignment="1">
      <alignment horizontal="right"/>
    </xf>
    <xf numFmtId="9" fontId="1" fillId="0" borderId="14" xfId="1" applyFont="1" applyFill="1" applyBorder="1" applyAlignment="1">
      <alignment horizontal="right" vertical="center" wrapText="1"/>
    </xf>
    <xf numFmtId="9" fontId="1" fillId="0" borderId="14" xfId="1" applyFont="1" applyFill="1" applyBorder="1" applyAlignment="1">
      <alignment horizontal="right"/>
    </xf>
    <xf numFmtId="9" fontId="1" fillId="0" borderId="14" xfId="1" applyFont="1" applyBorder="1" applyAlignment="1">
      <alignment horizontal="right" vertical="center" wrapText="1"/>
    </xf>
    <xf numFmtId="9" fontId="30" fillId="0" borderId="14" xfId="1" applyFont="1" applyBorder="1" applyAlignment="1">
      <alignment horizontal="right"/>
    </xf>
    <xf numFmtId="9" fontId="1" fillId="0" borderId="14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4" xfId="0" quotePrefix="1" applyNumberFormat="1" applyFont="1" applyBorder="1" applyAlignment="1">
      <alignment horizontal="right" vertical="center" wrapText="1"/>
    </xf>
    <xf numFmtId="4" fontId="30" fillId="0" borderId="14" xfId="0" applyNumberFormat="1" applyFont="1" applyBorder="1" applyAlignment="1">
      <alignment horizontal="right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3" xfId="0" applyFont="1" applyFill="1" applyBorder="1" applyAlignment="1">
      <alignment horizontal="center" vertical="center" wrapText="1"/>
    </xf>
    <xf numFmtId="0" fontId="1" fillId="2" borderId="20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20" xfId="0" applyFont="1" applyBorder="1" applyAlignment="1">
      <alignment horizontal="center" vertical="center" wrapText="1"/>
    </xf>
    <xf numFmtId="0" fontId="26" fillId="2" borderId="16" xfId="0" applyFont="1" applyFill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0.png"/><Relationship Id="rId5" Type="http://schemas.openxmlformats.org/officeDocument/2006/relationships/image" Target="../media/image5.png"/><Relationship Id="rId10" Type="http://schemas.microsoft.com/office/2007/relationships/hdphoto" Target="../media/hdphoto1.wdp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3500" y="1758950"/>
          <a:ext cx="1604490" cy="205337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4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5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asvg="http://schemas.microsoft.com/office/drawing/2016/SVG/main" r:embed="rId6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62942" y="2509132"/>
          <a:ext cx="1589320" cy="130319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4863049" y="1758366"/>
          <a:ext cx="1595670" cy="205396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GrpSpPr/>
      </xdr:nvGrpSpPr>
      <xdr:grpSpPr>
        <a:xfrm>
          <a:off x="1356419" y="1750054"/>
          <a:ext cx="604333" cy="61199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BEBA8EAE-BF5A-486C-A8C5-ECC9F3942E4B}">
                <a14:imgProps xmlns:a14="http://schemas.microsoft.com/office/drawing/2010/main">
                  <a14:imgLayer r:embed="rId10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 refreshError="1"/>
      <sheetData sheetId="3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rgb="FFFF0000"/>
  </sheetPr>
  <dimension ref="A1:V62"/>
  <sheetViews>
    <sheetView showGridLines="0" zoomScaleNormal="100" workbookViewId="0">
      <pane ySplit="4" topLeftCell="A5" activePane="bottomLeft" state="frozen"/>
      <selection pane="bottomLeft"/>
    </sheetView>
  </sheetViews>
  <sheetFormatPr defaultColWidth="0" defaultRowHeight="14.9" customHeight="1" zeroHeight="1" x14ac:dyDescent="0.35"/>
  <cols>
    <col min="1" max="2" width="3.54296875" customWidth="1"/>
    <col min="3" max="4" width="7.54296875" customWidth="1"/>
    <col min="5" max="5" width="0.453125" customWidth="1"/>
    <col min="6" max="6" width="7.54296875" customWidth="1"/>
    <col min="7" max="7" width="0.453125" customWidth="1"/>
    <col min="8" max="20" width="10.54296875" customWidth="1"/>
    <col min="21" max="21" width="8.54296875" customWidth="1"/>
    <col min="22" max="22" width="3.54296875" customWidth="1"/>
  </cols>
  <sheetData>
    <row r="1" spans="1:22" ht="14.5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5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4.5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s="7" customFormat="1" ht="15" thickTop="1" x14ac:dyDescent="0.35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6"/>
    </row>
    <row r="6" spans="1:22" ht="15" customHeight="1" x14ac:dyDescent="0.35">
      <c r="A6" s="5"/>
      <c r="B6" s="14" t="s">
        <v>0</v>
      </c>
      <c r="C6" s="15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5"/>
    </row>
    <row r="7" spans="1:22" ht="8.15" customHeight="1" x14ac:dyDescent="0.35">
      <c r="A7" s="5"/>
      <c r="B7" s="8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</row>
    <row r="8" spans="1:22" s="7" customFormat="1" ht="14.5" x14ac:dyDescent="0.35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</row>
    <row r="9" spans="1:22" ht="14.5" x14ac:dyDescent="0.35"/>
    <row r="10" spans="1:22" ht="14.5" x14ac:dyDescent="0.35"/>
    <row r="11" spans="1:22" ht="14.5" x14ac:dyDescent="0.35"/>
    <row r="12" spans="1:22" ht="14.5" x14ac:dyDescent="0.35"/>
    <row r="13" spans="1:22" ht="14.5" x14ac:dyDescent="0.35"/>
    <row r="14" spans="1:22" ht="14.5" x14ac:dyDescent="0.35"/>
    <row r="15" spans="1:22" ht="14.5" x14ac:dyDescent="0.35"/>
    <row r="16" spans="1:22" ht="14.5" x14ac:dyDescent="0.35"/>
    <row r="17" spans="2:20" ht="14.5" x14ac:dyDescent="0.35"/>
    <row r="18" spans="2:20" ht="14.5" x14ac:dyDescent="0.35"/>
    <row r="19" spans="2:20" ht="14.5" x14ac:dyDescent="0.35"/>
    <row r="20" spans="2:20" ht="14.5" x14ac:dyDescent="0.35"/>
    <row r="21" spans="2:20" ht="14.5" x14ac:dyDescent="0.35"/>
    <row r="22" spans="2:20" ht="14.5" x14ac:dyDescent="0.35"/>
    <row r="23" spans="2:20" ht="14.5" x14ac:dyDescent="0.35"/>
    <row r="24" spans="2:20" ht="13.4" customHeight="1" x14ac:dyDescent="0.35">
      <c r="B24" s="88" t="s">
        <v>1</v>
      </c>
      <c r="C24" s="88"/>
      <c r="D24" s="88"/>
      <c r="E24" s="9"/>
      <c r="F24" s="89" t="s">
        <v>2</v>
      </c>
      <c r="G24" s="89"/>
      <c r="H24" s="89"/>
      <c r="I24" s="89"/>
      <c r="J24" s="89"/>
      <c r="K24" s="89"/>
      <c r="L24" s="89"/>
      <c r="M24" s="89"/>
      <c r="N24" s="89"/>
      <c r="O24" s="89"/>
      <c r="P24" s="89"/>
      <c r="Q24" s="10"/>
      <c r="R24" s="10"/>
      <c r="S24" s="10"/>
      <c r="T24" s="10"/>
    </row>
    <row r="25" spans="2:20" ht="13.4" customHeight="1" x14ac:dyDescent="0.35">
      <c r="B25" s="88"/>
      <c r="C25" s="88"/>
      <c r="D25" s="88"/>
      <c r="E25" s="9"/>
      <c r="F25" s="89"/>
      <c r="G25" s="89"/>
      <c r="H25" s="89"/>
      <c r="I25" s="89"/>
      <c r="J25" s="89"/>
      <c r="K25" s="89"/>
      <c r="L25" s="89"/>
      <c r="M25" s="89"/>
      <c r="N25" s="89"/>
      <c r="O25" s="89"/>
      <c r="P25" s="89"/>
      <c r="Q25" s="10"/>
      <c r="R25" s="10"/>
      <c r="S25" s="10"/>
      <c r="T25" s="10"/>
    </row>
    <row r="26" spans="2:20" ht="8.15" customHeight="1" x14ac:dyDescent="0.35"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</row>
    <row r="27" spans="2:20" ht="12" customHeight="1" x14ac:dyDescent="0.35">
      <c r="B27" s="11"/>
      <c r="C27" s="86" t="s">
        <v>3</v>
      </c>
      <c r="D27" s="86"/>
      <c r="E27" s="86"/>
      <c r="F27" s="86"/>
      <c r="G27" s="9"/>
      <c r="H27" s="87" t="s">
        <v>4</v>
      </c>
      <c r="I27" s="87"/>
      <c r="J27" s="87"/>
      <c r="K27" s="87"/>
      <c r="L27" s="87"/>
      <c r="M27" s="87"/>
      <c r="N27" s="87"/>
      <c r="O27" s="87"/>
      <c r="P27" s="87"/>
      <c r="Q27" s="87"/>
      <c r="R27" s="87"/>
      <c r="S27" s="87"/>
      <c r="T27" s="87"/>
    </row>
    <row r="28" spans="2:20" ht="12" customHeight="1" x14ac:dyDescent="0.35">
      <c r="B28" s="11"/>
      <c r="C28" s="86"/>
      <c r="D28" s="86"/>
      <c r="E28" s="86"/>
      <c r="F28" s="86"/>
      <c r="G28" s="9"/>
      <c r="H28" s="87"/>
      <c r="I28" s="87"/>
      <c r="J28" s="87"/>
      <c r="K28" s="87"/>
      <c r="L28" s="87"/>
      <c r="M28" s="87"/>
      <c r="N28" s="87"/>
      <c r="O28" s="87"/>
      <c r="P28" s="87"/>
      <c r="Q28" s="87"/>
      <c r="R28" s="87"/>
      <c r="S28" s="87"/>
      <c r="T28" s="87"/>
    </row>
    <row r="29" spans="2:20" ht="3" customHeight="1" x14ac:dyDescent="0.35">
      <c r="B29" s="11"/>
      <c r="C29" s="12"/>
      <c r="D29" s="12"/>
      <c r="E29" s="12"/>
      <c r="F29" s="12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</row>
    <row r="30" spans="2:20" ht="12" customHeight="1" x14ac:dyDescent="0.35">
      <c r="B30" s="11"/>
      <c r="C30" s="86" t="s">
        <v>5</v>
      </c>
      <c r="D30" s="86"/>
      <c r="E30" s="86"/>
      <c r="F30" s="86"/>
      <c r="G30" s="9"/>
      <c r="H30" s="13" t="s">
        <v>6</v>
      </c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2:20" ht="12" customHeight="1" x14ac:dyDescent="0.35">
      <c r="B31" s="11"/>
      <c r="C31" s="86"/>
      <c r="D31" s="86"/>
      <c r="E31" s="86"/>
      <c r="F31" s="86"/>
      <c r="G31" s="9"/>
      <c r="H31" s="13" t="s">
        <v>7</v>
      </c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2:20" ht="12" customHeight="1" x14ac:dyDescent="0.35">
      <c r="B32" s="11"/>
      <c r="C32" s="86"/>
      <c r="D32" s="86"/>
      <c r="E32" s="86"/>
      <c r="F32" s="86"/>
      <c r="G32" s="9"/>
      <c r="H32" s="13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2:20" ht="12" customHeight="1" x14ac:dyDescent="0.35">
      <c r="B33" s="11"/>
      <c r="C33" s="86"/>
      <c r="D33" s="86"/>
      <c r="E33" s="86"/>
      <c r="F33" s="86"/>
      <c r="G33" s="9"/>
      <c r="H33" s="13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2:20" ht="12" customHeight="1" x14ac:dyDescent="0.35">
      <c r="B34" s="11"/>
      <c r="C34" s="86"/>
      <c r="D34" s="86"/>
      <c r="E34" s="86"/>
      <c r="F34" s="86"/>
      <c r="G34" s="9"/>
      <c r="H34" s="13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2:20" ht="12" customHeight="1" x14ac:dyDescent="0.35">
      <c r="B35" s="11"/>
      <c r="C35" s="86"/>
      <c r="D35" s="86"/>
      <c r="E35" s="86"/>
      <c r="F35" s="86"/>
      <c r="G35" s="9"/>
      <c r="H35" s="13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2:20" ht="12" customHeight="1" x14ac:dyDescent="0.35">
      <c r="B36" s="11"/>
      <c r="C36" s="86"/>
      <c r="D36" s="86"/>
      <c r="E36" s="86"/>
      <c r="F36" s="86"/>
      <c r="G36" s="9"/>
      <c r="H36" s="13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2:20" ht="3" customHeight="1" x14ac:dyDescent="0.35"/>
    <row r="38" spans="2:20" ht="12" customHeight="1" x14ac:dyDescent="0.35">
      <c r="B38" s="11"/>
      <c r="C38" s="86" t="s">
        <v>8</v>
      </c>
      <c r="D38" s="86"/>
      <c r="E38" s="86"/>
      <c r="F38" s="86"/>
      <c r="G38" s="9"/>
      <c r="H38" s="13" t="s">
        <v>9</v>
      </c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2:20" ht="12" customHeight="1" x14ac:dyDescent="0.35">
      <c r="B39" s="11"/>
      <c r="C39" s="86"/>
      <c r="D39" s="86"/>
      <c r="E39" s="86"/>
      <c r="F39" s="86"/>
      <c r="G39" s="9"/>
      <c r="H39" s="13" t="s">
        <v>10</v>
      </c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2:20" ht="3" customHeight="1" x14ac:dyDescent="0.35"/>
    <row r="41" spans="2:20" ht="12" customHeight="1" x14ac:dyDescent="0.35">
      <c r="B41" s="11"/>
      <c r="C41" s="86" t="s">
        <v>11</v>
      </c>
      <c r="D41" s="86"/>
      <c r="E41" s="86"/>
      <c r="F41" s="86"/>
      <c r="G41" s="9"/>
      <c r="H41" s="13" t="s">
        <v>12</v>
      </c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2:20" ht="12" customHeight="1" x14ac:dyDescent="0.35">
      <c r="B42" s="11"/>
      <c r="C42" s="86"/>
      <c r="D42" s="86"/>
      <c r="E42" s="86"/>
      <c r="F42" s="86"/>
      <c r="G42" s="9"/>
      <c r="H42" s="13" t="s">
        <v>13</v>
      </c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2:20" ht="10.4" customHeight="1" x14ac:dyDescent="0.35"/>
    <row r="44" spans="2:20" ht="13.4" customHeight="1" x14ac:dyDescent="0.35">
      <c r="B44" s="88" t="s">
        <v>14</v>
      </c>
      <c r="C44" s="88"/>
      <c r="D44" s="88"/>
      <c r="E44" s="9"/>
      <c r="F44" s="89" t="s">
        <v>15</v>
      </c>
      <c r="G44" s="89"/>
      <c r="H44" s="89"/>
      <c r="I44" s="89"/>
      <c r="J44" s="89"/>
      <c r="K44" s="89"/>
      <c r="L44" s="89"/>
      <c r="M44" s="89"/>
      <c r="N44" s="89"/>
      <c r="O44" s="89"/>
      <c r="P44" s="89"/>
      <c r="Q44" s="10"/>
      <c r="R44" s="10"/>
      <c r="S44" s="10"/>
      <c r="T44" s="10"/>
    </row>
    <row r="45" spans="2:20" ht="13.4" customHeight="1" x14ac:dyDescent="0.35">
      <c r="B45" s="88"/>
      <c r="C45" s="88"/>
      <c r="D45" s="88"/>
      <c r="E45" s="9"/>
      <c r="F45" s="89"/>
      <c r="G45" s="89"/>
      <c r="H45" s="89"/>
      <c r="I45" s="89"/>
      <c r="J45" s="89"/>
      <c r="K45" s="89"/>
      <c r="L45" s="89"/>
      <c r="M45" s="89"/>
      <c r="N45" s="89"/>
      <c r="O45" s="89"/>
      <c r="P45" s="89"/>
      <c r="Q45" s="10"/>
      <c r="R45" s="10"/>
      <c r="S45" s="10"/>
      <c r="T45" s="10"/>
    </row>
    <row r="46" spans="2:20" ht="8.15" customHeight="1" x14ac:dyDescent="0.35"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</row>
    <row r="47" spans="2:20" ht="12" customHeight="1" x14ac:dyDescent="0.35">
      <c r="B47" s="11"/>
      <c r="C47" s="86" t="s">
        <v>16</v>
      </c>
      <c r="D47" s="86"/>
      <c r="E47" s="86"/>
      <c r="F47" s="86"/>
      <c r="G47" s="9"/>
      <c r="H47" s="87" t="s">
        <v>17</v>
      </c>
      <c r="I47" s="87"/>
      <c r="J47" s="87"/>
      <c r="K47" s="87"/>
      <c r="L47" s="87"/>
      <c r="M47" s="87"/>
      <c r="N47" s="87"/>
      <c r="O47" s="87"/>
      <c r="P47" s="87"/>
      <c r="Q47" s="87"/>
      <c r="R47" s="87"/>
      <c r="S47" s="87"/>
      <c r="T47" s="87"/>
    </row>
    <row r="48" spans="2:20" ht="12" customHeight="1" x14ac:dyDescent="0.35">
      <c r="B48" s="11"/>
      <c r="C48" s="86"/>
      <c r="D48" s="86"/>
      <c r="E48" s="86"/>
      <c r="F48" s="86"/>
      <c r="G48" s="9"/>
      <c r="H48" s="87"/>
      <c r="I48" s="87"/>
      <c r="J48" s="87"/>
      <c r="K48" s="87"/>
      <c r="L48" s="87"/>
      <c r="M48" s="87"/>
      <c r="N48" s="87"/>
      <c r="O48" s="87"/>
      <c r="P48" s="87"/>
      <c r="Q48" s="87"/>
      <c r="R48" s="87"/>
      <c r="S48" s="87"/>
      <c r="T48" s="87"/>
    </row>
    <row r="49" spans="2:20" ht="3" customHeight="1" x14ac:dyDescent="0.35"/>
    <row r="50" spans="2:20" ht="12" customHeight="1" x14ac:dyDescent="0.35">
      <c r="B50" s="11"/>
      <c r="C50" s="86" t="s">
        <v>18</v>
      </c>
      <c r="D50" s="86"/>
      <c r="E50" s="86"/>
      <c r="F50" s="86"/>
      <c r="G50" s="9"/>
      <c r="H50" s="87" t="s">
        <v>19</v>
      </c>
      <c r="I50" s="87"/>
      <c r="J50" s="87"/>
      <c r="K50" s="87"/>
      <c r="L50" s="87"/>
      <c r="M50" s="87"/>
      <c r="N50" s="87"/>
      <c r="O50" s="87"/>
      <c r="P50" s="87"/>
      <c r="Q50" s="87"/>
      <c r="R50" s="87"/>
      <c r="S50" s="87"/>
      <c r="T50" s="87"/>
    </row>
    <row r="51" spans="2:20" ht="12" customHeight="1" x14ac:dyDescent="0.35">
      <c r="B51" s="11"/>
      <c r="C51" s="86"/>
      <c r="D51" s="86"/>
      <c r="E51" s="86"/>
      <c r="F51" s="86"/>
      <c r="G51" s="9"/>
      <c r="H51" s="87"/>
      <c r="I51" s="87"/>
      <c r="J51" s="87"/>
      <c r="K51" s="87"/>
      <c r="L51" s="87"/>
      <c r="M51" s="87"/>
      <c r="N51" s="87"/>
      <c r="O51" s="87"/>
      <c r="P51" s="87"/>
      <c r="Q51" s="87"/>
      <c r="R51" s="87"/>
      <c r="S51" s="87"/>
      <c r="T51" s="87"/>
    </row>
    <row r="52" spans="2:20" ht="3" customHeight="1" x14ac:dyDescent="0.35"/>
    <row r="53" spans="2:20" ht="12" customHeight="1" x14ac:dyDescent="0.35">
      <c r="B53" s="11"/>
      <c r="C53" s="86" t="s">
        <v>20</v>
      </c>
      <c r="D53" s="86"/>
      <c r="E53" s="86"/>
      <c r="F53" s="86"/>
      <c r="G53" s="9"/>
      <c r="H53" s="87" t="s">
        <v>21</v>
      </c>
      <c r="I53" s="87"/>
      <c r="J53" s="87"/>
      <c r="K53" s="87"/>
      <c r="L53" s="87"/>
      <c r="M53" s="87"/>
      <c r="N53" s="87"/>
      <c r="O53" s="87"/>
      <c r="P53" s="87"/>
      <c r="Q53" s="87"/>
      <c r="R53" s="87"/>
      <c r="S53" s="87"/>
      <c r="T53" s="87"/>
    </row>
    <row r="54" spans="2:20" ht="12" customHeight="1" x14ac:dyDescent="0.35">
      <c r="B54" s="11"/>
      <c r="C54" s="86"/>
      <c r="D54" s="86"/>
      <c r="E54" s="86"/>
      <c r="F54" s="86"/>
      <c r="G54" s="9"/>
      <c r="H54" s="87"/>
      <c r="I54" s="87"/>
      <c r="J54" s="87"/>
      <c r="K54" s="87"/>
      <c r="L54" s="87"/>
      <c r="M54" s="87"/>
      <c r="N54" s="87"/>
      <c r="O54" s="87"/>
      <c r="P54" s="87"/>
      <c r="Q54" s="87"/>
      <c r="R54" s="87"/>
      <c r="S54" s="87"/>
      <c r="T54" s="87"/>
    </row>
    <row r="55" spans="2:20" ht="3" customHeight="1" x14ac:dyDescent="0.35"/>
    <row r="56" spans="2:20" ht="12" customHeight="1" x14ac:dyDescent="0.35">
      <c r="B56" s="11"/>
      <c r="C56" s="86" t="s">
        <v>22</v>
      </c>
      <c r="D56" s="86"/>
      <c r="E56" s="86"/>
      <c r="F56" s="86"/>
      <c r="G56" s="9"/>
      <c r="H56" s="87" t="s">
        <v>23</v>
      </c>
      <c r="I56" s="87"/>
      <c r="J56" s="87"/>
      <c r="K56" s="87"/>
      <c r="L56" s="87"/>
      <c r="M56" s="87"/>
      <c r="N56" s="87"/>
      <c r="O56" s="87"/>
      <c r="P56" s="87"/>
      <c r="Q56" s="87"/>
      <c r="R56" s="87"/>
      <c r="S56" s="87"/>
      <c r="T56" s="87"/>
    </row>
    <row r="57" spans="2:20" ht="12" customHeight="1" x14ac:dyDescent="0.35">
      <c r="B57" s="11"/>
      <c r="C57" s="86"/>
      <c r="D57" s="86"/>
      <c r="E57" s="86"/>
      <c r="F57" s="86"/>
      <c r="G57" s="9"/>
      <c r="H57" s="87"/>
      <c r="I57" s="87"/>
      <c r="J57" s="87"/>
      <c r="K57" s="87"/>
      <c r="L57" s="87"/>
      <c r="M57" s="87"/>
      <c r="N57" s="87"/>
      <c r="O57" s="87"/>
      <c r="P57" s="87"/>
      <c r="Q57" s="87"/>
      <c r="R57" s="87"/>
      <c r="S57" s="87"/>
      <c r="T57" s="87"/>
    </row>
    <row r="58" spans="2:20" ht="10.4" customHeight="1" x14ac:dyDescent="0.35"/>
    <row r="59" spans="2:20" ht="13.4" customHeight="1" x14ac:dyDescent="0.35">
      <c r="B59" s="88" t="s">
        <v>24</v>
      </c>
      <c r="C59" s="88"/>
      <c r="D59" s="88"/>
      <c r="E59" s="9"/>
      <c r="F59" s="89" t="s">
        <v>25</v>
      </c>
      <c r="G59" s="89"/>
      <c r="H59" s="89"/>
      <c r="I59" s="89"/>
      <c r="J59" s="89"/>
      <c r="K59" s="89"/>
      <c r="L59" s="89"/>
      <c r="M59" s="89"/>
      <c r="N59" s="89"/>
      <c r="O59" s="89"/>
      <c r="P59" s="89"/>
      <c r="Q59" s="10"/>
      <c r="R59" s="10"/>
      <c r="S59" s="10"/>
      <c r="T59" s="10"/>
    </row>
    <row r="60" spans="2:20" ht="13.4" customHeight="1" x14ac:dyDescent="0.35">
      <c r="B60" s="88"/>
      <c r="C60" s="88"/>
      <c r="D60" s="88"/>
      <c r="E60" s="9"/>
      <c r="F60" s="89"/>
      <c r="G60" s="89"/>
      <c r="H60" s="89"/>
      <c r="I60" s="89"/>
      <c r="J60" s="89"/>
      <c r="K60" s="89"/>
      <c r="L60" s="89"/>
      <c r="M60" s="89"/>
      <c r="N60" s="89"/>
      <c r="O60" s="89"/>
      <c r="P60" s="89"/>
      <c r="Q60" s="10"/>
      <c r="R60" s="10"/>
      <c r="S60" s="10"/>
      <c r="T60" s="10"/>
    </row>
    <row r="61" spans="2:20" ht="14.5" x14ac:dyDescent="0.35"/>
    <row r="62" spans="2:20" ht="14.5" hidden="1" x14ac:dyDescent="0.35"/>
  </sheetData>
  <mergeCells count="19"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  <mergeCell ref="C53:F54"/>
    <mergeCell ref="H53:T54"/>
    <mergeCell ref="C56:F57"/>
    <mergeCell ref="H56:T57"/>
    <mergeCell ref="B59:D60"/>
    <mergeCell ref="F59:P60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rgb="FFFF0000"/>
  </sheetPr>
  <dimension ref="A1:M27"/>
  <sheetViews>
    <sheetView showGridLines="0" tabSelected="1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5"/>
  <cols>
    <col min="1" max="2" width="3.54296875" style="25" customWidth="1"/>
    <col min="3" max="4" width="10.54296875" style="25" customWidth="1"/>
    <col min="5" max="5" width="5.54296875" style="25" customWidth="1"/>
    <col min="6" max="6" width="10.54296875" style="25" customWidth="1"/>
    <col min="7" max="7" width="8.54296875" style="25" customWidth="1"/>
    <col min="8" max="8" width="3.54296875" style="25" customWidth="1"/>
    <col min="9" max="13" width="10.54296875" style="25" hidden="1" customWidth="1"/>
    <col min="14" max="16384" width="8.7265625" style="25" hidden="1"/>
  </cols>
  <sheetData>
    <row r="1" spans="1:8" s="18" customFormat="1" ht="14.5" x14ac:dyDescent="0.35"/>
    <row r="2" spans="1:8" s="18" customFormat="1" ht="5.15" customHeight="1" x14ac:dyDescent="0.35"/>
    <row r="3" spans="1:8" s="18" customFormat="1" ht="14.5" x14ac:dyDescent="0.35"/>
    <row r="4" spans="1:8" s="18" customFormat="1" ht="5.15" customHeight="1" thickBot="1" x14ac:dyDescent="0.4">
      <c r="A4" s="19"/>
      <c r="B4" s="20"/>
      <c r="C4" s="20"/>
      <c r="D4" s="20"/>
      <c r="E4" s="20"/>
      <c r="F4" s="20"/>
      <c r="G4" s="20"/>
    </row>
    <row r="5" spans="1:8" s="18" customFormat="1" ht="8.15" customHeight="1" thickTop="1" x14ac:dyDescent="0.35">
      <c r="A5" s="21"/>
      <c r="B5" s="21"/>
      <c r="C5" s="21"/>
      <c r="D5" s="21"/>
      <c r="E5" s="21"/>
      <c r="F5" s="21"/>
      <c r="G5" s="21"/>
      <c r="H5" s="21"/>
    </row>
    <row r="6" spans="1:8" s="26" customFormat="1" ht="14.5" x14ac:dyDescent="0.35">
      <c r="A6" s="22"/>
      <c r="B6" s="23" t="s">
        <v>26</v>
      </c>
      <c r="C6" s="24"/>
      <c r="D6" s="24"/>
      <c r="E6" s="24"/>
      <c r="F6" s="24"/>
      <c r="G6" s="24"/>
      <c r="H6" s="25"/>
    </row>
    <row r="7" spans="1:8" s="26" customFormat="1" ht="4.1500000000000004" customHeight="1" x14ac:dyDescent="0.35">
      <c r="A7" s="22"/>
      <c r="B7" s="27"/>
      <c r="C7" s="22"/>
      <c r="D7" s="22"/>
      <c r="E7" s="22"/>
      <c r="F7" s="22"/>
      <c r="G7" s="22"/>
      <c r="H7" s="25"/>
    </row>
    <row r="8" spans="1:8" s="26" customFormat="1" ht="8.15" customHeight="1" x14ac:dyDescent="0.35">
      <c r="A8" s="22"/>
      <c r="B8" s="28"/>
      <c r="C8" s="29"/>
      <c r="D8" s="29"/>
      <c r="E8" s="29"/>
      <c r="F8" s="29"/>
      <c r="G8" s="30"/>
      <c r="H8" s="25"/>
    </row>
    <row r="9" spans="1:8" s="26" customFormat="1" ht="14.5" x14ac:dyDescent="0.35">
      <c r="A9" s="25"/>
      <c r="B9" s="31"/>
      <c r="C9" s="32" t="s">
        <v>27</v>
      </c>
      <c r="D9" s="32"/>
      <c r="E9" s="33"/>
      <c r="F9" s="34">
        <v>45930</v>
      </c>
      <c r="G9" s="35"/>
      <c r="H9" s="25"/>
    </row>
    <row r="10" spans="1:8" s="26" customFormat="1" ht="8.15" customHeight="1" x14ac:dyDescent="0.35">
      <c r="A10" s="25"/>
      <c r="B10" s="31"/>
      <c r="C10" s="36"/>
      <c r="D10" s="36"/>
      <c r="E10" s="2"/>
      <c r="F10" s="17" t="str">
        <f>YEAR(F9)&amp;"-"&amp;TEXT(MONTH(F9),"00")&amp;"-"&amp;TEXT(DAY(F9),"00")</f>
        <v>2025-09-30</v>
      </c>
      <c r="G10" s="41"/>
      <c r="H10" s="25"/>
    </row>
    <row r="11" spans="1:8" s="26" customFormat="1" ht="8.15" customHeight="1" x14ac:dyDescent="0.35">
      <c r="A11" s="25"/>
      <c r="B11" s="31"/>
      <c r="C11" s="18"/>
      <c r="D11" s="18"/>
      <c r="E11" s="18"/>
      <c r="F11" s="18"/>
      <c r="G11" s="35"/>
      <c r="H11" s="25"/>
    </row>
    <row r="12" spans="1:8" s="26" customFormat="1" ht="14.5" x14ac:dyDescent="0.35">
      <c r="A12" s="25"/>
      <c r="B12" s="31"/>
      <c r="C12" s="32" t="s">
        <v>28</v>
      </c>
      <c r="D12" s="32"/>
      <c r="E12" s="33"/>
      <c r="F12" s="33"/>
      <c r="G12" s="35"/>
      <c r="H12" s="25"/>
    </row>
    <row r="13" spans="1:8" s="26" customFormat="1" ht="8.15" customHeight="1" x14ac:dyDescent="0.35">
      <c r="A13" s="25"/>
      <c r="B13" s="31"/>
      <c r="C13" s="18"/>
      <c r="D13" s="18"/>
      <c r="E13" s="18"/>
      <c r="F13" s="18"/>
      <c r="G13" s="35"/>
      <c r="H13" s="25"/>
    </row>
    <row r="14" spans="1:8" s="26" customFormat="1" ht="8.15" customHeight="1" x14ac:dyDescent="0.35">
      <c r="A14" s="25"/>
      <c r="B14" s="31"/>
      <c r="C14" s="18"/>
      <c r="D14" s="18"/>
      <c r="E14" s="18"/>
      <c r="F14" s="18"/>
      <c r="G14" s="35"/>
      <c r="H14" s="25"/>
    </row>
    <row r="15" spans="1:8" s="26" customFormat="1" ht="14.5" x14ac:dyDescent="0.35">
      <c r="A15" s="25"/>
      <c r="B15" s="31"/>
      <c r="C15" s="32" t="s">
        <v>29</v>
      </c>
      <c r="D15" s="32"/>
      <c r="E15" s="33"/>
      <c r="F15" s="33"/>
      <c r="G15" s="35"/>
      <c r="H15" s="25"/>
    </row>
    <row r="16" spans="1:8" s="26" customFormat="1" ht="8.15" customHeight="1" x14ac:dyDescent="0.35">
      <c r="A16" s="25"/>
      <c r="B16" s="31"/>
      <c r="C16" s="18"/>
      <c r="D16" s="18"/>
      <c r="E16" s="18"/>
      <c r="F16" s="18"/>
      <c r="G16" s="35"/>
      <c r="H16" s="25"/>
    </row>
    <row r="17" spans="1:8" s="26" customFormat="1" ht="8.15" customHeight="1" x14ac:dyDescent="0.35">
      <c r="A17" s="25"/>
      <c r="B17" s="37"/>
      <c r="C17" s="38"/>
      <c r="D17" s="38"/>
      <c r="E17" s="38"/>
      <c r="F17" s="38"/>
      <c r="G17" s="39"/>
      <c r="H17" s="25"/>
    </row>
    <row r="18" spans="1:8" s="26" customFormat="1" ht="14.5" x14ac:dyDescent="0.35">
      <c r="A18" s="25"/>
      <c r="B18" s="25"/>
      <c r="C18" s="25"/>
      <c r="D18" s="25"/>
      <c r="E18" s="25"/>
      <c r="F18" s="25"/>
      <c r="G18" s="25"/>
      <c r="H18" s="25"/>
    </row>
    <row r="19" spans="1:8" ht="14.5" hidden="1" x14ac:dyDescent="0.35"/>
    <row r="20" spans="1:8" ht="14.5" hidden="1" x14ac:dyDescent="0.35"/>
    <row r="21" spans="1:8" ht="14.5" hidden="1" x14ac:dyDescent="0.35"/>
    <row r="22" spans="1:8" ht="14.5" hidden="1" x14ac:dyDescent="0.35">
      <c r="F22" s="40"/>
      <c r="G22" s="40"/>
    </row>
    <row r="23" spans="1:8" ht="14.5" hidden="1" x14ac:dyDescent="0.35"/>
    <row r="24" spans="1:8" ht="14.5" hidden="1" x14ac:dyDescent="0.35"/>
    <row r="25" spans="1:8" ht="14.5" hidden="1" x14ac:dyDescent="0.35"/>
    <row r="26" spans="1:8" ht="14.5" hidden="1" x14ac:dyDescent="0.35"/>
    <row r="27" spans="1:8" ht="14.5" hidden="1" x14ac:dyDescent="0.35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V5"/>
  <sheetViews>
    <sheetView showGridLines="0" topLeftCell="B1" workbookViewId="0">
      <pane ySplit="4" topLeftCell="A5" activePane="bottomLeft" state="frozen"/>
      <selection pane="bottomLeft" activeCell="C7" sqref="C7:U24154"/>
    </sheetView>
  </sheetViews>
  <sheetFormatPr defaultColWidth="0" defaultRowHeight="14.5" x14ac:dyDescent="0.35"/>
  <cols>
    <col min="1" max="2" width="3.54296875" customWidth="1"/>
    <col min="3" max="3" width="16" customWidth="1"/>
    <col min="4" max="4" width="10.54296875" customWidth="1"/>
    <col min="5" max="5" width="10.453125" customWidth="1"/>
    <col min="6" max="20" width="14.7265625" customWidth="1"/>
    <col min="21" max="22" width="3.54296875" customWidth="1"/>
    <col min="23" max="16384" width="8.7265625" hidden="1"/>
  </cols>
  <sheetData>
    <row r="1" spans="1:22" x14ac:dyDescent="0.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x14ac:dyDescent="0.3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x14ac:dyDescent="0.3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thickBot="1" x14ac:dyDescent="0.4">
      <c r="A4" s="3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2"/>
    </row>
    <row r="5" spans="1:22" ht="15" thickTop="1" x14ac:dyDescent="0.3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</row>
  </sheetData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1" tint="0.499984740745262"/>
  </sheetPr>
  <dimension ref="A2:S69"/>
  <sheetViews>
    <sheetView zoomScale="80" zoomScaleNormal="80" workbookViewId="0"/>
  </sheetViews>
  <sheetFormatPr defaultColWidth="8.7265625" defaultRowHeight="13" x14ac:dyDescent="0.3"/>
  <cols>
    <col min="1" max="1" width="4.453125" style="1" customWidth="1"/>
    <col min="2" max="2" width="3.26953125" style="1" customWidth="1"/>
    <col min="3" max="3" width="110.54296875" style="1" customWidth="1"/>
    <col min="4" max="4" width="21.54296875" style="1" customWidth="1"/>
    <col min="5" max="5" width="27" style="1" bestFit="1" customWidth="1"/>
    <col min="6" max="13" width="21.54296875" style="1" customWidth="1"/>
    <col min="14" max="14" width="23.54296875" style="1" customWidth="1"/>
    <col min="15" max="18" width="21" style="1" customWidth="1"/>
    <col min="19" max="19" width="17.453125" style="1" bestFit="1" customWidth="1"/>
    <col min="20" max="16384" width="8.7265625" style="1"/>
  </cols>
  <sheetData>
    <row r="2" spans="1:19" ht="14.5" x14ac:dyDescent="0.35">
      <c r="C2" s="42" t="s">
        <v>36</v>
      </c>
    </row>
    <row r="3" spans="1:19" ht="15" customHeight="1" x14ac:dyDescent="0.3">
      <c r="C3" s="43" t="s">
        <v>37</v>
      </c>
      <c r="D3" s="44" t="s">
        <v>38</v>
      </c>
      <c r="E3" s="44" t="s">
        <v>39</v>
      </c>
      <c r="F3" s="44" t="s">
        <v>40</v>
      </c>
      <c r="G3" s="44" t="s">
        <v>41</v>
      </c>
      <c r="H3" s="44" t="s">
        <v>42</v>
      </c>
      <c r="I3" s="44" t="s">
        <v>43</v>
      </c>
      <c r="J3" s="44" t="s">
        <v>44</v>
      </c>
      <c r="K3" s="44" t="s">
        <v>45</v>
      </c>
      <c r="L3" s="44" t="s">
        <v>46</v>
      </c>
      <c r="M3" s="44" t="s">
        <v>47</v>
      </c>
      <c r="N3" s="44" t="s">
        <v>48</v>
      </c>
      <c r="O3" s="44" t="s">
        <v>49</v>
      </c>
      <c r="P3" s="44" t="s">
        <v>50</v>
      </c>
      <c r="Q3" s="44" t="s">
        <v>51</v>
      </c>
      <c r="R3" s="44" t="s">
        <v>52</v>
      </c>
      <c r="S3" s="44" t="s">
        <v>53</v>
      </c>
    </row>
    <row r="4" spans="1:19" ht="76.5" customHeight="1" x14ac:dyDescent="0.3">
      <c r="C4" s="45"/>
      <c r="D4" s="94" t="s">
        <v>54</v>
      </c>
      <c r="E4" s="95"/>
      <c r="F4" s="95"/>
      <c r="G4" s="95"/>
      <c r="H4" s="96"/>
      <c r="I4" s="94" t="s">
        <v>55</v>
      </c>
      <c r="J4" s="95"/>
      <c r="K4" s="96"/>
      <c r="L4" s="94" t="s">
        <v>56</v>
      </c>
      <c r="M4" s="96"/>
      <c r="N4" s="90" t="s">
        <v>57</v>
      </c>
      <c r="O4" s="90" t="s">
        <v>58</v>
      </c>
      <c r="P4" s="90" t="s">
        <v>59</v>
      </c>
      <c r="Q4" s="90" t="s">
        <v>60</v>
      </c>
      <c r="R4" s="92" t="s">
        <v>61</v>
      </c>
      <c r="S4" s="90" t="s">
        <v>62</v>
      </c>
    </row>
    <row r="5" spans="1:19" ht="91" x14ac:dyDescent="0.3">
      <c r="C5" s="45"/>
      <c r="D5" s="46"/>
      <c r="E5" s="47" t="s">
        <v>63</v>
      </c>
      <c r="F5" s="47" t="s">
        <v>64</v>
      </c>
      <c r="G5" s="48" t="s">
        <v>65</v>
      </c>
      <c r="H5" s="48" t="s">
        <v>66</v>
      </c>
      <c r="I5" s="49"/>
      <c r="J5" s="47" t="s">
        <v>67</v>
      </c>
      <c r="K5" s="47" t="s">
        <v>66</v>
      </c>
      <c r="L5" s="50"/>
      <c r="M5" s="51" t="s">
        <v>68</v>
      </c>
      <c r="N5" s="91"/>
      <c r="O5" s="91"/>
      <c r="P5" s="91"/>
      <c r="Q5" s="91"/>
      <c r="R5" s="93"/>
      <c r="S5" s="91"/>
    </row>
    <row r="6" spans="1:19" x14ac:dyDescent="0.3">
      <c r="B6" s="52">
        <v>1</v>
      </c>
      <c r="C6" s="53" t="s">
        <v>69</v>
      </c>
      <c r="D6" s="66">
        <f t="shared" ref="D6:R6" si="0">D7+D8+D14+D39+D44+D45+D49+D50+D56+D57</f>
        <v>0</v>
      </c>
      <c r="E6" s="66">
        <f t="shared" si="0"/>
        <v>0</v>
      </c>
      <c r="F6" s="66">
        <f t="shared" si="0"/>
        <v>0</v>
      </c>
      <c r="G6" s="66">
        <f t="shared" si="0"/>
        <v>0</v>
      </c>
      <c r="H6" s="66">
        <f t="shared" si="0"/>
        <v>0</v>
      </c>
      <c r="I6" s="66">
        <f t="shared" si="0"/>
        <v>0</v>
      </c>
      <c r="J6" s="66">
        <f t="shared" si="0"/>
        <v>0</v>
      </c>
      <c r="K6" s="66">
        <f t="shared" si="0"/>
        <v>0</v>
      </c>
      <c r="L6" s="67">
        <f t="shared" si="0"/>
        <v>0</v>
      </c>
      <c r="M6" s="67">
        <f t="shared" si="0"/>
        <v>0</v>
      </c>
      <c r="N6" s="75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b.'!$O$63)))/1000000)/$D$6</f>
        <v>#DIV/0!</v>
      </c>
      <c r="O6" s="66">
        <f t="shared" si="0"/>
        <v>0</v>
      </c>
      <c r="P6" s="66">
        <f t="shared" si="0"/>
        <v>0</v>
      </c>
      <c r="Q6" s="66">
        <f t="shared" si="0"/>
        <v>0</v>
      </c>
      <c r="R6" s="66">
        <f t="shared" si="0"/>
        <v>0</v>
      </c>
      <c r="S6" s="68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#DIV/0!</v>
      </c>
    </row>
    <row r="7" spans="1:19" x14ac:dyDescent="0.3">
      <c r="A7" s="81" t="s">
        <v>70</v>
      </c>
      <c r="B7" s="52">
        <v>2</v>
      </c>
      <c r="C7" s="54" t="s">
        <v>71</v>
      </c>
      <c r="D7" s="69">
        <f>(ROUND(SUMIFS(Input!$I:$I,Input!$H:$H,'1.CC Transition risk-Banking b.'!$A7&amp;"*",Input!$E:$E,'1.CC Transition risk-Banking b.'!$D$63),0))/1000000</f>
        <v>0</v>
      </c>
      <c r="E7" s="69">
        <f>(ROUND(SUMIFS(Input!$I:$I,Input!$H:$H,'1.CC Transition risk-Banking b.'!$A7&amp;"*",Input!$E:$E,'1.CC Transition risk-Banking b.'!$E$63,Input!$F:$F,'1.CC Transition risk-Banking b.'!$E$64),0))/1000000</f>
        <v>0</v>
      </c>
      <c r="F7" s="69">
        <f>(ROUND(SUMIFS(Input!$P:$P,Input!$H:$H,'1.CC Transition risk-Banking b.'!$A7&amp;"*",Input!$E:$E,'1.CC Transition risk-Banking b.'!$E$63,Input!$O:$O,'1.CC Transition risk-Banking b.'!$F$63),0))/1000000</f>
        <v>0</v>
      </c>
      <c r="G7" s="69">
        <f>(ROUND(SUMIFS(Input!$I:$I,Input!$H:$H,'1.CC Transition risk-Banking b.'!$A7&amp;"*",Input!$E:$E,'1.CC Transition risk-Banking b.'!$G$63,Input!$C:$C,'1.CC Transition risk-Banking b.'!$G$64),0))/1000000</f>
        <v>0</v>
      </c>
      <c r="H7" s="69">
        <f>(ROUND(SUMIFS(Input!$I:$I,Input!$H:$H,'1.CC Transition risk-Banking b.'!$A7&amp;"*",Input!$E:$E,'1.CC Transition risk-Banking b.'!$H$63,Input!$C:$C,'1.CC Transition risk-Banking b.'!$H$64),0))/1000000</f>
        <v>0</v>
      </c>
      <c r="I7" s="69">
        <f>(ROUND(SUMIFS(Input!$I:$I,Input!$H:$H,'1.CC Transition risk-Banking b.'!$A7&amp;"*",Input!$E:$E,'1.CC Transition risk-Banking b.'!$I$63),0))/1000000</f>
        <v>0</v>
      </c>
      <c r="J7" s="69">
        <f>(ROUND(SUMIFS(Input!$I:$I,Input!$H:$H,'1.CC Transition risk-Banking b.'!$A7&amp;"*",Input!$E:$E,'1.CC Transition risk-Banking b.'!$J$63,Input!$C:$C,'1.CC Transition risk-Banking b.'!$J$64),0))/1000000</f>
        <v>0</v>
      </c>
      <c r="K7" s="69">
        <f>(ROUND(SUMIFS(Input!$I:$I,Input!$H:$H,'1.CC Transition risk-Banking b.'!$A7&amp;"*",Input!$E:$E,'1.CC Transition risk-Banking b.'!$K$63,Input!$C:$C,'1.CC Transition risk-Banking b.'!$K$64),0))/1000000</f>
        <v>0</v>
      </c>
      <c r="L7" s="70">
        <f>(ROUND(SUMIFS(Input!$J:$J,Input!$H:$H,'1.CC Transition risk-Banking b.'!$A7&amp;"*")
+ SUMIFS(Input!$L:$L,Input!$H:$H,'1.CC Transition risk-Banking b.'!$A7&amp;"*")
+SUMIFS(Input!$N:$N,Input!$H:$H,'1.CC Transition risk-Banking b.'!$A7&amp;"*"),0))/1</f>
        <v>0</v>
      </c>
      <c r="M7" s="70">
        <f>(ROUND(SUMIFS(Input!$N:$N,Input!$H:$H,'1.CC Transition risk-Banking b.'!$A7&amp;"*"),0))/1</f>
        <v>0</v>
      </c>
      <c r="N7" s="76">
        <f>IFERROR(AVERAGE(SUMIFS(Input!$I:$I,Input!$H:$H,'1.CC Transition risk-Banking b.'!$A7&amp;"*",Input!$R:$R,"SOUR1",Input!$E:$E,'1.CC Transition risk-Banking b.'!$O$63),
SUMIFS(Input!$I:$I,Input!$H:$H,'1.CC Transition risk-Banking b.'!$A7&amp;"*",Input!$S:$S,"SOUR1",Input!$E:$E,'1.CC Transition risk-Banking b.'!$O$63),
SUMIFS(Input!$I:$I,Input!$H:$H,'1.CC Transition risk-Banking b.'!$A7&amp;"*",Input!$T:$T,"SOUR1",Input!$E:$E,'1.CC Transition risk-Banking b.'!$O$63))/SUMIFS(Input!$I:$I,Input!$H:$H,'1.CC Transition risk-Banking b.'!$A7&amp;"*",Input!$E:$E,'1.CC Transition risk-Banking b.'!$O$63),0)</f>
        <v>0</v>
      </c>
      <c r="O7" s="71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0</v>
      </c>
      <c r="P7" s="71">
        <f>(ROUND(SUMIFS(Input!$I:$I,Input!$H:$H,'1.CC Transition risk-Banking b.'!$A7&amp;"*",Input!$E:$E,'1.CC Transition risk-Banking b.'!P$63,Input!$G:$G,"&gt;5",Input!$G:$G,"&lt;=10"),0))/1000000</f>
        <v>0</v>
      </c>
      <c r="Q7" s="71">
        <f>(ROUND(SUMIFS(Input!$I:$I,Input!$H:$H,'1.CC Transition risk-Banking b.'!$A7&amp;"*",Input!$E:$E,'1.CC Transition risk-Banking b.'!Q$63,Input!$G:$G,"&gt;10",Input!$G:$G,"&lt;=20"),0))/1000000</f>
        <v>0</v>
      </c>
      <c r="R7" s="71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72">
        <f>ROUND(IFERROR((SUMIFS(Input!$Q:$Q,Input!$H:$H,'1.CC Transition risk-Banking b.'!$A7&amp;"*",Input!$E:$E,'1.CC Transition risk-Banking b.'!S$63,Input!$G:$G,"&gt;0")/1000000)/'1.CC Transition risk-Banking b.'!$D7,0),0)</f>
        <v>0</v>
      </c>
    </row>
    <row r="8" spans="1:19" x14ac:dyDescent="0.3">
      <c r="A8" s="81" t="s">
        <v>72</v>
      </c>
      <c r="B8" s="52">
        <v>3</v>
      </c>
      <c r="C8" s="54" t="s">
        <v>73</v>
      </c>
      <c r="D8" s="69">
        <f>(ROUND(SUMIFS(Input!$I:$I,Input!$H:$H,'1.CC Transition risk-Banking b.'!$A8&amp;"*",Input!$E:$E,'1.CC Transition risk-Banking b.'!$D$63),0))/1000000</f>
        <v>0</v>
      </c>
      <c r="E8" s="69">
        <f>(ROUND(SUMIFS(Input!$I:$I,Input!$H:$H,'1.CC Transition risk-Banking b.'!$A8&amp;"*",Input!$E:$E,'1.CC Transition risk-Banking b.'!$E$63,Input!$F:$F,'1.CC Transition risk-Banking b.'!$E$64),0))/1000000</f>
        <v>0</v>
      </c>
      <c r="F8" s="69">
        <f>(ROUND(SUMIFS(Input!$P:$P,Input!$H:$H,'1.CC Transition risk-Banking b.'!$A8&amp;"*",Input!$E:$E,'1.CC Transition risk-Banking b.'!$E$63,Input!$O:$O,'1.CC Transition risk-Banking b.'!$F$63),0))/1000000</f>
        <v>0</v>
      </c>
      <c r="G8" s="69">
        <f>(ROUND(SUMIFS(Input!$I:$I,Input!$H:$H,'1.CC Transition risk-Banking b.'!$A8&amp;"*",Input!$E:$E,'1.CC Transition risk-Banking b.'!$G$63,Input!$C:$C,'1.CC Transition risk-Banking b.'!$G$64),0))/1000000</f>
        <v>0</v>
      </c>
      <c r="H8" s="69">
        <f>(ROUND(SUMIFS(Input!$I:$I,Input!$H:$H,'1.CC Transition risk-Banking b.'!$A8&amp;"*",Input!$E:$E,'1.CC Transition risk-Banking b.'!$H$63,Input!$C:$C,'1.CC Transition risk-Banking b.'!$H$64),0))/1000000</f>
        <v>0</v>
      </c>
      <c r="I8" s="69">
        <f>(ROUND(SUMIFS(Input!$I:$I,Input!$H:$H,'1.CC Transition risk-Banking b.'!$A8&amp;"*",Input!$E:$E,'1.CC Transition risk-Banking b.'!$I$63),0))/1000000</f>
        <v>0</v>
      </c>
      <c r="J8" s="69">
        <f>(ROUND(SUMIFS(Input!$I:$I,Input!$H:$H,'1.CC Transition risk-Banking b.'!$A8&amp;"*",Input!$E:$E,'1.CC Transition risk-Banking b.'!$J$63,Input!$C:$C,'1.CC Transition risk-Banking b.'!$J$64),0))/1000000</f>
        <v>0</v>
      </c>
      <c r="K8" s="69">
        <f>(ROUND(SUMIFS(Input!$I:$I,Input!$H:$H,'1.CC Transition risk-Banking b.'!$A8&amp;"*",Input!$E:$E,'1.CC Transition risk-Banking b.'!$K$63,Input!$C:$C,'1.CC Transition risk-Banking b.'!$K$64),0))/1000000</f>
        <v>0</v>
      </c>
      <c r="L8" s="70">
        <f>(ROUND(SUMIFS(Input!$J:$J,Input!$H:$H,'1.CC Transition risk-Banking b.'!$A8&amp;"*")
+ SUMIFS(Input!$L:$L,Input!$H:$H,'1.CC Transition risk-Banking b.'!$A8&amp;"*")
+SUMIFS(Input!$N:$N,Input!$H:$H,'1.CC Transition risk-Banking b.'!$A8&amp;"*"),0))/1</f>
        <v>0</v>
      </c>
      <c r="M8" s="70">
        <f>(ROUND(SUMIFS(Input!$N:$N,Input!$H:$H,'1.CC Transition risk-Banking b.'!$A8&amp;"*"),0))/1</f>
        <v>0</v>
      </c>
      <c r="N8" s="76">
        <f>IFERROR(AVERAGE(SUMIFS(Input!$I:$I,Input!$H:$H,'1.CC Transition risk-Banking b.'!$A8&amp;"*",Input!$R:$R,"SOUR1",Input!$E:$E,'1.CC Transition risk-Banking b.'!$O$63),
SUMIFS(Input!$I:$I,Input!$H:$H,'1.CC Transition risk-Banking b.'!$A8&amp;"*",Input!$S:$S,"SOUR1",Input!$E:$E,'1.CC Transition risk-Banking b.'!$O$63),
SUMIFS(Input!$I:$I,Input!$H:$H,'1.CC Transition risk-Banking b.'!$A8&amp;"*",Input!$T:$T,"SOUR1",Input!$E:$E,'1.CC Transition risk-Banking b.'!$O$63))/SUMIFS(Input!$I:$I,Input!$H:$H,'1.CC Transition risk-Banking b.'!$A8&amp;"*",Input!$E:$E,'1.CC Transition risk-Banking b.'!$O$63),0)</f>
        <v>0</v>
      </c>
      <c r="O8" s="71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0</v>
      </c>
      <c r="P8" s="71">
        <f>(ROUND(SUMIFS(Input!$I:$I,Input!$H:$H,'1.CC Transition risk-Banking b.'!$A8&amp;"*",Input!$E:$E,'1.CC Transition risk-Banking b.'!P$63,Input!$G:$G,"&gt;5",Input!$G:$G,"&lt;=10"),0))/1000000</f>
        <v>0</v>
      </c>
      <c r="Q8" s="71">
        <f>(ROUND(SUMIFS(Input!$I:$I,Input!$H:$H,'1.CC Transition risk-Banking b.'!$A8&amp;"*",Input!$E:$E,'1.CC Transition risk-Banking b.'!Q$63,Input!$G:$G,"&gt;10",Input!$G:$G,"&lt;=20"),0))/1000000</f>
        <v>0</v>
      </c>
      <c r="R8" s="71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72">
        <f>ROUND(IFERROR((SUMIFS(Input!$Q:$Q,Input!$H:$H,'1.CC Transition risk-Banking b.'!$A8&amp;"*",Input!$E:$E,'1.CC Transition risk-Banking b.'!S$63,Input!$G:$G,"&gt;0")/1000000)/'1.CC Transition risk-Banking b.'!$D8,0),0)</f>
        <v>0</v>
      </c>
    </row>
    <row r="9" spans="1:19" x14ac:dyDescent="0.3">
      <c r="A9" s="81" t="s">
        <v>74</v>
      </c>
      <c r="B9" s="52">
        <v>4</v>
      </c>
      <c r="C9" s="55" t="s">
        <v>75</v>
      </c>
      <c r="D9" s="69">
        <f>(ROUND(SUMIFS(Input!$I:$I,Input!$H:$H,'1.CC Transition risk-Banking b.'!$A9&amp;"*",Input!$E:$E,'1.CC Transition risk-Banking b.'!$D$63),0))/1000000</f>
        <v>0</v>
      </c>
      <c r="E9" s="69">
        <f>(ROUND(SUMIFS(Input!$I:$I,Input!$H:$H,'1.CC Transition risk-Banking b.'!$A9&amp;"*",Input!$E:$E,'1.CC Transition risk-Banking b.'!$E$63,Input!$F:$F,'1.CC Transition risk-Banking b.'!$E$64),0))/1000000</f>
        <v>0</v>
      </c>
      <c r="F9" s="69">
        <f>(ROUND(SUMIFS(Input!$P:$P,Input!$H:$H,'1.CC Transition risk-Banking b.'!$A9&amp;"*",Input!$E:$E,'1.CC Transition risk-Banking b.'!$E$63,Input!$O:$O,'1.CC Transition risk-Banking b.'!$F$63),0))/1000000</f>
        <v>0</v>
      </c>
      <c r="G9" s="69">
        <f>(ROUND(SUMIFS(Input!$I:$I,Input!$H:$H,'1.CC Transition risk-Banking b.'!$A9&amp;"*",Input!$E:$E,'1.CC Transition risk-Banking b.'!$G$63,Input!$C:$C,'1.CC Transition risk-Banking b.'!$G$64),0))/1000000</f>
        <v>0</v>
      </c>
      <c r="H9" s="69">
        <f>(ROUND(SUMIFS(Input!$I:$I,Input!$H:$H,'1.CC Transition risk-Banking b.'!$A9&amp;"*",Input!$E:$E,'1.CC Transition risk-Banking b.'!$H$63,Input!$C:$C,'1.CC Transition risk-Banking b.'!$H$64),0))/1000000</f>
        <v>0</v>
      </c>
      <c r="I9" s="69">
        <f>(ROUND(SUMIFS(Input!$I:$I,Input!$H:$H,'1.CC Transition risk-Banking b.'!$A9&amp;"*",Input!$E:$E,'1.CC Transition risk-Banking b.'!$I$63),0))/1000000</f>
        <v>0</v>
      </c>
      <c r="J9" s="69">
        <f>(ROUND(SUMIFS(Input!$I:$I,Input!$H:$H,'1.CC Transition risk-Banking b.'!$A9&amp;"*",Input!$E:$E,'1.CC Transition risk-Banking b.'!$J$63,Input!$C:$C,'1.CC Transition risk-Banking b.'!$J$64),0))/1000000</f>
        <v>0</v>
      </c>
      <c r="K9" s="69">
        <f>(ROUND(SUMIFS(Input!$I:$I,Input!$H:$H,'1.CC Transition risk-Banking b.'!$A9&amp;"*",Input!$E:$E,'1.CC Transition risk-Banking b.'!$K$63,Input!$C:$C,'1.CC Transition risk-Banking b.'!$K$64),0))/1000000</f>
        <v>0</v>
      </c>
      <c r="L9" s="70">
        <f>(ROUND(SUMIFS(Input!$J:$J,Input!$H:$H,'1.CC Transition risk-Banking b.'!$A9&amp;"*")
+ SUMIFS(Input!$L:$L,Input!$H:$H,'1.CC Transition risk-Banking b.'!$A9&amp;"*")
+SUMIFS(Input!$N:$N,Input!$H:$H,'1.CC Transition risk-Banking b.'!$A9&amp;"*"),0))/1</f>
        <v>0</v>
      </c>
      <c r="M9" s="70">
        <f>(ROUND(SUMIFS(Input!$N:$N,Input!$H:$H,'1.CC Transition risk-Banking b.'!$A9&amp;"*"),0))/1</f>
        <v>0</v>
      </c>
      <c r="N9" s="76">
        <f>IFERROR(AVERAGE(SUMIFS(Input!$I:$I,Input!$H:$H,'1.CC Transition risk-Banking b.'!$A9&amp;"*",Input!$R:$R,"SOUR1",Input!$E:$E,'1.CC Transition risk-Banking b.'!$O$63),
SUMIFS(Input!$I:$I,Input!$H:$H,'1.CC Transition risk-Banking b.'!$A9&amp;"*",Input!$S:$S,"SOUR1",Input!$E:$E,'1.CC Transition risk-Banking b.'!$O$63),
SUMIFS(Input!$I:$I,Input!$H:$H,'1.CC Transition risk-Banking b.'!$A9&amp;"*",Input!$T:$T,"SOUR1",Input!$E:$E,'1.CC Transition risk-Banking b.'!$O$63))/SUMIFS(Input!$I:$I,Input!$H:$H,'1.CC Transition risk-Banking b.'!$A9&amp;"*",Input!$E:$E,'1.CC Transition risk-Banking b.'!$O$63),0)</f>
        <v>0</v>
      </c>
      <c r="O9" s="71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71">
        <f>(ROUND(SUMIFS(Input!$I:$I,Input!$H:$H,'1.CC Transition risk-Banking b.'!$A9&amp;"*",Input!$E:$E,'1.CC Transition risk-Banking b.'!P$63,Input!$G:$G,"&gt;5",Input!$G:$G,"&lt;=10"),0))/1000000</f>
        <v>0</v>
      </c>
      <c r="Q9" s="71">
        <f>(ROUND(SUMIFS(Input!$I:$I,Input!$H:$H,'1.CC Transition risk-Banking b.'!$A9&amp;"*",Input!$E:$E,'1.CC Transition risk-Banking b.'!Q$63,Input!$G:$G,"&gt;10",Input!$G:$G,"&lt;=20"),0))/1000000</f>
        <v>0</v>
      </c>
      <c r="R9" s="71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72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81" t="s">
        <v>76</v>
      </c>
      <c r="B10" s="52">
        <v>5</v>
      </c>
      <c r="C10" s="55" t="s">
        <v>77</v>
      </c>
      <c r="D10" s="69">
        <f>(ROUND(SUMIFS(Input!$I:$I,Input!$H:$H,'1.CC Transition risk-Banking b.'!$A10&amp;"*",Input!$E:$E,'1.CC Transition risk-Banking b.'!$D$63),0))/1000000</f>
        <v>0</v>
      </c>
      <c r="E10" s="69">
        <f>(ROUND(SUMIFS(Input!$I:$I,Input!$H:$H,'1.CC Transition risk-Banking b.'!$A10&amp;"*",Input!$E:$E,'1.CC Transition risk-Banking b.'!$E$63,Input!$F:$F,'1.CC Transition risk-Banking b.'!$E$64),0))/1000000</f>
        <v>0</v>
      </c>
      <c r="F10" s="69">
        <f>(ROUND(SUMIFS(Input!$P:$P,Input!$H:$H,'1.CC Transition risk-Banking b.'!$A10&amp;"*",Input!$E:$E,'1.CC Transition risk-Banking b.'!$E$63,Input!$O:$O,'1.CC Transition risk-Banking b.'!$F$63),0))/1000000</f>
        <v>0</v>
      </c>
      <c r="G10" s="69">
        <f>(ROUND(SUMIFS(Input!$I:$I,Input!$H:$H,'1.CC Transition risk-Banking b.'!$A10&amp;"*",Input!$E:$E,'1.CC Transition risk-Banking b.'!$G$63,Input!$C:$C,'1.CC Transition risk-Banking b.'!$G$64),0))/1000000</f>
        <v>0</v>
      </c>
      <c r="H10" s="69">
        <f>(ROUND(SUMIFS(Input!$I:$I,Input!$H:$H,'1.CC Transition risk-Banking b.'!$A10&amp;"*",Input!$E:$E,'1.CC Transition risk-Banking b.'!$H$63,Input!$C:$C,'1.CC Transition risk-Banking b.'!$H$64),0))/1000000</f>
        <v>0</v>
      </c>
      <c r="I10" s="69">
        <f>(ROUND(SUMIFS(Input!$I:$I,Input!$H:$H,'1.CC Transition risk-Banking b.'!$A10&amp;"*",Input!$E:$E,'1.CC Transition risk-Banking b.'!$I$63),0))/1000000</f>
        <v>0</v>
      </c>
      <c r="J10" s="69">
        <f>(ROUND(SUMIFS(Input!$I:$I,Input!$H:$H,'1.CC Transition risk-Banking b.'!$A10&amp;"*",Input!$E:$E,'1.CC Transition risk-Banking b.'!$J$63,Input!$C:$C,'1.CC Transition risk-Banking b.'!$J$64),0))/1000000</f>
        <v>0</v>
      </c>
      <c r="K10" s="69">
        <f>(ROUND(SUMIFS(Input!$I:$I,Input!$H:$H,'1.CC Transition risk-Banking b.'!$A10&amp;"*",Input!$E:$E,'1.CC Transition risk-Banking b.'!$K$63,Input!$C:$C,'1.CC Transition risk-Banking b.'!$K$64),0))/1000000</f>
        <v>0</v>
      </c>
      <c r="L10" s="70">
        <f>(ROUND(SUMIFS(Input!$J:$J,Input!$H:$H,'1.CC Transition risk-Banking b.'!$A10&amp;"*")
+ SUMIFS(Input!$L:$L,Input!$H:$H,'1.CC Transition risk-Banking b.'!$A10&amp;"*")
+SUMIFS(Input!$N:$N,Input!$H:$H,'1.CC Transition risk-Banking b.'!$A10&amp;"*"),0))/1</f>
        <v>0</v>
      </c>
      <c r="M10" s="70">
        <f>(ROUND(SUMIFS(Input!$N:$N,Input!$H:$H,'1.CC Transition risk-Banking b.'!$A10&amp;"*"),0))/1</f>
        <v>0</v>
      </c>
      <c r="N10" s="76">
        <f>IFERROR(AVERAGE(SUMIFS(Input!$I:$I,Input!$H:$H,'1.CC Transition risk-Banking b.'!$A10&amp;"*",Input!$R:$R,"SOUR1",Input!$E:$E,'1.CC Transition risk-Banking b.'!$O$63),
SUMIFS(Input!$I:$I,Input!$H:$H,'1.CC Transition risk-Banking b.'!$A10&amp;"*",Input!$S:$S,"SOUR1",Input!$E:$E,'1.CC Transition risk-Banking b.'!$O$63),
SUMIFS(Input!$I:$I,Input!$H:$H,'1.CC Transition risk-Banking b.'!$A10&amp;"*",Input!$T:$T,"SOUR1",Input!$E:$E,'1.CC Transition risk-Banking b.'!$O$63))/SUMIFS(Input!$I:$I,Input!$H:$H,'1.CC Transition risk-Banking b.'!$A10&amp;"*",Input!$E:$E,'1.CC Transition risk-Banking b.'!$O$63),0)</f>
        <v>0</v>
      </c>
      <c r="O10" s="71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71">
        <f>(ROUND(SUMIFS(Input!$I:$I,Input!$H:$H,'1.CC Transition risk-Banking b.'!$A10&amp;"*",Input!$E:$E,'1.CC Transition risk-Banking b.'!P$63,Input!$G:$G,"&gt;5",Input!$G:$G,"&lt;=10"),0))/1000000</f>
        <v>0</v>
      </c>
      <c r="Q10" s="71">
        <f>(ROUND(SUMIFS(Input!$I:$I,Input!$H:$H,'1.CC Transition risk-Banking b.'!$A10&amp;"*",Input!$E:$E,'1.CC Transition risk-Banking b.'!Q$63,Input!$G:$G,"&gt;10",Input!$G:$G,"&lt;=20"),0))/1000000</f>
        <v>0</v>
      </c>
      <c r="R10" s="71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72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81" t="s">
        <v>78</v>
      </c>
      <c r="B11" s="52">
        <v>6</v>
      </c>
      <c r="C11" s="55" t="s">
        <v>79</v>
      </c>
      <c r="D11" s="69">
        <f>(ROUND(SUMIFS(Input!$I:$I,Input!$H:$H,'1.CC Transition risk-Banking b.'!$A11&amp;"*",Input!$E:$E,'1.CC Transition risk-Banking b.'!$D$63),0))/1000000</f>
        <v>0</v>
      </c>
      <c r="E11" s="69">
        <f>(ROUND(SUMIFS(Input!$I:$I,Input!$H:$H,'1.CC Transition risk-Banking b.'!$A11&amp;"*",Input!$E:$E,'1.CC Transition risk-Banking b.'!$E$63,Input!$F:$F,'1.CC Transition risk-Banking b.'!$E$64),0))/1000000</f>
        <v>0</v>
      </c>
      <c r="F11" s="69">
        <f>(ROUND(SUMIFS(Input!$P:$P,Input!$H:$H,'1.CC Transition risk-Banking b.'!$A11&amp;"*",Input!$E:$E,'1.CC Transition risk-Banking b.'!$E$63,Input!$O:$O,'1.CC Transition risk-Banking b.'!$F$63),0))/1000000</f>
        <v>0</v>
      </c>
      <c r="G11" s="69">
        <f>(ROUND(SUMIFS(Input!$I:$I,Input!$H:$H,'1.CC Transition risk-Banking b.'!$A11&amp;"*",Input!$E:$E,'1.CC Transition risk-Banking b.'!$G$63,Input!$C:$C,'1.CC Transition risk-Banking b.'!$G$64),0))/1000000</f>
        <v>0</v>
      </c>
      <c r="H11" s="69">
        <f>(ROUND(SUMIFS(Input!$I:$I,Input!$H:$H,'1.CC Transition risk-Banking b.'!$A11&amp;"*",Input!$E:$E,'1.CC Transition risk-Banking b.'!$H$63,Input!$C:$C,'1.CC Transition risk-Banking b.'!$H$64),0))/1000000</f>
        <v>0</v>
      </c>
      <c r="I11" s="69">
        <f>(ROUND(SUMIFS(Input!$I:$I,Input!$H:$H,'1.CC Transition risk-Banking b.'!$A11&amp;"*",Input!$E:$E,'1.CC Transition risk-Banking b.'!$I$63),0))/1000000</f>
        <v>0</v>
      </c>
      <c r="J11" s="69">
        <f>(ROUND(SUMIFS(Input!$I:$I,Input!$H:$H,'1.CC Transition risk-Banking b.'!$A11&amp;"*",Input!$E:$E,'1.CC Transition risk-Banking b.'!$J$63,Input!$C:$C,'1.CC Transition risk-Banking b.'!$J$64),0))/1000000</f>
        <v>0</v>
      </c>
      <c r="K11" s="69">
        <f>(ROUND(SUMIFS(Input!$I:$I,Input!$H:$H,'1.CC Transition risk-Banking b.'!$A11&amp;"*",Input!$E:$E,'1.CC Transition risk-Banking b.'!$K$63,Input!$C:$C,'1.CC Transition risk-Banking b.'!$K$64),0))/1000000</f>
        <v>0</v>
      </c>
      <c r="L11" s="70">
        <f>(ROUND(SUMIFS(Input!$J:$J,Input!$H:$H,'1.CC Transition risk-Banking b.'!$A11&amp;"*")
+ SUMIFS(Input!$L:$L,Input!$H:$H,'1.CC Transition risk-Banking b.'!$A11&amp;"*")
+SUMIFS(Input!$N:$N,Input!$H:$H,'1.CC Transition risk-Banking b.'!$A11&amp;"*"),0))/1</f>
        <v>0</v>
      </c>
      <c r="M11" s="70">
        <f>(ROUND(SUMIFS(Input!$N:$N,Input!$H:$H,'1.CC Transition risk-Banking b.'!$A11&amp;"*"),0))/1</f>
        <v>0</v>
      </c>
      <c r="N11" s="76">
        <f>IFERROR(AVERAGE(SUMIFS(Input!$I:$I,Input!$H:$H,'1.CC Transition risk-Banking b.'!$A11&amp;"*",Input!$R:$R,"SOUR1",Input!$E:$E,'1.CC Transition risk-Banking b.'!$O$63),
SUMIFS(Input!$I:$I,Input!$H:$H,'1.CC Transition risk-Banking b.'!$A11&amp;"*",Input!$S:$S,"SOUR1",Input!$E:$E,'1.CC Transition risk-Banking b.'!$O$63),
SUMIFS(Input!$I:$I,Input!$H:$H,'1.CC Transition risk-Banking b.'!$A11&amp;"*",Input!$T:$T,"SOUR1",Input!$E:$E,'1.CC Transition risk-Banking b.'!$O$63))/SUMIFS(Input!$I:$I,Input!$H:$H,'1.CC Transition risk-Banking b.'!$A11&amp;"*",Input!$E:$E,'1.CC Transition risk-Banking b.'!$O$63),0)</f>
        <v>0</v>
      </c>
      <c r="O11" s="71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</v>
      </c>
      <c r="P11" s="71">
        <f>(ROUND(SUMIFS(Input!$I:$I,Input!$H:$H,'1.CC Transition risk-Banking b.'!$A11&amp;"*",Input!$E:$E,'1.CC Transition risk-Banking b.'!P$63,Input!$G:$G,"&gt;5",Input!$G:$G,"&lt;=10"),0))/1000000</f>
        <v>0</v>
      </c>
      <c r="Q11" s="71">
        <f>(ROUND(SUMIFS(Input!$I:$I,Input!$H:$H,'1.CC Transition risk-Banking b.'!$A11&amp;"*",Input!$E:$E,'1.CC Transition risk-Banking b.'!Q$63,Input!$G:$G,"&gt;10",Input!$G:$G,"&lt;=20"),0))/1000000</f>
        <v>0</v>
      </c>
      <c r="R11" s="71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72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81" t="s">
        <v>80</v>
      </c>
      <c r="B12" s="52">
        <v>7</v>
      </c>
      <c r="C12" s="55" t="s">
        <v>81</v>
      </c>
      <c r="D12" s="69">
        <f>(ROUND(SUMIFS(Input!$I:$I,Input!$H:$H,'1.CC Transition risk-Banking b.'!$A12&amp;"*",Input!$E:$E,'1.CC Transition risk-Banking b.'!$D$63),0))/1000000</f>
        <v>0</v>
      </c>
      <c r="E12" s="69">
        <f>(ROUND(SUMIFS(Input!$I:$I,Input!$H:$H,'1.CC Transition risk-Banking b.'!$A12&amp;"*",Input!$E:$E,'1.CC Transition risk-Banking b.'!$E$63,Input!$F:$F,'1.CC Transition risk-Banking b.'!$E$64),0))/1000000</f>
        <v>0</v>
      </c>
      <c r="F12" s="69">
        <f>(ROUND(SUMIFS(Input!$P:$P,Input!$H:$H,'1.CC Transition risk-Banking b.'!$A12&amp;"*",Input!$E:$E,'1.CC Transition risk-Banking b.'!$E$63,Input!$O:$O,'1.CC Transition risk-Banking b.'!$F$63),0))/1000000</f>
        <v>0</v>
      </c>
      <c r="G12" s="69">
        <f>(ROUND(SUMIFS(Input!$I:$I,Input!$H:$H,'1.CC Transition risk-Banking b.'!$A12&amp;"*",Input!$E:$E,'1.CC Transition risk-Banking b.'!$G$63,Input!$C:$C,'1.CC Transition risk-Banking b.'!$G$64),0))/1000000</f>
        <v>0</v>
      </c>
      <c r="H12" s="69">
        <f>(ROUND(SUMIFS(Input!$I:$I,Input!$H:$H,'1.CC Transition risk-Banking b.'!$A12&amp;"*",Input!$E:$E,'1.CC Transition risk-Banking b.'!$H$63,Input!$C:$C,'1.CC Transition risk-Banking b.'!$H$64),0))/1000000</f>
        <v>0</v>
      </c>
      <c r="I12" s="69">
        <f>(ROUND(SUMIFS(Input!$I:$I,Input!$H:$H,'1.CC Transition risk-Banking b.'!$A12&amp;"*",Input!$E:$E,'1.CC Transition risk-Banking b.'!$I$63),0))/1000000</f>
        <v>0</v>
      </c>
      <c r="J12" s="69">
        <f>(ROUND(SUMIFS(Input!$I:$I,Input!$H:$H,'1.CC Transition risk-Banking b.'!$A12&amp;"*",Input!$E:$E,'1.CC Transition risk-Banking b.'!$J$63,Input!$C:$C,'1.CC Transition risk-Banking b.'!$J$64),0))/1000000</f>
        <v>0</v>
      </c>
      <c r="K12" s="69">
        <f>(ROUND(SUMIFS(Input!$I:$I,Input!$H:$H,'1.CC Transition risk-Banking b.'!$A12&amp;"*",Input!$E:$E,'1.CC Transition risk-Banking b.'!$K$63,Input!$C:$C,'1.CC Transition risk-Banking b.'!$K$64),0))/1000000</f>
        <v>0</v>
      </c>
      <c r="L12" s="70">
        <f>(ROUND(SUMIFS(Input!$J:$J,Input!$H:$H,'1.CC Transition risk-Banking b.'!$A12&amp;"*")
+ SUMIFS(Input!$L:$L,Input!$H:$H,'1.CC Transition risk-Banking b.'!$A12&amp;"*")
+SUMIFS(Input!$N:$N,Input!$H:$H,'1.CC Transition risk-Banking b.'!$A12&amp;"*"),0))/1</f>
        <v>0</v>
      </c>
      <c r="M12" s="70">
        <f>(ROUND(SUMIFS(Input!$N:$N,Input!$H:$H,'1.CC Transition risk-Banking b.'!$A12&amp;"*"),0))/1</f>
        <v>0</v>
      </c>
      <c r="N12" s="76">
        <f>IFERROR(AVERAGE(SUMIFS(Input!$I:$I,Input!$H:$H,'1.CC Transition risk-Banking b.'!$A12&amp;"*",Input!$R:$R,"SOUR1",Input!$E:$E,'1.CC Transition risk-Banking b.'!$O$63),
SUMIFS(Input!$I:$I,Input!$H:$H,'1.CC Transition risk-Banking b.'!$A12&amp;"*",Input!$S:$S,"SOUR1",Input!$E:$E,'1.CC Transition risk-Banking b.'!$O$63),
SUMIFS(Input!$I:$I,Input!$H:$H,'1.CC Transition risk-Banking b.'!$A12&amp;"*",Input!$T:$T,"SOUR1",Input!$E:$E,'1.CC Transition risk-Banking b.'!$O$63))/SUMIFS(Input!$I:$I,Input!$H:$H,'1.CC Transition risk-Banking b.'!$A12&amp;"*",Input!$E:$E,'1.CC Transition risk-Banking b.'!$O$63),0)</f>
        <v>0</v>
      </c>
      <c r="O12" s="71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0</v>
      </c>
      <c r="P12" s="71">
        <f>(ROUND(SUMIFS(Input!$I:$I,Input!$H:$H,'1.CC Transition risk-Banking b.'!$A12&amp;"*",Input!$E:$E,'1.CC Transition risk-Banking b.'!P$63,Input!$G:$G,"&gt;5",Input!$G:$G,"&lt;=10"),0))/1000000</f>
        <v>0</v>
      </c>
      <c r="Q12" s="71">
        <f>(ROUND(SUMIFS(Input!$I:$I,Input!$H:$H,'1.CC Transition risk-Banking b.'!$A12&amp;"*",Input!$E:$E,'1.CC Transition risk-Banking b.'!Q$63,Input!$G:$G,"&gt;10",Input!$G:$G,"&lt;=20"),0))/1000000</f>
        <v>0</v>
      </c>
      <c r="R12" s="71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72">
        <f>ROUND(IFERROR((SUMIFS(Input!$Q:$Q,Input!$H:$H,'1.CC Transition risk-Banking b.'!$A12&amp;"*",Input!$E:$E,'1.CC Transition risk-Banking b.'!S$63,Input!$G:$G,"&gt;0")/1000000)/'1.CC Transition risk-Banking b.'!$D12,0),0)</f>
        <v>0</v>
      </c>
    </row>
    <row r="13" spans="1:19" x14ac:dyDescent="0.3">
      <c r="A13" s="81" t="s">
        <v>82</v>
      </c>
      <c r="B13" s="52">
        <v>8</v>
      </c>
      <c r="C13" s="55" t="s">
        <v>83</v>
      </c>
      <c r="D13" s="69">
        <f>(ROUND(SUMIFS(Input!$I:$I,Input!$H:$H,'1.CC Transition risk-Banking b.'!$A13&amp;"*",Input!$E:$E,'1.CC Transition risk-Banking b.'!$D$63),0))/1000000</f>
        <v>0</v>
      </c>
      <c r="E13" s="69">
        <f>(ROUND(SUMIFS(Input!$I:$I,Input!$H:$H,'1.CC Transition risk-Banking b.'!$A13&amp;"*",Input!$E:$E,'1.CC Transition risk-Banking b.'!$E$63,Input!$F:$F,'1.CC Transition risk-Banking b.'!$E$64),0))/1000000</f>
        <v>0</v>
      </c>
      <c r="F13" s="69">
        <f>(ROUND(SUMIFS(Input!$P:$P,Input!$H:$H,'1.CC Transition risk-Banking b.'!$A13&amp;"*",Input!$E:$E,'1.CC Transition risk-Banking b.'!$E$63,Input!$O:$O,'1.CC Transition risk-Banking b.'!$F$63),0))/1000000</f>
        <v>0</v>
      </c>
      <c r="G13" s="69">
        <f>(ROUND(SUMIFS(Input!$I:$I,Input!$H:$H,'1.CC Transition risk-Banking b.'!$A13&amp;"*",Input!$E:$E,'1.CC Transition risk-Banking b.'!$G$63,Input!$C:$C,'1.CC Transition risk-Banking b.'!$G$64),0))/1000000</f>
        <v>0</v>
      </c>
      <c r="H13" s="69">
        <f>(ROUND(SUMIFS(Input!$I:$I,Input!$H:$H,'1.CC Transition risk-Banking b.'!$A13&amp;"*",Input!$E:$E,'1.CC Transition risk-Banking b.'!$H$63,Input!$C:$C,'1.CC Transition risk-Banking b.'!$H$64),0))/1000000</f>
        <v>0</v>
      </c>
      <c r="I13" s="69">
        <f>(ROUND(SUMIFS(Input!$I:$I,Input!$H:$H,'1.CC Transition risk-Banking b.'!$A13&amp;"*",Input!$E:$E,'1.CC Transition risk-Banking b.'!$I$63),0))/1000000</f>
        <v>0</v>
      </c>
      <c r="J13" s="69">
        <f>(ROUND(SUMIFS(Input!$I:$I,Input!$H:$H,'1.CC Transition risk-Banking b.'!$A13&amp;"*",Input!$E:$E,'1.CC Transition risk-Banking b.'!$J$63,Input!$C:$C,'1.CC Transition risk-Banking b.'!$J$64),0))/1000000</f>
        <v>0</v>
      </c>
      <c r="K13" s="69">
        <f>(ROUND(SUMIFS(Input!$I:$I,Input!$H:$H,'1.CC Transition risk-Banking b.'!$A13&amp;"*",Input!$E:$E,'1.CC Transition risk-Banking b.'!$K$63,Input!$C:$C,'1.CC Transition risk-Banking b.'!$K$64),0))/1000000</f>
        <v>0</v>
      </c>
      <c r="L13" s="70">
        <f>(ROUND(SUMIFS(Input!$J:$J,Input!$H:$H,'1.CC Transition risk-Banking b.'!$A13&amp;"*")
+ SUMIFS(Input!$L:$L,Input!$H:$H,'1.CC Transition risk-Banking b.'!$A13&amp;"*")
+SUMIFS(Input!$N:$N,Input!$H:$H,'1.CC Transition risk-Banking b.'!$A13&amp;"*"),0))/1</f>
        <v>0</v>
      </c>
      <c r="M13" s="70">
        <f>(ROUND(SUMIFS(Input!$N:$N,Input!$H:$H,'1.CC Transition risk-Banking b.'!$A13&amp;"*"),0))/1</f>
        <v>0</v>
      </c>
      <c r="N13" s="76">
        <f>IFERROR(AVERAGE(SUMIFS(Input!$I:$I,Input!$H:$H,'1.CC Transition risk-Banking b.'!$A13&amp;"*",Input!$R:$R,"SOUR1",Input!$E:$E,'1.CC Transition risk-Banking b.'!$O$63),
SUMIFS(Input!$I:$I,Input!$H:$H,'1.CC Transition risk-Banking b.'!$A13&amp;"*",Input!$S:$S,"SOUR1",Input!$E:$E,'1.CC Transition risk-Banking b.'!$O$63),
SUMIFS(Input!$I:$I,Input!$H:$H,'1.CC Transition risk-Banking b.'!$A13&amp;"*",Input!$T:$T,"SOUR1",Input!$E:$E,'1.CC Transition risk-Banking b.'!$O$63))/SUMIFS(Input!$I:$I,Input!$H:$H,'1.CC Transition risk-Banking b.'!$A13&amp;"*",Input!$E:$E,'1.CC Transition risk-Banking b.'!$O$63),0)</f>
        <v>0</v>
      </c>
      <c r="O13" s="71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0</v>
      </c>
      <c r="P13" s="71">
        <f>(ROUND(SUMIFS(Input!$I:$I,Input!$H:$H,'1.CC Transition risk-Banking b.'!$A13&amp;"*",Input!$E:$E,'1.CC Transition risk-Banking b.'!P$63,Input!$G:$G,"&gt;5",Input!$G:$G,"&lt;=10"),0))/1000000</f>
        <v>0</v>
      </c>
      <c r="Q13" s="71">
        <f>(ROUND(SUMIFS(Input!$I:$I,Input!$H:$H,'1.CC Transition risk-Banking b.'!$A13&amp;"*",Input!$E:$E,'1.CC Transition risk-Banking b.'!Q$63,Input!$G:$G,"&gt;10",Input!$G:$G,"&lt;=20"),0))/1000000</f>
        <v>0</v>
      </c>
      <c r="R13" s="71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72">
        <f>ROUND(IFERROR((SUMIFS(Input!$Q:$Q,Input!$H:$H,'1.CC Transition risk-Banking b.'!$A13&amp;"*",Input!$E:$E,'1.CC Transition risk-Banking b.'!S$63,Input!$G:$G,"&gt;0")/1000000)/'1.CC Transition risk-Banking b.'!$D13,0),0)</f>
        <v>0</v>
      </c>
    </row>
    <row r="14" spans="1:19" x14ac:dyDescent="0.3">
      <c r="A14" s="81" t="s">
        <v>84</v>
      </c>
      <c r="B14" s="52">
        <v>9</v>
      </c>
      <c r="C14" s="54" t="s">
        <v>85</v>
      </c>
      <c r="D14" s="69">
        <f>(ROUND(SUMIFS(Input!$I:$I,Input!$H:$H,'1.CC Transition risk-Banking b.'!$A14&amp;"*",Input!$E:$E,'1.CC Transition risk-Banking b.'!$D$63),0))/1000000</f>
        <v>0</v>
      </c>
      <c r="E14" s="69">
        <f>(ROUND(SUMIFS(Input!$I:$I,Input!$H:$H,'1.CC Transition risk-Banking b.'!$A14&amp;"*",Input!$E:$E,'1.CC Transition risk-Banking b.'!$E$63,Input!$F:$F,'1.CC Transition risk-Banking b.'!$E$64),0))/1000000</f>
        <v>0</v>
      </c>
      <c r="F14" s="69">
        <f>(ROUND(SUMIFS(Input!$P:$P,Input!$H:$H,'1.CC Transition risk-Banking b.'!$A14&amp;"*",Input!$E:$E,'1.CC Transition risk-Banking b.'!$E$63,Input!$O:$O,'1.CC Transition risk-Banking b.'!$F$63),0))/1000000</f>
        <v>0</v>
      </c>
      <c r="G14" s="69">
        <f>(ROUND(SUMIFS(Input!$I:$I,Input!$H:$H,'1.CC Transition risk-Banking b.'!$A14&amp;"*",Input!$E:$E,'1.CC Transition risk-Banking b.'!$G$63,Input!$C:$C,'1.CC Transition risk-Banking b.'!$G$64),0))/1000000</f>
        <v>0</v>
      </c>
      <c r="H14" s="69">
        <f>(ROUND(SUMIFS(Input!$I:$I,Input!$H:$H,'1.CC Transition risk-Banking b.'!$A14&amp;"*",Input!$E:$E,'1.CC Transition risk-Banking b.'!$H$63,Input!$C:$C,'1.CC Transition risk-Banking b.'!$H$64),0))/1000000</f>
        <v>0</v>
      </c>
      <c r="I14" s="69">
        <f>(ROUND(SUMIFS(Input!$I:$I,Input!$H:$H,'1.CC Transition risk-Banking b.'!$A14&amp;"*",Input!$E:$E,'1.CC Transition risk-Banking b.'!$I$63),0))/1000000</f>
        <v>0</v>
      </c>
      <c r="J14" s="69">
        <f>(ROUND(SUMIFS(Input!$I:$I,Input!$H:$H,'1.CC Transition risk-Banking b.'!$A14&amp;"*",Input!$E:$E,'1.CC Transition risk-Banking b.'!$J$63,Input!$C:$C,'1.CC Transition risk-Banking b.'!$J$64),0))/1000000</f>
        <v>0</v>
      </c>
      <c r="K14" s="69">
        <f>(ROUND(SUMIFS(Input!$I:$I,Input!$H:$H,'1.CC Transition risk-Banking b.'!$A14&amp;"*",Input!$E:$E,'1.CC Transition risk-Banking b.'!$K$63,Input!$C:$C,'1.CC Transition risk-Banking b.'!$K$64),0))/1000000</f>
        <v>0</v>
      </c>
      <c r="L14" s="70">
        <f>(ROUND(SUMIFS(Input!$J:$J,Input!$H:$H,'1.CC Transition risk-Banking b.'!$A14&amp;"*")
+ SUMIFS(Input!$L:$L,Input!$H:$H,'1.CC Transition risk-Banking b.'!$A14&amp;"*")
+SUMIFS(Input!$N:$N,Input!$H:$H,'1.CC Transition risk-Banking b.'!$A14&amp;"*"),0))/1</f>
        <v>0</v>
      </c>
      <c r="M14" s="70">
        <f>(ROUND(SUMIFS(Input!$N:$N,Input!$H:$H,'1.CC Transition risk-Banking b.'!$A14&amp;"*"),0))/1</f>
        <v>0</v>
      </c>
      <c r="N14" s="76">
        <f>IFERROR(AVERAGE(SUMIFS(Input!$I:$I,Input!$H:$H,'1.CC Transition risk-Banking b.'!$A14&amp;"*",Input!$R:$R,"SOUR1",Input!$E:$E,'1.CC Transition risk-Banking b.'!$O$63),
SUMIFS(Input!$I:$I,Input!$H:$H,'1.CC Transition risk-Banking b.'!$A14&amp;"*",Input!$S:$S,"SOUR1",Input!$E:$E,'1.CC Transition risk-Banking b.'!$O$63),
SUMIFS(Input!$I:$I,Input!$H:$H,'1.CC Transition risk-Banking b.'!$A14&amp;"*",Input!$T:$T,"SOUR1",Input!$E:$E,'1.CC Transition risk-Banking b.'!$O$63))/SUMIFS(Input!$I:$I,Input!$H:$H,'1.CC Transition risk-Banking b.'!$A14&amp;"*",Input!$E:$E,'1.CC Transition risk-Banking b.'!$O$63),0)</f>
        <v>0</v>
      </c>
      <c r="O14" s="71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0</v>
      </c>
      <c r="P14" s="71">
        <f>(ROUND(SUMIFS(Input!$I:$I,Input!$H:$H,'1.CC Transition risk-Banking b.'!$A14&amp;"*",Input!$E:$E,'1.CC Transition risk-Banking b.'!P$63,Input!$G:$G,"&gt;5",Input!$G:$G,"&lt;=10"),0))/1000000</f>
        <v>0</v>
      </c>
      <c r="Q14" s="71">
        <f>(ROUND(SUMIFS(Input!$I:$I,Input!$H:$H,'1.CC Transition risk-Banking b.'!$A14&amp;"*",Input!$E:$E,'1.CC Transition risk-Banking b.'!Q$63,Input!$G:$G,"&gt;10",Input!$G:$G,"&lt;=20"),0))/1000000</f>
        <v>0</v>
      </c>
      <c r="R14" s="71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0</v>
      </c>
      <c r="S14" s="72">
        <f>ROUND(IFERROR((SUMIFS(Input!$Q:$Q,Input!$H:$H,'1.CC Transition risk-Banking b.'!$A14&amp;"*",Input!$E:$E,'1.CC Transition risk-Banking b.'!S$63,Input!$G:$G,"&gt;0")/1000000)/'1.CC Transition risk-Banking b.'!$D14,0),0)</f>
        <v>0</v>
      </c>
    </row>
    <row r="15" spans="1:19" x14ac:dyDescent="0.3">
      <c r="A15" s="81" t="s">
        <v>86</v>
      </c>
      <c r="B15" s="52">
        <v>10</v>
      </c>
      <c r="C15" s="55" t="s">
        <v>87</v>
      </c>
      <c r="D15" s="69">
        <f>(ROUND(SUMIFS(Input!$I:$I,Input!$H:$H,'1.CC Transition risk-Banking b.'!$A15&amp;"*",Input!$E:$E,'1.CC Transition risk-Banking b.'!$D$63),0))/1000000</f>
        <v>0</v>
      </c>
      <c r="E15" s="69">
        <f>(ROUND(SUMIFS(Input!$I:$I,Input!$H:$H,'1.CC Transition risk-Banking b.'!$A15&amp;"*",Input!$E:$E,'1.CC Transition risk-Banking b.'!$E$63,Input!$F:$F,'1.CC Transition risk-Banking b.'!$E$64),0))/1000000</f>
        <v>0</v>
      </c>
      <c r="F15" s="69">
        <f>(ROUND(SUMIFS(Input!$P:$P,Input!$H:$H,'1.CC Transition risk-Banking b.'!$A15&amp;"*",Input!$E:$E,'1.CC Transition risk-Banking b.'!$E$63,Input!$O:$O,'1.CC Transition risk-Banking b.'!$F$63),0))/1000000</f>
        <v>0</v>
      </c>
      <c r="G15" s="69">
        <f>(ROUND(SUMIFS(Input!$I:$I,Input!$H:$H,'1.CC Transition risk-Banking b.'!$A15&amp;"*",Input!$E:$E,'1.CC Transition risk-Banking b.'!$G$63,Input!$C:$C,'1.CC Transition risk-Banking b.'!$G$64),0))/1000000</f>
        <v>0</v>
      </c>
      <c r="H15" s="69">
        <f>(ROUND(SUMIFS(Input!$I:$I,Input!$H:$H,'1.CC Transition risk-Banking b.'!$A15&amp;"*",Input!$E:$E,'1.CC Transition risk-Banking b.'!$H$63,Input!$C:$C,'1.CC Transition risk-Banking b.'!$H$64),0))/1000000</f>
        <v>0</v>
      </c>
      <c r="I15" s="69">
        <f>(ROUND(SUMIFS(Input!$I:$I,Input!$H:$H,'1.CC Transition risk-Banking b.'!$A15&amp;"*",Input!$E:$E,'1.CC Transition risk-Banking b.'!$I$63),0))/1000000</f>
        <v>0</v>
      </c>
      <c r="J15" s="69">
        <f>(ROUND(SUMIFS(Input!$I:$I,Input!$H:$H,'1.CC Transition risk-Banking b.'!$A15&amp;"*",Input!$E:$E,'1.CC Transition risk-Banking b.'!$J$63,Input!$C:$C,'1.CC Transition risk-Banking b.'!$J$64),0))/1000000</f>
        <v>0</v>
      </c>
      <c r="K15" s="69">
        <f>(ROUND(SUMIFS(Input!$I:$I,Input!$H:$H,'1.CC Transition risk-Banking b.'!$A15&amp;"*",Input!$E:$E,'1.CC Transition risk-Banking b.'!$K$63,Input!$C:$C,'1.CC Transition risk-Banking b.'!$K$64),0))/1000000</f>
        <v>0</v>
      </c>
      <c r="L15" s="70">
        <f>(ROUND(SUMIFS(Input!$J:$J,Input!$H:$H,'1.CC Transition risk-Banking b.'!$A15&amp;"*")
+ SUMIFS(Input!$L:$L,Input!$H:$H,'1.CC Transition risk-Banking b.'!$A15&amp;"*")
+SUMIFS(Input!$N:$N,Input!$H:$H,'1.CC Transition risk-Banking b.'!$A15&amp;"*"),0))/1</f>
        <v>0</v>
      </c>
      <c r="M15" s="70">
        <f>(ROUND(SUMIFS(Input!$N:$N,Input!$H:$H,'1.CC Transition risk-Banking b.'!$A15&amp;"*"),0))/1</f>
        <v>0</v>
      </c>
      <c r="N15" s="76">
        <f>IFERROR(AVERAGE(SUMIFS(Input!$I:$I,Input!$H:$H,'1.CC Transition risk-Banking b.'!$A15&amp;"*",Input!$R:$R,"SOUR1",Input!$E:$E,'1.CC Transition risk-Banking b.'!$O$63),
SUMIFS(Input!$I:$I,Input!$H:$H,'1.CC Transition risk-Banking b.'!$A15&amp;"*",Input!$S:$S,"SOUR1",Input!$E:$E,'1.CC Transition risk-Banking b.'!$O$63),
SUMIFS(Input!$I:$I,Input!$H:$H,'1.CC Transition risk-Banking b.'!$A15&amp;"*",Input!$T:$T,"SOUR1",Input!$E:$E,'1.CC Transition risk-Banking b.'!$O$63))/SUMIFS(Input!$I:$I,Input!$H:$H,'1.CC Transition risk-Banking b.'!$A15&amp;"*",Input!$E:$E,'1.CC Transition risk-Banking b.'!$O$63),0)</f>
        <v>0</v>
      </c>
      <c r="O15" s="71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0</v>
      </c>
      <c r="P15" s="71">
        <f>(ROUND(SUMIFS(Input!$I:$I,Input!$H:$H,'1.CC Transition risk-Banking b.'!$A15&amp;"*",Input!$E:$E,'1.CC Transition risk-Banking b.'!P$63,Input!$G:$G,"&gt;5",Input!$G:$G,"&lt;=10"),0))/1000000</f>
        <v>0</v>
      </c>
      <c r="Q15" s="71">
        <f>(ROUND(SUMIFS(Input!$I:$I,Input!$H:$H,'1.CC Transition risk-Banking b.'!$A15&amp;"*",Input!$E:$E,'1.CC Transition risk-Banking b.'!Q$63,Input!$G:$G,"&gt;10",Input!$G:$G,"&lt;=20"),0))/1000000</f>
        <v>0</v>
      </c>
      <c r="R15" s="71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72">
        <f>ROUND(IFERROR((SUMIFS(Input!$Q:$Q,Input!$H:$H,'1.CC Transition risk-Banking b.'!$A15&amp;"*",Input!$E:$E,'1.CC Transition risk-Banking b.'!S$63,Input!$G:$G,"&gt;0")/1000000)/'1.CC Transition risk-Banking b.'!$D15,0),0)</f>
        <v>0</v>
      </c>
    </row>
    <row r="16" spans="1:19" x14ac:dyDescent="0.3">
      <c r="A16" s="81" t="s">
        <v>88</v>
      </c>
      <c r="B16" s="52">
        <v>11</v>
      </c>
      <c r="C16" s="55" t="s">
        <v>89</v>
      </c>
      <c r="D16" s="69">
        <f>(ROUND(SUMIFS(Input!$I:$I,Input!$H:$H,'1.CC Transition risk-Banking b.'!$A16&amp;"*",Input!$E:$E,'1.CC Transition risk-Banking b.'!$D$63),0))/1000000</f>
        <v>0</v>
      </c>
      <c r="E16" s="69">
        <f>(ROUND(SUMIFS(Input!$I:$I,Input!$H:$H,'1.CC Transition risk-Banking b.'!$A16&amp;"*",Input!$E:$E,'1.CC Transition risk-Banking b.'!$E$63,Input!$F:$F,'1.CC Transition risk-Banking b.'!$E$64),0))/1000000</f>
        <v>0</v>
      </c>
      <c r="F16" s="69">
        <f>(ROUND(SUMIFS(Input!$P:$P,Input!$H:$H,'1.CC Transition risk-Banking b.'!$A16&amp;"*",Input!$E:$E,'1.CC Transition risk-Banking b.'!$E$63,Input!$O:$O,'1.CC Transition risk-Banking b.'!$F$63),0))/1000000</f>
        <v>0</v>
      </c>
      <c r="G16" s="69">
        <f>(ROUND(SUMIFS(Input!$I:$I,Input!$H:$H,'1.CC Transition risk-Banking b.'!$A16&amp;"*",Input!$E:$E,'1.CC Transition risk-Banking b.'!$G$63,Input!$C:$C,'1.CC Transition risk-Banking b.'!$G$64),0))/1000000</f>
        <v>0</v>
      </c>
      <c r="H16" s="69">
        <f>(ROUND(SUMIFS(Input!$I:$I,Input!$H:$H,'1.CC Transition risk-Banking b.'!$A16&amp;"*",Input!$E:$E,'1.CC Transition risk-Banking b.'!$H$63,Input!$C:$C,'1.CC Transition risk-Banking b.'!$H$64),0))/1000000</f>
        <v>0</v>
      </c>
      <c r="I16" s="69">
        <f>(ROUND(SUMIFS(Input!$I:$I,Input!$H:$H,'1.CC Transition risk-Banking b.'!$A16&amp;"*",Input!$E:$E,'1.CC Transition risk-Banking b.'!$I$63),0))/1000000</f>
        <v>0</v>
      </c>
      <c r="J16" s="69">
        <f>(ROUND(SUMIFS(Input!$I:$I,Input!$H:$H,'1.CC Transition risk-Banking b.'!$A16&amp;"*",Input!$E:$E,'1.CC Transition risk-Banking b.'!$J$63,Input!$C:$C,'1.CC Transition risk-Banking b.'!$J$64),0))/1000000</f>
        <v>0</v>
      </c>
      <c r="K16" s="69">
        <f>(ROUND(SUMIFS(Input!$I:$I,Input!$H:$H,'1.CC Transition risk-Banking b.'!$A16&amp;"*",Input!$E:$E,'1.CC Transition risk-Banking b.'!$K$63,Input!$C:$C,'1.CC Transition risk-Banking b.'!$K$64),0))/1000000</f>
        <v>0</v>
      </c>
      <c r="L16" s="70">
        <f>(ROUND(SUMIFS(Input!$J:$J,Input!$H:$H,'1.CC Transition risk-Banking b.'!$A16&amp;"*")
+ SUMIFS(Input!$L:$L,Input!$H:$H,'1.CC Transition risk-Banking b.'!$A16&amp;"*")
+SUMIFS(Input!$N:$N,Input!$H:$H,'1.CC Transition risk-Banking b.'!$A16&amp;"*"),0))/1</f>
        <v>0</v>
      </c>
      <c r="M16" s="70">
        <f>(ROUND(SUMIFS(Input!$N:$N,Input!$H:$H,'1.CC Transition risk-Banking b.'!$A16&amp;"*"),0))/1</f>
        <v>0</v>
      </c>
      <c r="N16" s="76">
        <f>IFERROR(AVERAGE(SUMIFS(Input!$I:$I,Input!$H:$H,'1.CC Transition risk-Banking b.'!$A16&amp;"*",Input!$R:$R,"SOUR1",Input!$E:$E,'1.CC Transition risk-Banking b.'!$O$63),
SUMIFS(Input!$I:$I,Input!$H:$H,'1.CC Transition risk-Banking b.'!$A16&amp;"*",Input!$S:$S,"SOUR1",Input!$E:$E,'1.CC Transition risk-Banking b.'!$O$63),
SUMIFS(Input!$I:$I,Input!$H:$H,'1.CC Transition risk-Banking b.'!$A16&amp;"*",Input!$T:$T,"SOUR1",Input!$E:$E,'1.CC Transition risk-Banking b.'!$O$63))/SUMIFS(Input!$I:$I,Input!$H:$H,'1.CC Transition risk-Banking b.'!$A16&amp;"*",Input!$E:$E,'1.CC Transition risk-Banking b.'!$O$63),0)</f>
        <v>0</v>
      </c>
      <c r="O16" s="71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0</v>
      </c>
      <c r="P16" s="71">
        <f>(ROUND(SUMIFS(Input!$I:$I,Input!$H:$H,'1.CC Transition risk-Banking b.'!$A16&amp;"*",Input!$E:$E,'1.CC Transition risk-Banking b.'!P$63,Input!$G:$G,"&gt;5",Input!$G:$G,"&lt;=10"),0))/1000000</f>
        <v>0</v>
      </c>
      <c r="Q16" s="71">
        <f>(ROUND(SUMIFS(Input!$I:$I,Input!$H:$H,'1.CC Transition risk-Banking b.'!$A16&amp;"*",Input!$E:$E,'1.CC Transition risk-Banking b.'!Q$63,Input!$G:$G,"&gt;10",Input!$G:$G,"&lt;=20"),0))/1000000</f>
        <v>0</v>
      </c>
      <c r="R16" s="71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72">
        <f>ROUND(IFERROR((SUMIFS(Input!$Q:$Q,Input!$H:$H,'1.CC Transition risk-Banking b.'!$A16&amp;"*",Input!$E:$E,'1.CC Transition risk-Banking b.'!S$63,Input!$G:$G,"&gt;0")/1000000)/'1.CC Transition risk-Banking b.'!$D16,0),0)</f>
        <v>0</v>
      </c>
    </row>
    <row r="17" spans="1:19" x14ac:dyDescent="0.3">
      <c r="A17" s="81" t="s">
        <v>90</v>
      </c>
      <c r="B17" s="52">
        <v>12</v>
      </c>
      <c r="C17" s="55" t="s">
        <v>91</v>
      </c>
      <c r="D17" s="69">
        <f>(ROUND(SUMIFS(Input!$I:$I,Input!$H:$H,'1.CC Transition risk-Banking b.'!$A17&amp;"*",Input!$E:$E,'1.CC Transition risk-Banking b.'!$D$63),0))/1000000</f>
        <v>0</v>
      </c>
      <c r="E17" s="69">
        <f>(ROUND(SUMIFS(Input!$I:$I,Input!$H:$H,'1.CC Transition risk-Banking b.'!$A17&amp;"*",Input!$E:$E,'1.CC Transition risk-Banking b.'!$E$63,Input!$F:$F,'1.CC Transition risk-Banking b.'!$E$64),0))/1000000</f>
        <v>0</v>
      </c>
      <c r="F17" s="69">
        <f>(ROUND(SUMIFS(Input!$P:$P,Input!$H:$H,'1.CC Transition risk-Banking b.'!$A17&amp;"*",Input!$E:$E,'1.CC Transition risk-Banking b.'!$E$63,Input!$O:$O,'1.CC Transition risk-Banking b.'!$F$63),0))/1000000</f>
        <v>0</v>
      </c>
      <c r="G17" s="69">
        <f>(ROUND(SUMIFS(Input!$I:$I,Input!$H:$H,'1.CC Transition risk-Banking b.'!$A17&amp;"*",Input!$E:$E,'1.CC Transition risk-Banking b.'!$G$63,Input!$C:$C,'1.CC Transition risk-Banking b.'!$G$64),0))/1000000</f>
        <v>0</v>
      </c>
      <c r="H17" s="69">
        <f>(ROUND(SUMIFS(Input!$I:$I,Input!$H:$H,'1.CC Transition risk-Banking b.'!$A17&amp;"*",Input!$E:$E,'1.CC Transition risk-Banking b.'!$H$63,Input!$C:$C,'1.CC Transition risk-Banking b.'!$H$64),0))/1000000</f>
        <v>0</v>
      </c>
      <c r="I17" s="69">
        <f>(ROUND(SUMIFS(Input!$I:$I,Input!$H:$H,'1.CC Transition risk-Banking b.'!$A17&amp;"*",Input!$E:$E,'1.CC Transition risk-Banking b.'!$I$63),0))/1000000</f>
        <v>0</v>
      </c>
      <c r="J17" s="69">
        <f>(ROUND(SUMIFS(Input!$I:$I,Input!$H:$H,'1.CC Transition risk-Banking b.'!$A17&amp;"*",Input!$E:$E,'1.CC Transition risk-Banking b.'!$J$63,Input!$C:$C,'1.CC Transition risk-Banking b.'!$J$64),0))/1000000</f>
        <v>0</v>
      </c>
      <c r="K17" s="69">
        <f>(ROUND(SUMIFS(Input!$I:$I,Input!$H:$H,'1.CC Transition risk-Banking b.'!$A17&amp;"*",Input!$E:$E,'1.CC Transition risk-Banking b.'!$K$63,Input!$C:$C,'1.CC Transition risk-Banking b.'!$K$64),0))/1000000</f>
        <v>0</v>
      </c>
      <c r="L17" s="70">
        <f>(ROUND(SUMIFS(Input!$J:$J,Input!$H:$H,'1.CC Transition risk-Banking b.'!$A17&amp;"*")
+ SUMIFS(Input!$L:$L,Input!$H:$H,'1.CC Transition risk-Banking b.'!$A17&amp;"*")
+SUMIFS(Input!$N:$N,Input!$H:$H,'1.CC Transition risk-Banking b.'!$A17&amp;"*"),0))/1</f>
        <v>0</v>
      </c>
      <c r="M17" s="70">
        <f>(ROUND(SUMIFS(Input!$N:$N,Input!$H:$H,'1.CC Transition risk-Banking b.'!$A17&amp;"*"),0))/1</f>
        <v>0</v>
      </c>
      <c r="N17" s="76">
        <f>IFERROR(AVERAGE(SUMIFS(Input!$I:$I,Input!$H:$H,'1.CC Transition risk-Banking b.'!$A17&amp;"*",Input!$R:$R,"SOUR1",Input!$E:$E,'1.CC Transition risk-Banking b.'!$O$63),
SUMIFS(Input!$I:$I,Input!$H:$H,'1.CC Transition risk-Banking b.'!$A17&amp;"*",Input!$S:$S,"SOUR1",Input!$E:$E,'1.CC Transition risk-Banking b.'!$O$63),
SUMIFS(Input!$I:$I,Input!$H:$H,'1.CC Transition risk-Banking b.'!$A17&amp;"*",Input!$T:$T,"SOUR1",Input!$E:$E,'1.CC Transition risk-Banking b.'!$O$63))/SUMIFS(Input!$I:$I,Input!$H:$H,'1.CC Transition risk-Banking b.'!$A17&amp;"*",Input!$E:$E,'1.CC Transition risk-Banking b.'!$O$63),0)</f>
        <v>0</v>
      </c>
      <c r="O17" s="71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0</v>
      </c>
      <c r="P17" s="71">
        <f>(ROUND(SUMIFS(Input!$I:$I,Input!$H:$H,'1.CC Transition risk-Banking b.'!$A17&amp;"*",Input!$E:$E,'1.CC Transition risk-Banking b.'!P$63,Input!$G:$G,"&gt;5",Input!$G:$G,"&lt;=10"),0))/1000000</f>
        <v>0</v>
      </c>
      <c r="Q17" s="71">
        <f>(ROUND(SUMIFS(Input!$I:$I,Input!$H:$H,'1.CC Transition risk-Banking b.'!$A17&amp;"*",Input!$E:$E,'1.CC Transition risk-Banking b.'!Q$63,Input!$G:$G,"&gt;10",Input!$G:$G,"&lt;=20"),0))/1000000</f>
        <v>0</v>
      </c>
      <c r="R17" s="71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72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81" t="s">
        <v>92</v>
      </c>
      <c r="B18" s="52">
        <v>13</v>
      </c>
      <c r="C18" s="55" t="s">
        <v>93</v>
      </c>
      <c r="D18" s="69">
        <f>(ROUND(SUMIFS(Input!$I:$I,Input!$H:$H,'1.CC Transition risk-Banking b.'!$A18&amp;"*",Input!$E:$E,'1.CC Transition risk-Banking b.'!$D$63),0))/1000000</f>
        <v>0</v>
      </c>
      <c r="E18" s="69">
        <f>(ROUND(SUMIFS(Input!$I:$I,Input!$H:$H,'1.CC Transition risk-Banking b.'!$A18&amp;"*",Input!$E:$E,'1.CC Transition risk-Banking b.'!$E$63,Input!$F:$F,'1.CC Transition risk-Banking b.'!$E$64),0))/1000000</f>
        <v>0</v>
      </c>
      <c r="F18" s="69">
        <f>(ROUND(SUMIFS(Input!$P:$P,Input!$H:$H,'1.CC Transition risk-Banking b.'!$A18&amp;"*",Input!$E:$E,'1.CC Transition risk-Banking b.'!$E$63,Input!$O:$O,'1.CC Transition risk-Banking b.'!$F$63),0))/1000000</f>
        <v>0</v>
      </c>
      <c r="G18" s="69">
        <f>(ROUND(SUMIFS(Input!$I:$I,Input!$H:$H,'1.CC Transition risk-Banking b.'!$A18&amp;"*",Input!$E:$E,'1.CC Transition risk-Banking b.'!$G$63,Input!$C:$C,'1.CC Transition risk-Banking b.'!$G$64),0))/1000000</f>
        <v>0</v>
      </c>
      <c r="H18" s="69">
        <f>(ROUND(SUMIFS(Input!$I:$I,Input!$H:$H,'1.CC Transition risk-Banking b.'!$A18&amp;"*",Input!$E:$E,'1.CC Transition risk-Banking b.'!$H$63,Input!$C:$C,'1.CC Transition risk-Banking b.'!$H$64),0))/1000000</f>
        <v>0</v>
      </c>
      <c r="I18" s="69">
        <f>(ROUND(SUMIFS(Input!$I:$I,Input!$H:$H,'1.CC Transition risk-Banking b.'!$A18&amp;"*",Input!$E:$E,'1.CC Transition risk-Banking b.'!$I$63),0))/1000000</f>
        <v>0</v>
      </c>
      <c r="J18" s="69">
        <f>(ROUND(SUMIFS(Input!$I:$I,Input!$H:$H,'1.CC Transition risk-Banking b.'!$A18&amp;"*",Input!$E:$E,'1.CC Transition risk-Banking b.'!$J$63,Input!$C:$C,'1.CC Transition risk-Banking b.'!$J$64),0))/1000000</f>
        <v>0</v>
      </c>
      <c r="K18" s="69">
        <f>(ROUND(SUMIFS(Input!$I:$I,Input!$H:$H,'1.CC Transition risk-Banking b.'!$A18&amp;"*",Input!$E:$E,'1.CC Transition risk-Banking b.'!$K$63,Input!$C:$C,'1.CC Transition risk-Banking b.'!$K$64),0))/1000000</f>
        <v>0</v>
      </c>
      <c r="L18" s="70">
        <f>(ROUND(SUMIFS(Input!$J:$J,Input!$H:$H,'1.CC Transition risk-Banking b.'!$A18&amp;"*")
+ SUMIFS(Input!$L:$L,Input!$H:$H,'1.CC Transition risk-Banking b.'!$A18&amp;"*")
+SUMIFS(Input!$N:$N,Input!$H:$H,'1.CC Transition risk-Banking b.'!$A18&amp;"*"),0))/1</f>
        <v>0</v>
      </c>
      <c r="M18" s="70">
        <f>(ROUND(SUMIFS(Input!$N:$N,Input!$H:$H,'1.CC Transition risk-Banking b.'!$A18&amp;"*"),0))/1</f>
        <v>0</v>
      </c>
      <c r="N18" s="76">
        <f>IFERROR(AVERAGE(SUMIFS(Input!$I:$I,Input!$H:$H,'1.CC Transition risk-Banking b.'!$A18&amp;"*",Input!$R:$R,"SOUR1",Input!$E:$E,'1.CC Transition risk-Banking b.'!$O$63),
SUMIFS(Input!$I:$I,Input!$H:$H,'1.CC Transition risk-Banking b.'!$A18&amp;"*",Input!$S:$S,"SOUR1",Input!$E:$E,'1.CC Transition risk-Banking b.'!$O$63),
SUMIFS(Input!$I:$I,Input!$H:$H,'1.CC Transition risk-Banking b.'!$A18&amp;"*",Input!$T:$T,"SOUR1",Input!$E:$E,'1.CC Transition risk-Banking b.'!$O$63))/SUMIFS(Input!$I:$I,Input!$H:$H,'1.CC Transition risk-Banking b.'!$A18&amp;"*",Input!$E:$E,'1.CC Transition risk-Banking b.'!$O$63),0)</f>
        <v>0</v>
      </c>
      <c r="O18" s="71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0</v>
      </c>
      <c r="P18" s="71">
        <f>(ROUND(SUMIFS(Input!$I:$I,Input!$H:$H,'1.CC Transition risk-Banking b.'!$A18&amp;"*",Input!$E:$E,'1.CC Transition risk-Banking b.'!P$63,Input!$G:$G,"&gt;5",Input!$G:$G,"&lt;=10"),0))/1000000</f>
        <v>0</v>
      </c>
      <c r="Q18" s="71">
        <f>(ROUND(SUMIFS(Input!$I:$I,Input!$H:$H,'1.CC Transition risk-Banking b.'!$A18&amp;"*",Input!$E:$E,'1.CC Transition risk-Banking b.'!Q$63,Input!$G:$G,"&gt;10",Input!$G:$G,"&lt;=20"),0))/1000000</f>
        <v>0</v>
      </c>
      <c r="R18" s="71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72">
        <f>ROUND(IFERROR((SUMIFS(Input!$Q:$Q,Input!$H:$H,'1.CC Transition risk-Banking b.'!$A18&amp;"*",Input!$E:$E,'1.CC Transition risk-Banking b.'!S$63,Input!$G:$G,"&gt;0")/1000000)/'1.CC Transition risk-Banking b.'!$D18,0),0)</f>
        <v>0</v>
      </c>
    </row>
    <row r="19" spans="1:19" x14ac:dyDescent="0.3">
      <c r="A19" s="81" t="s">
        <v>94</v>
      </c>
      <c r="B19" s="52">
        <v>14</v>
      </c>
      <c r="C19" s="55" t="s">
        <v>95</v>
      </c>
      <c r="D19" s="69">
        <f>(ROUND(SUMIFS(Input!$I:$I,Input!$H:$H,'1.CC Transition risk-Banking b.'!$A19&amp;"*",Input!$E:$E,'1.CC Transition risk-Banking b.'!$D$63),0))/1000000</f>
        <v>0</v>
      </c>
      <c r="E19" s="69">
        <f>(ROUND(SUMIFS(Input!$I:$I,Input!$H:$H,'1.CC Transition risk-Banking b.'!$A19&amp;"*",Input!$E:$E,'1.CC Transition risk-Banking b.'!$E$63,Input!$F:$F,'1.CC Transition risk-Banking b.'!$E$64),0))/1000000</f>
        <v>0</v>
      </c>
      <c r="F19" s="69">
        <f>(ROUND(SUMIFS(Input!$P:$P,Input!$H:$H,'1.CC Transition risk-Banking b.'!$A19&amp;"*",Input!$E:$E,'1.CC Transition risk-Banking b.'!$E$63,Input!$O:$O,'1.CC Transition risk-Banking b.'!$F$63),0))/1000000</f>
        <v>0</v>
      </c>
      <c r="G19" s="69">
        <f>(ROUND(SUMIFS(Input!$I:$I,Input!$H:$H,'1.CC Transition risk-Banking b.'!$A19&amp;"*",Input!$E:$E,'1.CC Transition risk-Banking b.'!$G$63,Input!$C:$C,'1.CC Transition risk-Banking b.'!$G$64),0))/1000000</f>
        <v>0</v>
      </c>
      <c r="H19" s="69">
        <f>(ROUND(SUMIFS(Input!$I:$I,Input!$H:$H,'1.CC Transition risk-Banking b.'!$A19&amp;"*",Input!$E:$E,'1.CC Transition risk-Banking b.'!$H$63,Input!$C:$C,'1.CC Transition risk-Banking b.'!$H$64),0))/1000000</f>
        <v>0</v>
      </c>
      <c r="I19" s="69">
        <f>(ROUND(SUMIFS(Input!$I:$I,Input!$H:$H,'1.CC Transition risk-Banking b.'!$A19&amp;"*",Input!$E:$E,'1.CC Transition risk-Banking b.'!$I$63),0))/1000000</f>
        <v>0</v>
      </c>
      <c r="J19" s="69">
        <f>(ROUND(SUMIFS(Input!$I:$I,Input!$H:$H,'1.CC Transition risk-Banking b.'!$A19&amp;"*",Input!$E:$E,'1.CC Transition risk-Banking b.'!$J$63,Input!$C:$C,'1.CC Transition risk-Banking b.'!$J$64),0))/1000000</f>
        <v>0</v>
      </c>
      <c r="K19" s="69">
        <f>(ROUND(SUMIFS(Input!$I:$I,Input!$H:$H,'1.CC Transition risk-Banking b.'!$A19&amp;"*",Input!$E:$E,'1.CC Transition risk-Banking b.'!$K$63,Input!$C:$C,'1.CC Transition risk-Banking b.'!$K$64),0))/1000000</f>
        <v>0</v>
      </c>
      <c r="L19" s="70">
        <f>(ROUND(SUMIFS(Input!$J:$J,Input!$H:$H,'1.CC Transition risk-Banking b.'!$A19&amp;"*")
+ SUMIFS(Input!$L:$L,Input!$H:$H,'1.CC Transition risk-Banking b.'!$A19&amp;"*")
+SUMIFS(Input!$N:$N,Input!$H:$H,'1.CC Transition risk-Banking b.'!$A19&amp;"*"),0))/1</f>
        <v>0</v>
      </c>
      <c r="M19" s="70">
        <f>(ROUND(SUMIFS(Input!$N:$N,Input!$H:$H,'1.CC Transition risk-Banking b.'!$A19&amp;"*"),0))/1</f>
        <v>0</v>
      </c>
      <c r="N19" s="76">
        <f>IFERROR(AVERAGE(SUMIFS(Input!$I:$I,Input!$H:$H,'1.CC Transition risk-Banking b.'!$A19&amp;"*",Input!$R:$R,"SOUR1",Input!$E:$E,'1.CC Transition risk-Banking b.'!$O$63),
SUMIFS(Input!$I:$I,Input!$H:$H,'1.CC Transition risk-Banking b.'!$A19&amp;"*",Input!$S:$S,"SOUR1",Input!$E:$E,'1.CC Transition risk-Banking b.'!$O$63),
SUMIFS(Input!$I:$I,Input!$H:$H,'1.CC Transition risk-Banking b.'!$A19&amp;"*",Input!$T:$T,"SOUR1",Input!$E:$E,'1.CC Transition risk-Banking b.'!$O$63))/SUMIFS(Input!$I:$I,Input!$H:$H,'1.CC Transition risk-Banking b.'!$A19&amp;"*",Input!$E:$E,'1.CC Transition risk-Banking b.'!$O$63),0)</f>
        <v>0</v>
      </c>
      <c r="O19" s="71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0</v>
      </c>
      <c r="P19" s="71">
        <f>(ROUND(SUMIFS(Input!$I:$I,Input!$H:$H,'1.CC Transition risk-Banking b.'!$A19&amp;"*",Input!$E:$E,'1.CC Transition risk-Banking b.'!P$63,Input!$G:$G,"&gt;5",Input!$G:$G,"&lt;=10"),0))/1000000</f>
        <v>0</v>
      </c>
      <c r="Q19" s="71">
        <f>(ROUND(SUMIFS(Input!$I:$I,Input!$H:$H,'1.CC Transition risk-Banking b.'!$A19&amp;"*",Input!$E:$E,'1.CC Transition risk-Banking b.'!Q$63,Input!$G:$G,"&gt;10",Input!$G:$G,"&lt;=20"),0))/1000000</f>
        <v>0</v>
      </c>
      <c r="R19" s="71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72">
        <f>ROUND(IFERROR((SUMIFS(Input!$Q:$Q,Input!$H:$H,'1.CC Transition risk-Banking b.'!$A19&amp;"*",Input!$E:$E,'1.CC Transition risk-Banking b.'!S$63,Input!$G:$G,"&gt;0")/1000000)/'1.CC Transition risk-Banking b.'!$D19,0),0)</f>
        <v>0</v>
      </c>
    </row>
    <row r="20" spans="1:19" x14ac:dyDescent="0.3">
      <c r="A20" s="81" t="s">
        <v>96</v>
      </c>
      <c r="B20" s="52">
        <v>15</v>
      </c>
      <c r="C20" s="55" t="s">
        <v>97</v>
      </c>
      <c r="D20" s="69">
        <f>(ROUND(SUMIFS(Input!$I:$I,Input!$H:$H,'1.CC Transition risk-Banking b.'!$A20&amp;"*",Input!$E:$E,'1.CC Transition risk-Banking b.'!$D$63),0))/1000000</f>
        <v>0</v>
      </c>
      <c r="E20" s="69">
        <f>(ROUND(SUMIFS(Input!$I:$I,Input!$H:$H,'1.CC Transition risk-Banking b.'!$A20&amp;"*",Input!$E:$E,'1.CC Transition risk-Banking b.'!$E$63,Input!$F:$F,'1.CC Transition risk-Banking b.'!$E$64),0))/1000000</f>
        <v>0</v>
      </c>
      <c r="F20" s="69">
        <f>(ROUND(SUMIFS(Input!$P:$P,Input!$H:$H,'1.CC Transition risk-Banking b.'!$A20&amp;"*",Input!$E:$E,'1.CC Transition risk-Banking b.'!$E$63,Input!$O:$O,'1.CC Transition risk-Banking b.'!$F$63),0))/1000000</f>
        <v>0</v>
      </c>
      <c r="G20" s="69">
        <f>(ROUND(SUMIFS(Input!$I:$I,Input!$H:$H,'1.CC Transition risk-Banking b.'!$A20&amp;"*",Input!$E:$E,'1.CC Transition risk-Banking b.'!$G$63,Input!$C:$C,'1.CC Transition risk-Banking b.'!$G$64),0))/1000000</f>
        <v>0</v>
      </c>
      <c r="H20" s="69">
        <f>(ROUND(SUMIFS(Input!$I:$I,Input!$H:$H,'1.CC Transition risk-Banking b.'!$A20&amp;"*",Input!$E:$E,'1.CC Transition risk-Banking b.'!$H$63,Input!$C:$C,'1.CC Transition risk-Banking b.'!$H$64),0))/1000000</f>
        <v>0</v>
      </c>
      <c r="I20" s="69">
        <f>(ROUND(SUMIFS(Input!$I:$I,Input!$H:$H,'1.CC Transition risk-Banking b.'!$A20&amp;"*",Input!$E:$E,'1.CC Transition risk-Banking b.'!$I$63),0))/1000000</f>
        <v>0</v>
      </c>
      <c r="J20" s="69">
        <f>(ROUND(SUMIFS(Input!$I:$I,Input!$H:$H,'1.CC Transition risk-Banking b.'!$A20&amp;"*",Input!$E:$E,'1.CC Transition risk-Banking b.'!$J$63,Input!$C:$C,'1.CC Transition risk-Banking b.'!$J$64),0))/1000000</f>
        <v>0</v>
      </c>
      <c r="K20" s="69">
        <f>(ROUND(SUMIFS(Input!$I:$I,Input!$H:$H,'1.CC Transition risk-Banking b.'!$A20&amp;"*",Input!$E:$E,'1.CC Transition risk-Banking b.'!$K$63,Input!$C:$C,'1.CC Transition risk-Banking b.'!$K$64),0))/1000000</f>
        <v>0</v>
      </c>
      <c r="L20" s="70">
        <f>(ROUND(SUMIFS(Input!$J:$J,Input!$H:$H,'1.CC Transition risk-Banking b.'!$A20&amp;"*")
+ SUMIFS(Input!$L:$L,Input!$H:$H,'1.CC Transition risk-Banking b.'!$A20&amp;"*")
+SUMIFS(Input!$N:$N,Input!$H:$H,'1.CC Transition risk-Banking b.'!$A20&amp;"*"),0))/1</f>
        <v>0</v>
      </c>
      <c r="M20" s="70">
        <f>(ROUND(SUMIFS(Input!$N:$N,Input!$H:$H,'1.CC Transition risk-Banking b.'!$A20&amp;"*"),0))/1</f>
        <v>0</v>
      </c>
      <c r="N20" s="76">
        <f>IFERROR(AVERAGE(SUMIFS(Input!$I:$I,Input!$H:$H,'1.CC Transition risk-Banking b.'!$A20&amp;"*",Input!$R:$R,"SOUR1",Input!$E:$E,'1.CC Transition risk-Banking b.'!$O$63),
SUMIFS(Input!$I:$I,Input!$H:$H,'1.CC Transition risk-Banking b.'!$A20&amp;"*",Input!$S:$S,"SOUR1",Input!$E:$E,'1.CC Transition risk-Banking b.'!$O$63),
SUMIFS(Input!$I:$I,Input!$H:$H,'1.CC Transition risk-Banking b.'!$A20&amp;"*",Input!$T:$T,"SOUR1",Input!$E:$E,'1.CC Transition risk-Banking b.'!$O$63))/SUMIFS(Input!$I:$I,Input!$H:$H,'1.CC Transition risk-Banking b.'!$A20&amp;"*",Input!$E:$E,'1.CC Transition risk-Banking b.'!$O$63),0)</f>
        <v>0</v>
      </c>
      <c r="O20" s="71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0</v>
      </c>
      <c r="P20" s="71">
        <f>(ROUND(SUMIFS(Input!$I:$I,Input!$H:$H,'1.CC Transition risk-Banking b.'!$A20&amp;"*",Input!$E:$E,'1.CC Transition risk-Banking b.'!P$63,Input!$G:$G,"&gt;5",Input!$G:$G,"&lt;=10"),0))/1000000</f>
        <v>0</v>
      </c>
      <c r="Q20" s="71">
        <f>(ROUND(SUMIFS(Input!$I:$I,Input!$H:$H,'1.CC Transition risk-Banking b.'!$A20&amp;"*",Input!$E:$E,'1.CC Transition risk-Banking b.'!Q$63,Input!$G:$G,"&gt;10",Input!$G:$G,"&lt;=20"),0))/1000000</f>
        <v>0</v>
      </c>
      <c r="R20" s="71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72">
        <f>ROUND(IFERROR((SUMIFS(Input!$Q:$Q,Input!$H:$H,'1.CC Transition risk-Banking b.'!$A20&amp;"*",Input!$E:$E,'1.CC Transition risk-Banking b.'!S$63,Input!$G:$G,"&gt;0")/1000000)/'1.CC Transition risk-Banking b.'!$D20,0),0)</f>
        <v>0</v>
      </c>
    </row>
    <row r="21" spans="1:19" x14ac:dyDescent="0.3">
      <c r="A21" s="81" t="s">
        <v>98</v>
      </c>
      <c r="B21" s="52">
        <v>16</v>
      </c>
      <c r="C21" s="55" t="s">
        <v>99</v>
      </c>
      <c r="D21" s="69">
        <f>(ROUND(SUMIFS(Input!$I:$I,Input!$H:$H,'1.CC Transition risk-Banking b.'!$A21&amp;"*",Input!$E:$E,'1.CC Transition risk-Banking b.'!$D$63),0))/1000000</f>
        <v>0</v>
      </c>
      <c r="E21" s="69">
        <f>(ROUND(SUMIFS(Input!$I:$I,Input!$H:$H,'1.CC Transition risk-Banking b.'!$A21&amp;"*",Input!$E:$E,'1.CC Transition risk-Banking b.'!$E$63,Input!$F:$F,'1.CC Transition risk-Banking b.'!$E$64),0))/1000000</f>
        <v>0</v>
      </c>
      <c r="F21" s="69">
        <f>(ROUND(SUMIFS(Input!$P:$P,Input!$H:$H,'1.CC Transition risk-Banking b.'!$A21&amp;"*",Input!$E:$E,'1.CC Transition risk-Banking b.'!$E$63,Input!$O:$O,'1.CC Transition risk-Banking b.'!$F$63),0))/1000000</f>
        <v>0</v>
      </c>
      <c r="G21" s="69">
        <f>(ROUND(SUMIFS(Input!$I:$I,Input!$H:$H,'1.CC Transition risk-Banking b.'!$A21&amp;"*",Input!$E:$E,'1.CC Transition risk-Banking b.'!$G$63,Input!$C:$C,'1.CC Transition risk-Banking b.'!$G$64),0))/1000000</f>
        <v>0</v>
      </c>
      <c r="H21" s="69">
        <f>(ROUND(SUMIFS(Input!$I:$I,Input!$H:$H,'1.CC Transition risk-Banking b.'!$A21&amp;"*",Input!$E:$E,'1.CC Transition risk-Banking b.'!$H$63,Input!$C:$C,'1.CC Transition risk-Banking b.'!$H$64),0))/1000000</f>
        <v>0</v>
      </c>
      <c r="I21" s="69">
        <f>(ROUND(SUMIFS(Input!$I:$I,Input!$H:$H,'1.CC Transition risk-Banking b.'!$A21&amp;"*",Input!$E:$E,'1.CC Transition risk-Banking b.'!$I$63),0))/1000000</f>
        <v>0</v>
      </c>
      <c r="J21" s="69">
        <f>(ROUND(SUMIFS(Input!$I:$I,Input!$H:$H,'1.CC Transition risk-Banking b.'!$A21&amp;"*",Input!$E:$E,'1.CC Transition risk-Banking b.'!$J$63,Input!$C:$C,'1.CC Transition risk-Banking b.'!$J$64),0))/1000000</f>
        <v>0</v>
      </c>
      <c r="K21" s="69">
        <f>(ROUND(SUMIFS(Input!$I:$I,Input!$H:$H,'1.CC Transition risk-Banking b.'!$A21&amp;"*",Input!$E:$E,'1.CC Transition risk-Banking b.'!$K$63,Input!$C:$C,'1.CC Transition risk-Banking b.'!$K$64),0))/1000000</f>
        <v>0</v>
      </c>
      <c r="L21" s="70">
        <f>(ROUND(SUMIFS(Input!$J:$J,Input!$H:$H,'1.CC Transition risk-Banking b.'!$A21&amp;"*")
+ SUMIFS(Input!$L:$L,Input!$H:$H,'1.CC Transition risk-Banking b.'!$A21&amp;"*")
+SUMIFS(Input!$N:$N,Input!$H:$H,'1.CC Transition risk-Banking b.'!$A21&amp;"*"),0))/1</f>
        <v>0</v>
      </c>
      <c r="M21" s="70">
        <f>(ROUND(SUMIFS(Input!$N:$N,Input!$H:$H,'1.CC Transition risk-Banking b.'!$A21&amp;"*"),0))/1</f>
        <v>0</v>
      </c>
      <c r="N21" s="76">
        <f>IFERROR(AVERAGE(SUMIFS(Input!$I:$I,Input!$H:$H,'1.CC Transition risk-Banking b.'!$A21&amp;"*",Input!$R:$R,"SOUR1",Input!$E:$E,'1.CC Transition risk-Banking b.'!$O$63),
SUMIFS(Input!$I:$I,Input!$H:$H,'1.CC Transition risk-Banking b.'!$A21&amp;"*",Input!$S:$S,"SOUR1",Input!$E:$E,'1.CC Transition risk-Banking b.'!$O$63),
SUMIFS(Input!$I:$I,Input!$H:$H,'1.CC Transition risk-Banking b.'!$A21&amp;"*",Input!$T:$T,"SOUR1",Input!$E:$E,'1.CC Transition risk-Banking b.'!$O$63))/SUMIFS(Input!$I:$I,Input!$H:$H,'1.CC Transition risk-Banking b.'!$A21&amp;"*",Input!$E:$E,'1.CC Transition risk-Banking b.'!$O$63),0)</f>
        <v>0</v>
      </c>
      <c r="O21" s="71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0</v>
      </c>
      <c r="P21" s="71">
        <f>(ROUND(SUMIFS(Input!$I:$I,Input!$H:$H,'1.CC Transition risk-Banking b.'!$A21&amp;"*",Input!$E:$E,'1.CC Transition risk-Banking b.'!P$63,Input!$G:$G,"&gt;5",Input!$G:$G,"&lt;=10"),0))/1000000</f>
        <v>0</v>
      </c>
      <c r="Q21" s="71">
        <f>(ROUND(SUMIFS(Input!$I:$I,Input!$H:$H,'1.CC Transition risk-Banking b.'!$A21&amp;"*",Input!$E:$E,'1.CC Transition risk-Banking b.'!Q$63,Input!$G:$G,"&gt;10",Input!$G:$G,"&lt;=20"),0))/1000000</f>
        <v>0</v>
      </c>
      <c r="R21" s="71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72">
        <f>ROUND(IFERROR((SUMIFS(Input!$Q:$Q,Input!$H:$H,'1.CC Transition risk-Banking b.'!$A21&amp;"*",Input!$E:$E,'1.CC Transition risk-Banking b.'!S$63,Input!$G:$G,"&gt;0")/1000000)/'1.CC Transition risk-Banking b.'!$D21,0),0)</f>
        <v>0</v>
      </c>
    </row>
    <row r="22" spans="1:19" x14ac:dyDescent="0.3">
      <c r="A22" s="81" t="s">
        <v>100</v>
      </c>
      <c r="B22" s="52">
        <v>17</v>
      </c>
      <c r="C22" s="55" t="s">
        <v>101</v>
      </c>
      <c r="D22" s="69">
        <f>(ROUND(SUMIFS(Input!$I:$I,Input!$H:$H,'1.CC Transition risk-Banking b.'!$A22&amp;"*",Input!$E:$E,'1.CC Transition risk-Banking b.'!$D$63),0))/1000000</f>
        <v>0</v>
      </c>
      <c r="E22" s="69">
        <f>(ROUND(SUMIFS(Input!$I:$I,Input!$H:$H,'1.CC Transition risk-Banking b.'!$A22&amp;"*",Input!$E:$E,'1.CC Transition risk-Banking b.'!$E$63,Input!$F:$F,'1.CC Transition risk-Banking b.'!$E$64),0))/1000000</f>
        <v>0</v>
      </c>
      <c r="F22" s="69">
        <f>(ROUND(SUMIFS(Input!$P:$P,Input!$H:$H,'1.CC Transition risk-Banking b.'!$A22&amp;"*",Input!$E:$E,'1.CC Transition risk-Banking b.'!$E$63,Input!$O:$O,'1.CC Transition risk-Banking b.'!$F$63),0))/1000000</f>
        <v>0</v>
      </c>
      <c r="G22" s="69">
        <f>(ROUND(SUMIFS(Input!$I:$I,Input!$H:$H,'1.CC Transition risk-Banking b.'!$A22&amp;"*",Input!$E:$E,'1.CC Transition risk-Banking b.'!$G$63,Input!$C:$C,'1.CC Transition risk-Banking b.'!$G$64),0))/1000000</f>
        <v>0</v>
      </c>
      <c r="H22" s="69">
        <f>(ROUND(SUMIFS(Input!$I:$I,Input!$H:$H,'1.CC Transition risk-Banking b.'!$A22&amp;"*",Input!$E:$E,'1.CC Transition risk-Banking b.'!$H$63,Input!$C:$C,'1.CC Transition risk-Banking b.'!$H$64),0))/1000000</f>
        <v>0</v>
      </c>
      <c r="I22" s="69">
        <f>(ROUND(SUMIFS(Input!$I:$I,Input!$H:$H,'1.CC Transition risk-Banking b.'!$A22&amp;"*",Input!$E:$E,'1.CC Transition risk-Banking b.'!$I$63),0))/1000000</f>
        <v>0</v>
      </c>
      <c r="J22" s="69">
        <f>(ROUND(SUMIFS(Input!$I:$I,Input!$H:$H,'1.CC Transition risk-Banking b.'!$A22&amp;"*",Input!$E:$E,'1.CC Transition risk-Banking b.'!$J$63,Input!$C:$C,'1.CC Transition risk-Banking b.'!$J$64),0))/1000000</f>
        <v>0</v>
      </c>
      <c r="K22" s="69">
        <f>(ROUND(SUMIFS(Input!$I:$I,Input!$H:$H,'1.CC Transition risk-Banking b.'!$A22&amp;"*",Input!$E:$E,'1.CC Transition risk-Banking b.'!$K$63,Input!$C:$C,'1.CC Transition risk-Banking b.'!$K$64),0))/1000000</f>
        <v>0</v>
      </c>
      <c r="L22" s="70">
        <f>(ROUND(SUMIFS(Input!$J:$J,Input!$H:$H,'1.CC Transition risk-Banking b.'!$A22&amp;"*")
+ SUMIFS(Input!$L:$L,Input!$H:$H,'1.CC Transition risk-Banking b.'!$A22&amp;"*")
+SUMIFS(Input!$N:$N,Input!$H:$H,'1.CC Transition risk-Banking b.'!$A22&amp;"*"),0))/1</f>
        <v>0</v>
      </c>
      <c r="M22" s="70">
        <f>(ROUND(SUMIFS(Input!$N:$N,Input!$H:$H,'1.CC Transition risk-Banking b.'!$A22&amp;"*"),0))/1</f>
        <v>0</v>
      </c>
      <c r="N22" s="76">
        <f>IFERROR(AVERAGE(SUMIFS(Input!$I:$I,Input!$H:$H,'1.CC Transition risk-Banking b.'!$A22&amp;"*",Input!$R:$R,"SOUR1",Input!$E:$E,'1.CC Transition risk-Banking b.'!$O$63),
SUMIFS(Input!$I:$I,Input!$H:$H,'1.CC Transition risk-Banking b.'!$A22&amp;"*",Input!$S:$S,"SOUR1",Input!$E:$E,'1.CC Transition risk-Banking b.'!$O$63),
SUMIFS(Input!$I:$I,Input!$H:$H,'1.CC Transition risk-Banking b.'!$A22&amp;"*",Input!$T:$T,"SOUR1",Input!$E:$E,'1.CC Transition risk-Banking b.'!$O$63))/SUMIFS(Input!$I:$I,Input!$H:$H,'1.CC Transition risk-Banking b.'!$A22&amp;"*",Input!$E:$E,'1.CC Transition risk-Banking b.'!$O$63),0)</f>
        <v>0</v>
      </c>
      <c r="O22" s="71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0</v>
      </c>
      <c r="P22" s="71">
        <f>(ROUND(SUMIFS(Input!$I:$I,Input!$H:$H,'1.CC Transition risk-Banking b.'!$A22&amp;"*",Input!$E:$E,'1.CC Transition risk-Banking b.'!P$63,Input!$G:$G,"&gt;5",Input!$G:$G,"&lt;=10"),0))/1000000</f>
        <v>0</v>
      </c>
      <c r="Q22" s="71">
        <f>(ROUND(SUMIFS(Input!$I:$I,Input!$H:$H,'1.CC Transition risk-Banking b.'!$A22&amp;"*",Input!$E:$E,'1.CC Transition risk-Banking b.'!Q$63,Input!$G:$G,"&gt;10",Input!$G:$G,"&lt;=20"),0))/1000000</f>
        <v>0</v>
      </c>
      <c r="R22" s="71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72">
        <f>ROUND(IFERROR((SUMIFS(Input!$Q:$Q,Input!$H:$H,'1.CC Transition risk-Banking b.'!$A22&amp;"*",Input!$E:$E,'1.CC Transition risk-Banking b.'!S$63,Input!$G:$G,"&gt;0")/1000000)/'1.CC Transition risk-Banking b.'!$D22,0),0)</f>
        <v>0</v>
      </c>
    </row>
    <row r="23" spans="1:19" x14ac:dyDescent="0.3">
      <c r="A23" s="81" t="s">
        <v>102</v>
      </c>
      <c r="B23" s="52">
        <v>18</v>
      </c>
      <c r="C23" s="55" t="s">
        <v>103</v>
      </c>
      <c r="D23" s="69">
        <f>(ROUND(SUMIFS(Input!$I:$I,Input!$H:$H,'1.CC Transition risk-Banking b.'!$A23&amp;"*",Input!$E:$E,'1.CC Transition risk-Banking b.'!$D$63),0))/1000000</f>
        <v>0</v>
      </c>
      <c r="E23" s="69">
        <f>(ROUND(SUMIFS(Input!$I:$I,Input!$H:$H,'1.CC Transition risk-Banking b.'!$A23&amp;"*",Input!$E:$E,'1.CC Transition risk-Banking b.'!$E$63,Input!$F:$F,'1.CC Transition risk-Banking b.'!$E$64),0))/1000000</f>
        <v>0</v>
      </c>
      <c r="F23" s="69">
        <f>(ROUND(SUMIFS(Input!$P:$P,Input!$H:$H,'1.CC Transition risk-Banking b.'!$A23&amp;"*",Input!$E:$E,'1.CC Transition risk-Banking b.'!$E$63,Input!$O:$O,'1.CC Transition risk-Banking b.'!$F$63),0))/1000000</f>
        <v>0</v>
      </c>
      <c r="G23" s="69">
        <f>(ROUND(SUMIFS(Input!$I:$I,Input!$H:$H,'1.CC Transition risk-Banking b.'!$A23&amp;"*",Input!$E:$E,'1.CC Transition risk-Banking b.'!$G$63,Input!$C:$C,'1.CC Transition risk-Banking b.'!$G$64),0))/1000000</f>
        <v>0</v>
      </c>
      <c r="H23" s="69">
        <f>(ROUND(SUMIFS(Input!$I:$I,Input!$H:$H,'1.CC Transition risk-Banking b.'!$A23&amp;"*",Input!$E:$E,'1.CC Transition risk-Banking b.'!$H$63,Input!$C:$C,'1.CC Transition risk-Banking b.'!$H$64),0))/1000000</f>
        <v>0</v>
      </c>
      <c r="I23" s="69">
        <f>(ROUND(SUMIFS(Input!$I:$I,Input!$H:$H,'1.CC Transition risk-Banking b.'!$A23&amp;"*",Input!$E:$E,'1.CC Transition risk-Banking b.'!$I$63),0))/1000000</f>
        <v>0</v>
      </c>
      <c r="J23" s="69">
        <f>(ROUND(SUMIFS(Input!$I:$I,Input!$H:$H,'1.CC Transition risk-Banking b.'!$A23&amp;"*",Input!$E:$E,'1.CC Transition risk-Banking b.'!$J$63,Input!$C:$C,'1.CC Transition risk-Banking b.'!$J$64),0))/1000000</f>
        <v>0</v>
      </c>
      <c r="K23" s="69">
        <f>(ROUND(SUMIFS(Input!$I:$I,Input!$H:$H,'1.CC Transition risk-Banking b.'!$A23&amp;"*",Input!$E:$E,'1.CC Transition risk-Banking b.'!$K$63,Input!$C:$C,'1.CC Transition risk-Banking b.'!$K$64),0))/1000000</f>
        <v>0</v>
      </c>
      <c r="L23" s="70">
        <f>(ROUND(SUMIFS(Input!$J:$J,Input!$H:$H,'1.CC Transition risk-Banking b.'!$A23&amp;"*")
+ SUMIFS(Input!$L:$L,Input!$H:$H,'1.CC Transition risk-Banking b.'!$A23&amp;"*")
+SUMIFS(Input!$N:$N,Input!$H:$H,'1.CC Transition risk-Banking b.'!$A23&amp;"*"),0))/1</f>
        <v>0</v>
      </c>
      <c r="M23" s="70">
        <f>(ROUND(SUMIFS(Input!$N:$N,Input!$H:$H,'1.CC Transition risk-Banking b.'!$A23&amp;"*"),0))/1</f>
        <v>0</v>
      </c>
      <c r="N23" s="76">
        <f>IFERROR(AVERAGE(SUMIFS(Input!$I:$I,Input!$H:$H,'1.CC Transition risk-Banking b.'!$A23&amp;"*",Input!$R:$R,"SOUR1",Input!$E:$E,'1.CC Transition risk-Banking b.'!$O$63),
SUMIFS(Input!$I:$I,Input!$H:$H,'1.CC Transition risk-Banking b.'!$A23&amp;"*",Input!$S:$S,"SOUR1",Input!$E:$E,'1.CC Transition risk-Banking b.'!$O$63),
SUMIFS(Input!$I:$I,Input!$H:$H,'1.CC Transition risk-Banking b.'!$A23&amp;"*",Input!$T:$T,"SOUR1",Input!$E:$E,'1.CC Transition risk-Banking b.'!$O$63))/SUMIFS(Input!$I:$I,Input!$H:$H,'1.CC Transition risk-Banking b.'!$A23&amp;"*",Input!$E:$E,'1.CC Transition risk-Banking b.'!$O$63),0)</f>
        <v>0</v>
      </c>
      <c r="O23" s="71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0</v>
      </c>
      <c r="P23" s="71">
        <f>(ROUND(SUMIFS(Input!$I:$I,Input!$H:$H,'1.CC Transition risk-Banking b.'!$A23&amp;"*",Input!$E:$E,'1.CC Transition risk-Banking b.'!P$63,Input!$G:$G,"&gt;5",Input!$G:$G,"&lt;=10"),0))/1000000</f>
        <v>0</v>
      </c>
      <c r="Q23" s="71">
        <f>(ROUND(SUMIFS(Input!$I:$I,Input!$H:$H,'1.CC Transition risk-Banking b.'!$A23&amp;"*",Input!$E:$E,'1.CC Transition risk-Banking b.'!Q$63,Input!$G:$G,"&gt;10",Input!$G:$G,"&lt;=20"),0))/1000000</f>
        <v>0</v>
      </c>
      <c r="R23" s="71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72">
        <f>ROUND(IFERROR((SUMIFS(Input!$Q:$Q,Input!$H:$H,'1.CC Transition risk-Banking b.'!$A23&amp;"*",Input!$E:$E,'1.CC Transition risk-Banking b.'!S$63,Input!$G:$G,"&gt;0")/1000000)/'1.CC Transition risk-Banking b.'!$D23,0),0)</f>
        <v>0</v>
      </c>
    </row>
    <row r="24" spans="1:19" x14ac:dyDescent="0.3">
      <c r="A24" s="81" t="s">
        <v>104</v>
      </c>
      <c r="B24" s="52">
        <v>19</v>
      </c>
      <c r="C24" s="55" t="s">
        <v>105</v>
      </c>
      <c r="D24" s="69">
        <f>(ROUND(SUMIFS(Input!$I:$I,Input!$H:$H,'1.CC Transition risk-Banking b.'!$A24&amp;"*",Input!$E:$E,'1.CC Transition risk-Banking b.'!$D$63),0))/1000000</f>
        <v>0</v>
      </c>
      <c r="E24" s="69">
        <f>(ROUND(SUMIFS(Input!$I:$I,Input!$H:$H,'1.CC Transition risk-Banking b.'!$A24&amp;"*",Input!$E:$E,'1.CC Transition risk-Banking b.'!$E$63,Input!$F:$F,'1.CC Transition risk-Banking b.'!$E$64),0))/1000000</f>
        <v>0</v>
      </c>
      <c r="F24" s="69">
        <f>(ROUND(SUMIFS(Input!$P:$P,Input!$H:$H,'1.CC Transition risk-Banking b.'!$A24&amp;"*",Input!$E:$E,'1.CC Transition risk-Banking b.'!$E$63,Input!$O:$O,'1.CC Transition risk-Banking b.'!$F$63),0))/1000000</f>
        <v>0</v>
      </c>
      <c r="G24" s="69">
        <f>(ROUND(SUMIFS(Input!$I:$I,Input!$H:$H,'1.CC Transition risk-Banking b.'!$A24&amp;"*",Input!$E:$E,'1.CC Transition risk-Banking b.'!$G$63,Input!$C:$C,'1.CC Transition risk-Banking b.'!$G$64),0))/1000000</f>
        <v>0</v>
      </c>
      <c r="H24" s="69">
        <f>(ROUND(SUMIFS(Input!$I:$I,Input!$H:$H,'1.CC Transition risk-Banking b.'!$A24&amp;"*",Input!$E:$E,'1.CC Transition risk-Banking b.'!$H$63,Input!$C:$C,'1.CC Transition risk-Banking b.'!$H$64),0))/1000000</f>
        <v>0</v>
      </c>
      <c r="I24" s="69">
        <f>(ROUND(SUMIFS(Input!$I:$I,Input!$H:$H,'1.CC Transition risk-Banking b.'!$A24&amp;"*",Input!$E:$E,'1.CC Transition risk-Banking b.'!$I$63),0))/1000000</f>
        <v>0</v>
      </c>
      <c r="J24" s="69">
        <f>(ROUND(SUMIFS(Input!$I:$I,Input!$H:$H,'1.CC Transition risk-Banking b.'!$A24&amp;"*",Input!$E:$E,'1.CC Transition risk-Banking b.'!$J$63,Input!$C:$C,'1.CC Transition risk-Banking b.'!$J$64),0))/1000000</f>
        <v>0</v>
      </c>
      <c r="K24" s="69">
        <f>(ROUND(SUMIFS(Input!$I:$I,Input!$H:$H,'1.CC Transition risk-Banking b.'!$A24&amp;"*",Input!$E:$E,'1.CC Transition risk-Banking b.'!$K$63,Input!$C:$C,'1.CC Transition risk-Banking b.'!$K$64),0))/1000000</f>
        <v>0</v>
      </c>
      <c r="L24" s="70">
        <f>(ROUND(SUMIFS(Input!$J:$J,Input!$H:$H,'1.CC Transition risk-Banking b.'!$A24&amp;"*")
+ SUMIFS(Input!$L:$L,Input!$H:$H,'1.CC Transition risk-Banking b.'!$A24&amp;"*")
+SUMIFS(Input!$N:$N,Input!$H:$H,'1.CC Transition risk-Banking b.'!$A24&amp;"*"),0))/1</f>
        <v>0</v>
      </c>
      <c r="M24" s="70">
        <f>(ROUND(SUMIFS(Input!$N:$N,Input!$H:$H,'1.CC Transition risk-Banking b.'!$A24&amp;"*"),0))/1</f>
        <v>0</v>
      </c>
      <c r="N24" s="76">
        <f>IFERROR(AVERAGE(SUMIFS(Input!$I:$I,Input!$H:$H,'1.CC Transition risk-Banking b.'!$A24&amp;"*",Input!$R:$R,"SOUR1",Input!$E:$E,'1.CC Transition risk-Banking b.'!$O$63),
SUMIFS(Input!$I:$I,Input!$H:$H,'1.CC Transition risk-Banking b.'!$A24&amp;"*",Input!$S:$S,"SOUR1",Input!$E:$E,'1.CC Transition risk-Banking b.'!$O$63),
SUMIFS(Input!$I:$I,Input!$H:$H,'1.CC Transition risk-Banking b.'!$A24&amp;"*",Input!$T:$T,"SOUR1",Input!$E:$E,'1.CC Transition risk-Banking b.'!$O$63))/SUMIFS(Input!$I:$I,Input!$H:$H,'1.CC Transition risk-Banking b.'!$A24&amp;"*",Input!$E:$E,'1.CC Transition risk-Banking b.'!$O$63),0)</f>
        <v>0</v>
      </c>
      <c r="O24" s="71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</v>
      </c>
      <c r="P24" s="71">
        <f>(ROUND(SUMIFS(Input!$I:$I,Input!$H:$H,'1.CC Transition risk-Banking b.'!$A24&amp;"*",Input!$E:$E,'1.CC Transition risk-Banking b.'!P$63,Input!$G:$G,"&gt;5",Input!$G:$G,"&lt;=10"),0))/1000000</f>
        <v>0</v>
      </c>
      <c r="Q24" s="71">
        <f>(ROUND(SUMIFS(Input!$I:$I,Input!$H:$H,'1.CC Transition risk-Banking b.'!$A24&amp;"*",Input!$E:$E,'1.CC Transition risk-Banking b.'!Q$63,Input!$G:$G,"&gt;10",Input!$G:$G,"&lt;=20"),0))/1000000</f>
        <v>0</v>
      </c>
      <c r="R24" s="71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72">
        <f>ROUND(IFERROR((SUMIFS(Input!$Q:$Q,Input!$H:$H,'1.CC Transition risk-Banking b.'!$A24&amp;"*",Input!$E:$E,'1.CC Transition risk-Banking b.'!S$63,Input!$G:$G,"&gt;0")/1000000)/'1.CC Transition risk-Banking b.'!$D24,0),0)</f>
        <v>0</v>
      </c>
    </row>
    <row r="25" spans="1:19" x14ac:dyDescent="0.3">
      <c r="A25" s="81" t="s">
        <v>106</v>
      </c>
      <c r="B25" s="52">
        <v>20</v>
      </c>
      <c r="C25" s="55" t="s">
        <v>107</v>
      </c>
      <c r="D25" s="69">
        <f>(ROUND(SUMIFS(Input!$I:$I,Input!$H:$H,'1.CC Transition risk-Banking b.'!$A25&amp;"*",Input!$E:$E,'1.CC Transition risk-Banking b.'!$D$63),0))/1000000</f>
        <v>0</v>
      </c>
      <c r="E25" s="69">
        <f>(ROUND(SUMIFS(Input!$I:$I,Input!$H:$H,'1.CC Transition risk-Banking b.'!$A25&amp;"*",Input!$E:$E,'1.CC Transition risk-Banking b.'!$E$63,Input!$F:$F,'1.CC Transition risk-Banking b.'!$E$64),0))/1000000</f>
        <v>0</v>
      </c>
      <c r="F25" s="69">
        <f>(ROUND(SUMIFS(Input!$P:$P,Input!$H:$H,'1.CC Transition risk-Banking b.'!$A25&amp;"*",Input!$E:$E,'1.CC Transition risk-Banking b.'!$E$63,Input!$O:$O,'1.CC Transition risk-Banking b.'!$F$63),0))/1000000</f>
        <v>0</v>
      </c>
      <c r="G25" s="69">
        <f>(ROUND(SUMIFS(Input!$I:$I,Input!$H:$H,'1.CC Transition risk-Banking b.'!$A25&amp;"*",Input!$E:$E,'1.CC Transition risk-Banking b.'!$G$63,Input!$C:$C,'1.CC Transition risk-Banking b.'!$G$64),0))/1000000</f>
        <v>0</v>
      </c>
      <c r="H25" s="69">
        <f>(ROUND(SUMIFS(Input!$I:$I,Input!$H:$H,'1.CC Transition risk-Banking b.'!$A25&amp;"*",Input!$E:$E,'1.CC Transition risk-Banking b.'!$H$63,Input!$C:$C,'1.CC Transition risk-Banking b.'!$H$64),0))/1000000</f>
        <v>0</v>
      </c>
      <c r="I25" s="69">
        <f>(ROUND(SUMIFS(Input!$I:$I,Input!$H:$H,'1.CC Transition risk-Banking b.'!$A25&amp;"*",Input!$E:$E,'1.CC Transition risk-Banking b.'!$I$63),0))/1000000</f>
        <v>0</v>
      </c>
      <c r="J25" s="69">
        <f>(ROUND(SUMIFS(Input!$I:$I,Input!$H:$H,'1.CC Transition risk-Banking b.'!$A25&amp;"*",Input!$E:$E,'1.CC Transition risk-Banking b.'!$J$63,Input!$C:$C,'1.CC Transition risk-Banking b.'!$J$64),0))/1000000</f>
        <v>0</v>
      </c>
      <c r="K25" s="69">
        <f>(ROUND(SUMIFS(Input!$I:$I,Input!$H:$H,'1.CC Transition risk-Banking b.'!$A25&amp;"*",Input!$E:$E,'1.CC Transition risk-Banking b.'!$K$63,Input!$C:$C,'1.CC Transition risk-Banking b.'!$K$64),0))/1000000</f>
        <v>0</v>
      </c>
      <c r="L25" s="70">
        <f>(ROUND(SUMIFS(Input!$J:$J,Input!$H:$H,'1.CC Transition risk-Banking b.'!$A25&amp;"*")
+ SUMIFS(Input!$L:$L,Input!$H:$H,'1.CC Transition risk-Banking b.'!$A25&amp;"*")
+SUMIFS(Input!$N:$N,Input!$H:$H,'1.CC Transition risk-Banking b.'!$A25&amp;"*"),0))/1</f>
        <v>0</v>
      </c>
      <c r="M25" s="70">
        <f>(ROUND(SUMIFS(Input!$N:$N,Input!$H:$H,'1.CC Transition risk-Banking b.'!$A25&amp;"*"),0))/1</f>
        <v>0</v>
      </c>
      <c r="N25" s="76">
        <f>IFERROR(AVERAGE(SUMIFS(Input!$I:$I,Input!$H:$H,'1.CC Transition risk-Banking b.'!$A25&amp;"*",Input!$R:$R,"SOUR1",Input!$E:$E,'1.CC Transition risk-Banking b.'!$O$63),
SUMIFS(Input!$I:$I,Input!$H:$H,'1.CC Transition risk-Banking b.'!$A25&amp;"*",Input!$S:$S,"SOUR1",Input!$E:$E,'1.CC Transition risk-Banking b.'!$O$63),
SUMIFS(Input!$I:$I,Input!$H:$H,'1.CC Transition risk-Banking b.'!$A25&amp;"*",Input!$T:$T,"SOUR1",Input!$E:$E,'1.CC Transition risk-Banking b.'!$O$63))/SUMIFS(Input!$I:$I,Input!$H:$H,'1.CC Transition risk-Banking b.'!$A25&amp;"*",Input!$E:$E,'1.CC Transition risk-Banking b.'!$O$63),0)</f>
        <v>0</v>
      </c>
      <c r="O25" s="71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0</v>
      </c>
      <c r="P25" s="71">
        <f>(ROUND(SUMIFS(Input!$I:$I,Input!$H:$H,'1.CC Transition risk-Banking b.'!$A25&amp;"*",Input!$E:$E,'1.CC Transition risk-Banking b.'!P$63,Input!$G:$G,"&gt;5",Input!$G:$G,"&lt;=10"),0))/1000000</f>
        <v>0</v>
      </c>
      <c r="Q25" s="71">
        <f>(ROUND(SUMIFS(Input!$I:$I,Input!$H:$H,'1.CC Transition risk-Banking b.'!$A25&amp;"*",Input!$E:$E,'1.CC Transition risk-Banking b.'!Q$63,Input!$G:$G,"&gt;10",Input!$G:$G,"&lt;=20"),0))/1000000</f>
        <v>0</v>
      </c>
      <c r="R25" s="71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72">
        <f>ROUND(IFERROR((SUMIFS(Input!$Q:$Q,Input!$H:$H,'1.CC Transition risk-Banking b.'!$A25&amp;"*",Input!$E:$E,'1.CC Transition risk-Banking b.'!S$63,Input!$G:$G,"&gt;0")/1000000)/'1.CC Transition risk-Banking b.'!$D25,0),0)</f>
        <v>0</v>
      </c>
    </row>
    <row r="26" spans="1:19" x14ac:dyDescent="0.3">
      <c r="A26" s="81" t="s">
        <v>108</v>
      </c>
      <c r="B26" s="52">
        <v>21</v>
      </c>
      <c r="C26" s="55" t="s">
        <v>109</v>
      </c>
      <c r="D26" s="69">
        <f>(ROUND(SUMIFS(Input!$I:$I,Input!$H:$H,'1.CC Transition risk-Banking b.'!$A26&amp;"*",Input!$E:$E,'1.CC Transition risk-Banking b.'!$D$63),0))/1000000</f>
        <v>0</v>
      </c>
      <c r="E26" s="69">
        <f>(ROUND(SUMIFS(Input!$I:$I,Input!$H:$H,'1.CC Transition risk-Banking b.'!$A26&amp;"*",Input!$E:$E,'1.CC Transition risk-Banking b.'!$E$63,Input!$F:$F,'1.CC Transition risk-Banking b.'!$E$64),0))/1000000</f>
        <v>0</v>
      </c>
      <c r="F26" s="69">
        <f>(ROUND(SUMIFS(Input!$P:$P,Input!$H:$H,'1.CC Transition risk-Banking b.'!$A26&amp;"*",Input!$E:$E,'1.CC Transition risk-Banking b.'!$E$63,Input!$O:$O,'1.CC Transition risk-Banking b.'!$F$63),0))/1000000</f>
        <v>0</v>
      </c>
      <c r="G26" s="69">
        <f>(ROUND(SUMIFS(Input!$I:$I,Input!$H:$H,'1.CC Transition risk-Banking b.'!$A26&amp;"*",Input!$E:$E,'1.CC Transition risk-Banking b.'!$G$63,Input!$C:$C,'1.CC Transition risk-Banking b.'!$G$64),0))/1000000</f>
        <v>0</v>
      </c>
      <c r="H26" s="69">
        <f>(ROUND(SUMIFS(Input!$I:$I,Input!$H:$H,'1.CC Transition risk-Banking b.'!$A26&amp;"*",Input!$E:$E,'1.CC Transition risk-Banking b.'!$H$63,Input!$C:$C,'1.CC Transition risk-Banking b.'!$H$64),0))/1000000</f>
        <v>0</v>
      </c>
      <c r="I26" s="69">
        <f>(ROUND(SUMIFS(Input!$I:$I,Input!$H:$H,'1.CC Transition risk-Banking b.'!$A26&amp;"*",Input!$E:$E,'1.CC Transition risk-Banking b.'!$I$63),0))/1000000</f>
        <v>0</v>
      </c>
      <c r="J26" s="69">
        <f>(ROUND(SUMIFS(Input!$I:$I,Input!$H:$H,'1.CC Transition risk-Banking b.'!$A26&amp;"*",Input!$E:$E,'1.CC Transition risk-Banking b.'!$J$63,Input!$C:$C,'1.CC Transition risk-Banking b.'!$J$64),0))/1000000</f>
        <v>0</v>
      </c>
      <c r="K26" s="69">
        <f>(ROUND(SUMIFS(Input!$I:$I,Input!$H:$H,'1.CC Transition risk-Banking b.'!$A26&amp;"*",Input!$E:$E,'1.CC Transition risk-Banking b.'!$K$63,Input!$C:$C,'1.CC Transition risk-Banking b.'!$K$64),0))/1000000</f>
        <v>0</v>
      </c>
      <c r="L26" s="70">
        <f>(ROUND(SUMIFS(Input!$J:$J,Input!$H:$H,'1.CC Transition risk-Banking b.'!$A26&amp;"*")
+ SUMIFS(Input!$L:$L,Input!$H:$H,'1.CC Transition risk-Banking b.'!$A26&amp;"*")
+SUMIFS(Input!$N:$N,Input!$H:$H,'1.CC Transition risk-Banking b.'!$A26&amp;"*"),0))/1</f>
        <v>0</v>
      </c>
      <c r="M26" s="70">
        <f>(ROUND(SUMIFS(Input!$N:$N,Input!$H:$H,'1.CC Transition risk-Banking b.'!$A26&amp;"*"),0))/1</f>
        <v>0</v>
      </c>
      <c r="N26" s="76">
        <f>IFERROR(AVERAGE(SUMIFS(Input!$I:$I,Input!$H:$H,'1.CC Transition risk-Banking b.'!$A26&amp;"*",Input!$R:$R,"SOUR1",Input!$E:$E,'1.CC Transition risk-Banking b.'!$O$63),
SUMIFS(Input!$I:$I,Input!$H:$H,'1.CC Transition risk-Banking b.'!$A26&amp;"*",Input!$S:$S,"SOUR1",Input!$E:$E,'1.CC Transition risk-Banking b.'!$O$63),
SUMIFS(Input!$I:$I,Input!$H:$H,'1.CC Transition risk-Banking b.'!$A26&amp;"*",Input!$T:$T,"SOUR1",Input!$E:$E,'1.CC Transition risk-Banking b.'!$O$63))/SUMIFS(Input!$I:$I,Input!$H:$H,'1.CC Transition risk-Banking b.'!$A26&amp;"*",Input!$E:$E,'1.CC Transition risk-Banking b.'!$O$63),0)</f>
        <v>0</v>
      </c>
      <c r="O26" s="71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0</v>
      </c>
      <c r="P26" s="71">
        <f>(ROUND(SUMIFS(Input!$I:$I,Input!$H:$H,'1.CC Transition risk-Banking b.'!$A26&amp;"*",Input!$E:$E,'1.CC Transition risk-Banking b.'!P$63,Input!$G:$G,"&gt;5",Input!$G:$G,"&lt;=10"),0))/1000000</f>
        <v>0</v>
      </c>
      <c r="Q26" s="71">
        <f>(ROUND(SUMIFS(Input!$I:$I,Input!$H:$H,'1.CC Transition risk-Banking b.'!$A26&amp;"*",Input!$E:$E,'1.CC Transition risk-Banking b.'!Q$63,Input!$G:$G,"&gt;10",Input!$G:$G,"&lt;=20"),0))/1000000</f>
        <v>0</v>
      </c>
      <c r="R26" s="71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72">
        <f>ROUND(IFERROR((SUMIFS(Input!$Q:$Q,Input!$H:$H,'1.CC Transition risk-Banking b.'!$A26&amp;"*",Input!$E:$E,'1.CC Transition risk-Banking b.'!S$63,Input!$G:$G,"&gt;0")/1000000)/'1.CC Transition risk-Banking b.'!$D26,0),0)</f>
        <v>0</v>
      </c>
    </row>
    <row r="27" spans="1:19" x14ac:dyDescent="0.3">
      <c r="A27" s="81" t="s">
        <v>110</v>
      </c>
      <c r="B27" s="52">
        <v>22</v>
      </c>
      <c r="C27" s="55" t="s">
        <v>111</v>
      </c>
      <c r="D27" s="69">
        <f>(ROUND(SUMIFS(Input!$I:$I,Input!$H:$H,'1.CC Transition risk-Banking b.'!$A27&amp;"*",Input!$E:$E,'1.CC Transition risk-Banking b.'!$D$63),0))/1000000</f>
        <v>0</v>
      </c>
      <c r="E27" s="69">
        <f>(ROUND(SUMIFS(Input!$I:$I,Input!$H:$H,'1.CC Transition risk-Banking b.'!$A27&amp;"*",Input!$E:$E,'1.CC Transition risk-Banking b.'!$E$63,Input!$F:$F,'1.CC Transition risk-Banking b.'!$E$64),0))/1000000</f>
        <v>0</v>
      </c>
      <c r="F27" s="69">
        <f>(ROUND(SUMIFS(Input!$P:$P,Input!$H:$H,'1.CC Transition risk-Banking b.'!$A27&amp;"*",Input!$E:$E,'1.CC Transition risk-Banking b.'!$E$63,Input!$O:$O,'1.CC Transition risk-Banking b.'!$F$63),0))/1000000</f>
        <v>0</v>
      </c>
      <c r="G27" s="69">
        <f>(ROUND(SUMIFS(Input!$I:$I,Input!$H:$H,'1.CC Transition risk-Banking b.'!$A27&amp;"*",Input!$E:$E,'1.CC Transition risk-Banking b.'!$G$63,Input!$C:$C,'1.CC Transition risk-Banking b.'!$G$64),0))/1000000</f>
        <v>0</v>
      </c>
      <c r="H27" s="69">
        <f>(ROUND(SUMIFS(Input!$I:$I,Input!$H:$H,'1.CC Transition risk-Banking b.'!$A27&amp;"*",Input!$E:$E,'1.CC Transition risk-Banking b.'!$H$63,Input!$C:$C,'1.CC Transition risk-Banking b.'!$H$64),0))/1000000</f>
        <v>0</v>
      </c>
      <c r="I27" s="69">
        <f>(ROUND(SUMIFS(Input!$I:$I,Input!$H:$H,'1.CC Transition risk-Banking b.'!$A27&amp;"*",Input!$E:$E,'1.CC Transition risk-Banking b.'!$I$63),0))/1000000</f>
        <v>0</v>
      </c>
      <c r="J27" s="69">
        <f>(ROUND(SUMIFS(Input!$I:$I,Input!$H:$H,'1.CC Transition risk-Banking b.'!$A27&amp;"*",Input!$E:$E,'1.CC Transition risk-Banking b.'!$J$63,Input!$C:$C,'1.CC Transition risk-Banking b.'!$J$64),0))/1000000</f>
        <v>0</v>
      </c>
      <c r="K27" s="69">
        <f>(ROUND(SUMIFS(Input!$I:$I,Input!$H:$H,'1.CC Transition risk-Banking b.'!$A27&amp;"*",Input!$E:$E,'1.CC Transition risk-Banking b.'!$K$63,Input!$C:$C,'1.CC Transition risk-Banking b.'!$K$64),0))/1000000</f>
        <v>0</v>
      </c>
      <c r="L27" s="70">
        <f>(ROUND(SUMIFS(Input!$J:$J,Input!$H:$H,'1.CC Transition risk-Banking b.'!$A27&amp;"*")
+ SUMIFS(Input!$L:$L,Input!$H:$H,'1.CC Transition risk-Banking b.'!$A27&amp;"*")
+SUMIFS(Input!$N:$N,Input!$H:$H,'1.CC Transition risk-Banking b.'!$A27&amp;"*"),0))/1</f>
        <v>0</v>
      </c>
      <c r="M27" s="70">
        <f>(ROUND(SUMIFS(Input!$N:$N,Input!$H:$H,'1.CC Transition risk-Banking b.'!$A27&amp;"*"),0))/1</f>
        <v>0</v>
      </c>
      <c r="N27" s="76">
        <f>IFERROR(AVERAGE(SUMIFS(Input!$I:$I,Input!$H:$H,'1.CC Transition risk-Banking b.'!$A27&amp;"*",Input!$R:$R,"SOUR1",Input!$E:$E,'1.CC Transition risk-Banking b.'!$O$63),
SUMIFS(Input!$I:$I,Input!$H:$H,'1.CC Transition risk-Banking b.'!$A27&amp;"*",Input!$S:$S,"SOUR1",Input!$E:$E,'1.CC Transition risk-Banking b.'!$O$63),
SUMIFS(Input!$I:$I,Input!$H:$H,'1.CC Transition risk-Banking b.'!$A27&amp;"*",Input!$T:$T,"SOUR1",Input!$E:$E,'1.CC Transition risk-Banking b.'!$O$63))/SUMIFS(Input!$I:$I,Input!$H:$H,'1.CC Transition risk-Banking b.'!$A27&amp;"*",Input!$E:$E,'1.CC Transition risk-Banking b.'!$O$63),0)</f>
        <v>0</v>
      </c>
      <c r="O27" s="71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0</v>
      </c>
      <c r="P27" s="71">
        <f>(ROUND(SUMIFS(Input!$I:$I,Input!$H:$H,'1.CC Transition risk-Banking b.'!$A27&amp;"*",Input!$E:$E,'1.CC Transition risk-Banking b.'!P$63,Input!$G:$G,"&gt;5",Input!$G:$G,"&lt;=10"),0))/1000000</f>
        <v>0</v>
      </c>
      <c r="Q27" s="71">
        <f>(ROUND(SUMIFS(Input!$I:$I,Input!$H:$H,'1.CC Transition risk-Banking b.'!$A27&amp;"*",Input!$E:$E,'1.CC Transition risk-Banking b.'!Q$63,Input!$G:$G,"&gt;10",Input!$G:$G,"&lt;=20"),0))/1000000</f>
        <v>0</v>
      </c>
      <c r="R27" s="71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72">
        <f>ROUND(IFERROR((SUMIFS(Input!$Q:$Q,Input!$H:$H,'1.CC Transition risk-Banking b.'!$A27&amp;"*",Input!$E:$E,'1.CC Transition risk-Banking b.'!S$63,Input!$G:$G,"&gt;0")/1000000)/'1.CC Transition risk-Banking b.'!$D27,0),0)</f>
        <v>0</v>
      </c>
    </row>
    <row r="28" spans="1:19" x14ac:dyDescent="0.3">
      <c r="A28" s="81" t="s">
        <v>112</v>
      </c>
      <c r="B28" s="52">
        <v>23</v>
      </c>
      <c r="C28" s="55" t="s">
        <v>113</v>
      </c>
      <c r="D28" s="69">
        <f>(ROUND(SUMIFS(Input!$I:$I,Input!$H:$H,'1.CC Transition risk-Banking b.'!$A28&amp;"*",Input!$E:$E,'1.CC Transition risk-Banking b.'!$D$63),0))/1000000</f>
        <v>0</v>
      </c>
      <c r="E28" s="69">
        <f>(ROUND(SUMIFS(Input!$I:$I,Input!$H:$H,'1.CC Transition risk-Banking b.'!$A28&amp;"*",Input!$E:$E,'1.CC Transition risk-Banking b.'!$E$63,Input!$F:$F,'1.CC Transition risk-Banking b.'!$E$64),0))/1000000</f>
        <v>0</v>
      </c>
      <c r="F28" s="69">
        <f>(ROUND(SUMIFS(Input!$P:$P,Input!$H:$H,'1.CC Transition risk-Banking b.'!$A28&amp;"*",Input!$E:$E,'1.CC Transition risk-Banking b.'!$E$63,Input!$O:$O,'1.CC Transition risk-Banking b.'!$F$63),0))/1000000</f>
        <v>0</v>
      </c>
      <c r="G28" s="69">
        <f>(ROUND(SUMIFS(Input!$I:$I,Input!$H:$H,'1.CC Transition risk-Banking b.'!$A28&amp;"*",Input!$E:$E,'1.CC Transition risk-Banking b.'!$G$63,Input!$C:$C,'1.CC Transition risk-Banking b.'!$G$64),0))/1000000</f>
        <v>0</v>
      </c>
      <c r="H28" s="69">
        <f>(ROUND(SUMIFS(Input!$I:$I,Input!$H:$H,'1.CC Transition risk-Banking b.'!$A28&amp;"*",Input!$E:$E,'1.CC Transition risk-Banking b.'!$H$63,Input!$C:$C,'1.CC Transition risk-Banking b.'!$H$64),0))/1000000</f>
        <v>0</v>
      </c>
      <c r="I28" s="69">
        <f>(ROUND(SUMIFS(Input!$I:$I,Input!$H:$H,'1.CC Transition risk-Banking b.'!$A28&amp;"*",Input!$E:$E,'1.CC Transition risk-Banking b.'!$I$63),0))/1000000</f>
        <v>0</v>
      </c>
      <c r="J28" s="69">
        <f>(ROUND(SUMIFS(Input!$I:$I,Input!$H:$H,'1.CC Transition risk-Banking b.'!$A28&amp;"*",Input!$E:$E,'1.CC Transition risk-Banking b.'!$J$63,Input!$C:$C,'1.CC Transition risk-Banking b.'!$J$64),0))/1000000</f>
        <v>0</v>
      </c>
      <c r="K28" s="69">
        <f>(ROUND(SUMIFS(Input!$I:$I,Input!$H:$H,'1.CC Transition risk-Banking b.'!$A28&amp;"*",Input!$E:$E,'1.CC Transition risk-Banking b.'!$K$63,Input!$C:$C,'1.CC Transition risk-Banking b.'!$K$64),0))/1000000</f>
        <v>0</v>
      </c>
      <c r="L28" s="70">
        <f>(ROUND(SUMIFS(Input!$J:$J,Input!$H:$H,'1.CC Transition risk-Banking b.'!$A28&amp;"*")
+ SUMIFS(Input!$L:$L,Input!$H:$H,'1.CC Transition risk-Banking b.'!$A28&amp;"*")
+SUMIFS(Input!$N:$N,Input!$H:$H,'1.CC Transition risk-Banking b.'!$A28&amp;"*"),0))/1</f>
        <v>0</v>
      </c>
      <c r="M28" s="70">
        <f>(ROUND(SUMIFS(Input!$N:$N,Input!$H:$H,'1.CC Transition risk-Banking b.'!$A28&amp;"*"),0))/1</f>
        <v>0</v>
      </c>
      <c r="N28" s="76">
        <f>IFERROR(AVERAGE(SUMIFS(Input!$I:$I,Input!$H:$H,'1.CC Transition risk-Banking b.'!$A28&amp;"*",Input!$R:$R,"SOUR1",Input!$E:$E,'1.CC Transition risk-Banking b.'!$O$63),
SUMIFS(Input!$I:$I,Input!$H:$H,'1.CC Transition risk-Banking b.'!$A28&amp;"*",Input!$S:$S,"SOUR1",Input!$E:$E,'1.CC Transition risk-Banking b.'!$O$63),
SUMIFS(Input!$I:$I,Input!$H:$H,'1.CC Transition risk-Banking b.'!$A28&amp;"*",Input!$T:$T,"SOUR1",Input!$E:$E,'1.CC Transition risk-Banking b.'!$O$63))/SUMIFS(Input!$I:$I,Input!$H:$H,'1.CC Transition risk-Banking b.'!$A28&amp;"*",Input!$E:$E,'1.CC Transition risk-Banking b.'!$O$63),0)</f>
        <v>0</v>
      </c>
      <c r="O28" s="71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0</v>
      </c>
      <c r="P28" s="71">
        <f>(ROUND(SUMIFS(Input!$I:$I,Input!$H:$H,'1.CC Transition risk-Banking b.'!$A28&amp;"*",Input!$E:$E,'1.CC Transition risk-Banking b.'!P$63,Input!$G:$G,"&gt;5",Input!$G:$G,"&lt;=10"),0))/1000000</f>
        <v>0</v>
      </c>
      <c r="Q28" s="71">
        <f>(ROUND(SUMIFS(Input!$I:$I,Input!$H:$H,'1.CC Transition risk-Banking b.'!$A28&amp;"*",Input!$E:$E,'1.CC Transition risk-Banking b.'!Q$63,Input!$G:$G,"&gt;10",Input!$G:$G,"&lt;=20"),0))/1000000</f>
        <v>0</v>
      </c>
      <c r="R28" s="71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72">
        <f>ROUND(IFERROR((SUMIFS(Input!$Q:$Q,Input!$H:$H,'1.CC Transition risk-Banking b.'!$A28&amp;"*",Input!$E:$E,'1.CC Transition risk-Banking b.'!S$63,Input!$G:$G,"&gt;0")/1000000)/'1.CC Transition risk-Banking b.'!$D28,0),0)</f>
        <v>0</v>
      </c>
    </row>
    <row r="29" spans="1:19" x14ac:dyDescent="0.3">
      <c r="A29" s="81" t="s">
        <v>114</v>
      </c>
      <c r="B29" s="52">
        <v>24</v>
      </c>
      <c r="C29" s="55" t="s">
        <v>115</v>
      </c>
      <c r="D29" s="69">
        <f>(ROUND(SUMIFS(Input!$I:$I,Input!$H:$H,'1.CC Transition risk-Banking b.'!$A29&amp;"*",Input!$E:$E,'1.CC Transition risk-Banking b.'!$D$63),0))/1000000</f>
        <v>0</v>
      </c>
      <c r="E29" s="69">
        <f>(ROUND(SUMIFS(Input!$I:$I,Input!$H:$H,'1.CC Transition risk-Banking b.'!$A29&amp;"*",Input!$E:$E,'1.CC Transition risk-Banking b.'!$E$63,Input!$F:$F,'1.CC Transition risk-Banking b.'!$E$64),0))/1000000</f>
        <v>0</v>
      </c>
      <c r="F29" s="69">
        <f>(ROUND(SUMIFS(Input!$P:$P,Input!$H:$H,'1.CC Transition risk-Banking b.'!$A29&amp;"*",Input!$E:$E,'1.CC Transition risk-Banking b.'!$E$63,Input!$O:$O,'1.CC Transition risk-Banking b.'!$F$63),0))/1000000</f>
        <v>0</v>
      </c>
      <c r="G29" s="69">
        <f>(ROUND(SUMIFS(Input!$I:$I,Input!$H:$H,'1.CC Transition risk-Banking b.'!$A29&amp;"*",Input!$E:$E,'1.CC Transition risk-Banking b.'!$G$63,Input!$C:$C,'1.CC Transition risk-Banking b.'!$G$64),0))/1000000</f>
        <v>0</v>
      </c>
      <c r="H29" s="69">
        <f>(ROUND(SUMIFS(Input!$I:$I,Input!$H:$H,'1.CC Transition risk-Banking b.'!$A29&amp;"*",Input!$E:$E,'1.CC Transition risk-Banking b.'!$H$63,Input!$C:$C,'1.CC Transition risk-Banking b.'!$H$64),0))/1000000</f>
        <v>0</v>
      </c>
      <c r="I29" s="69">
        <f>(ROUND(SUMIFS(Input!$I:$I,Input!$H:$H,'1.CC Transition risk-Banking b.'!$A29&amp;"*",Input!$E:$E,'1.CC Transition risk-Banking b.'!$I$63),0))/1000000</f>
        <v>0</v>
      </c>
      <c r="J29" s="69">
        <f>(ROUND(SUMIFS(Input!$I:$I,Input!$H:$H,'1.CC Transition risk-Banking b.'!$A29&amp;"*",Input!$E:$E,'1.CC Transition risk-Banking b.'!$J$63,Input!$C:$C,'1.CC Transition risk-Banking b.'!$J$64),0))/1000000</f>
        <v>0</v>
      </c>
      <c r="K29" s="69">
        <f>(ROUND(SUMIFS(Input!$I:$I,Input!$H:$H,'1.CC Transition risk-Banking b.'!$A29&amp;"*",Input!$E:$E,'1.CC Transition risk-Banking b.'!$K$63,Input!$C:$C,'1.CC Transition risk-Banking b.'!$K$64),0))/1000000</f>
        <v>0</v>
      </c>
      <c r="L29" s="70">
        <f>(ROUND(SUMIFS(Input!$J:$J,Input!$H:$H,'1.CC Transition risk-Banking b.'!$A29&amp;"*")
+ SUMIFS(Input!$L:$L,Input!$H:$H,'1.CC Transition risk-Banking b.'!$A29&amp;"*")
+SUMIFS(Input!$N:$N,Input!$H:$H,'1.CC Transition risk-Banking b.'!$A29&amp;"*"),0))/1</f>
        <v>0</v>
      </c>
      <c r="M29" s="70">
        <f>(ROUND(SUMIFS(Input!$N:$N,Input!$H:$H,'1.CC Transition risk-Banking b.'!$A29&amp;"*"),0))/1</f>
        <v>0</v>
      </c>
      <c r="N29" s="76">
        <f>IFERROR(AVERAGE(SUMIFS(Input!$I:$I,Input!$H:$H,'1.CC Transition risk-Banking b.'!$A29&amp;"*",Input!$R:$R,"SOUR1",Input!$E:$E,'1.CC Transition risk-Banking b.'!$O$63),
SUMIFS(Input!$I:$I,Input!$H:$H,'1.CC Transition risk-Banking b.'!$A29&amp;"*",Input!$S:$S,"SOUR1",Input!$E:$E,'1.CC Transition risk-Banking b.'!$O$63),
SUMIFS(Input!$I:$I,Input!$H:$H,'1.CC Transition risk-Banking b.'!$A29&amp;"*",Input!$T:$T,"SOUR1",Input!$E:$E,'1.CC Transition risk-Banking b.'!$O$63))/SUMIFS(Input!$I:$I,Input!$H:$H,'1.CC Transition risk-Banking b.'!$A29&amp;"*",Input!$E:$E,'1.CC Transition risk-Banking b.'!$O$63),0)</f>
        <v>0</v>
      </c>
      <c r="O29" s="71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0</v>
      </c>
      <c r="P29" s="71">
        <f>(ROUND(SUMIFS(Input!$I:$I,Input!$H:$H,'1.CC Transition risk-Banking b.'!$A29&amp;"*",Input!$E:$E,'1.CC Transition risk-Banking b.'!P$63,Input!$G:$G,"&gt;5",Input!$G:$G,"&lt;=10"),0))/1000000</f>
        <v>0</v>
      </c>
      <c r="Q29" s="71">
        <f>(ROUND(SUMIFS(Input!$I:$I,Input!$H:$H,'1.CC Transition risk-Banking b.'!$A29&amp;"*",Input!$E:$E,'1.CC Transition risk-Banking b.'!Q$63,Input!$G:$G,"&gt;10",Input!$G:$G,"&lt;=20"),0))/1000000</f>
        <v>0</v>
      </c>
      <c r="R29" s="71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72">
        <f>ROUND(IFERROR((SUMIFS(Input!$Q:$Q,Input!$H:$H,'1.CC Transition risk-Banking b.'!$A29&amp;"*",Input!$E:$E,'1.CC Transition risk-Banking b.'!S$63,Input!$G:$G,"&gt;0")/1000000)/'1.CC Transition risk-Banking b.'!$D29,0),0)</f>
        <v>0</v>
      </c>
    </row>
    <row r="30" spans="1:19" x14ac:dyDescent="0.3">
      <c r="A30" s="81" t="s">
        <v>116</v>
      </c>
      <c r="B30" s="52">
        <v>25</v>
      </c>
      <c r="C30" s="55" t="s">
        <v>117</v>
      </c>
      <c r="D30" s="69">
        <f>(ROUND(SUMIFS(Input!$I:$I,Input!$H:$H,'1.CC Transition risk-Banking b.'!$A30&amp;"*",Input!$E:$E,'1.CC Transition risk-Banking b.'!$D$63),0))/1000000</f>
        <v>0</v>
      </c>
      <c r="E30" s="69">
        <f>(ROUND(SUMIFS(Input!$I:$I,Input!$H:$H,'1.CC Transition risk-Banking b.'!$A30&amp;"*",Input!$E:$E,'1.CC Transition risk-Banking b.'!$E$63,Input!$F:$F,'1.CC Transition risk-Banking b.'!$E$64),0))/1000000</f>
        <v>0</v>
      </c>
      <c r="F30" s="69">
        <f>(ROUND(SUMIFS(Input!$P:$P,Input!$H:$H,'1.CC Transition risk-Banking b.'!$A30&amp;"*",Input!$E:$E,'1.CC Transition risk-Banking b.'!$E$63,Input!$O:$O,'1.CC Transition risk-Banking b.'!$F$63),0))/1000000</f>
        <v>0</v>
      </c>
      <c r="G30" s="69">
        <f>(ROUND(SUMIFS(Input!$I:$I,Input!$H:$H,'1.CC Transition risk-Banking b.'!$A30&amp;"*",Input!$E:$E,'1.CC Transition risk-Banking b.'!$G$63,Input!$C:$C,'1.CC Transition risk-Banking b.'!$G$64),0))/1000000</f>
        <v>0</v>
      </c>
      <c r="H30" s="69">
        <f>(ROUND(SUMIFS(Input!$I:$I,Input!$H:$H,'1.CC Transition risk-Banking b.'!$A30&amp;"*",Input!$E:$E,'1.CC Transition risk-Banking b.'!$H$63,Input!$C:$C,'1.CC Transition risk-Banking b.'!$H$64),0))/1000000</f>
        <v>0</v>
      </c>
      <c r="I30" s="69">
        <f>(ROUND(SUMIFS(Input!$I:$I,Input!$H:$H,'1.CC Transition risk-Banking b.'!$A30&amp;"*",Input!$E:$E,'1.CC Transition risk-Banking b.'!$I$63),0))/1000000</f>
        <v>0</v>
      </c>
      <c r="J30" s="69">
        <f>(ROUND(SUMIFS(Input!$I:$I,Input!$H:$H,'1.CC Transition risk-Banking b.'!$A30&amp;"*",Input!$E:$E,'1.CC Transition risk-Banking b.'!$J$63,Input!$C:$C,'1.CC Transition risk-Banking b.'!$J$64),0))/1000000</f>
        <v>0</v>
      </c>
      <c r="K30" s="69">
        <f>(ROUND(SUMIFS(Input!$I:$I,Input!$H:$H,'1.CC Transition risk-Banking b.'!$A30&amp;"*",Input!$E:$E,'1.CC Transition risk-Banking b.'!$K$63,Input!$C:$C,'1.CC Transition risk-Banking b.'!$K$64),0))/1000000</f>
        <v>0</v>
      </c>
      <c r="L30" s="70">
        <f>(ROUND(SUMIFS(Input!$J:$J,Input!$H:$H,'1.CC Transition risk-Banking b.'!$A30&amp;"*")
+ SUMIFS(Input!$L:$L,Input!$H:$H,'1.CC Transition risk-Banking b.'!$A30&amp;"*")
+SUMIFS(Input!$N:$N,Input!$H:$H,'1.CC Transition risk-Banking b.'!$A30&amp;"*"),0))/1</f>
        <v>0</v>
      </c>
      <c r="M30" s="70">
        <f>(ROUND(SUMIFS(Input!$N:$N,Input!$H:$H,'1.CC Transition risk-Banking b.'!$A30&amp;"*"),0))/1</f>
        <v>0</v>
      </c>
      <c r="N30" s="76">
        <f>IFERROR(AVERAGE(SUMIFS(Input!$I:$I,Input!$H:$H,'1.CC Transition risk-Banking b.'!$A30&amp;"*",Input!$R:$R,"SOUR1",Input!$E:$E,'1.CC Transition risk-Banking b.'!$O$63),
SUMIFS(Input!$I:$I,Input!$H:$H,'1.CC Transition risk-Banking b.'!$A30&amp;"*",Input!$S:$S,"SOUR1",Input!$E:$E,'1.CC Transition risk-Banking b.'!$O$63),
SUMIFS(Input!$I:$I,Input!$H:$H,'1.CC Transition risk-Banking b.'!$A30&amp;"*",Input!$T:$T,"SOUR1",Input!$E:$E,'1.CC Transition risk-Banking b.'!$O$63))/SUMIFS(Input!$I:$I,Input!$H:$H,'1.CC Transition risk-Banking b.'!$A30&amp;"*",Input!$E:$E,'1.CC Transition risk-Banking b.'!$O$63),0)</f>
        <v>0</v>
      </c>
      <c r="O30" s="71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0</v>
      </c>
      <c r="P30" s="71">
        <f>(ROUND(SUMIFS(Input!$I:$I,Input!$H:$H,'1.CC Transition risk-Banking b.'!$A30&amp;"*",Input!$E:$E,'1.CC Transition risk-Banking b.'!P$63,Input!$G:$G,"&gt;5",Input!$G:$G,"&lt;=10"),0))/1000000</f>
        <v>0</v>
      </c>
      <c r="Q30" s="71">
        <f>(ROUND(SUMIFS(Input!$I:$I,Input!$H:$H,'1.CC Transition risk-Banking b.'!$A30&amp;"*",Input!$E:$E,'1.CC Transition risk-Banking b.'!Q$63,Input!$G:$G,"&gt;10",Input!$G:$G,"&lt;=20"),0))/1000000</f>
        <v>0</v>
      </c>
      <c r="R30" s="71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72">
        <f>ROUND(IFERROR((SUMIFS(Input!$Q:$Q,Input!$H:$H,'1.CC Transition risk-Banking b.'!$A30&amp;"*",Input!$E:$E,'1.CC Transition risk-Banking b.'!S$63,Input!$G:$G,"&gt;0")/1000000)/'1.CC Transition risk-Banking b.'!$D30,0),0)</f>
        <v>0</v>
      </c>
    </row>
    <row r="31" spans="1:19" x14ac:dyDescent="0.3">
      <c r="A31" s="81" t="s">
        <v>118</v>
      </c>
      <c r="B31" s="52">
        <v>26</v>
      </c>
      <c r="C31" s="55" t="s">
        <v>119</v>
      </c>
      <c r="D31" s="69">
        <f>(ROUND(SUMIFS(Input!$I:$I,Input!$H:$H,'1.CC Transition risk-Banking b.'!$A31&amp;"*",Input!$E:$E,'1.CC Transition risk-Banking b.'!$D$63),0))/1000000</f>
        <v>0</v>
      </c>
      <c r="E31" s="69">
        <f>(ROUND(SUMIFS(Input!$I:$I,Input!$H:$H,'1.CC Transition risk-Banking b.'!$A31&amp;"*",Input!$E:$E,'1.CC Transition risk-Banking b.'!$E$63,Input!$F:$F,'1.CC Transition risk-Banking b.'!$E$64),0))/1000000</f>
        <v>0</v>
      </c>
      <c r="F31" s="69">
        <f>(ROUND(SUMIFS(Input!$P:$P,Input!$H:$H,'1.CC Transition risk-Banking b.'!$A31&amp;"*",Input!$E:$E,'1.CC Transition risk-Banking b.'!$E$63,Input!$O:$O,'1.CC Transition risk-Banking b.'!$F$63),0))/1000000</f>
        <v>0</v>
      </c>
      <c r="G31" s="69">
        <f>(ROUND(SUMIFS(Input!$I:$I,Input!$H:$H,'1.CC Transition risk-Banking b.'!$A31&amp;"*",Input!$E:$E,'1.CC Transition risk-Banking b.'!$G$63,Input!$C:$C,'1.CC Transition risk-Banking b.'!$G$64),0))/1000000</f>
        <v>0</v>
      </c>
      <c r="H31" s="69">
        <f>(ROUND(SUMIFS(Input!$I:$I,Input!$H:$H,'1.CC Transition risk-Banking b.'!$A31&amp;"*",Input!$E:$E,'1.CC Transition risk-Banking b.'!$H$63,Input!$C:$C,'1.CC Transition risk-Banking b.'!$H$64),0))/1000000</f>
        <v>0</v>
      </c>
      <c r="I31" s="69">
        <f>(ROUND(SUMIFS(Input!$I:$I,Input!$H:$H,'1.CC Transition risk-Banking b.'!$A31&amp;"*",Input!$E:$E,'1.CC Transition risk-Banking b.'!$I$63),0))/1000000</f>
        <v>0</v>
      </c>
      <c r="J31" s="69">
        <f>(ROUND(SUMIFS(Input!$I:$I,Input!$H:$H,'1.CC Transition risk-Banking b.'!$A31&amp;"*",Input!$E:$E,'1.CC Transition risk-Banking b.'!$J$63,Input!$C:$C,'1.CC Transition risk-Banking b.'!$J$64),0))/1000000</f>
        <v>0</v>
      </c>
      <c r="K31" s="69">
        <f>(ROUND(SUMIFS(Input!$I:$I,Input!$H:$H,'1.CC Transition risk-Banking b.'!$A31&amp;"*",Input!$E:$E,'1.CC Transition risk-Banking b.'!$K$63,Input!$C:$C,'1.CC Transition risk-Banking b.'!$K$64),0))/1000000</f>
        <v>0</v>
      </c>
      <c r="L31" s="70">
        <f>(ROUND(SUMIFS(Input!$J:$J,Input!$H:$H,'1.CC Transition risk-Banking b.'!$A31&amp;"*")
+ SUMIFS(Input!$L:$L,Input!$H:$H,'1.CC Transition risk-Banking b.'!$A31&amp;"*")
+SUMIFS(Input!$N:$N,Input!$H:$H,'1.CC Transition risk-Banking b.'!$A31&amp;"*"),0))/1</f>
        <v>0</v>
      </c>
      <c r="M31" s="70">
        <f>(ROUND(SUMIFS(Input!$N:$N,Input!$H:$H,'1.CC Transition risk-Banking b.'!$A31&amp;"*"),0))/1</f>
        <v>0</v>
      </c>
      <c r="N31" s="76">
        <f>IFERROR(AVERAGE(SUMIFS(Input!$I:$I,Input!$H:$H,'1.CC Transition risk-Banking b.'!$A31&amp;"*",Input!$R:$R,"SOUR1",Input!$E:$E,'1.CC Transition risk-Banking b.'!$O$63),
SUMIFS(Input!$I:$I,Input!$H:$H,'1.CC Transition risk-Banking b.'!$A31&amp;"*",Input!$S:$S,"SOUR1",Input!$E:$E,'1.CC Transition risk-Banking b.'!$O$63),
SUMIFS(Input!$I:$I,Input!$H:$H,'1.CC Transition risk-Banking b.'!$A31&amp;"*",Input!$T:$T,"SOUR1",Input!$E:$E,'1.CC Transition risk-Banking b.'!$O$63))/SUMIFS(Input!$I:$I,Input!$H:$H,'1.CC Transition risk-Banking b.'!$A31&amp;"*",Input!$E:$E,'1.CC Transition risk-Banking b.'!$O$63),0)</f>
        <v>0</v>
      </c>
      <c r="O31" s="71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0</v>
      </c>
      <c r="P31" s="71">
        <f>(ROUND(SUMIFS(Input!$I:$I,Input!$H:$H,'1.CC Transition risk-Banking b.'!$A31&amp;"*",Input!$E:$E,'1.CC Transition risk-Banking b.'!P$63,Input!$G:$G,"&gt;5",Input!$G:$G,"&lt;=10"),0))/1000000</f>
        <v>0</v>
      </c>
      <c r="Q31" s="71">
        <f>(ROUND(SUMIFS(Input!$I:$I,Input!$H:$H,'1.CC Transition risk-Banking b.'!$A31&amp;"*",Input!$E:$E,'1.CC Transition risk-Banking b.'!Q$63,Input!$G:$G,"&gt;10",Input!$G:$G,"&lt;=20"),0))/1000000</f>
        <v>0</v>
      </c>
      <c r="R31" s="71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72">
        <f>ROUND(IFERROR((SUMIFS(Input!$Q:$Q,Input!$H:$H,'1.CC Transition risk-Banking b.'!$A31&amp;"*",Input!$E:$E,'1.CC Transition risk-Banking b.'!S$63,Input!$G:$G,"&gt;0")/1000000)/'1.CC Transition risk-Banking b.'!$D31,0),0)</f>
        <v>0</v>
      </c>
    </row>
    <row r="32" spans="1:19" x14ac:dyDescent="0.3">
      <c r="A32" s="81" t="s">
        <v>120</v>
      </c>
      <c r="B32" s="52">
        <v>27</v>
      </c>
      <c r="C32" s="55" t="s">
        <v>121</v>
      </c>
      <c r="D32" s="69">
        <f>(ROUND(SUMIFS(Input!$I:$I,Input!$H:$H,'1.CC Transition risk-Banking b.'!$A32&amp;"*",Input!$E:$E,'1.CC Transition risk-Banking b.'!$D$63),0))/1000000</f>
        <v>0</v>
      </c>
      <c r="E32" s="69">
        <f>(ROUND(SUMIFS(Input!$I:$I,Input!$H:$H,'1.CC Transition risk-Banking b.'!$A32&amp;"*",Input!$E:$E,'1.CC Transition risk-Banking b.'!$E$63,Input!$F:$F,'1.CC Transition risk-Banking b.'!$E$64),0))/1000000</f>
        <v>0</v>
      </c>
      <c r="F32" s="69">
        <f>(ROUND(SUMIFS(Input!$P:$P,Input!$H:$H,'1.CC Transition risk-Banking b.'!$A32&amp;"*",Input!$E:$E,'1.CC Transition risk-Banking b.'!$E$63,Input!$O:$O,'1.CC Transition risk-Banking b.'!$F$63),0))/1000000</f>
        <v>0</v>
      </c>
      <c r="G32" s="69">
        <f>(ROUND(SUMIFS(Input!$I:$I,Input!$H:$H,'1.CC Transition risk-Banking b.'!$A32&amp;"*",Input!$E:$E,'1.CC Transition risk-Banking b.'!$G$63,Input!$C:$C,'1.CC Transition risk-Banking b.'!$G$64),0))/1000000</f>
        <v>0</v>
      </c>
      <c r="H32" s="69">
        <f>(ROUND(SUMIFS(Input!$I:$I,Input!$H:$H,'1.CC Transition risk-Banking b.'!$A32&amp;"*",Input!$E:$E,'1.CC Transition risk-Banking b.'!$H$63,Input!$C:$C,'1.CC Transition risk-Banking b.'!$H$64),0))/1000000</f>
        <v>0</v>
      </c>
      <c r="I32" s="69">
        <f>(ROUND(SUMIFS(Input!$I:$I,Input!$H:$H,'1.CC Transition risk-Banking b.'!$A32&amp;"*",Input!$E:$E,'1.CC Transition risk-Banking b.'!$I$63),0))/1000000</f>
        <v>0</v>
      </c>
      <c r="J32" s="69">
        <f>(ROUND(SUMIFS(Input!$I:$I,Input!$H:$H,'1.CC Transition risk-Banking b.'!$A32&amp;"*",Input!$E:$E,'1.CC Transition risk-Banking b.'!$J$63,Input!$C:$C,'1.CC Transition risk-Banking b.'!$J$64),0))/1000000</f>
        <v>0</v>
      </c>
      <c r="K32" s="69">
        <f>(ROUND(SUMIFS(Input!$I:$I,Input!$H:$H,'1.CC Transition risk-Banking b.'!$A32&amp;"*",Input!$E:$E,'1.CC Transition risk-Banking b.'!$K$63,Input!$C:$C,'1.CC Transition risk-Banking b.'!$K$64),0))/1000000</f>
        <v>0</v>
      </c>
      <c r="L32" s="70">
        <f>(ROUND(SUMIFS(Input!$J:$J,Input!$H:$H,'1.CC Transition risk-Banking b.'!$A32&amp;"*")
+ SUMIFS(Input!$L:$L,Input!$H:$H,'1.CC Transition risk-Banking b.'!$A32&amp;"*")
+SUMIFS(Input!$N:$N,Input!$H:$H,'1.CC Transition risk-Banking b.'!$A32&amp;"*"),0))/1</f>
        <v>0</v>
      </c>
      <c r="M32" s="70">
        <f>(ROUND(SUMIFS(Input!$N:$N,Input!$H:$H,'1.CC Transition risk-Banking b.'!$A32&amp;"*"),0))/1</f>
        <v>0</v>
      </c>
      <c r="N32" s="76">
        <f>IFERROR(AVERAGE(SUMIFS(Input!$I:$I,Input!$H:$H,'1.CC Transition risk-Banking b.'!$A32&amp;"*",Input!$R:$R,"SOUR1",Input!$E:$E,'1.CC Transition risk-Banking b.'!$O$63),
SUMIFS(Input!$I:$I,Input!$H:$H,'1.CC Transition risk-Banking b.'!$A32&amp;"*",Input!$S:$S,"SOUR1",Input!$E:$E,'1.CC Transition risk-Banking b.'!$O$63),
SUMIFS(Input!$I:$I,Input!$H:$H,'1.CC Transition risk-Banking b.'!$A32&amp;"*",Input!$T:$T,"SOUR1",Input!$E:$E,'1.CC Transition risk-Banking b.'!$O$63))/SUMIFS(Input!$I:$I,Input!$H:$H,'1.CC Transition risk-Banking b.'!$A32&amp;"*",Input!$E:$E,'1.CC Transition risk-Banking b.'!$O$63),0)</f>
        <v>0</v>
      </c>
      <c r="O32" s="71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0</v>
      </c>
      <c r="P32" s="71">
        <f>(ROUND(SUMIFS(Input!$I:$I,Input!$H:$H,'1.CC Transition risk-Banking b.'!$A32&amp;"*",Input!$E:$E,'1.CC Transition risk-Banking b.'!P$63,Input!$G:$G,"&gt;5",Input!$G:$G,"&lt;=10"),0))/1000000</f>
        <v>0</v>
      </c>
      <c r="Q32" s="71">
        <f>(ROUND(SUMIFS(Input!$I:$I,Input!$H:$H,'1.CC Transition risk-Banking b.'!$A32&amp;"*",Input!$E:$E,'1.CC Transition risk-Banking b.'!Q$63,Input!$G:$G,"&gt;10",Input!$G:$G,"&lt;=20"),0))/1000000</f>
        <v>0</v>
      </c>
      <c r="R32" s="71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72">
        <f>ROUND(IFERROR((SUMIFS(Input!$Q:$Q,Input!$H:$H,'1.CC Transition risk-Banking b.'!$A32&amp;"*",Input!$E:$E,'1.CC Transition risk-Banking b.'!S$63,Input!$G:$G,"&gt;0")/1000000)/'1.CC Transition risk-Banking b.'!$D32,0),0)</f>
        <v>0</v>
      </c>
    </row>
    <row r="33" spans="1:19" x14ac:dyDescent="0.3">
      <c r="A33" s="81" t="s">
        <v>122</v>
      </c>
      <c r="B33" s="52">
        <v>28</v>
      </c>
      <c r="C33" s="55" t="s">
        <v>123</v>
      </c>
      <c r="D33" s="69">
        <f>(ROUND(SUMIFS(Input!$I:$I,Input!$H:$H,'1.CC Transition risk-Banking b.'!$A33&amp;"*",Input!$E:$E,'1.CC Transition risk-Banking b.'!$D$63),0))/1000000</f>
        <v>0</v>
      </c>
      <c r="E33" s="69">
        <f>(ROUND(SUMIFS(Input!$I:$I,Input!$H:$H,'1.CC Transition risk-Banking b.'!$A33&amp;"*",Input!$E:$E,'1.CC Transition risk-Banking b.'!$E$63,Input!$F:$F,'1.CC Transition risk-Banking b.'!$E$64),0))/1000000</f>
        <v>0</v>
      </c>
      <c r="F33" s="69">
        <f>(ROUND(SUMIFS(Input!$P:$P,Input!$H:$H,'1.CC Transition risk-Banking b.'!$A33&amp;"*",Input!$E:$E,'1.CC Transition risk-Banking b.'!$E$63,Input!$O:$O,'1.CC Transition risk-Banking b.'!$F$63),0))/1000000</f>
        <v>0</v>
      </c>
      <c r="G33" s="69">
        <f>(ROUND(SUMIFS(Input!$I:$I,Input!$H:$H,'1.CC Transition risk-Banking b.'!$A33&amp;"*",Input!$E:$E,'1.CC Transition risk-Banking b.'!$G$63,Input!$C:$C,'1.CC Transition risk-Banking b.'!$G$64),0))/1000000</f>
        <v>0</v>
      </c>
      <c r="H33" s="69">
        <f>(ROUND(SUMIFS(Input!$I:$I,Input!$H:$H,'1.CC Transition risk-Banking b.'!$A33&amp;"*",Input!$E:$E,'1.CC Transition risk-Banking b.'!$H$63,Input!$C:$C,'1.CC Transition risk-Banking b.'!$H$64),0))/1000000</f>
        <v>0</v>
      </c>
      <c r="I33" s="69">
        <f>(ROUND(SUMIFS(Input!$I:$I,Input!$H:$H,'1.CC Transition risk-Banking b.'!$A33&amp;"*",Input!$E:$E,'1.CC Transition risk-Banking b.'!$I$63),0))/1000000</f>
        <v>0</v>
      </c>
      <c r="J33" s="69">
        <f>(ROUND(SUMIFS(Input!$I:$I,Input!$H:$H,'1.CC Transition risk-Banking b.'!$A33&amp;"*",Input!$E:$E,'1.CC Transition risk-Banking b.'!$J$63,Input!$C:$C,'1.CC Transition risk-Banking b.'!$J$64),0))/1000000</f>
        <v>0</v>
      </c>
      <c r="K33" s="69">
        <f>(ROUND(SUMIFS(Input!$I:$I,Input!$H:$H,'1.CC Transition risk-Banking b.'!$A33&amp;"*",Input!$E:$E,'1.CC Transition risk-Banking b.'!$K$63,Input!$C:$C,'1.CC Transition risk-Banking b.'!$K$64),0))/1000000</f>
        <v>0</v>
      </c>
      <c r="L33" s="70">
        <f>(ROUND(SUMIFS(Input!$J:$J,Input!$H:$H,'1.CC Transition risk-Banking b.'!$A33&amp;"*")
+ SUMIFS(Input!$L:$L,Input!$H:$H,'1.CC Transition risk-Banking b.'!$A33&amp;"*")
+SUMIFS(Input!$N:$N,Input!$H:$H,'1.CC Transition risk-Banking b.'!$A33&amp;"*"),0))/1</f>
        <v>0</v>
      </c>
      <c r="M33" s="70">
        <f>(ROUND(SUMIFS(Input!$N:$N,Input!$H:$H,'1.CC Transition risk-Banking b.'!$A33&amp;"*"),0))/1</f>
        <v>0</v>
      </c>
      <c r="N33" s="76">
        <f>IFERROR(AVERAGE(SUMIFS(Input!$I:$I,Input!$H:$H,'1.CC Transition risk-Banking b.'!$A33&amp;"*",Input!$R:$R,"SOUR1",Input!$E:$E,'1.CC Transition risk-Banking b.'!$O$63),
SUMIFS(Input!$I:$I,Input!$H:$H,'1.CC Transition risk-Banking b.'!$A33&amp;"*",Input!$S:$S,"SOUR1",Input!$E:$E,'1.CC Transition risk-Banking b.'!$O$63),
SUMIFS(Input!$I:$I,Input!$H:$H,'1.CC Transition risk-Banking b.'!$A33&amp;"*",Input!$T:$T,"SOUR1",Input!$E:$E,'1.CC Transition risk-Banking b.'!$O$63))/SUMIFS(Input!$I:$I,Input!$H:$H,'1.CC Transition risk-Banking b.'!$A33&amp;"*",Input!$E:$E,'1.CC Transition risk-Banking b.'!$O$63),0)</f>
        <v>0</v>
      </c>
      <c r="O33" s="71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0</v>
      </c>
      <c r="P33" s="71">
        <f>(ROUND(SUMIFS(Input!$I:$I,Input!$H:$H,'1.CC Transition risk-Banking b.'!$A33&amp;"*",Input!$E:$E,'1.CC Transition risk-Banking b.'!P$63,Input!$G:$G,"&gt;5",Input!$G:$G,"&lt;=10"),0))/1000000</f>
        <v>0</v>
      </c>
      <c r="Q33" s="71">
        <f>(ROUND(SUMIFS(Input!$I:$I,Input!$H:$H,'1.CC Transition risk-Banking b.'!$A33&amp;"*",Input!$E:$E,'1.CC Transition risk-Banking b.'!Q$63,Input!$G:$G,"&gt;10",Input!$G:$G,"&lt;=20"),0))/1000000</f>
        <v>0</v>
      </c>
      <c r="R33" s="71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72">
        <f>ROUND(IFERROR((SUMIFS(Input!$Q:$Q,Input!$H:$H,'1.CC Transition risk-Banking b.'!$A33&amp;"*",Input!$E:$E,'1.CC Transition risk-Banking b.'!S$63,Input!$G:$G,"&gt;0")/1000000)/'1.CC Transition risk-Banking b.'!$D33,0),0)</f>
        <v>0</v>
      </c>
    </row>
    <row r="34" spans="1:19" x14ac:dyDescent="0.3">
      <c r="A34" s="81" t="s">
        <v>124</v>
      </c>
      <c r="B34" s="52">
        <v>29</v>
      </c>
      <c r="C34" s="55" t="s">
        <v>125</v>
      </c>
      <c r="D34" s="69">
        <f>(ROUND(SUMIFS(Input!$I:$I,Input!$H:$H,'1.CC Transition risk-Banking b.'!$A34&amp;"*",Input!$E:$E,'1.CC Transition risk-Banking b.'!$D$63),0))/1000000</f>
        <v>0</v>
      </c>
      <c r="E34" s="69">
        <f>(ROUND(SUMIFS(Input!$I:$I,Input!$H:$H,'1.CC Transition risk-Banking b.'!$A34&amp;"*",Input!$E:$E,'1.CC Transition risk-Banking b.'!$E$63,Input!$F:$F,'1.CC Transition risk-Banking b.'!$E$64),0))/1000000</f>
        <v>0</v>
      </c>
      <c r="F34" s="69">
        <f>(ROUND(SUMIFS(Input!$P:$P,Input!$H:$H,'1.CC Transition risk-Banking b.'!$A34&amp;"*",Input!$E:$E,'1.CC Transition risk-Banking b.'!$E$63,Input!$O:$O,'1.CC Transition risk-Banking b.'!$F$63),0))/1000000</f>
        <v>0</v>
      </c>
      <c r="G34" s="69">
        <f>(ROUND(SUMIFS(Input!$I:$I,Input!$H:$H,'1.CC Transition risk-Banking b.'!$A34&amp;"*",Input!$E:$E,'1.CC Transition risk-Banking b.'!$G$63,Input!$C:$C,'1.CC Transition risk-Banking b.'!$G$64),0))/1000000</f>
        <v>0</v>
      </c>
      <c r="H34" s="69">
        <f>(ROUND(SUMIFS(Input!$I:$I,Input!$H:$H,'1.CC Transition risk-Banking b.'!$A34&amp;"*",Input!$E:$E,'1.CC Transition risk-Banking b.'!$H$63,Input!$C:$C,'1.CC Transition risk-Banking b.'!$H$64),0))/1000000</f>
        <v>0</v>
      </c>
      <c r="I34" s="69">
        <f>(ROUND(SUMIFS(Input!$I:$I,Input!$H:$H,'1.CC Transition risk-Banking b.'!$A34&amp;"*",Input!$E:$E,'1.CC Transition risk-Banking b.'!$I$63),0))/1000000</f>
        <v>0</v>
      </c>
      <c r="J34" s="69">
        <f>(ROUND(SUMIFS(Input!$I:$I,Input!$H:$H,'1.CC Transition risk-Banking b.'!$A34&amp;"*",Input!$E:$E,'1.CC Transition risk-Banking b.'!$J$63,Input!$C:$C,'1.CC Transition risk-Banking b.'!$J$64),0))/1000000</f>
        <v>0</v>
      </c>
      <c r="K34" s="69">
        <f>(ROUND(SUMIFS(Input!$I:$I,Input!$H:$H,'1.CC Transition risk-Banking b.'!$A34&amp;"*",Input!$E:$E,'1.CC Transition risk-Banking b.'!$K$63,Input!$C:$C,'1.CC Transition risk-Banking b.'!$K$64),0))/1000000</f>
        <v>0</v>
      </c>
      <c r="L34" s="70">
        <f>(ROUND(SUMIFS(Input!$J:$J,Input!$H:$H,'1.CC Transition risk-Banking b.'!$A34&amp;"*")
+ SUMIFS(Input!$L:$L,Input!$H:$H,'1.CC Transition risk-Banking b.'!$A34&amp;"*")
+SUMIFS(Input!$N:$N,Input!$H:$H,'1.CC Transition risk-Banking b.'!$A34&amp;"*"),0))/1</f>
        <v>0</v>
      </c>
      <c r="M34" s="70">
        <f>(ROUND(SUMIFS(Input!$N:$N,Input!$H:$H,'1.CC Transition risk-Banking b.'!$A34&amp;"*"),0))/1</f>
        <v>0</v>
      </c>
      <c r="N34" s="76">
        <f>IFERROR(AVERAGE(SUMIFS(Input!$I:$I,Input!$H:$H,'1.CC Transition risk-Banking b.'!$A34&amp;"*",Input!$R:$R,"SOUR1",Input!$E:$E,'1.CC Transition risk-Banking b.'!$O$63),
SUMIFS(Input!$I:$I,Input!$H:$H,'1.CC Transition risk-Banking b.'!$A34&amp;"*",Input!$S:$S,"SOUR1",Input!$E:$E,'1.CC Transition risk-Banking b.'!$O$63),
SUMIFS(Input!$I:$I,Input!$H:$H,'1.CC Transition risk-Banking b.'!$A34&amp;"*",Input!$T:$T,"SOUR1",Input!$E:$E,'1.CC Transition risk-Banking b.'!$O$63))/SUMIFS(Input!$I:$I,Input!$H:$H,'1.CC Transition risk-Banking b.'!$A34&amp;"*",Input!$E:$E,'1.CC Transition risk-Banking b.'!$O$63),0)</f>
        <v>0</v>
      </c>
      <c r="O34" s="71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0</v>
      </c>
      <c r="P34" s="71">
        <f>(ROUND(SUMIFS(Input!$I:$I,Input!$H:$H,'1.CC Transition risk-Banking b.'!$A34&amp;"*",Input!$E:$E,'1.CC Transition risk-Banking b.'!P$63,Input!$G:$G,"&gt;5",Input!$G:$G,"&lt;=10"),0))/1000000</f>
        <v>0</v>
      </c>
      <c r="Q34" s="71">
        <f>(ROUND(SUMIFS(Input!$I:$I,Input!$H:$H,'1.CC Transition risk-Banking b.'!$A34&amp;"*",Input!$E:$E,'1.CC Transition risk-Banking b.'!Q$63,Input!$G:$G,"&gt;10",Input!$G:$G,"&lt;=20"),0))/1000000</f>
        <v>0</v>
      </c>
      <c r="R34" s="71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0</v>
      </c>
      <c r="S34" s="72">
        <f>ROUND(IFERROR((SUMIFS(Input!$Q:$Q,Input!$H:$H,'1.CC Transition risk-Banking b.'!$A34&amp;"*",Input!$E:$E,'1.CC Transition risk-Banking b.'!S$63,Input!$G:$G,"&gt;0")/1000000)/'1.CC Transition risk-Banking b.'!$D34,0),0)</f>
        <v>0</v>
      </c>
    </row>
    <row r="35" spans="1:19" x14ac:dyDescent="0.3">
      <c r="A35" s="81" t="s">
        <v>126</v>
      </c>
      <c r="B35" s="52">
        <v>30</v>
      </c>
      <c r="C35" s="55" t="s">
        <v>127</v>
      </c>
      <c r="D35" s="69">
        <f>(ROUND(SUMIFS(Input!$I:$I,Input!$H:$H,'1.CC Transition risk-Banking b.'!$A35&amp;"*",Input!$E:$E,'1.CC Transition risk-Banking b.'!$D$63),0))/1000000</f>
        <v>0</v>
      </c>
      <c r="E35" s="69">
        <f>(ROUND(SUMIFS(Input!$I:$I,Input!$H:$H,'1.CC Transition risk-Banking b.'!$A35&amp;"*",Input!$E:$E,'1.CC Transition risk-Banking b.'!$E$63,Input!$F:$F,'1.CC Transition risk-Banking b.'!$E$64),0))/1000000</f>
        <v>0</v>
      </c>
      <c r="F35" s="69">
        <f>(ROUND(SUMIFS(Input!$P:$P,Input!$H:$H,'1.CC Transition risk-Banking b.'!$A35&amp;"*",Input!$E:$E,'1.CC Transition risk-Banking b.'!$E$63,Input!$O:$O,'1.CC Transition risk-Banking b.'!$F$63),0))/1000000</f>
        <v>0</v>
      </c>
      <c r="G35" s="69">
        <f>(ROUND(SUMIFS(Input!$I:$I,Input!$H:$H,'1.CC Transition risk-Banking b.'!$A35&amp;"*",Input!$E:$E,'1.CC Transition risk-Banking b.'!$G$63,Input!$C:$C,'1.CC Transition risk-Banking b.'!$G$64),0))/1000000</f>
        <v>0</v>
      </c>
      <c r="H35" s="69">
        <f>(ROUND(SUMIFS(Input!$I:$I,Input!$H:$H,'1.CC Transition risk-Banking b.'!$A35&amp;"*",Input!$E:$E,'1.CC Transition risk-Banking b.'!$H$63,Input!$C:$C,'1.CC Transition risk-Banking b.'!$H$64),0))/1000000</f>
        <v>0</v>
      </c>
      <c r="I35" s="69">
        <f>(ROUND(SUMIFS(Input!$I:$I,Input!$H:$H,'1.CC Transition risk-Banking b.'!$A35&amp;"*",Input!$E:$E,'1.CC Transition risk-Banking b.'!$I$63),0))/1000000</f>
        <v>0</v>
      </c>
      <c r="J35" s="69">
        <f>(ROUND(SUMIFS(Input!$I:$I,Input!$H:$H,'1.CC Transition risk-Banking b.'!$A35&amp;"*",Input!$E:$E,'1.CC Transition risk-Banking b.'!$J$63,Input!$C:$C,'1.CC Transition risk-Banking b.'!$J$64),0))/1000000</f>
        <v>0</v>
      </c>
      <c r="K35" s="69">
        <f>(ROUND(SUMIFS(Input!$I:$I,Input!$H:$H,'1.CC Transition risk-Banking b.'!$A35&amp;"*",Input!$E:$E,'1.CC Transition risk-Banking b.'!$K$63,Input!$C:$C,'1.CC Transition risk-Banking b.'!$K$64),0))/1000000</f>
        <v>0</v>
      </c>
      <c r="L35" s="70">
        <f>(ROUND(SUMIFS(Input!$J:$J,Input!$H:$H,'1.CC Transition risk-Banking b.'!$A35&amp;"*")
+ SUMIFS(Input!$L:$L,Input!$H:$H,'1.CC Transition risk-Banking b.'!$A35&amp;"*")
+SUMIFS(Input!$N:$N,Input!$H:$H,'1.CC Transition risk-Banking b.'!$A35&amp;"*"),0))/1</f>
        <v>0</v>
      </c>
      <c r="M35" s="70">
        <f>(ROUND(SUMIFS(Input!$N:$N,Input!$H:$H,'1.CC Transition risk-Banking b.'!$A35&amp;"*"),0))/1</f>
        <v>0</v>
      </c>
      <c r="N35" s="76">
        <f>IFERROR(AVERAGE(SUMIFS(Input!$I:$I,Input!$H:$H,'1.CC Transition risk-Banking b.'!$A35&amp;"*",Input!$R:$R,"SOUR1",Input!$E:$E,'1.CC Transition risk-Banking b.'!$O$63),
SUMIFS(Input!$I:$I,Input!$H:$H,'1.CC Transition risk-Banking b.'!$A35&amp;"*",Input!$S:$S,"SOUR1",Input!$E:$E,'1.CC Transition risk-Banking b.'!$O$63),
SUMIFS(Input!$I:$I,Input!$H:$H,'1.CC Transition risk-Banking b.'!$A35&amp;"*",Input!$T:$T,"SOUR1",Input!$E:$E,'1.CC Transition risk-Banking b.'!$O$63))/SUMIFS(Input!$I:$I,Input!$H:$H,'1.CC Transition risk-Banking b.'!$A35&amp;"*",Input!$E:$E,'1.CC Transition risk-Banking b.'!$O$63),0)</f>
        <v>0</v>
      </c>
      <c r="O35" s="71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0</v>
      </c>
      <c r="P35" s="71">
        <f>(ROUND(SUMIFS(Input!$I:$I,Input!$H:$H,'1.CC Transition risk-Banking b.'!$A35&amp;"*",Input!$E:$E,'1.CC Transition risk-Banking b.'!P$63,Input!$G:$G,"&gt;5",Input!$G:$G,"&lt;=10"),0))/1000000</f>
        <v>0</v>
      </c>
      <c r="Q35" s="71">
        <f>(ROUND(SUMIFS(Input!$I:$I,Input!$H:$H,'1.CC Transition risk-Banking b.'!$A35&amp;"*",Input!$E:$E,'1.CC Transition risk-Banking b.'!Q$63,Input!$G:$G,"&gt;10",Input!$G:$G,"&lt;=20"),0))/1000000</f>
        <v>0</v>
      </c>
      <c r="R35" s="71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72">
        <f>ROUND(IFERROR((SUMIFS(Input!$Q:$Q,Input!$H:$H,'1.CC Transition risk-Banking b.'!$A35&amp;"*",Input!$E:$E,'1.CC Transition risk-Banking b.'!S$63,Input!$G:$G,"&gt;0")/1000000)/'1.CC Transition risk-Banking b.'!$D35,0),0)</f>
        <v>0</v>
      </c>
    </row>
    <row r="36" spans="1:19" x14ac:dyDescent="0.3">
      <c r="A36" s="81" t="s">
        <v>128</v>
      </c>
      <c r="B36" s="52">
        <v>31</v>
      </c>
      <c r="C36" s="55" t="s">
        <v>129</v>
      </c>
      <c r="D36" s="69">
        <f>(ROUND(SUMIFS(Input!$I:$I,Input!$H:$H,'1.CC Transition risk-Banking b.'!$A36&amp;"*",Input!$E:$E,'1.CC Transition risk-Banking b.'!$D$63),0))/1000000</f>
        <v>0</v>
      </c>
      <c r="E36" s="69">
        <f>(ROUND(SUMIFS(Input!$I:$I,Input!$H:$H,'1.CC Transition risk-Banking b.'!$A36&amp;"*",Input!$E:$E,'1.CC Transition risk-Banking b.'!$E$63,Input!$F:$F,'1.CC Transition risk-Banking b.'!$E$64),0))/1000000</f>
        <v>0</v>
      </c>
      <c r="F36" s="69">
        <f>(ROUND(SUMIFS(Input!$P:$P,Input!$H:$H,'1.CC Transition risk-Banking b.'!$A36&amp;"*",Input!$E:$E,'1.CC Transition risk-Banking b.'!$E$63,Input!$O:$O,'1.CC Transition risk-Banking b.'!$F$63),0))/1000000</f>
        <v>0</v>
      </c>
      <c r="G36" s="69">
        <f>(ROUND(SUMIFS(Input!$I:$I,Input!$H:$H,'1.CC Transition risk-Banking b.'!$A36&amp;"*",Input!$E:$E,'1.CC Transition risk-Banking b.'!$G$63,Input!$C:$C,'1.CC Transition risk-Banking b.'!$G$64),0))/1000000</f>
        <v>0</v>
      </c>
      <c r="H36" s="69">
        <f>(ROUND(SUMIFS(Input!$I:$I,Input!$H:$H,'1.CC Transition risk-Banking b.'!$A36&amp;"*",Input!$E:$E,'1.CC Transition risk-Banking b.'!$H$63,Input!$C:$C,'1.CC Transition risk-Banking b.'!$H$64),0))/1000000</f>
        <v>0</v>
      </c>
      <c r="I36" s="69">
        <f>(ROUND(SUMIFS(Input!$I:$I,Input!$H:$H,'1.CC Transition risk-Banking b.'!$A36&amp;"*",Input!$E:$E,'1.CC Transition risk-Banking b.'!$I$63),0))/1000000</f>
        <v>0</v>
      </c>
      <c r="J36" s="69">
        <f>(ROUND(SUMIFS(Input!$I:$I,Input!$H:$H,'1.CC Transition risk-Banking b.'!$A36&amp;"*",Input!$E:$E,'1.CC Transition risk-Banking b.'!$J$63,Input!$C:$C,'1.CC Transition risk-Banking b.'!$J$64),0))/1000000</f>
        <v>0</v>
      </c>
      <c r="K36" s="69">
        <f>(ROUND(SUMIFS(Input!$I:$I,Input!$H:$H,'1.CC Transition risk-Banking b.'!$A36&amp;"*",Input!$E:$E,'1.CC Transition risk-Banking b.'!$K$63,Input!$C:$C,'1.CC Transition risk-Banking b.'!$K$64),0))/1000000</f>
        <v>0</v>
      </c>
      <c r="L36" s="70">
        <f>(ROUND(SUMIFS(Input!$J:$J,Input!$H:$H,'1.CC Transition risk-Banking b.'!$A36&amp;"*")
+ SUMIFS(Input!$L:$L,Input!$H:$H,'1.CC Transition risk-Banking b.'!$A36&amp;"*")
+SUMIFS(Input!$N:$N,Input!$H:$H,'1.CC Transition risk-Banking b.'!$A36&amp;"*"),0))/1</f>
        <v>0</v>
      </c>
      <c r="M36" s="70">
        <f>(ROUND(SUMIFS(Input!$N:$N,Input!$H:$H,'1.CC Transition risk-Banking b.'!$A36&amp;"*"),0))/1</f>
        <v>0</v>
      </c>
      <c r="N36" s="76">
        <f>IFERROR(AVERAGE(SUMIFS(Input!$I:$I,Input!$H:$H,'1.CC Transition risk-Banking b.'!$A36&amp;"*",Input!$R:$R,"SOUR1",Input!$E:$E,'1.CC Transition risk-Banking b.'!$O$63),
SUMIFS(Input!$I:$I,Input!$H:$H,'1.CC Transition risk-Banking b.'!$A36&amp;"*",Input!$S:$S,"SOUR1",Input!$E:$E,'1.CC Transition risk-Banking b.'!$O$63),
SUMIFS(Input!$I:$I,Input!$H:$H,'1.CC Transition risk-Banking b.'!$A36&amp;"*",Input!$T:$T,"SOUR1",Input!$E:$E,'1.CC Transition risk-Banking b.'!$O$63))/SUMIFS(Input!$I:$I,Input!$H:$H,'1.CC Transition risk-Banking b.'!$A36&amp;"*",Input!$E:$E,'1.CC Transition risk-Banking b.'!$O$63),0)</f>
        <v>0</v>
      </c>
      <c r="O36" s="71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0</v>
      </c>
      <c r="P36" s="71">
        <f>(ROUND(SUMIFS(Input!$I:$I,Input!$H:$H,'1.CC Transition risk-Banking b.'!$A36&amp;"*",Input!$E:$E,'1.CC Transition risk-Banking b.'!P$63,Input!$G:$G,"&gt;5",Input!$G:$G,"&lt;=10"),0))/1000000</f>
        <v>0</v>
      </c>
      <c r="Q36" s="71">
        <f>(ROUND(SUMIFS(Input!$I:$I,Input!$H:$H,'1.CC Transition risk-Banking b.'!$A36&amp;"*",Input!$E:$E,'1.CC Transition risk-Banking b.'!Q$63,Input!$G:$G,"&gt;10",Input!$G:$G,"&lt;=20"),0))/1000000</f>
        <v>0</v>
      </c>
      <c r="R36" s="71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72">
        <f>ROUND(IFERROR((SUMIFS(Input!$Q:$Q,Input!$H:$H,'1.CC Transition risk-Banking b.'!$A36&amp;"*",Input!$E:$E,'1.CC Transition risk-Banking b.'!S$63,Input!$G:$G,"&gt;0")/1000000)/'1.CC Transition risk-Banking b.'!$D36,0),0)</f>
        <v>0</v>
      </c>
    </row>
    <row r="37" spans="1:19" x14ac:dyDescent="0.3">
      <c r="A37" s="81" t="s">
        <v>130</v>
      </c>
      <c r="B37" s="52">
        <v>32</v>
      </c>
      <c r="C37" s="55" t="s">
        <v>131</v>
      </c>
      <c r="D37" s="69">
        <f>(ROUND(SUMIFS(Input!$I:$I,Input!$H:$H,'1.CC Transition risk-Banking b.'!$A37&amp;"*",Input!$E:$E,'1.CC Transition risk-Banking b.'!$D$63),0))/1000000</f>
        <v>0</v>
      </c>
      <c r="E37" s="69">
        <f>(ROUND(SUMIFS(Input!$I:$I,Input!$H:$H,'1.CC Transition risk-Banking b.'!$A37&amp;"*",Input!$E:$E,'1.CC Transition risk-Banking b.'!$E$63,Input!$F:$F,'1.CC Transition risk-Banking b.'!$E$64),0))/1000000</f>
        <v>0</v>
      </c>
      <c r="F37" s="69">
        <f>(ROUND(SUMIFS(Input!$P:$P,Input!$H:$H,'1.CC Transition risk-Banking b.'!$A37&amp;"*",Input!$E:$E,'1.CC Transition risk-Banking b.'!$E$63,Input!$O:$O,'1.CC Transition risk-Banking b.'!$F$63),0))/1000000</f>
        <v>0</v>
      </c>
      <c r="G37" s="69">
        <f>(ROUND(SUMIFS(Input!$I:$I,Input!$H:$H,'1.CC Transition risk-Banking b.'!$A37&amp;"*",Input!$E:$E,'1.CC Transition risk-Banking b.'!$G$63,Input!$C:$C,'1.CC Transition risk-Banking b.'!$G$64),0))/1000000</f>
        <v>0</v>
      </c>
      <c r="H37" s="69">
        <f>(ROUND(SUMIFS(Input!$I:$I,Input!$H:$H,'1.CC Transition risk-Banking b.'!$A37&amp;"*",Input!$E:$E,'1.CC Transition risk-Banking b.'!$H$63,Input!$C:$C,'1.CC Transition risk-Banking b.'!$H$64),0))/1000000</f>
        <v>0</v>
      </c>
      <c r="I37" s="69">
        <f>(ROUND(SUMIFS(Input!$I:$I,Input!$H:$H,'1.CC Transition risk-Banking b.'!$A37&amp;"*",Input!$E:$E,'1.CC Transition risk-Banking b.'!$I$63),0))/1000000</f>
        <v>0</v>
      </c>
      <c r="J37" s="69">
        <f>(ROUND(SUMIFS(Input!$I:$I,Input!$H:$H,'1.CC Transition risk-Banking b.'!$A37&amp;"*",Input!$E:$E,'1.CC Transition risk-Banking b.'!$J$63,Input!$C:$C,'1.CC Transition risk-Banking b.'!$J$64),0))/1000000</f>
        <v>0</v>
      </c>
      <c r="K37" s="69">
        <f>(ROUND(SUMIFS(Input!$I:$I,Input!$H:$H,'1.CC Transition risk-Banking b.'!$A37&amp;"*",Input!$E:$E,'1.CC Transition risk-Banking b.'!$K$63,Input!$C:$C,'1.CC Transition risk-Banking b.'!$K$64),0))/1000000</f>
        <v>0</v>
      </c>
      <c r="L37" s="70">
        <f>(ROUND(SUMIFS(Input!$J:$J,Input!$H:$H,'1.CC Transition risk-Banking b.'!$A37&amp;"*")
+ SUMIFS(Input!$L:$L,Input!$H:$H,'1.CC Transition risk-Banking b.'!$A37&amp;"*")
+SUMIFS(Input!$N:$N,Input!$H:$H,'1.CC Transition risk-Banking b.'!$A37&amp;"*"),0))/1</f>
        <v>0</v>
      </c>
      <c r="M37" s="70">
        <f>(ROUND(SUMIFS(Input!$N:$N,Input!$H:$H,'1.CC Transition risk-Banking b.'!$A37&amp;"*"),0))/1</f>
        <v>0</v>
      </c>
      <c r="N37" s="76">
        <f>IFERROR(AVERAGE(SUMIFS(Input!$I:$I,Input!$H:$H,'1.CC Transition risk-Banking b.'!$A37&amp;"*",Input!$R:$R,"SOUR1",Input!$E:$E,'1.CC Transition risk-Banking b.'!$O$63),
SUMIFS(Input!$I:$I,Input!$H:$H,'1.CC Transition risk-Banking b.'!$A37&amp;"*",Input!$S:$S,"SOUR1",Input!$E:$E,'1.CC Transition risk-Banking b.'!$O$63),
SUMIFS(Input!$I:$I,Input!$H:$H,'1.CC Transition risk-Banking b.'!$A37&amp;"*",Input!$T:$T,"SOUR1",Input!$E:$E,'1.CC Transition risk-Banking b.'!$O$63))/SUMIFS(Input!$I:$I,Input!$H:$H,'1.CC Transition risk-Banking b.'!$A37&amp;"*",Input!$E:$E,'1.CC Transition risk-Banking b.'!$O$63),0)</f>
        <v>0</v>
      </c>
      <c r="O37" s="71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0</v>
      </c>
      <c r="P37" s="71">
        <f>(ROUND(SUMIFS(Input!$I:$I,Input!$H:$H,'1.CC Transition risk-Banking b.'!$A37&amp;"*",Input!$E:$E,'1.CC Transition risk-Banking b.'!P$63,Input!$G:$G,"&gt;5",Input!$G:$G,"&lt;=10"),0))/1000000</f>
        <v>0</v>
      </c>
      <c r="Q37" s="71">
        <f>(ROUND(SUMIFS(Input!$I:$I,Input!$H:$H,'1.CC Transition risk-Banking b.'!$A37&amp;"*",Input!$E:$E,'1.CC Transition risk-Banking b.'!Q$63,Input!$G:$G,"&gt;10",Input!$G:$G,"&lt;=20"),0))/1000000</f>
        <v>0</v>
      </c>
      <c r="R37" s="71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72">
        <f>ROUND(IFERROR((SUMIFS(Input!$Q:$Q,Input!$H:$H,'1.CC Transition risk-Banking b.'!$A37&amp;"*",Input!$E:$E,'1.CC Transition risk-Banking b.'!S$63,Input!$G:$G,"&gt;0")/1000000)/'1.CC Transition risk-Banking b.'!$D37,0),0)</f>
        <v>0</v>
      </c>
    </row>
    <row r="38" spans="1:19" x14ac:dyDescent="0.3">
      <c r="A38" s="81" t="s">
        <v>132</v>
      </c>
      <c r="B38" s="52">
        <v>33</v>
      </c>
      <c r="C38" s="55" t="s">
        <v>133</v>
      </c>
      <c r="D38" s="69">
        <f>(ROUND(SUMIFS(Input!$I:$I,Input!$H:$H,'1.CC Transition risk-Banking b.'!$A38&amp;"*",Input!$E:$E,'1.CC Transition risk-Banking b.'!$D$63),0))/1000000</f>
        <v>0</v>
      </c>
      <c r="E38" s="69">
        <f>(ROUND(SUMIFS(Input!$I:$I,Input!$H:$H,'1.CC Transition risk-Banking b.'!$A38&amp;"*",Input!$E:$E,'1.CC Transition risk-Banking b.'!$E$63,Input!$F:$F,'1.CC Transition risk-Banking b.'!$E$64),0))/1000000</f>
        <v>0</v>
      </c>
      <c r="F38" s="69">
        <f>(ROUND(SUMIFS(Input!$P:$P,Input!$H:$H,'1.CC Transition risk-Banking b.'!$A38&amp;"*",Input!$E:$E,'1.CC Transition risk-Banking b.'!$E$63,Input!$O:$O,'1.CC Transition risk-Banking b.'!$F$63),0))/1000000</f>
        <v>0</v>
      </c>
      <c r="G38" s="69">
        <f>(ROUND(SUMIFS(Input!$I:$I,Input!$H:$H,'1.CC Transition risk-Banking b.'!$A38&amp;"*",Input!$E:$E,'1.CC Transition risk-Banking b.'!$G$63,Input!$C:$C,'1.CC Transition risk-Banking b.'!$G$64),0))/1000000</f>
        <v>0</v>
      </c>
      <c r="H38" s="69">
        <f>(ROUND(SUMIFS(Input!$I:$I,Input!$H:$H,'1.CC Transition risk-Banking b.'!$A38&amp;"*",Input!$E:$E,'1.CC Transition risk-Banking b.'!$H$63,Input!$C:$C,'1.CC Transition risk-Banking b.'!$H$64),0))/1000000</f>
        <v>0</v>
      </c>
      <c r="I38" s="69">
        <f>(ROUND(SUMIFS(Input!$I:$I,Input!$H:$H,'1.CC Transition risk-Banking b.'!$A38&amp;"*",Input!$E:$E,'1.CC Transition risk-Banking b.'!$I$63),0))/1000000</f>
        <v>0</v>
      </c>
      <c r="J38" s="69">
        <f>(ROUND(SUMIFS(Input!$I:$I,Input!$H:$H,'1.CC Transition risk-Banking b.'!$A38&amp;"*",Input!$E:$E,'1.CC Transition risk-Banking b.'!$J$63,Input!$C:$C,'1.CC Transition risk-Banking b.'!$J$64),0))/1000000</f>
        <v>0</v>
      </c>
      <c r="K38" s="69">
        <f>(ROUND(SUMIFS(Input!$I:$I,Input!$H:$H,'1.CC Transition risk-Banking b.'!$A38&amp;"*",Input!$E:$E,'1.CC Transition risk-Banking b.'!$K$63,Input!$C:$C,'1.CC Transition risk-Banking b.'!$K$64),0))/1000000</f>
        <v>0</v>
      </c>
      <c r="L38" s="70">
        <f>(ROUND(SUMIFS(Input!$J:$J,Input!$H:$H,'1.CC Transition risk-Banking b.'!$A38&amp;"*")
+ SUMIFS(Input!$L:$L,Input!$H:$H,'1.CC Transition risk-Banking b.'!$A38&amp;"*")
+SUMIFS(Input!$N:$N,Input!$H:$H,'1.CC Transition risk-Banking b.'!$A38&amp;"*"),0))/1</f>
        <v>0</v>
      </c>
      <c r="M38" s="70">
        <f>(ROUND(SUMIFS(Input!$N:$N,Input!$H:$H,'1.CC Transition risk-Banking b.'!$A38&amp;"*"),0))/1</f>
        <v>0</v>
      </c>
      <c r="N38" s="76">
        <f>IFERROR(AVERAGE(SUMIFS(Input!$I:$I,Input!$H:$H,'1.CC Transition risk-Banking b.'!$A38&amp;"*",Input!$R:$R,"SOUR1",Input!$E:$E,'1.CC Transition risk-Banking b.'!$O$63),
SUMIFS(Input!$I:$I,Input!$H:$H,'1.CC Transition risk-Banking b.'!$A38&amp;"*",Input!$S:$S,"SOUR1",Input!$E:$E,'1.CC Transition risk-Banking b.'!$O$63),
SUMIFS(Input!$I:$I,Input!$H:$H,'1.CC Transition risk-Banking b.'!$A38&amp;"*",Input!$T:$T,"SOUR1",Input!$E:$E,'1.CC Transition risk-Banking b.'!$O$63))/SUMIFS(Input!$I:$I,Input!$H:$H,'1.CC Transition risk-Banking b.'!$A38&amp;"*",Input!$E:$E,'1.CC Transition risk-Banking b.'!$O$63),0)</f>
        <v>0</v>
      </c>
      <c r="O38" s="71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0</v>
      </c>
      <c r="P38" s="71">
        <f>(ROUND(SUMIFS(Input!$I:$I,Input!$H:$H,'1.CC Transition risk-Banking b.'!$A38&amp;"*",Input!$E:$E,'1.CC Transition risk-Banking b.'!P$63,Input!$G:$G,"&gt;5",Input!$G:$G,"&lt;=10"),0))/1000000</f>
        <v>0</v>
      </c>
      <c r="Q38" s="71">
        <f>(ROUND(SUMIFS(Input!$I:$I,Input!$H:$H,'1.CC Transition risk-Banking b.'!$A38&amp;"*",Input!$E:$E,'1.CC Transition risk-Banking b.'!Q$63,Input!$G:$G,"&gt;10",Input!$G:$G,"&lt;=20"),0))/1000000</f>
        <v>0</v>
      </c>
      <c r="R38" s="71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72">
        <f>ROUND(IFERROR((SUMIFS(Input!$Q:$Q,Input!$H:$H,'1.CC Transition risk-Banking b.'!$A38&amp;"*",Input!$E:$E,'1.CC Transition risk-Banking b.'!S$63,Input!$G:$G,"&gt;0")/1000000)/'1.CC Transition risk-Banking b.'!$D38,0),0)</f>
        <v>0</v>
      </c>
    </row>
    <row r="39" spans="1:19" x14ac:dyDescent="0.3">
      <c r="A39" s="81" t="s">
        <v>134</v>
      </c>
      <c r="B39" s="52">
        <v>34</v>
      </c>
      <c r="C39" s="54" t="s">
        <v>135</v>
      </c>
      <c r="D39" s="69">
        <f>(ROUND(SUMIFS(Input!$I:$I,Input!$H:$H,'1.CC Transition risk-Banking b.'!$A39&amp;"*",Input!$E:$E,'1.CC Transition risk-Banking b.'!$D$63),0))/1000000</f>
        <v>0</v>
      </c>
      <c r="E39" s="69">
        <f>(ROUND(SUMIFS(Input!$I:$I,Input!$H:$H,'1.CC Transition risk-Banking b.'!$A39&amp;"*",Input!$E:$E,'1.CC Transition risk-Banking b.'!$E$63,Input!$F:$F,'1.CC Transition risk-Banking b.'!$E$64),0))/1000000</f>
        <v>0</v>
      </c>
      <c r="F39" s="69">
        <f>(ROUND(SUMIFS(Input!$P:$P,Input!$H:$H,'1.CC Transition risk-Banking b.'!$A39&amp;"*",Input!$E:$E,'1.CC Transition risk-Banking b.'!$E$63,Input!$O:$O,'1.CC Transition risk-Banking b.'!$F$63),0))/1000000</f>
        <v>0</v>
      </c>
      <c r="G39" s="69">
        <f>(ROUND(SUMIFS(Input!$I:$I,Input!$H:$H,'1.CC Transition risk-Banking b.'!$A39&amp;"*",Input!$E:$E,'1.CC Transition risk-Banking b.'!$G$63,Input!$C:$C,'1.CC Transition risk-Banking b.'!$G$64),0))/1000000</f>
        <v>0</v>
      </c>
      <c r="H39" s="69">
        <f>(ROUND(SUMIFS(Input!$I:$I,Input!$H:$H,'1.CC Transition risk-Banking b.'!$A39&amp;"*",Input!$E:$E,'1.CC Transition risk-Banking b.'!$H$63,Input!$C:$C,'1.CC Transition risk-Banking b.'!$H$64),0))/1000000</f>
        <v>0</v>
      </c>
      <c r="I39" s="69">
        <f>(ROUND(SUMIFS(Input!$I:$I,Input!$H:$H,'1.CC Transition risk-Banking b.'!$A39&amp;"*",Input!$E:$E,'1.CC Transition risk-Banking b.'!$I$63),0))/1000000</f>
        <v>0</v>
      </c>
      <c r="J39" s="69">
        <f>(ROUND(SUMIFS(Input!$I:$I,Input!$H:$H,'1.CC Transition risk-Banking b.'!$A39&amp;"*",Input!$E:$E,'1.CC Transition risk-Banking b.'!$J$63,Input!$C:$C,'1.CC Transition risk-Banking b.'!$J$64),0))/1000000</f>
        <v>0</v>
      </c>
      <c r="K39" s="69">
        <f>(ROUND(SUMIFS(Input!$I:$I,Input!$H:$H,'1.CC Transition risk-Banking b.'!$A39&amp;"*",Input!$E:$E,'1.CC Transition risk-Banking b.'!$K$63,Input!$C:$C,'1.CC Transition risk-Banking b.'!$K$64),0))/1000000</f>
        <v>0</v>
      </c>
      <c r="L39" s="70">
        <f>(ROUND(SUMIFS(Input!$J:$J,Input!$H:$H,'1.CC Transition risk-Banking b.'!$A39&amp;"*")
+ SUMIFS(Input!$L:$L,Input!$H:$H,'1.CC Transition risk-Banking b.'!$A39&amp;"*")
+SUMIFS(Input!$N:$N,Input!$H:$H,'1.CC Transition risk-Banking b.'!$A39&amp;"*"),0))/1</f>
        <v>0</v>
      </c>
      <c r="M39" s="70">
        <f>(ROUND(SUMIFS(Input!$N:$N,Input!$H:$H,'1.CC Transition risk-Banking b.'!$A39&amp;"*"),0))/1</f>
        <v>0</v>
      </c>
      <c r="N39" s="76">
        <f>IFERROR(AVERAGE(SUMIFS(Input!$I:$I,Input!$H:$H,'1.CC Transition risk-Banking b.'!$A39&amp;"*",Input!$R:$R,"SOUR1",Input!$E:$E,'1.CC Transition risk-Banking b.'!$O$63),
SUMIFS(Input!$I:$I,Input!$H:$H,'1.CC Transition risk-Banking b.'!$A39&amp;"*",Input!$S:$S,"SOUR1",Input!$E:$E,'1.CC Transition risk-Banking b.'!$O$63),
SUMIFS(Input!$I:$I,Input!$H:$H,'1.CC Transition risk-Banking b.'!$A39&amp;"*",Input!$T:$T,"SOUR1",Input!$E:$E,'1.CC Transition risk-Banking b.'!$O$63))/SUMIFS(Input!$I:$I,Input!$H:$H,'1.CC Transition risk-Banking b.'!$A39&amp;"*",Input!$E:$E,'1.CC Transition risk-Banking b.'!$O$63),0)</f>
        <v>0</v>
      </c>
      <c r="O39" s="71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0</v>
      </c>
      <c r="P39" s="71">
        <f>(ROUND(SUMIFS(Input!$I:$I,Input!$H:$H,'1.CC Transition risk-Banking b.'!$A39&amp;"*",Input!$E:$E,'1.CC Transition risk-Banking b.'!P$63,Input!$G:$G,"&gt;5",Input!$G:$G,"&lt;=10"),0))/1000000</f>
        <v>0</v>
      </c>
      <c r="Q39" s="71">
        <f>(ROUND(SUMIFS(Input!$I:$I,Input!$H:$H,'1.CC Transition risk-Banking b.'!$A39&amp;"*",Input!$E:$E,'1.CC Transition risk-Banking b.'!Q$63,Input!$G:$G,"&gt;10",Input!$G:$G,"&lt;=20"),0))/1000000</f>
        <v>0</v>
      </c>
      <c r="R39" s="71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72">
        <f>ROUND(IFERROR((SUMIFS(Input!$Q:$Q,Input!$H:$H,'1.CC Transition risk-Banking b.'!$A39&amp;"*",Input!$E:$E,'1.CC Transition risk-Banking b.'!S$63,Input!$G:$G,"&gt;0")/1000000)/'1.CC Transition risk-Banking b.'!$D39,0),0)</f>
        <v>0</v>
      </c>
    </row>
    <row r="40" spans="1:19" x14ac:dyDescent="0.3">
      <c r="A40" s="81" t="s">
        <v>136</v>
      </c>
      <c r="B40" s="52">
        <v>35</v>
      </c>
      <c r="C40" s="56" t="s">
        <v>137</v>
      </c>
      <c r="D40" s="69">
        <f>(ROUND(SUMIFS(Input!$I:$I,Input!$H:$H,'1.CC Transition risk-Banking b.'!$A40&amp;"*",Input!$E:$E,'1.CC Transition risk-Banking b.'!$D$63),0))/1000000</f>
        <v>0</v>
      </c>
      <c r="E40" s="69">
        <f>(ROUND(SUMIFS(Input!$I:$I,Input!$H:$H,'1.CC Transition risk-Banking b.'!$A40&amp;"*",Input!$E:$E,'1.CC Transition risk-Banking b.'!$E$63,Input!$F:$F,'1.CC Transition risk-Banking b.'!$E$64),0))/1000000</f>
        <v>0</v>
      </c>
      <c r="F40" s="69">
        <f>(ROUND(SUMIFS(Input!$P:$P,Input!$H:$H,'1.CC Transition risk-Banking b.'!$A40&amp;"*",Input!$E:$E,'1.CC Transition risk-Banking b.'!$E$63,Input!$O:$O,'1.CC Transition risk-Banking b.'!$F$63),0))/1000000</f>
        <v>0</v>
      </c>
      <c r="G40" s="69">
        <f>(ROUND(SUMIFS(Input!$I:$I,Input!$H:$H,'1.CC Transition risk-Banking b.'!$A40&amp;"*",Input!$E:$E,'1.CC Transition risk-Banking b.'!$G$63,Input!$C:$C,'1.CC Transition risk-Banking b.'!$G$64),0))/1000000</f>
        <v>0</v>
      </c>
      <c r="H40" s="69">
        <f>(ROUND(SUMIFS(Input!$I:$I,Input!$H:$H,'1.CC Transition risk-Banking b.'!$A40&amp;"*",Input!$E:$E,'1.CC Transition risk-Banking b.'!$H$63,Input!$C:$C,'1.CC Transition risk-Banking b.'!$H$64),0))/1000000</f>
        <v>0</v>
      </c>
      <c r="I40" s="69">
        <f>(ROUND(SUMIFS(Input!$I:$I,Input!$H:$H,'1.CC Transition risk-Banking b.'!$A40&amp;"*",Input!$E:$E,'1.CC Transition risk-Banking b.'!$I$63),0))/1000000</f>
        <v>0</v>
      </c>
      <c r="J40" s="69">
        <f>(ROUND(SUMIFS(Input!$I:$I,Input!$H:$H,'1.CC Transition risk-Banking b.'!$A40&amp;"*",Input!$E:$E,'1.CC Transition risk-Banking b.'!$J$63,Input!$C:$C,'1.CC Transition risk-Banking b.'!$J$64),0))/1000000</f>
        <v>0</v>
      </c>
      <c r="K40" s="69">
        <f>(ROUND(SUMIFS(Input!$I:$I,Input!$H:$H,'1.CC Transition risk-Banking b.'!$A40&amp;"*",Input!$E:$E,'1.CC Transition risk-Banking b.'!$K$63,Input!$C:$C,'1.CC Transition risk-Banking b.'!$K$64),0))/1000000</f>
        <v>0</v>
      </c>
      <c r="L40" s="70">
        <f>(ROUND(SUMIFS(Input!$J:$J,Input!$H:$H,'1.CC Transition risk-Banking b.'!$A40&amp;"*")
+ SUMIFS(Input!$L:$L,Input!$H:$H,'1.CC Transition risk-Banking b.'!$A40&amp;"*")
+SUMIFS(Input!$N:$N,Input!$H:$H,'1.CC Transition risk-Banking b.'!$A40&amp;"*"),0))/1</f>
        <v>0</v>
      </c>
      <c r="M40" s="70">
        <f>(ROUND(SUMIFS(Input!$N:$N,Input!$H:$H,'1.CC Transition risk-Banking b.'!$A40&amp;"*"),0))/1</f>
        <v>0</v>
      </c>
      <c r="N40" s="76">
        <f>IFERROR(AVERAGE(SUMIFS(Input!$I:$I,Input!$H:$H,'1.CC Transition risk-Banking b.'!$A40&amp;"*",Input!$R:$R,"SOUR1",Input!$E:$E,'1.CC Transition risk-Banking b.'!$O$63),
SUMIFS(Input!$I:$I,Input!$H:$H,'1.CC Transition risk-Banking b.'!$A40&amp;"*",Input!$S:$S,"SOUR1",Input!$E:$E,'1.CC Transition risk-Banking b.'!$O$63),
SUMIFS(Input!$I:$I,Input!$H:$H,'1.CC Transition risk-Banking b.'!$A40&amp;"*",Input!$T:$T,"SOUR1",Input!$E:$E,'1.CC Transition risk-Banking b.'!$O$63))/SUMIFS(Input!$I:$I,Input!$H:$H,'1.CC Transition risk-Banking b.'!$A40&amp;"*",Input!$E:$E,'1.CC Transition risk-Banking b.'!$O$63),0)</f>
        <v>0</v>
      </c>
      <c r="O40" s="71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0</v>
      </c>
      <c r="P40" s="71">
        <f>(ROUND(SUMIFS(Input!$I:$I,Input!$H:$H,'1.CC Transition risk-Banking b.'!$A40&amp;"*",Input!$E:$E,'1.CC Transition risk-Banking b.'!P$63,Input!$G:$G,"&gt;5",Input!$G:$G,"&lt;=10"),0))/1000000</f>
        <v>0</v>
      </c>
      <c r="Q40" s="71">
        <f>(ROUND(SUMIFS(Input!$I:$I,Input!$H:$H,'1.CC Transition risk-Banking b.'!$A40&amp;"*",Input!$E:$E,'1.CC Transition risk-Banking b.'!Q$63,Input!$G:$G,"&gt;10",Input!$G:$G,"&lt;=20"),0))/1000000</f>
        <v>0</v>
      </c>
      <c r="R40" s="71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72">
        <f>ROUND(IFERROR((SUMIFS(Input!$Q:$Q,Input!$H:$H,'1.CC Transition risk-Banking b.'!$A40&amp;"*",Input!$E:$E,'1.CC Transition risk-Banking b.'!S$63,Input!$G:$G,"&gt;0")/1000000)/'1.CC Transition risk-Banking b.'!$D40,0),0)</f>
        <v>0</v>
      </c>
    </row>
    <row r="41" spans="1:19" x14ac:dyDescent="0.3">
      <c r="A41" s="81" t="s">
        <v>34</v>
      </c>
      <c r="B41" s="52">
        <v>36</v>
      </c>
      <c r="C41" s="56" t="s">
        <v>138</v>
      </c>
      <c r="D41" s="69">
        <f>(ROUND(SUMIFS(Input!$I:$I,Input!$H:$H,'1.CC Transition risk-Banking b.'!$A41&amp;"*",Input!$E:$E,'1.CC Transition risk-Banking b.'!$D$63),0))/1000000</f>
        <v>0</v>
      </c>
      <c r="E41" s="69">
        <f>(ROUND(SUMIFS(Input!$I:$I,Input!$H:$H,'1.CC Transition risk-Banking b.'!$A41&amp;"*",Input!$E:$E,'1.CC Transition risk-Banking b.'!$E$63,Input!$F:$F,'1.CC Transition risk-Banking b.'!$E$64),0))/1000000</f>
        <v>0</v>
      </c>
      <c r="F41" s="69">
        <f>(ROUND(SUMIFS(Input!$P:$P,Input!$H:$H,'1.CC Transition risk-Banking b.'!$A41&amp;"*",Input!$E:$E,'1.CC Transition risk-Banking b.'!$E$63,Input!$O:$O,'1.CC Transition risk-Banking b.'!$F$63),0))/1000000</f>
        <v>0</v>
      </c>
      <c r="G41" s="69">
        <f>(ROUND(SUMIFS(Input!$I:$I,Input!$H:$H,'1.CC Transition risk-Banking b.'!$A41&amp;"*",Input!$E:$E,'1.CC Transition risk-Banking b.'!$G$63,Input!$C:$C,'1.CC Transition risk-Banking b.'!$G$64),0))/1000000</f>
        <v>0</v>
      </c>
      <c r="H41" s="69">
        <f>(ROUND(SUMIFS(Input!$I:$I,Input!$H:$H,'1.CC Transition risk-Banking b.'!$A41&amp;"*",Input!$E:$E,'1.CC Transition risk-Banking b.'!$H$63,Input!$C:$C,'1.CC Transition risk-Banking b.'!$H$64),0))/1000000</f>
        <v>0</v>
      </c>
      <c r="I41" s="69">
        <f>(ROUND(SUMIFS(Input!$I:$I,Input!$H:$H,'1.CC Transition risk-Banking b.'!$A41&amp;"*",Input!$E:$E,'1.CC Transition risk-Banking b.'!$I$63),0))/1000000</f>
        <v>0</v>
      </c>
      <c r="J41" s="69">
        <f>(ROUND(SUMIFS(Input!$I:$I,Input!$H:$H,'1.CC Transition risk-Banking b.'!$A41&amp;"*",Input!$E:$E,'1.CC Transition risk-Banking b.'!$J$63,Input!$C:$C,'1.CC Transition risk-Banking b.'!$J$64),0))/1000000</f>
        <v>0</v>
      </c>
      <c r="K41" s="69">
        <f>(ROUND(SUMIFS(Input!$I:$I,Input!$H:$H,'1.CC Transition risk-Banking b.'!$A41&amp;"*",Input!$E:$E,'1.CC Transition risk-Banking b.'!$K$63,Input!$C:$C,'1.CC Transition risk-Banking b.'!$K$64),0))/1000000</f>
        <v>0</v>
      </c>
      <c r="L41" s="70">
        <f>(ROUND(SUMIFS(Input!$J:$J,Input!$H:$H,'1.CC Transition risk-Banking b.'!$A41&amp;"*")
+ SUMIFS(Input!$L:$L,Input!$H:$H,'1.CC Transition risk-Banking b.'!$A41&amp;"*")
+SUMIFS(Input!$N:$N,Input!$H:$H,'1.CC Transition risk-Banking b.'!$A41&amp;"*"),0))/1</f>
        <v>0</v>
      </c>
      <c r="M41" s="70">
        <f>(ROUND(SUMIFS(Input!$N:$N,Input!$H:$H,'1.CC Transition risk-Banking b.'!$A41&amp;"*"),0))/1</f>
        <v>0</v>
      </c>
      <c r="N41" s="76">
        <f>IFERROR(AVERAGE(SUMIFS(Input!$I:$I,Input!$H:$H,'1.CC Transition risk-Banking b.'!$A41&amp;"*",Input!$R:$R,"SOUR1",Input!$E:$E,'1.CC Transition risk-Banking b.'!$O$63),
SUMIFS(Input!$I:$I,Input!$H:$H,'1.CC Transition risk-Banking b.'!$A41&amp;"*",Input!$S:$S,"SOUR1",Input!$E:$E,'1.CC Transition risk-Banking b.'!$O$63),
SUMIFS(Input!$I:$I,Input!$H:$H,'1.CC Transition risk-Banking b.'!$A41&amp;"*",Input!$T:$T,"SOUR1",Input!$E:$E,'1.CC Transition risk-Banking b.'!$O$63))/SUMIFS(Input!$I:$I,Input!$H:$H,'1.CC Transition risk-Banking b.'!$A41&amp;"*",Input!$E:$E,'1.CC Transition risk-Banking b.'!$O$63),0)</f>
        <v>0</v>
      </c>
      <c r="O41" s="71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0</v>
      </c>
      <c r="P41" s="71">
        <f>(ROUND(SUMIFS(Input!$I:$I,Input!$H:$H,'1.CC Transition risk-Banking b.'!$A41&amp;"*",Input!$E:$E,'1.CC Transition risk-Banking b.'!P$63,Input!$G:$G,"&gt;5",Input!$G:$G,"&lt;=10"),0))/1000000</f>
        <v>0</v>
      </c>
      <c r="Q41" s="71">
        <f>(ROUND(SUMIFS(Input!$I:$I,Input!$H:$H,'1.CC Transition risk-Banking b.'!$A41&amp;"*",Input!$E:$E,'1.CC Transition risk-Banking b.'!Q$63,Input!$G:$G,"&gt;10",Input!$G:$G,"&lt;=20"),0))/1000000</f>
        <v>0</v>
      </c>
      <c r="R41" s="71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72">
        <f>ROUND(IFERROR((SUMIFS(Input!$Q:$Q,Input!$H:$H,'1.CC Transition risk-Banking b.'!$A41&amp;"*",Input!$E:$E,'1.CC Transition risk-Banking b.'!S$63,Input!$G:$G,"&gt;0")/1000000)/'1.CC Transition risk-Banking b.'!$D41,0),0)</f>
        <v>0</v>
      </c>
    </row>
    <row r="42" spans="1:19" x14ac:dyDescent="0.3">
      <c r="A42" s="81" t="s">
        <v>139</v>
      </c>
      <c r="B42" s="52">
        <v>37</v>
      </c>
      <c r="C42" s="56" t="s">
        <v>140</v>
      </c>
      <c r="D42" s="69">
        <f>(ROUND(SUMIFS(Input!$I:$I,Input!$H:$H,'1.CC Transition risk-Banking b.'!$A42&amp;"*",Input!$E:$E,'1.CC Transition risk-Banking b.'!$D$63),0))/1000000</f>
        <v>0</v>
      </c>
      <c r="E42" s="69">
        <f>(ROUND(SUMIFS(Input!$I:$I,Input!$H:$H,'1.CC Transition risk-Banking b.'!$A42&amp;"*",Input!$E:$E,'1.CC Transition risk-Banking b.'!$E$63,Input!$F:$F,'1.CC Transition risk-Banking b.'!$E$64),0))/1000000</f>
        <v>0</v>
      </c>
      <c r="F42" s="69">
        <f>(ROUND(SUMIFS(Input!$P:$P,Input!$H:$H,'1.CC Transition risk-Banking b.'!$A42&amp;"*",Input!$E:$E,'1.CC Transition risk-Banking b.'!$E$63,Input!$O:$O,'1.CC Transition risk-Banking b.'!$F$63),0))/1000000</f>
        <v>0</v>
      </c>
      <c r="G42" s="69">
        <f>(ROUND(SUMIFS(Input!$I:$I,Input!$H:$H,'1.CC Transition risk-Banking b.'!$A42&amp;"*",Input!$E:$E,'1.CC Transition risk-Banking b.'!$G$63,Input!$C:$C,'1.CC Transition risk-Banking b.'!$G$64),0))/1000000</f>
        <v>0</v>
      </c>
      <c r="H42" s="69">
        <f>(ROUND(SUMIFS(Input!$I:$I,Input!$H:$H,'1.CC Transition risk-Banking b.'!$A42&amp;"*",Input!$E:$E,'1.CC Transition risk-Banking b.'!$H$63,Input!$C:$C,'1.CC Transition risk-Banking b.'!$H$64),0))/1000000</f>
        <v>0</v>
      </c>
      <c r="I42" s="69">
        <f>(ROUND(SUMIFS(Input!$I:$I,Input!$H:$H,'1.CC Transition risk-Banking b.'!$A42&amp;"*",Input!$E:$E,'1.CC Transition risk-Banking b.'!$I$63),0))/1000000</f>
        <v>0</v>
      </c>
      <c r="J42" s="69">
        <f>(ROUND(SUMIFS(Input!$I:$I,Input!$H:$H,'1.CC Transition risk-Banking b.'!$A42&amp;"*",Input!$E:$E,'1.CC Transition risk-Banking b.'!$J$63,Input!$C:$C,'1.CC Transition risk-Banking b.'!$J$64),0))/1000000</f>
        <v>0</v>
      </c>
      <c r="K42" s="69">
        <f>(ROUND(SUMIFS(Input!$I:$I,Input!$H:$H,'1.CC Transition risk-Banking b.'!$A42&amp;"*",Input!$E:$E,'1.CC Transition risk-Banking b.'!$K$63,Input!$C:$C,'1.CC Transition risk-Banking b.'!$K$64),0))/1000000</f>
        <v>0</v>
      </c>
      <c r="L42" s="70">
        <f>(ROUND(SUMIFS(Input!$J:$J,Input!$H:$H,'1.CC Transition risk-Banking b.'!$A42&amp;"*")
+ SUMIFS(Input!$L:$L,Input!$H:$H,'1.CC Transition risk-Banking b.'!$A42&amp;"*")
+SUMIFS(Input!$N:$N,Input!$H:$H,'1.CC Transition risk-Banking b.'!$A42&amp;"*"),0))/1</f>
        <v>0</v>
      </c>
      <c r="M42" s="70">
        <f>(ROUND(SUMIFS(Input!$N:$N,Input!$H:$H,'1.CC Transition risk-Banking b.'!$A42&amp;"*"),0))/1</f>
        <v>0</v>
      </c>
      <c r="N42" s="76">
        <f>IFERROR(AVERAGE(SUMIFS(Input!$I:$I,Input!$H:$H,'1.CC Transition risk-Banking b.'!$A42&amp;"*",Input!$R:$R,"SOUR1",Input!$E:$E,'1.CC Transition risk-Banking b.'!$O$63),
SUMIFS(Input!$I:$I,Input!$H:$H,'1.CC Transition risk-Banking b.'!$A42&amp;"*",Input!$S:$S,"SOUR1",Input!$E:$E,'1.CC Transition risk-Banking b.'!$O$63),
SUMIFS(Input!$I:$I,Input!$H:$H,'1.CC Transition risk-Banking b.'!$A42&amp;"*",Input!$T:$T,"SOUR1",Input!$E:$E,'1.CC Transition risk-Banking b.'!$O$63))/SUMIFS(Input!$I:$I,Input!$H:$H,'1.CC Transition risk-Banking b.'!$A42&amp;"*",Input!$E:$E,'1.CC Transition risk-Banking b.'!$O$63),0)</f>
        <v>0</v>
      </c>
      <c r="O42" s="71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</v>
      </c>
      <c r="P42" s="71">
        <f>(ROUND(SUMIFS(Input!$I:$I,Input!$H:$H,'1.CC Transition risk-Banking b.'!$A42&amp;"*",Input!$E:$E,'1.CC Transition risk-Banking b.'!P$63,Input!$G:$G,"&gt;5",Input!$G:$G,"&lt;=10"),0))/1000000</f>
        <v>0</v>
      </c>
      <c r="Q42" s="71">
        <f>(ROUND(SUMIFS(Input!$I:$I,Input!$H:$H,'1.CC Transition risk-Banking b.'!$A42&amp;"*",Input!$E:$E,'1.CC Transition risk-Banking b.'!Q$63,Input!$G:$G,"&gt;10",Input!$G:$G,"&lt;=20"),0))/1000000</f>
        <v>0</v>
      </c>
      <c r="R42" s="71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72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81" t="s">
        <v>141</v>
      </c>
      <c r="B43" s="52">
        <v>38</v>
      </c>
      <c r="C43" s="56" t="s">
        <v>142</v>
      </c>
      <c r="D43" s="69">
        <f>(ROUND(SUMIFS(Input!$I:$I,Input!$H:$H,'1.CC Transition risk-Banking b.'!$A43&amp;"*",Input!$E:$E,'1.CC Transition risk-Banking b.'!$D$63),0))/1000000</f>
        <v>0</v>
      </c>
      <c r="E43" s="69">
        <f>(ROUND(SUMIFS(Input!$I:$I,Input!$H:$H,'1.CC Transition risk-Banking b.'!$A43&amp;"*",Input!$E:$E,'1.CC Transition risk-Banking b.'!$E$63,Input!$F:$F,'1.CC Transition risk-Banking b.'!$E$64),0))/1000000</f>
        <v>0</v>
      </c>
      <c r="F43" s="69">
        <f>(ROUND(SUMIFS(Input!$P:$P,Input!$H:$H,'1.CC Transition risk-Banking b.'!$A43&amp;"*",Input!$E:$E,'1.CC Transition risk-Banking b.'!$E$63,Input!$O:$O,'1.CC Transition risk-Banking b.'!$F$63),0))/1000000</f>
        <v>0</v>
      </c>
      <c r="G43" s="69">
        <f>(ROUND(SUMIFS(Input!$I:$I,Input!$H:$H,'1.CC Transition risk-Banking b.'!$A43&amp;"*",Input!$E:$E,'1.CC Transition risk-Banking b.'!$G$63,Input!$C:$C,'1.CC Transition risk-Banking b.'!$G$64),0))/1000000</f>
        <v>0</v>
      </c>
      <c r="H43" s="69">
        <f>(ROUND(SUMIFS(Input!$I:$I,Input!$H:$H,'1.CC Transition risk-Banking b.'!$A43&amp;"*",Input!$E:$E,'1.CC Transition risk-Banking b.'!$H$63,Input!$C:$C,'1.CC Transition risk-Banking b.'!$H$64),0))/1000000</f>
        <v>0</v>
      </c>
      <c r="I43" s="69">
        <f>(ROUND(SUMIFS(Input!$I:$I,Input!$H:$H,'1.CC Transition risk-Banking b.'!$A43&amp;"*",Input!$E:$E,'1.CC Transition risk-Banking b.'!$I$63),0))/1000000</f>
        <v>0</v>
      </c>
      <c r="J43" s="69">
        <f>(ROUND(SUMIFS(Input!$I:$I,Input!$H:$H,'1.CC Transition risk-Banking b.'!$A43&amp;"*",Input!$E:$E,'1.CC Transition risk-Banking b.'!$J$63,Input!$C:$C,'1.CC Transition risk-Banking b.'!$J$64),0))/1000000</f>
        <v>0</v>
      </c>
      <c r="K43" s="69">
        <f>(ROUND(SUMIFS(Input!$I:$I,Input!$H:$H,'1.CC Transition risk-Banking b.'!$A43&amp;"*",Input!$E:$E,'1.CC Transition risk-Banking b.'!$K$63,Input!$C:$C,'1.CC Transition risk-Banking b.'!$K$64),0))/1000000</f>
        <v>0</v>
      </c>
      <c r="L43" s="70">
        <f>(ROUND(SUMIFS(Input!$J:$J,Input!$H:$H,'1.CC Transition risk-Banking b.'!$A43&amp;"*")
+ SUMIFS(Input!$L:$L,Input!$H:$H,'1.CC Transition risk-Banking b.'!$A43&amp;"*")
+SUMIFS(Input!$N:$N,Input!$H:$H,'1.CC Transition risk-Banking b.'!$A43&amp;"*"),0))/1</f>
        <v>0</v>
      </c>
      <c r="M43" s="70">
        <f>(ROUND(SUMIFS(Input!$N:$N,Input!$H:$H,'1.CC Transition risk-Banking b.'!$A43&amp;"*"),0))/1</f>
        <v>0</v>
      </c>
      <c r="N43" s="76">
        <f>IFERROR(AVERAGE(SUMIFS(Input!$I:$I,Input!$H:$H,'1.CC Transition risk-Banking b.'!$A43&amp;"*",Input!$R:$R,"SOUR1",Input!$E:$E,'1.CC Transition risk-Banking b.'!$O$63),
SUMIFS(Input!$I:$I,Input!$H:$H,'1.CC Transition risk-Banking b.'!$A43&amp;"*",Input!$S:$S,"SOUR1",Input!$E:$E,'1.CC Transition risk-Banking b.'!$O$63),
SUMIFS(Input!$I:$I,Input!$H:$H,'1.CC Transition risk-Banking b.'!$A43&amp;"*",Input!$T:$T,"SOUR1",Input!$E:$E,'1.CC Transition risk-Banking b.'!$O$63))/SUMIFS(Input!$I:$I,Input!$H:$H,'1.CC Transition risk-Banking b.'!$A43&amp;"*",Input!$E:$E,'1.CC Transition risk-Banking b.'!$O$63),0)</f>
        <v>0</v>
      </c>
      <c r="O43" s="71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</v>
      </c>
      <c r="P43" s="71">
        <f>(ROUND(SUMIFS(Input!$I:$I,Input!$H:$H,'1.CC Transition risk-Banking b.'!$A43&amp;"*",Input!$E:$E,'1.CC Transition risk-Banking b.'!P$63,Input!$G:$G,"&gt;5",Input!$G:$G,"&lt;=10"),0))/1000000</f>
        <v>0</v>
      </c>
      <c r="Q43" s="71">
        <f>(ROUND(SUMIFS(Input!$I:$I,Input!$H:$H,'1.CC Transition risk-Banking b.'!$A43&amp;"*",Input!$E:$E,'1.CC Transition risk-Banking b.'!Q$63,Input!$G:$G,"&gt;10",Input!$G:$G,"&lt;=20"),0))/1000000</f>
        <v>0</v>
      </c>
      <c r="R43" s="71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72">
        <f>ROUND(IFERROR((SUMIFS(Input!$Q:$Q,Input!$H:$H,'1.CC Transition risk-Banking b.'!$A43&amp;"*",Input!$E:$E,'1.CC Transition risk-Banking b.'!S$63,Input!$G:$G,"&gt;0")/1000000)/'1.CC Transition risk-Banking b.'!$D43,0),0)</f>
        <v>0</v>
      </c>
    </row>
    <row r="44" spans="1:19" x14ac:dyDescent="0.3">
      <c r="A44" s="81" t="s">
        <v>143</v>
      </c>
      <c r="B44" s="52">
        <v>39</v>
      </c>
      <c r="C44" s="54" t="s">
        <v>144</v>
      </c>
      <c r="D44" s="69">
        <f>(ROUND(SUMIFS(Input!$I:$I,Input!$H:$H,'1.CC Transition risk-Banking b.'!$A44&amp;"*",Input!$E:$E,'1.CC Transition risk-Banking b.'!$D$63),0))/1000000</f>
        <v>0</v>
      </c>
      <c r="E44" s="69">
        <f>(ROUND(SUMIFS(Input!$I:$I,Input!$H:$H,'1.CC Transition risk-Banking b.'!$A44&amp;"*",Input!$E:$E,'1.CC Transition risk-Banking b.'!$E$63,Input!$F:$F,'1.CC Transition risk-Banking b.'!$E$64),0))/1000000</f>
        <v>0</v>
      </c>
      <c r="F44" s="69">
        <f>(ROUND(SUMIFS(Input!$P:$P,Input!$H:$H,'1.CC Transition risk-Banking b.'!$A44&amp;"*",Input!$E:$E,'1.CC Transition risk-Banking b.'!$E$63,Input!$O:$O,'1.CC Transition risk-Banking b.'!$F$63),0))/1000000</f>
        <v>0</v>
      </c>
      <c r="G44" s="69">
        <f>(ROUND(SUMIFS(Input!$I:$I,Input!$H:$H,'1.CC Transition risk-Banking b.'!$A44&amp;"*",Input!$E:$E,'1.CC Transition risk-Banking b.'!$G$63,Input!$C:$C,'1.CC Transition risk-Banking b.'!$G$64),0))/1000000</f>
        <v>0</v>
      </c>
      <c r="H44" s="69">
        <f>(ROUND(SUMIFS(Input!$I:$I,Input!$H:$H,'1.CC Transition risk-Banking b.'!$A44&amp;"*",Input!$E:$E,'1.CC Transition risk-Banking b.'!$H$63,Input!$C:$C,'1.CC Transition risk-Banking b.'!$H$64),0))/1000000</f>
        <v>0</v>
      </c>
      <c r="I44" s="69">
        <f>(ROUND(SUMIFS(Input!$I:$I,Input!$H:$H,'1.CC Transition risk-Banking b.'!$A44&amp;"*",Input!$E:$E,'1.CC Transition risk-Banking b.'!$I$63),0))/1000000</f>
        <v>0</v>
      </c>
      <c r="J44" s="69">
        <f>(ROUND(SUMIFS(Input!$I:$I,Input!$H:$H,'1.CC Transition risk-Banking b.'!$A44&amp;"*",Input!$E:$E,'1.CC Transition risk-Banking b.'!$J$63,Input!$C:$C,'1.CC Transition risk-Banking b.'!$J$64),0))/1000000</f>
        <v>0</v>
      </c>
      <c r="K44" s="69">
        <f>(ROUND(SUMIFS(Input!$I:$I,Input!$H:$H,'1.CC Transition risk-Banking b.'!$A44&amp;"*",Input!$E:$E,'1.CC Transition risk-Banking b.'!$K$63,Input!$C:$C,'1.CC Transition risk-Banking b.'!$K$64),0))/1000000</f>
        <v>0</v>
      </c>
      <c r="L44" s="70">
        <f>(ROUND(SUMIFS(Input!$J:$J,Input!$H:$H,'1.CC Transition risk-Banking b.'!$A44&amp;"*")
+ SUMIFS(Input!$L:$L,Input!$H:$H,'1.CC Transition risk-Banking b.'!$A44&amp;"*")
+SUMIFS(Input!$N:$N,Input!$H:$H,'1.CC Transition risk-Banking b.'!$A44&amp;"*"),0))/1</f>
        <v>0</v>
      </c>
      <c r="M44" s="70">
        <f>(ROUND(SUMIFS(Input!$N:$N,Input!$H:$H,'1.CC Transition risk-Banking b.'!$A44&amp;"*"),0))/1</f>
        <v>0</v>
      </c>
      <c r="N44" s="76">
        <f>IFERROR(AVERAGE(SUMIFS(Input!$I:$I,Input!$H:$H,'1.CC Transition risk-Banking b.'!$A44&amp;"*",Input!$R:$R,"SOUR1",Input!$E:$E,'1.CC Transition risk-Banking b.'!$O$63),
SUMIFS(Input!$I:$I,Input!$H:$H,'1.CC Transition risk-Banking b.'!$A44&amp;"*",Input!$S:$S,"SOUR1",Input!$E:$E,'1.CC Transition risk-Banking b.'!$O$63),
SUMIFS(Input!$I:$I,Input!$H:$H,'1.CC Transition risk-Banking b.'!$A44&amp;"*",Input!$T:$T,"SOUR1",Input!$E:$E,'1.CC Transition risk-Banking b.'!$O$63))/SUMIFS(Input!$I:$I,Input!$H:$H,'1.CC Transition risk-Banking b.'!$A44&amp;"*",Input!$E:$E,'1.CC Transition risk-Banking b.'!$O$63),0)</f>
        <v>0</v>
      </c>
      <c r="O44" s="71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0</v>
      </c>
      <c r="P44" s="71">
        <f>(ROUND(SUMIFS(Input!$I:$I,Input!$H:$H,'1.CC Transition risk-Banking b.'!$A44&amp;"*",Input!$E:$E,'1.CC Transition risk-Banking b.'!P$63,Input!$G:$G,"&gt;5",Input!$G:$G,"&lt;=10"),0))/1000000</f>
        <v>0</v>
      </c>
      <c r="Q44" s="71">
        <f>(ROUND(SUMIFS(Input!$I:$I,Input!$H:$H,'1.CC Transition risk-Banking b.'!$A44&amp;"*",Input!$E:$E,'1.CC Transition risk-Banking b.'!Q$63,Input!$G:$G,"&gt;10",Input!$G:$G,"&lt;=20"),0))/1000000</f>
        <v>0</v>
      </c>
      <c r="R44" s="71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72">
        <f>ROUND(IFERROR((SUMIFS(Input!$Q:$Q,Input!$H:$H,'1.CC Transition risk-Banking b.'!$A44&amp;"*",Input!$E:$E,'1.CC Transition risk-Banking b.'!S$63,Input!$G:$G,"&gt;0")/1000000)/'1.CC Transition risk-Banking b.'!$D44,0),0)</f>
        <v>0</v>
      </c>
    </row>
    <row r="45" spans="1:19" x14ac:dyDescent="0.3">
      <c r="A45" s="81" t="s">
        <v>145</v>
      </c>
      <c r="B45" s="52">
        <v>40</v>
      </c>
      <c r="C45" s="54" t="s">
        <v>146</v>
      </c>
      <c r="D45" s="69">
        <f>(ROUND(SUMIFS(Input!$I:$I,Input!$H:$H,'1.CC Transition risk-Banking b.'!$A45&amp;"*",Input!$E:$E,'1.CC Transition risk-Banking b.'!$D$63),0))/1000000</f>
        <v>0</v>
      </c>
      <c r="E45" s="69">
        <f>(ROUND(SUMIFS(Input!$I:$I,Input!$H:$H,'1.CC Transition risk-Banking b.'!$A45&amp;"*",Input!$E:$E,'1.CC Transition risk-Banking b.'!$E$63,Input!$F:$F,'1.CC Transition risk-Banking b.'!$E$64),0))/1000000</f>
        <v>0</v>
      </c>
      <c r="F45" s="69">
        <f>(ROUND(SUMIFS(Input!$P:$P,Input!$H:$H,'1.CC Transition risk-Banking b.'!$A45&amp;"*",Input!$E:$E,'1.CC Transition risk-Banking b.'!$E$63,Input!$O:$O,'1.CC Transition risk-Banking b.'!$F$63),0))/1000000</f>
        <v>0</v>
      </c>
      <c r="G45" s="69">
        <f>(ROUND(SUMIFS(Input!$I:$I,Input!$H:$H,'1.CC Transition risk-Banking b.'!$A45&amp;"*",Input!$E:$E,'1.CC Transition risk-Banking b.'!$G$63,Input!$C:$C,'1.CC Transition risk-Banking b.'!$G$64),0))/1000000</f>
        <v>0</v>
      </c>
      <c r="H45" s="69">
        <f>(ROUND(SUMIFS(Input!$I:$I,Input!$H:$H,'1.CC Transition risk-Banking b.'!$A45&amp;"*",Input!$E:$E,'1.CC Transition risk-Banking b.'!$H$63,Input!$C:$C,'1.CC Transition risk-Banking b.'!$H$64),0))/1000000</f>
        <v>0</v>
      </c>
      <c r="I45" s="69">
        <f>(ROUND(SUMIFS(Input!$I:$I,Input!$H:$H,'1.CC Transition risk-Banking b.'!$A45&amp;"*",Input!$E:$E,'1.CC Transition risk-Banking b.'!$I$63),0))/1000000</f>
        <v>0</v>
      </c>
      <c r="J45" s="69">
        <f>(ROUND(SUMIFS(Input!$I:$I,Input!$H:$H,'1.CC Transition risk-Banking b.'!$A45&amp;"*",Input!$E:$E,'1.CC Transition risk-Banking b.'!$J$63,Input!$C:$C,'1.CC Transition risk-Banking b.'!$J$64),0))/1000000</f>
        <v>0</v>
      </c>
      <c r="K45" s="69">
        <f>(ROUND(SUMIFS(Input!$I:$I,Input!$H:$H,'1.CC Transition risk-Banking b.'!$A45&amp;"*",Input!$E:$E,'1.CC Transition risk-Banking b.'!$K$63,Input!$C:$C,'1.CC Transition risk-Banking b.'!$K$64),0))/1000000</f>
        <v>0</v>
      </c>
      <c r="L45" s="70">
        <f>(ROUND(SUMIFS(Input!$J:$J,Input!$H:$H,'1.CC Transition risk-Banking b.'!$A45&amp;"*")
+ SUMIFS(Input!$L:$L,Input!$H:$H,'1.CC Transition risk-Banking b.'!$A45&amp;"*")
+SUMIFS(Input!$N:$N,Input!$H:$H,'1.CC Transition risk-Banking b.'!$A45&amp;"*"),0))/1</f>
        <v>0</v>
      </c>
      <c r="M45" s="70">
        <f>(ROUND(SUMIFS(Input!$N:$N,Input!$H:$H,'1.CC Transition risk-Banking b.'!$A45&amp;"*"),0))/1</f>
        <v>0</v>
      </c>
      <c r="N45" s="76">
        <f>IFERROR(AVERAGE(SUMIFS(Input!$I:$I,Input!$H:$H,'1.CC Transition risk-Banking b.'!$A45&amp;"*",Input!$R:$R,"SOUR1",Input!$E:$E,'1.CC Transition risk-Banking b.'!$O$63),
SUMIFS(Input!$I:$I,Input!$H:$H,'1.CC Transition risk-Banking b.'!$A45&amp;"*",Input!$S:$S,"SOUR1",Input!$E:$E,'1.CC Transition risk-Banking b.'!$O$63),
SUMIFS(Input!$I:$I,Input!$H:$H,'1.CC Transition risk-Banking b.'!$A45&amp;"*",Input!$T:$T,"SOUR1",Input!$E:$E,'1.CC Transition risk-Banking b.'!$O$63))/SUMIFS(Input!$I:$I,Input!$H:$H,'1.CC Transition risk-Banking b.'!$A45&amp;"*",Input!$E:$E,'1.CC Transition risk-Banking b.'!$O$63),0)</f>
        <v>0</v>
      </c>
      <c r="O45" s="71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0</v>
      </c>
      <c r="P45" s="71">
        <f>(ROUND(SUMIFS(Input!$I:$I,Input!$H:$H,'1.CC Transition risk-Banking b.'!$A45&amp;"*",Input!$E:$E,'1.CC Transition risk-Banking b.'!P$63,Input!$G:$G,"&gt;5",Input!$G:$G,"&lt;=10"),0))/1000000</f>
        <v>0</v>
      </c>
      <c r="Q45" s="71">
        <f>(ROUND(SUMIFS(Input!$I:$I,Input!$H:$H,'1.CC Transition risk-Banking b.'!$A45&amp;"*",Input!$E:$E,'1.CC Transition risk-Banking b.'!Q$63,Input!$G:$G,"&gt;10",Input!$G:$G,"&lt;=20"),0))/1000000</f>
        <v>0</v>
      </c>
      <c r="R45" s="71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72">
        <f>ROUND(IFERROR((SUMIFS(Input!$Q:$Q,Input!$H:$H,'1.CC Transition risk-Banking b.'!$A45&amp;"*",Input!$E:$E,'1.CC Transition risk-Banking b.'!S$63,Input!$G:$G,"&gt;0")/1000000)/'1.CC Transition risk-Banking b.'!$D45,0),0)</f>
        <v>0</v>
      </c>
    </row>
    <row r="46" spans="1:19" x14ac:dyDescent="0.3">
      <c r="A46" s="81" t="s">
        <v>147</v>
      </c>
      <c r="B46" s="52">
        <v>41</v>
      </c>
      <c r="C46" s="56" t="s">
        <v>148</v>
      </c>
      <c r="D46" s="69">
        <f>(ROUND(SUMIFS(Input!$I:$I,Input!$H:$H,'1.CC Transition risk-Banking b.'!$A46&amp;"*",Input!$E:$E,'1.CC Transition risk-Banking b.'!$D$63),0))/1000000</f>
        <v>0</v>
      </c>
      <c r="E46" s="69">
        <f>(ROUND(SUMIFS(Input!$I:$I,Input!$H:$H,'1.CC Transition risk-Banking b.'!$A46&amp;"*",Input!$E:$E,'1.CC Transition risk-Banking b.'!$E$63,Input!$F:$F,'1.CC Transition risk-Banking b.'!$E$64),0))/1000000</f>
        <v>0</v>
      </c>
      <c r="F46" s="69">
        <f>(ROUND(SUMIFS(Input!$P:$P,Input!$H:$H,'1.CC Transition risk-Banking b.'!$A46&amp;"*",Input!$E:$E,'1.CC Transition risk-Banking b.'!$E$63,Input!$O:$O,'1.CC Transition risk-Banking b.'!$F$63),0))/1000000</f>
        <v>0</v>
      </c>
      <c r="G46" s="69">
        <f>(ROUND(SUMIFS(Input!$I:$I,Input!$H:$H,'1.CC Transition risk-Banking b.'!$A46&amp;"*",Input!$E:$E,'1.CC Transition risk-Banking b.'!$G$63,Input!$C:$C,'1.CC Transition risk-Banking b.'!$G$64),0))/1000000</f>
        <v>0</v>
      </c>
      <c r="H46" s="69">
        <f>(ROUND(SUMIFS(Input!$I:$I,Input!$H:$H,'1.CC Transition risk-Banking b.'!$A46&amp;"*",Input!$E:$E,'1.CC Transition risk-Banking b.'!$H$63,Input!$C:$C,'1.CC Transition risk-Banking b.'!$H$64),0))/1000000</f>
        <v>0</v>
      </c>
      <c r="I46" s="69">
        <f>(ROUND(SUMIFS(Input!$I:$I,Input!$H:$H,'1.CC Transition risk-Banking b.'!$A46&amp;"*",Input!$E:$E,'1.CC Transition risk-Banking b.'!$I$63),0))/1000000</f>
        <v>0</v>
      </c>
      <c r="J46" s="69">
        <f>(ROUND(SUMIFS(Input!$I:$I,Input!$H:$H,'1.CC Transition risk-Banking b.'!$A46&amp;"*",Input!$E:$E,'1.CC Transition risk-Banking b.'!$J$63,Input!$C:$C,'1.CC Transition risk-Banking b.'!$J$64),0))/1000000</f>
        <v>0</v>
      </c>
      <c r="K46" s="69">
        <f>(ROUND(SUMIFS(Input!$I:$I,Input!$H:$H,'1.CC Transition risk-Banking b.'!$A46&amp;"*",Input!$E:$E,'1.CC Transition risk-Banking b.'!$K$63,Input!$C:$C,'1.CC Transition risk-Banking b.'!$K$64),0))/1000000</f>
        <v>0</v>
      </c>
      <c r="L46" s="70">
        <f>(ROUND(SUMIFS(Input!$J:$J,Input!$H:$H,'1.CC Transition risk-Banking b.'!$A46&amp;"*")
+ SUMIFS(Input!$L:$L,Input!$H:$H,'1.CC Transition risk-Banking b.'!$A46&amp;"*")
+SUMIFS(Input!$N:$N,Input!$H:$H,'1.CC Transition risk-Banking b.'!$A46&amp;"*"),0))/1</f>
        <v>0</v>
      </c>
      <c r="M46" s="70">
        <f>(ROUND(SUMIFS(Input!$N:$N,Input!$H:$H,'1.CC Transition risk-Banking b.'!$A46&amp;"*"),0))/1</f>
        <v>0</v>
      </c>
      <c r="N46" s="76">
        <f>IFERROR(AVERAGE(SUMIFS(Input!$I:$I,Input!$H:$H,'1.CC Transition risk-Banking b.'!$A46&amp;"*",Input!$R:$R,"SOUR1",Input!$E:$E,'1.CC Transition risk-Banking b.'!$O$63),
SUMIFS(Input!$I:$I,Input!$H:$H,'1.CC Transition risk-Banking b.'!$A46&amp;"*",Input!$S:$S,"SOUR1",Input!$E:$E,'1.CC Transition risk-Banking b.'!$O$63),
SUMIFS(Input!$I:$I,Input!$H:$H,'1.CC Transition risk-Banking b.'!$A46&amp;"*",Input!$T:$T,"SOUR1",Input!$E:$E,'1.CC Transition risk-Banking b.'!$O$63))/SUMIFS(Input!$I:$I,Input!$H:$H,'1.CC Transition risk-Banking b.'!$A46&amp;"*",Input!$E:$E,'1.CC Transition risk-Banking b.'!$O$63),0)</f>
        <v>0</v>
      </c>
      <c r="O46" s="71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0</v>
      </c>
      <c r="P46" s="71">
        <f>(ROUND(SUMIFS(Input!$I:$I,Input!$H:$H,'1.CC Transition risk-Banking b.'!$A46&amp;"*",Input!$E:$E,'1.CC Transition risk-Banking b.'!P$63,Input!$G:$G,"&gt;5",Input!$G:$G,"&lt;=10"),0))/1000000</f>
        <v>0</v>
      </c>
      <c r="Q46" s="71">
        <f>(ROUND(SUMIFS(Input!$I:$I,Input!$H:$H,'1.CC Transition risk-Banking b.'!$A46&amp;"*",Input!$E:$E,'1.CC Transition risk-Banking b.'!Q$63,Input!$G:$G,"&gt;10",Input!$G:$G,"&lt;=20"),0))/1000000</f>
        <v>0</v>
      </c>
      <c r="R46" s="71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72">
        <f>ROUND(IFERROR((SUMIFS(Input!$Q:$Q,Input!$H:$H,'1.CC Transition risk-Banking b.'!$A46&amp;"*",Input!$E:$E,'1.CC Transition risk-Banking b.'!S$63,Input!$G:$G,"&gt;0")/1000000)/'1.CC Transition risk-Banking b.'!$D46,0),0)</f>
        <v>0</v>
      </c>
    </row>
    <row r="47" spans="1:19" x14ac:dyDescent="0.3">
      <c r="A47" s="81" t="s">
        <v>149</v>
      </c>
      <c r="B47" s="52">
        <v>42</v>
      </c>
      <c r="C47" s="56" t="s">
        <v>150</v>
      </c>
      <c r="D47" s="69">
        <f>(ROUND(SUMIFS(Input!$I:$I,Input!$H:$H,'1.CC Transition risk-Banking b.'!$A47&amp;"*",Input!$E:$E,'1.CC Transition risk-Banking b.'!$D$63),0))/1000000</f>
        <v>0</v>
      </c>
      <c r="E47" s="69">
        <f>(ROUND(SUMIFS(Input!$I:$I,Input!$H:$H,'1.CC Transition risk-Banking b.'!$A47&amp;"*",Input!$E:$E,'1.CC Transition risk-Banking b.'!$E$63,Input!$F:$F,'1.CC Transition risk-Banking b.'!$E$64),0))/1000000</f>
        <v>0</v>
      </c>
      <c r="F47" s="69">
        <f>(ROUND(SUMIFS(Input!$P:$P,Input!$H:$H,'1.CC Transition risk-Banking b.'!$A47&amp;"*",Input!$E:$E,'1.CC Transition risk-Banking b.'!$E$63,Input!$O:$O,'1.CC Transition risk-Banking b.'!$F$63),0))/1000000</f>
        <v>0</v>
      </c>
      <c r="G47" s="69">
        <f>(ROUND(SUMIFS(Input!$I:$I,Input!$H:$H,'1.CC Transition risk-Banking b.'!$A47&amp;"*",Input!$E:$E,'1.CC Transition risk-Banking b.'!$G$63,Input!$C:$C,'1.CC Transition risk-Banking b.'!$G$64),0))/1000000</f>
        <v>0</v>
      </c>
      <c r="H47" s="69">
        <f>(ROUND(SUMIFS(Input!$I:$I,Input!$H:$H,'1.CC Transition risk-Banking b.'!$A47&amp;"*",Input!$E:$E,'1.CC Transition risk-Banking b.'!$H$63,Input!$C:$C,'1.CC Transition risk-Banking b.'!$H$64),0))/1000000</f>
        <v>0</v>
      </c>
      <c r="I47" s="69">
        <f>(ROUND(SUMIFS(Input!$I:$I,Input!$H:$H,'1.CC Transition risk-Banking b.'!$A47&amp;"*",Input!$E:$E,'1.CC Transition risk-Banking b.'!$I$63),0))/1000000</f>
        <v>0</v>
      </c>
      <c r="J47" s="69">
        <f>(ROUND(SUMIFS(Input!$I:$I,Input!$H:$H,'1.CC Transition risk-Banking b.'!$A47&amp;"*",Input!$E:$E,'1.CC Transition risk-Banking b.'!$J$63,Input!$C:$C,'1.CC Transition risk-Banking b.'!$J$64),0))/1000000</f>
        <v>0</v>
      </c>
      <c r="K47" s="69">
        <f>(ROUND(SUMIFS(Input!$I:$I,Input!$H:$H,'1.CC Transition risk-Banking b.'!$A47&amp;"*",Input!$E:$E,'1.CC Transition risk-Banking b.'!$K$63,Input!$C:$C,'1.CC Transition risk-Banking b.'!$K$64),0))/1000000</f>
        <v>0</v>
      </c>
      <c r="L47" s="70">
        <f>(ROUND(SUMIFS(Input!$J:$J,Input!$H:$H,'1.CC Transition risk-Banking b.'!$A47&amp;"*")
+ SUMIFS(Input!$L:$L,Input!$H:$H,'1.CC Transition risk-Banking b.'!$A47&amp;"*")
+SUMIFS(Input!$N:$N,Input!$H:$H,'1.CC Transition risk-Banking b.'!$A47&amp;"*"),0))/1</f>
        <v>0</v>
      </c>
      <c r="M47" s="70">
        <f>(ROUND(SUMIFS(Input!$N:$N,Input!$H:$H,'1.CC Transition risk-Banking b.'!$A47&amp;"*"),0))/1</f>
        <v>0</v>
      </c>
      <c r="N47" s="76">
        <f>IFERROR(AVERAGE(SUMIFS(Input!$I:$I,Input!$H:$H,'1.CC Transition risk-Banking b.'!$A47&amp;"*",Input!$R:$R,"SOUR1",Input!$E:$E,'1.CC Transition risk-Banking b.'!$O$63),
SUMIFS(Input!$I:$I,Input!$H:$H,'1.CC Transition risk-Banking b.'!$A47&amp;"*",Input!$S:$S,"SOUR1",Input!$E:$E,'1.CC Transition risk-Banking b.'!$O$63),
SUMIFS(Input!$I:$I,Input!$H:$H,'1.CC Transition risk-Banking b.'!$A47&amp;"*",Input!$T:$T,"SOUR1",Input!$E:$E,'1.CC Transition risk-Banking b.'!$O$63))/SUMIFS(Input!$I:$I,Input!$H:$H,'1.CC Transition risk-Banking b.'!$A47&amp;"*",Input!$E:$E,'1.CC Transition risk-Banking b.'!$O$63),0)</f>
        <v>0</v>
      </c>
      <c r="O47" s="71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0</v>
      </c>
      <c r="P47" s="71">
        <f>(ROUND(SUMIFS(Input!$I:$I,Input!$H:$H,'1.CC Transition risk-Banking b.'!$A47&amp;"*",Input!$E:$E,'1.CC Transition risk-Banking b.'!P$63,Input!$G:$G,"&gt;5",Input!$G:$G,"&lt;=10"),0))/1000000</f>
        <v>0</v>
      </c>
      <c r="Q47" s="71">
        <f>(ROUND(SUMIFS(Input!$I:$I,Input!$H:$H,'1.CC Transition risk-Banking b.'!$A47&amp;"*",Input!$E:$E,'1.CC Transition risk-Banking b.'!Q$63,Input!$G:$G,"&gt;10",Input!$G:$G,"&lt;=20"),0))/1000000</f>
        <v>0</v>
      </c>
      <c r="R47" s="71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72">
        <f>ROUND(IFERROR((SUMIFS(Input!$Q:$Q,Input!$H:$H,'1.CC Transition risk-Banking b.'!$A47&amp;"*",Input!$E:$E,'1.CC Transition risk-Banking b.'!S$63,Input!$G:$G,"&gt;0")/1000000)/'1.CC Transition risk-Banking b.'!$D47,0),0)</f>
        <v>0</v>
      </c>
    </row>
    <row r="48" spans="1:19" x14ac:dyDescent="0.3">
      <c r="A48" s="81" t="s">
        <v>151</v>
      </c>
      <c r="B48" s="52">
        <v>43</v>
      </c>
      <c r="C48" s="56" t="s">
        <v>152</v>
      </c>
      <c r="D48" s="69">
        <f>(ROUND(SUMIFS(Input!$I:$I,Input!$H:$H,'1.CC Transition risk-Banking b.'!$A48&amp;"*",Input!$E:$E,'1.CC Transition risk-Banking b.'!$D$63),0))/1000000</f>
        <v>0</v>
      </c>
      <c r="E48" s="69">
        <f>(ROUND(SUMIFS(Input!$I:$I,Input!$H:$H,'1.CC Transition risk-Banking b.'!$A48&amp;"*",Input!$E:$E,'1.CC Transition risk-Banking b.'!$E$63,Input!$F:$F,'1.CC Transition risk-Banking b.'!$E$64),0))/1000000</f>
        <v>0</v>
      </c>
      <c r="F48" s="69">
        <f>(ROUND(SUMIFS(Input!$P:$P,Input!$H:$H,'1.CC Transition risk-Banking b.'!$A48&amp;"*",Input!$E:$E,'1.CC Transition risk-Banking b.'!$E$63,Input!$O:$O,'1.CC Transition risk-Banking b.'!$F$63),0))/1000000</f>
        <v>0</v>
      </c>
      <c r="G48" s="69">
        <f>(ROUND(SUMIFS(Input!$I:$I,Input!$H:$H,'1.CC Transition risk-Banking b.'!$A48&amp;"*",Input!$E:$E,'1.CC Transition risk-Banking b.'!$G$63,Input!$C:$C,'1.CC Transition risk-Banking b.'!$G$64),0))/1000000</f>
        <v>0</v>
      </c>
      <c r="H48" s="69">
        <f>(ROUND(SUMIFS(Input!$I:$I,Input!$H:$H,'1.CC Transition risk-Banking b.'!$A48&amp;"*",Input!$E:$E,'1.CC Transition risk-Banking b.'!$H$63,Input!$C:$C,'1.CC Transition risk-Banking b.'!$H$64),0))/1000000</f>
        <v>0</v>
      </c>
      <c r="I48" s="69">
        <f>(ROUND(SUMIFS(Input!$I:$I,Input!$H:$H,'1.CC Transition risk-Banking b.'!$A48&amp;"*",Input!$E:$E,'1.CC Transition risk-Banking b.'!$I$63),0))/1000000</f>
        <v>0</v>
      </c>
      <c r="J48" s="69">
        <f>(ROUND(SUMIFS(Input!$I:$I,Input!$H:$H,'1.CC Transition risk-Banking b.'!$A48&amp;"*",Input!$E:$E,'1.CC Transition risk-Banking b.'!$J$63,Input!$C:$C,'1.CC Transition risk-Banking b.'!$J$64),0))/1000000</f>
        <v>0</v>
      </c>
      <c r="K48" s="69">
        <f>(ROUND(SUMIFS(Input!$I:$I,Input!$H:$H,'1.CC Transition risk-Banking b.'!$A48&amp;"*",Input!$E:$E,'1.CC Transition risk-Banking b.'!$K$63,Input!$C:$C,'1.CC Transition risk-Banking b.'!$K$64),0))/1000000</f>
        <v>0</v>
      </c>
      <c r="L48" s="70">
        <f>(ROUND(SUMIFS(Input!$J:$J,Input!$H:$H,'1.CC Transition risk-Banking b.'!$A48&amp;"*")
+ SUMIFS(Input!$L:$L,Input!$H:$H,'1.CC Transition risk-Banking b.'!$A48&amp;"*")
+SUMIFS(Input!$N:$N,Input!$H:$H,'1.CC Transition risk-Banking b.'!$A48&amp;"*"),0))/1</f>
        <v>0</v>
      </c>
      <c r="M48" s="70">
        <f>(ROUND(SUMIFS(Input!$N:$N,Input!$H:$H,'1.CC Transition risk-Banking b.'!$A48&amp;"*"),0))/1</f>
        <v>0</v>
      </c>
      <c r="N48" s="76">
        <f>IFERROR(AVERAGE(SUMIFS(Input!$I:$I,Input!$H:$H,'1.CC Transition risk-Banking b.'!$A48&amp;"*",Input!$R:$R,"SOUR1",Input!$E:$E,'1.CC Transition risk-Banking b.'!$O$63),
SUMIFS(Input!$I:$I,Input!$H:$H,'1.CC Transition risk-Banking b.'!$A48&amp;"*",Input!$S:$S,"SOUR1",Input!$E:$E,'1.CC Transition risk-Banking b.'!$O$63),
SUMIFS(Input!$I:$I,Input!$H:$H,'1.CC Transition risk-Banking b.'!$A48&amp;"*",Input!$T:$T,"SOUR1",Input!$E:$E,'1.CC Transition risk-Banking b.'!$O$63))/SUMIFS(Input!$I:$I,Input!$H:$H,'1.CC Transition risk-Banking b.'!$A48&amp;"*",Input!$E:$E,'1.CC Transition risk-Banking b.'!$O$63),0)</f>
        <v>0</v>
      </c>
      <c r="O48" s="71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0</v>
      </c>
      <c r="P48" s="71">
        <f>(ROUND(SUMIFS(Input!$I:$I,Input!$H:$H,'1.CC Transition risk-Banking b.'!$A48&amp;"*",Input!$E:$E,'1.CC Transition risk-Banking b.'!P$63,Input!$G:$G,"&gt;5",Input!$G:$G,"&lt;=10"),0))/1000000</f>
        <v>0</v>
      </c>
      <c r="Q48" s="71">
        <f>(ROUND(SUMIFS(Input!$I:$I,Input!$H:$H,'1.CC Transition risk-Banking b.'!$A48&amp;"*",Input!$E:$E,'1.CC Transition risk-Banking b.'!Q$63,Input!$G:$G,"&gt;10",Input!$G:$G,"&lt;=20"),0))/1000000</f>
        <v>0</v>
      </c>
      <c r="R48" s="71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72">
        <f>ROUND(IFERROR((SUMIFS(Input!$Q:$Q,Input!$H:$H,'1.CC Transition risk-Banking b.'!$A48&amp;"*",Input!$E:$E,'1.CC Transition risk-Banking b.'!S$63,Input!$G:$G,"&gt;0")/1000000)/'1.CC Transition risk-Banking b.'!$D48,0),0)</f>
        <v>0</v>
      </c>
    </row>
    <row r="49" spans="1:19" x14ac:dyDescent="0.3">
      <c r="A49" s="81" t="s">
        <v>153</v>
      </c>
      <c r="B49" s="52">
        <v>44</v>
      </c>
      <c r="C49" s="54" t="s">
        <v>154</v>
      </c>
      <c r="D49" s="69">
        <f>(ROUND(SUMIFS(Input!$I:$I,Input!$H:$H,'1.CC Transition risk-Banking b.'!$A49&amp;"*",Input!$E:$E,'1.CC Transition risk-Banking b.'!$D$63),0))/1000000</f>
        <v>0</v>
      </c>
      <c r="E49" s="69">
        <f>(ROUND(SUMIFS(Input!$I:$I,Input!$H:$H,'1.CC Transition risk-Banking b.'!$A49&amp;"*",Input!$E:$E,'1.CC Transition risk-Banking b.'!$E$63,Input!$F:$F,'1.CC Transition risk-Banking b.'!$E$64),0))/1000000</f>
        <v>0</v>
      </c>
      <c r="F49" s="69">
        <f>(ROUND(SUMIFS(Input!$P:$P,Input!$H:$H,'1.CC Transition risk-Banking b.'!$A49&amp;"*",Input!$E:$E,'1.CC Transition risk-Banking b.'!$E$63,Input!$O:$O,'1.CC Transition risk-Banking b.'!$F$63),0))/1000000</f>
        <v>0</v>
      </c>
      <c r="G49" s="69">
        <f>(ROUND(SUMIFS(Input!$I:$I,Input!$H:$H,'1.CC Transition risk-Banking b.'!$A49&amp;"*",Input!$E:$E,'1.CC Transition risk-Banking b.'!$G$63,Input!$C:$C,'1.CC Transition risk-Banking b.'!$G$64),0))/1000000</f>
        <v>0</v>
      </c>
      <c r="H49" s="69">
        <f>(ROUND(SUMIFS(Input!$I:$I,Input!$H:$H,'1.CC Transition risk-Banking b.'!$A49&amp;"*",Input!$E:$E,'1.CC Transition risk-Banking b.'!$H$63,Input!$C:$C,'1.CC Transition risk-Banking b.'!$H$64),0))/1000000</f>
        <v>0</v>
      </c>
      <c r="I49" s="69">
        <f>(ROUND(SUMIFS(Input!$I:$I,Input!$H:$H,'1.CC Transition risk-Banking b.'!$A49&amp;"*",Input!$E:$E,'1.CC Transition risk-Banking b.'!$I$63),0))/1000000</f>
        <v>0</v>
      </c>
      <c r="J49" s="69">
        <f>(ROUND(SUMIFS(Input!$I:$I,Input!$H:$H,'1.CC Transition risk-Banking b.'!$A49&amp;"*",Input!$E:$E,'1.CC Transition risk-Banking b.'!$J$63,Input!$C:$C,'1.CC Transition risk-Banking b.'!$J$64),0))/1000000</f>
        <v>0</v>
      </c>
      <c r="K49" s="69">
        <f>(ROUND(SUMIFS(Input!$I:$I,Input!$H:$H,'1.CC Transition risk-Banking b.'!$A49&amp;"*",Input!$E:$E,'1.CC Transition risk-Banking b.'!$K$63,Input!$C:$C,'1.CC Transition risk-Banking b.'!$K$64),0))/1000000</f>
        <v>0</v>
      </c>
      <c r="L49" s="70">
        <f>(ROUND(SUMIFS(Input!$J:$J,Input!$H:$H,'1.CC Transition risk-Banking b.'!$A49&amp;"*")
+ SUMIFS(Input!$L:$L,Input!$H:$H,'1.CC Transition risk-Banking b.'!$A49&amp;"*")
+SUMIFS(Input!$N:$N,Input!$H:$H,'1.CC Transition risk-Banking b.'!$A49&amp;"*"),0))/1</f>
        <v>0</v>
      </c>
      <c r="M49" s="70">
        <f>(ROUND(SUMIFS(Input!$N:$N,Input!$H:$H,'1.CC Transition risk-Banking b.'!$A49&amp;"*"),0))/1</f>
        <v>0</v>
      </c>
      <c r="N49" s="76">
        <f>IFERROR(AVERAGE(SUMIFS(Input!$I:$I,Input!$H:$H,'1.CC Transition risk-Banking b.'!$A49&amp;"*",Input!$R:$R,"SOUR1",Input!$E:$E,'1.CC Transition risk-Banking b.'!$O$63),
SUMIFS(Input!$I:$I,Input!$H:$H,'1.CC Transition risk-Banking b.'!$A49&amp;"*",Input!$S:$S,"SOUR1",Input!$E:$E,'1.CC Transition risk-Banking b.'!$O$63),
SUMIFS(Input!$I:$I,Input!$H:$H,'1.CC Transition risk-Banking b.'!$A49&amp;"*",Input!$T:$T,"SOUR1",Input!$E:$E,'1.CC Transition risk-Banking b.'!$O$63))/SUMIFS(Input!$I:$I,Input!$H:$H,'1.CC Transition risk-Banking b.'!$A49&amp;"*",Input!$E:$E,'1.CC Transition risk-Banking b.'!$O$63),0)</f>
        <v>0</v>
      </c>
      <c r="O49" s="71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0</v>
      </c>
      <c r="P49" s="71">
        <f>(ROUND(SUMIFS(Input!$I:$I,Input!$H:$H,'1.CC Transition risk-Banking b.'!$A49&amp;"*",Input!$E:$E,'1.CC Transition risk-Banking b.'!P$63,Input!$G:$G,"&gt;5",Input!$G:$G,"&lt;=10"),0))/1000000</f>
        <v>0</v>
      </c>
      <c r="Q49" s="71">
        <f>(ROUND(SUMIFS(Input!$I:$I,Input!$H:$H,'1.CC Transition risk-Banking b.'!$A49&amp;"*",Input!$E:$E,'1.CC Transition risk-Banking b.'!Q$63,Input!$G:$G,"&gt;10",Input!$G:$G,"&lt;=20"),0))/1000000</f>
        <v>0</v>
      </c>
      <c r="R49" s="71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</v>
      </c>
      <c r="S49" s="72">
        <f>ROUND(IFERROR((SUMIFS(Input!$Q:$Q,Input!$H:$H,'1.CC Transition risk-Banking b.'!$A49&amp;"*",Input!$E:$E,'1.CC Transition risk-Banking b.'!S$63,Input!$G:$G,"&gt;0")/1000000)/'1.CC Transition risk-Banking b.'!$D49,0),0)</f>
        <v>0</v>
      </c>
    </row>
    <row r="50" spans="1:19" x14ac:dyDescent="0.3">
      <c r="A50" s="81" t="s">
        <v>155</v>
      </c>
      <c r="B50" s="52">
        <v>45</v>
      </c>
      <c r="C50" s="54" t="s">
        <v>156</v>
      </c>
      <c r="D50" s="69">
        <f>(ROUND(SUMIFS(Input!$I:$I,Input!$H:$H,'1.CC Transition risk-Banking b.'!$A50&amp;"*",Input!$E:$E,'1.CC Transition risk-Banking b.'!$D$63),0))/1000000</f>
        <v>0</v>
      </c>
      <c r="E50" s="69">
        <f>(ROUND(SUMIFS(Input!$I:$I,Input!$H:$H,'1.CC Transition risk-Banking b.'!$A50&amp;"*",Input!$E:$E,'1.CC Transition risk-Banking b.'!$E$63,Input!$F:$F,'1.CC Transition risk-Banking b.'!$E$64),0))/1000000</f>
        <v>0</v>
      </c>
      <c r="F50" s="69">
        <f>(ROUND(SUMIFS(Input!$P:$P,Input!$H:$H,'1.CC Transition risk-Banking b.'!$A50&amp;"*",Input!$E:$E,'1.CC Transition risk-Banking b.'!$E$63,Input!$O:$O,'1.CC Transition risk-Banking b.'!$F$63),0))/1000000</f>
        <v>0</v>
      </c>
      <c r="G50" s="69">
        <f>(ROUND(SUMIFS(Input!$I:$I,Input!$H:$H,'1.CC Transition risk-Banking b.'!$A50&amp;"*",Input!$E:$E,'1.CC Transition risk-Banking b.'!$G$63,Input!$C:$C,'1.CC Transition risk-Banking b.'!$G$64),0))/1000000</f>
        <v>0</v>
      </c>
      <c r="H50" s="69">
        <f>(ROUND(SUMIFS(Input!$I:$I,Input!$H:$H,'1.CC Transition risk-Banking b.'!$A50&amp;"*",Input!$E:$E,'1.CC Transition risk-Banking b.'!$H$63,Input!$C:$C,'1.CC Transition risk-Banking b.'!$H$64),0))/1000000</f>
        <v>0</v>
      </c>
      <c r="I50" s="69">
        <f>(ROUND(SUMIFS(Input!$I:$I,Input!$H:$H,'1.CC Transition risk-Banking b.'!$A50&amp;"*",Input!$E:$E,'1.CC Transition risk-Banking b.'!$I$63),0))/1000000</f>
        <v>0</v>
      </c>
      <c r="J50" s="69">
        <f>(ROUND(SUMIFS(Input!$I:$I,Input!$H:$H,'1.CC Transition risk-Banking b.'!$A50&amp;"*",Input!$E:$E,'1.CC Transition risk-Banking b.'!$J$63,Input!$C:$C,'1.CC Transition risk-Banking b.'!$J$64),0))/1000000</f>
        <v>0</v>
      </c>
      <c r="K50" s="69">
        <f>(ROUND(SUMIFS(Input!$I:$I,Input!$H:$H,'1.CC Transition risk-Banking b.'!$A50&amp;"*",Input!$E:$E,'1.CC Transition risk-Banking b.'!$K$63,Input!$C:$C,'1.CC Transition risk-Banking b.'!$K$64),0))/1000000</f>
        <v>0</v>
      </c>
      <c r="L50" s="70">
        <f>(ROUND(SUMIFS(Input!$J:$J,Input!$H:$H,'1.CC Transition risk-Banking b.'!$A50&amp;"*")
+ SUMIFS(Input!$L:$L,Input!$H:$H,'1.CC Transition risk-Banking b.'!$A50&amp;"*")
+SUMIFS(Input!$N:$N,Input!$H:$H,'1.CC Transition risk-Banking b.'!$A50&amp;"*"),0))/1</f>
        <v>0</v>
      </c>
      <c r="M50" s="70">
        <f>(ROUND(SUMIFS(Input!$N:$N,Input!$H:$H,'1.CC Transition risk-Banking b.'!$A50&amp;"*"),0))/1</f>
        <v>0</v>
      </c>
      <c r="N50" s="76">
        <f>IFERROR(AVERAGE(SUMIFS(Input!$I:$I,Input!$H:$H,'1.CC Transition risk-Banking b.'!$A50&amp;"*",Input!$R:$R,"SOUR1",Input!$E:$E,'1.CC Transition risk-Banking b.'!$O$63),
SUMIFS(Input!$I:$I,Input!$H:$H,'1.CC Transition risk-Banking b.'!$A50&amp;"*",Input!$S:$S,"SOUR1",Input!$E:$E,'1.CC Transition risk-Banking b.'!$O$63),
SUMIFS(Input!$I:$I,Input!$H:$H,'1.CC Transition risk-Banking b.'!$A50&amp;"*",Input!$T:$T,"SOUR1",Input!$E:$E,'1.CC Transition risk-Banking b.'!$O$63))/SUMIFS(Input!$I:$I,Input!$H:$H,'1.CC Transition risk-Banking b.'!$A50&amp;"*",Input!$E:$E,'1.CC Transition risk-Banking b.'!$O$63),0)</f>
        <v>0</v>
      </c>
      <c r="O50" s="71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0</v>
      </c>
      <c r="P50" s="71">
        <f>(ROUND(SUMIFS(Input!$I:$I,Input!$H:$H,'1.CC Transition risk-Banking b.'!$A50&amp;"*",Input!$E:$E,'1.CC Transition risk-Banking b.'!P$63,Input!$G:$G,"&gt;5",Input!$G:$G,"&lt;=10"),0))/1000000</f>
        <v>0</v>
      </c>
      <c r="Q50" s="71">
        <f>(ROUND(SUMIFS(Input!$I:$I,Input!$H:$H,'1.CC Transition risk-Banking b.'!$A50&amp;"*",Input!$E:$E,'1.CC Transition risk-Banking b.'!Q$63,Input!$G:$G,"&gt;10",Input!$G:$G,"&lt;=20"),0))/1000000</f>
        <v>0</v>
      </c>
      <c r="R50" s="71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72">
        <f>ROUND(IFERROR((SUMIFS(Input!$Q:$Q,Input!$H:$H,'1.CC Transition risk-Banking b.'!$A50&amp;"*",Input!$E:$E,'1.CC Transition risk-Banking b.'!S$63,Input!$G:$G,"&gt;0")/1000000)/'1.CC Transition risk-Banking b.'!$D50,0),0)</f>
        <v>0</v>
      </c>
    </row>
    <row r="51" spans="1:19" x14ac:dyDescent="0.3">
      <c r="A51" s="81" t="s">
        <v>157</v>
      </c>
      <c r="B51" s="52">
        <v>46</v>
      </c>
      <c r="C51" s="56" t="s">
        <v>158</v>
      </c>
      <c r="D51" s="69">
        <f>(ROUND(SUMIFS(Input!$I:$I,Input!$H:$H,'1.CC Transition risk-Banking b.'!$A51&amp;"*",Input!$E:$E,'1.CC Transition risk-Banking b.'!$D$63),0))/1000000</f>
        <v>0</v>
      </c>
      <c r="E51" s="69">
        <f>(ROUND(SUMIFS(Input!$I:$I,Input!$H:$H,'1.CC Transition risk-Banking b.'!$A51&amp;"*",Input!$E:$E,'1.CC Transition risk-Banking b.'!$E$63,Input!$F:$F,'1.CC Transition risk-Banking b.'!$E$64),0))/1000000</f>
        <v>0</v>
      </c>
      <c r="F51" s="69">
        <f>(ROUND(SUMIFS(Input!$P:$P,Input!$H:$H,'1.CC Transition risk-Banking b.'!$A51&amp;"*",Input!$E:$E,'1.CC Transition risk-Banking b.'!$E$63,Input!$O:$O,'1.CC Transition risk-Banking b.'!$F$63),0))/1000000</f>
        <v>0</v>
      </c>
      <c r="G51" s="69">
        <f>(ROUND(SUMIFS(Input!$I:$I,Input!$H:$H,'1.CC Transition risk-Banking b.'!$A51&amp;"*",Input!$E:$E,'1.CC Transition risk-Banking b.'!$G$63,Input!$C:$C,'1.CC Transition risk-Banking b.'!$G$64),0))/1000000</f>
        <v>0</v>
      </c>
      <c r="H51" s="69">
        <f>(ROUND(SUMIFS(Input!$I:$I,Input!$H:$H,'1.CC Transition risk-Banking b.'!$A51&amp;"*",Input!$E:$E,'1.CC Transition risk-Banking b.'!$H$63,Input!$C:$C,'1.CC Transition risk-Banking b.'!$H$64),0))/1000000</f>
        <v>0</v>
      </c>
      <c r="I51" s="69">
        <f>(ROUND(SUMIFS(Input!$I:$I,Input!$H:$H,'1.CC Transition risk-Banking b.'!$A51&amp;"*",Input!$E:$E,'1.CC Transition risk-Banking b.'!$I$63),0))/1000000</f>
        <v>0</v>
      </c>
      <c r="J51" s="69">
        <f>(ROUND(SUMIFS(Input!$I:$I,Input!$H:$H,'1.CC Transition risk-Banking b.'!$A51&amp;"*",Input!$E:$E,'1.CC Transition risk-Banking b.'!$J$63,Input!$C:$C,'1.CC Transition risk-Banking b.'!$J$64),0))/1000000</f>
        <v>0</v>
      </c>
      <c r="K51" s="69">
        <f>(ROUND(SUMIFS(Input!$I:$I,Input!$H:$H,'1.CC Transition risk-Banking b.'!$A51&amp;"*",Input!$E:$E,'1.CC Transition risk-Banking b.'!$K$63,Input!$C:$C,'1.CC Transition risk-Banking b.'!$K$64),0))/1000000</f>
        <v>0</v>
      </c>
      <c r="L51" s="70">
        <f>(ROUND(SUMIFS(Input!$J:$J,Input!$H:$H,'1.CC Transition risk-Banking b.'!$A51&amp;"*")
+ SUMIFS(Input!$L:$L,Input!$H:$H,'1.CC Transition risk-Banking b.'!$A51&amp;"*")
+SUMIFS(Input!$N:$N,Input!$H:$H,'1.CC Transition risk-Banking b.'!$A51&amp;"*"),0))/1</f>
        <v>0</v>
      </c>
      <c r="M51" s="70">
        <f>(ROUND(SUMIFS(Input!$N:$N,Input!$H:$H,'1.CC Transition risk-Banking b.'!$A51&amp;"*"),0))/1</f>
        <v>0</v>
      </c>
      <c r="N51" s="76">
        <f>IFERROR(AVERAGE(SUMIFS(Input!$I:$I,Input!$H:$H,'1.CC Transition risk-Banking b.'!$A51&amp;"*",Input!$R:$R,"SOUR1",Input!$E:$E,'1.CC Transition risk-Banking b.'!$O$63),
SUMIFS(Input!$I:$I,Input!$H:$H,'1.CC Transition risk-Banking b.'!$A51&amp;"*",Input!$S:$S,"SOUR1",Input!$E:$E,'1.CC Transition risk-Banking b.'!$O$63),
SUMIFS(Input!$I:$I,Input!$H:$H,'1.CC Transition risk-Banking b.'!$A51&amp;"*",Input!$T:$T,"SOUR1",Input!$E:$E,'1.CC Transition risk-Banking b.'!$O$63))/SUMIFS(Input!$I:$I,Input!$H:$H,'1.CC Transition risk-Banking b.'!$A51&amp;"*",Input!$E:$E,'1.CC Transition risk-Banking b.'!$O$63),0)</f>
        <v>0</v>
      </c>
      <c r="O51" s="71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0</v>
      </c>
      <c r="P51" s="71">
        <f>(ROUND(SUMIFS(Input!$I:$I,Input!$H:$H,'1.CC Transition risk-Banking b.'!$A51&amp;"*",Input!$E:$E,'1.CC Transition risk-Banking b.'!P$63,Input!$G:$G,"&gt;5",Input!$G:$G,"&lt;=10"),0))/1000000</f>
        <v>0</v>
      </c>
      <c r="Q51" s="71">
        <f>(ROUND(SUMIFS(Input!$I:$I,Input!$H:$H,'1.CC Transition risk-Banking b.'!$A51&amp;"*",Input!$E:$E,'1.CC Transition risk-Banking b.'!Q$63,Input!$G:$G,"&gt;10",Input!$G:$G,"&lt;=20"),0))/1000000</f>
        <v>0</v>
      </c>
      <c r="R51" s="71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72">
        <f>ROUND(IFERROR((SUMIFS(Input!$Q:$Q,Input!$H:$H,'1.CC Transition risk-Banking b.'!$A51&amp;"*",Input!$E:$E,'1.CC Transition risk-Banking b.'!S$63,Input!$G:$G,"&gt;0")/1000000)/'1.CC Transition risk-Banking b.'!$D51,0),0)</f>
        <v>0</v>
      </c>
    </row>
    <row r="52" spans="1:19" x14ac:dyDescent="0.3">
      <c r="A52" s="81" t="s">
        <v>159</v>
      </c>
      <c r="B52" s="52">
        <v>47</v>
      </c>
      <c r="C52" s="56" t="s">
        <v>160</v>
      </c>
      <c r="D52" s="69">
        <f>(ROUND(SUMIFS(Input!$I:$I,Input!$H:$H,'1.CC Transition risk-Banking b.'!$A52&amp;"*",Input!$E:$E,'1.CC Transition risk-Banking b.'!$D$63),0))/1000000</f>
        <v>0</v>
      </c>
      <c r="E52" s="69">
        <f>(ROUND(SUMIFS(Input!$I:$I,Input!$H:$H,'1.CC Transition risk-Banking b.'!$A52&amp;"*",Input!$E:$E,'1.CC Transition risk-Banking b.'!$E$63,Input!$F:$F,'1.CC Transition risk-Banking b.'!$E$64),0))/1000000</f>
        <v>0</v>
      </c>
      <c r="F52" s="69">
        <f>(ROUND(SUMIFS(Input!$P:$P,Input!$H:$H,'1.CC Transition risk-Banking b.'!$A52&amp;"*",Input!$E:$E,'1.CC Transition risk-Banking b.'!$E$63,Input!$O:$O,'1.CC Transition risk-Banking b.'!$F$63),0))/1000000</f>
        <v>0</v>
      </c>
      <c r="G52" s="69">
        <f>(ROUND(SUMIFS(Input!$I:$I,Input!$H:$H,'1.CC Transition risk-Banking b.'!$A52&amp;"*",Input!$E:$E,'1.CC Transition risk-Banking b.'!$G$63,Input!$C:$C,'1.CC Transition risk-Banking b.'!$G$64),0))/1000000</f>
        <v>0</v>
      </c>
      <c r="H52" s="69">
        <f>(ROUND(SUMIFS(Input!$I:$I,Input!$H:$H,'1.CC Transition risk-Banking b.'!$A52&amp;"*",Input!$E:$E,'1.CC Transition risk-Banking b.'!$H$63,Input!$C:$C,'1.CC Transition risk-Banking b.'!$H$64),0))/1000000</f>
        <v>0</v>
      </c>
      <c r="I52" s="69">
        <f>(ROUND(SUMIFS(Input!$I:$I,Input!$H:$H,'1.CC Transition risk-Banking b.'!$A52&amp;"*",Input!$E:$E,'1.CC Transition risk-Banking b.'!$I$63),0))/1000000</f>
        <v>0</v>
      </c>
      <c r="J52" s="69">
        <f>(ROUND(SUMIFS(Input!$I:$I,Input!$H:$H,'1.CC Transition risk-Banking b.'!$A52&amp;"*",Input!$E:$E,'1.CC Transition risk-Banking b.'!$J$63,Input!$C:$C,'1.CC Transition risk-Banking b.'!$J$64),0))/1000000</f>
        <v>0</v>
      </c>
      <c r="K52" s="69">
        <f>(ROUND(SUMIFS(Input!$I:$I,Input!$H:$H,'1.CC Transition risk-Banking b.'!$A52&amp;"*",Input!$E:$E,'1.CC Transition risk-Banking b.'!$K$63,Input!$C:$C,'1.CC Transition risk-Banking b.'!$K$64),0))/1000000</f>
        <v>0</v>
      </c>
      <c r="L52" s="70">
        <f>(ROUND(SUMIFS(Input!$J:$J,Input!$H:$H,'1.CC Transition risk-Banking b.'!$A52&amp;"*")
+ SUMIFS(Input!$L:$L,Input!$H:$H,'1.CC Transition risk-Banking b.'!$A52&amp;"*")
+SUMIFS(Input!$N:$N,Input!$H:$H,'1.CC Transition risk-Banking b.'!$A52&amp;"*"),0))/1</f>
        <v>0</v>
      </c>
      <c r="M52" s="70">
        <f>(ROUND(SUMIFS(Input!$N:$N,Input!$H:$H,'1.CC Transition risk-Banking b.'!$A52&amp;"*"),0))/1</f>
        <v>0</v>
      </c>
      <c r="N52" s="76">
        <f>IFERROR(AVERAGE(SUMIFS(Input!$I:$I,Input!$H:$H,'1.CC Transition risk-Banking b.'!$A52&amp;"*",Input!$R:$R,"SOUR1",Input!$E:$E,'1.CC Transition risk-Banking b.'!$O$63),
SUMIFS(Input!$I:$I,Input!$H:$H,'1.CC Transition risk-Banking b.'!$A52&amp;"*",Input!$S:$S,"SOUR1",Input!$E:$E,'1.CC Transition risk-Banking b.'!$O$63),
SUMIFS(Input!$I:$I,Input!$H:$H,'1.CC Transition risk-Banking b.'!$A52&amp;"*",Input!$T:$T,"SOUR1",Input!$E:$E,'1.CC Transition risk-Banking b.'!$O$63))/SUMIFS(Input!$I:$I,Input!$H:$H,'1.CC Transition risk-Banking b.'!$A52&amp;"*",Input!$E:$E,'1.CC Transition risk-Banking b.'!$O$63),0)</f>
        <v>0</v>
      </c>
      <c r="O52" s="71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0</v>
      </c>
      <c r="P52" s="71">
        <f>(ROUND(SUMIFS(Input!$I:$I,Input!$H:$H,'1.CC Transition risk-Banking b.'!$A52&amp;"*",Input!$E:$E,'1.CC Transition risk-Banking b.'!P$63,Input!$G:$G,"&gt;5",Input!$G:$G,"&lt;=10"),0))/1000000</f>
        <v>0</v>
      </c>
      <c r="Q52" s="71">
        <f>(ROUND(SUMIFS(Input!$I:$I,Input!$H:$H,'1.CC Transition risk-Banking b.'!$A52&amp;"*",Input!$E:$E,'1.CC Transition risk-Banking b.'!Q$63,Input!$G:$G,"&gt;10",Input!$G:$G,"&lt;=20"),0))/1000000</f>
        <v>0</v>
      </c>
      <c r="R52" s="71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72">
        <f>ROUND(IFERROR((SUMIFS(Input!$Q:$Q,Input!$H:$H,'1.CC Transition risk-Banking b.'!$A52&amp;"*",Input!$E:$E,'1.CC Transition risk-Banking b.'!S$63,Input!$G:$G,"&gt;0")/1000000)/'1.CC Transition risk-Banking b.'!$D52,0),0)</f>
        <v>0</v>
      </c>
    </row>
    <row r="53" spans="1:19" x14ac:dyDescent="0.3">
      <c r="A53" s="81" t="s">
        <v>161</v>
      </c>
      <c r="B53" s="52">
        <v>48</v>
      </c>
      <c r="C53" s="56" t="s">
        <v>162</v>
      </c>
      <c r="D53" s="69">
        <f>(ROUND(SUMIFS(Input!$I:$I,Input!$H:$H,'1.CC Transition risk-Banking b.'!$A53&amp;"*",Input!$E:$E,'1.CC Transition risk-Banking b.'!$D$63),0))/1000000</f>
        <v>0</v>
      </c>
      <c r="E53" s="69">
        <f>(ROUND(SUMIFS(Input!$I:$I,Input!$H:$H,'1.CC Transition risk-Banking b.'!$A53&amp;"*",Input!$E:$E,'1.CC Transition risk-Banking b.'!$E$63,Input!$F:$F,'1.CC Transition risk-Banking b.'!$E$64),0))/1000000</f>
        <v>0</v>
      </c>
      <c r="F53" s="69">
        <f>(ROUND(SUMIFS(Input!$P:$P,Input!$H:$H,'1.CC Transition risk-Banking b.'!$A53&amp;"*",Input!$E:$E,'1.CC Transition risk-Banking b.'!$E$63,Input!$O:$O,'1.CC Transition risk-Banking b.'!$F$63),0))/1000000</f>
        <v>0</v>
      </c>
      <c r="G53" s="69">
        <f>(ROUND(SUMIFS(Input!$I:$I,Input!$H:$H,'1.CC Transition risk-Banking b.'!$A53&amp;"*",Input!$E:$E,'1.CC Transition risk-Banking b.'!$G$63,Input!$C:$C,'1.CC Transition risk-Banking b.'!$G$64),0))/1000000</f>
        <v>0</v>
      </c>
      <c r="H53" s="69">
        <f>(ROUND(SUMIFS(Input!$I:$I,Input!$H:$H,'1.CC Transition risk-Banking b.'!$A53&amp;"*",Input!$E:$E,'1.CC Transition risk-Banking b.'!$H$63,Input!$C:$C,'1.CC Transition risk-Banking b.'!$H$64),0))/1000000</f>
        <v>0</v>
      </c>
      <c r="I53" s="69">
        <f>(ROUND(SUMIFS(Input!$I:$I,Input!$H:$H,'1.CC Transition risk-Banking b.'!$A53&amp;"*",Input!$E:$E,'1.CC Transition risk-Banking b.'!$I$63),0))/1000000</f>
        <v>0</v>
      </c>
      <c r="J53" s="69">
        <f>(ROUND(SUMIFS(Input!$I:$I,Input!$H:$H,'1.CC Transition risk-Banking b.'!$A53&amp;"*",Input!$E:$E,'1.CC Transition risk-Banking b.'!$J$63,Input!$C:$C,'1.CC Transition risk-Banking b.'!$J$64),0))/1000000</f>
        <v>0</v>
      </c>
      <c r="K53" s="69">
        <f>(ROUND(SUMIFS(Input!$I:$I,Input!$H:$H,'1.CC Transition risk-Banking b.'!$A53&amp;"*",Input!$E:$E,'1.CC Transition risk-Banking b.'!$K$63,Input!$C:$C,'1.CC Transition risk-Banking b.'!$K$64),0))/1000000</f>
        <v>0</v>
      </c>
      <c r="L53" s="70">
        <f>(ROUND(SUMIFS(Input!$J:$J,Input!$H:$H,'1.CC Transition risk-Banking b.'!$A53&amp;"*")
+ SUMIFS(Input!$L:$L,Input!$H:$H,'1.CC Transition risk-Banking b.'!$A53&amp;"*")
+SUMIFS(Input!$N:$N,Input!$H:$H,'1.CC Transition risk-Banking b.'!$A53&amp;"*"),0))/1</f>
        <v>0</v>
      </c>
      <c r="M53" s="70">
        <f>(ROUND(SUMIFS(Input!$N:$N,Input!$H:$H,'1.CC Transition risk-Banking b.'!$A53&amp;"*"),0))/1</f>
        <v>0</v>
      </c>
      <c r="N53" s="76">
        <f>IFERROR(AVERAGE(SUMIFS(Input!$I:$I,Input!$H:$H,'1.CC Transition risk-Banking b.'!$A53&amp;"*",Input!$R:$R,"SOUR1",Input!$E:$E,'1.CC Transition risk-Banking b.'!$O$63),
SUMIFS(Input!$I:$I,Input!$H:$H,'1.CC Transition risk-Banking b.'!$A53&amp;"*",Input!$S:$S,"SOUR1",Input!$E:$E,'1.CC Transition risk-Banking b.'!$O$63),
SUMIFS(Input!$I:$I,Input!$H:$H,'1.CC Transition risk-Banking b.'!$A53&amp;"*",Input!$T:$T,"SOUR1",Input!$E:$E,'1.CC Transition risk-Banking b.'!$O$63))/SUMIFS(Input!$I:$I,Input!$H:$H,'1.CC Transition risk-Banking b.'!$A53&amp;"*",Input!$E:$E,'1.CC Transition risk-Banking b.'!$O$63),0)</f>
        <v>0</v>
      </c>
      <c r="O53" s="71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0</v>
      </c>
      <c r="P53" s="71">
        <f>(ROUND(SUMIFS(Input!$I:$I,Input!$H:$H,'1.CC Transition risk-Banking b.'!$A53&amp;"*",Input!$E:$E,'1.CC Transition risk-Banking b.'!P$63,Input!$G:$G,"&gt;5",Input!$G:$G,"&lt;=10"),0))/1000000</f>
        <v>0</v>
      </c>
      <c r="Q53" s="71">
        <f>(ROUND(SUMIFS(Input!$I:$I,Input!$H:$H,'1.CC Transition risk-Banking b.'!$A53&amp;"*",Input!$E:$E,'1.CC Transition risk-Banking b.'!Q$63,Input!$G:$G,"&gt;10",Input!$G:$G,"&lt;=20"),0))/1000000</f>
        <v>0</v>
      </c>
      <c r="R53" s="71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72">
        <f>ROUND(IFERROR((SUMIFS(Input!$Q:$Q,Input!$H:$H,'1.CC Transition risk-Banking b.'!$A53&amp;"*",Input!$E:$E,'1.CC Transition risk-Banking b.'!S$63,Input!$G:$G,"&gt;0")/1000000)/'1.CC Transition risk-Banking b.'!$D53,0),0)</f>
        <v>0</v>
      </c>
    </row>
    <row r="54" spans="1:19" x14ac:dyDescent="0.3">
      <c r="A54" s="81" t="s">
        <v>163</v>
      </c>
      <c r="B54" s="52">
        <v>49</v>
      </c>
      <c r="C54" s="56" t="s">
        <v>164</v>
      </c>
      <c r="D54" s="69">
        <f>(ROUND(SUMIFS(Input!$I:$I,Input!$H:$H,'1.CC Transition risk-Banking b.'!$A54&amp;"*",Input!$E:$E,'1.CC Transition risk-Banking b.'!$D$63),0))/1000000</f>
        <v>0</v>
      </c>
      <c r="E54" s="69">
        <f>(ROUND(SUMIFS(Input!$I:$I,Input!$H:$H,'1.CC Transition risk-Banking b.'!$A54&amp;"*",Input!$E:$E,'1.CC Transition risk-Banking b.'!$E$63,Input!$F:$F,'1.CC Transition risk-Banking b.'!$E$64),0))/1000000</f>
        <v>0</v>
      </c>
      <c r="F54" s="69">
        <f>(ROUND(SUMIFS(Input!$P:$P,Input!$H:$H,'1.CC Transition risk-Banking b.'!$A54&amp;"*",Input!$E:$E,'1.CC Transition risk-Banking b.'!$E$63,Input!$O:$O,'1.CC Transition risk-Banking b.'!$F$63),0))/1000000</f>
        <v>0</v>
      </c>
      <c r="G54" s="69">
        <f>(ROUND(SUMIFS(Input!$I:$I,Input!$H:$H,'1.CC Transition risk-Banking b.'!$A54&amp;"*",Input!$E:$E,'1.CC Transition risk-Banking b.'!$G$63,Input!$C:$C,'1.CC Transition risk-Banking b.'!$G$64),0))/1000000</f>
        <v>0</v>
      </c>
      <c r="H54" s="69">
        <f>(ROUND(SUMIFS(Input!$I:$I,Input!$H:$H,'1.CC Transition risk-Banking b.'!$A54&amp;"*",Input!$E:$E,'1.CC Transition risk-Banking b.'!$H$63,Input!$C:$C,'1.CC Transition risk-Banking b.'!$H$64),0))/1000000</f>
        <v>0</v>
      </c>
      <c r="I54" s="69">
        <f>(ROUND(SUMIFS(Input!$I:$I,Input!$H:$H,'1.CC Transition risk-Banking b.'!$A54&amp;"*",Input!$E:$E,'1.CC Transition risk-Banking b.'!$I$63),0))/1000000</f>
        <v>0</v>
      </c>
      <c r="J54" s="69">
        <f>(ROUND(SUMIFS(Input!$I:$I,Input!$H:$H,'1.CC Transition risk-Banking b.'!$A54&amp;"*",Input!$E:$E,'1.CC Transition risk-Banking b.'!$J$63,Input!$C:$C,'1.CC Transition risk-Banking b.'!$J$64),0))/1000000</f>
        <v>0</v>
      </c>
      <c r="K54" s="69">
        <f>(ROUND(SUMIFS(Input!$I:$I,Input!$H:$H,'1.CC Transition risk-Banking b.'!$A54&amp;"*",Input!$E:$E,'1.CC Transition risk-Banking b.'!$K$63,Input!$C:$C,'1.CC Transition risk-Banking b.'!$K$64),0))/1000000</f>
        <v>0</v>
      </c>
      <c r="L54" s="70">
        <f>(ROUND(SUMIFS(Input!$J:$J,Input!$H:$H,'1.CC Transition risk-Banking b.'!$A54&amp;"*")
+ SUMIFS(Input!$L:$L,Input!$H:$H,'1.CC Transition risk-Banking b.'!$A54&amp;"*")
+SUMIFS(Input!$N:$N,Input!$H:$H,'1.CC Transition risk-Banking b.'!$A54&amp;"*"),0))/1</f>
        <v>0</v>
      </c>
      <c r="M54" s="70">
        <f>(ROUND(SUMIFS(Input!$N:$N,Input!$H:$H,'1.CC Transition risk-Banking b.'!$A54&amp;"*"),0))/1</f>
        <v>0</v>
      </c>
      <c r="N54" s="76">
        <f>IFERROR(AVERAGE(SUMIFS(Input!$I:$I,Input!$H:$H,'1.CC Transition risk-Banking b.'!$A54&amp;"*",Input!$R:$R,"SOUR1",Input!$E:$E,'1.CC Transition risk-Banking b.'!$O$63),
SUMIFS(Input!$I:$I,Input!$H:$H,'1.CC Transition risk-Banking b.'!$A54&amp;"*",Input!$S:$S,"SOUR1",Input!$E:$E,'1.CC Transition risk-Banking b.'!$O$63),
SUMIFS(Input!$I:$I,Input!$H:$H,'1.CC Transition risk-Banking b.'!$A54&amp;"*",Input!$T:$T,"SOUR1",Input!$E:$E,'1.CC Transition risk-Banking b.'!$O$63))/SUMIFS(Input!$I:$I,Input!$H:$H,'1.CC Transition risk-Banking b.'!$A54&amp;"*",Input!$E:$E,'1.CC Transition risk-Banking b.'!$O$63),0)</f>
        <v>0</v>
      </c>
      <c r="O54" s="71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0</v>
      </c>
      <c r="P54" s="71">
        <f>(ROUND(SUMIFS(Input!$I:$I,Input!$H:$H,'1.CC Transition risk-Banking b.'!$A54&amp;"*",Input!$E:$E,'1.CC Transition risk-Banking b.'!P$63,Input!$G:$G,"&gt;5",Input!$G:$G,"&lt;=10"),0))/1000000</f>
        <v>0</v>
      </c>
      <c r="Q54" s="71">
        <f>(ROUND(SUMIFS(Input!$I:$I,Input!$H:$H,'1.CC Transition risk-Banking b.'!$A54&amp;"*",Input!$E:$E,'1.CC Transition risk-Banking b.'!Q$63,Input!$G:$G,"&gt;10",Input!$G:$G,"&lt;=20"),0))/1000000</f>
        <v>0</v>
      </c>
      <c r="R54" s="71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72">
        <f>ROUND(IFERROR((SUMIFS(Input!$Q:$Q,Input!$H:$H,'1.CC Transition risk-Banking b.'!$A54&amp;"*",Input!$E:$E,'1.CC Transition risk-Banking b.'!S$63,Input!$G:$G,"&gt;0")/1000000)/'1.CC Transition risk-Banking b.'!$D54,0),0)</f>
        <v>0</v>
      </c>
    </row>
    <row r="55" spans="1:19" x14ac:dyDescent="0.3">
      <c r="A55" s="81" t="s">
        <v>165</v>
      </c>
      <c r="B55" s="52">
        <v>50</v>
      </c>
      <c r="C55" s="56" t="s">
        <v>166</v>
      </c>
      <c r="D55" s="69">
        <f>(ROUND(SUMIFS(Input!$I:$I,Input!$H:$H,'1.CC Transition risk-Banking b.'!$A55&amp;"*",Input!$E:$E,'1.CC Transition risk-Banking b.'!$D$63),0))/1000000</f>
        <v>0</v>
      </c>
      <c r="E55" s="69">
        <f>(ROUND(SUMIFS(Input!$I:$I,Input!$H:$H,'1.CC Transition risk-Banking b.'!$A55&amp;"*",Input!$E:$E,'1.CC Transition risk-Banking b.'!$E$63,Input!$F:$F,'1.CC Transition risk-Banking b.'!$E$64),0))/1000000</f>
        <v>0</v>
      </c>
      <c r="F55" s="69">
        <f>(ROUND(SUMIFS(Input!$P:$P,Input!$H:$H,'1.CC Transition risk-Banking b.'!$A55&amp;"*",Input!$E:$E,'1.CC Transition risk-Banking b.'!$E$63,Input!$O:$O,'1.CC Transition risk-Banking b.'!$F$63),0))/1000000</f>
        <v>0</v>
      </c>
      <c r="G55" s="69">
        <f>(ROUND(SUMIFS(Input!$I:$I,Input!$H:$H,'1.CC Transition risk-Banking b.'!$A55&amp;"*",Input!$E:$E,'1.CC Transition risk-Banking b.'!$G$63,Input!$C:$C,'1.CC Transition risk-Banking b.'!$G$64),0))/1000000</f>
        <v>0</v>
      </c>
      <c r="H55" s="69">
        <f>(ROUND(SUMIFS(Input!$I:$I,Input!$H:$H,'1.CC Transition risk-Banking b.'!$A55&amp;"*",Input!$E:$E,'1.CC Transition risk-Banking b.'!$H$63,Input!$C:$C,'1.CC Transition risk-Banking b.'!$H$64),0))/1000000</f>
        <v>0</v>
      </c>
      <c r="I55" s="69">
        <f>(ROUND(SUMIFS(Input!$I:$I,Input!$H:$H,'1.CC Transition risk-Banking b.'!$A55&amp;"*",Input!$E:$E,'1.CC Transition risk-Banking b.'!$I$63),0))/1000000</f>
        <v>0</v>
      </c>
      <c r="J55" s="69">
        <f>(ROUND(SUMIFS(Input!$I:$I,Input!$H:$H,'1.CC Transition risk-Banking b.'!$A55&amp;"*",Input!$E:$E,'1.CC Transition risk-Banking b.'!$J$63,Input!$C:$C,'1.CC Transition risk-Banking b.'!$J$64),0))/1000000</f>
        <v>0</v>
      </c>
      <c r="K55" s="69">
        <f>(ROUND(SUMIFS(Input!$I:$I,Input!$H:$H,'1.CC Transition risk-Banking b.'!$A55&amp;"*",Input!$E:$E,'1.CC Transition risk-Banking b.'!$K$63,Input!$C:$C,'1.CC Transition risk-Banking b.'!$K$64),0))/1000000</f>
        <v>0</v>
      </c>
      <c r="L55" s="70">
        <f>(ROUND(SUMIFS(Input!$J:$J,Input!$H:$H,'1.CC Transition risk-Banking b.'!$A55&amp;"*")
+ SUMIFS(Input!$L:$L,Input!$H:$H,'1.CC Transition risk-Banking b.'!$A55&amp;"*")
+SUMIFS(Input!$N:$N,Input!$H:$H,'1.CC Transition risk-Banking b.'!$A55&amp;"*"),0))/1</f>
        <v>0</v>
      </c>
      <c r="M55" s="70">
        <f>(ROUND(SUMIFS(Input!$N:$N,Input!$H:$H,'1.CC Transition risk-Banking b.'!$A55&amp;"*"),0))/1</f>
        <v>0</v>
      </c>
      <c r="N55" s="76">
        <f>IFERROR(AVERAGE(SUMIFS(Input!$I:$I,Input!$H:$H,'1.CC Transition risk-Banking b.'!$A55&amp;"*",Input!$R:$R,"SOUR1",Input!$E:$E,'1.CC Transition risk-Banking b.'!$O$63),
SUMIFS(Input!$I:$I,Input!$H:$H,'1.CC Transition risk-Banking b.'!$A55&amp;"*",Input!$S:$S,"SOUR1",Input!$E:$E,'1.CC Transition risk-Banking b.'!$O$63),
SUMIFS(Input!$I:$I,Input!$H:$H,'1.CC Transition risk-Banking b.'!$A55&amp;"*",Input!$T:$T,"SOUR1",Input!$E:$E,'1.CC Transition risk-Banking b.'!$O$63))/SUMIFS(Input!$I:$I,Input!$H:$H,'1.CC Transition risk-Banking b.'!$A55&amp;"*",Input!$E:$E,'1.CC Transition risk-Banking b.'!$O$63),0)</f>
        <v>0</v>
      </c>
      <c r="O55" s="71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0</v>
      </c>
      <c r="P55" s="71">
        <f>(ROUND(SUMIFS(Input!$I:$I,Input!$H:$H,'1.CC Transition risk-Banking b.'!$A55&amp;"*",Input!$E:$E,'1.CC Transition risk-Banking b.'!P$63,Input!$G:$G,"&gt;5",Input!$G:$G,"&lt;=10"),0))/1000000</f>
        <v>0</v>
      </c>
      <c r="Q55" s="71">
        <f>(ROUND(SUMIFS(Input!$I:$I,Input!$H:$H,'1.CC Transition risk-Banking b.'!$A55&amp;"*",Input!$E:$E,'1.CC Transition risk-Banking b.'!Q$63,Input!$G:$G,"&gt;10",Input!$G:$G,"&lt;=20"),0))/1000000</f>
        <v>0</v>
      </c>
      <c r="R55" s="71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72">
        <f>ROUND(IFERROR((SUMIFS(Input!$Q:$Q,Input!$H:$H,'1.CC Transition risk-Banking b.'!$A55&amp;"*",Input!$E:$E,'1.CC Transition risk-Banking b.'!S$63,Input!$G:$G,"&gt;0")/1000000)/'1.CC Transition risk-Banking b.'!$D55,0),0)</f>
        <v>0</v>
      </c>
    </row>
    <row r="56" spans="1:19" s="58" customFormat="1" x14ac:dyDescent="0.3">
      <c r="A56" s="81" t="s">
        <v>167</v>
      </c>
      <c r="B56" s="52">
        <v>51</v>
      </c>
      <c r="C56" s="57" t="s">
        <v>168</v>
      </c>
      <c r="D56" s="69">
        <f>(ROUND(SUMIFS(Input!$I:$I,Input!$H:$H,'1.CC Transition risk-Banking b.'!$A56&amp;"*",Input!$E:$E,'1.CC Transition risk-Banking b.'!$D$63),0))/1000000</f>
        <v>0</v>
      </c>
      <c r="E56" s="69">
        <f>(ROUND(SUMIFS(Input!$I:$I,Input!$H:$H,'1.CC Transition risk-Banking b.'!$A56&amp;"*",Input!$E:$E,'1.CC Transition risk-Banking b.'!$E$63,Input!$F:$F,'1.CC Transition risk-Banking b.'!$E$64),0))/1000000</f>
        <v>0</v>
      </c>
      <c r="F56" s="69">
        <f>(ROUND(SUMIFS(Input!$P:$P,Input!$H:$H,'1.CC Transition risk-Banking b.'!$A56&amp;"*",Input!$E:$E,'1.CC Transition risk-Banking b.'!$E$63,Input!$O:$O,'1.CC Transition risk-Banking b.'!$F$63),0))/1000000</f>
        <v>0</v>
      </c>
      <c r="G56" s="69">
        <f>(ROUND(SUMIFS(Input!$I:$I,Input!$H:$H,'1.CC Transition risk-Banking b.'!$A56&amp;"*",Input!$E:$E,'1.CC Transition risk-Banking b.'!$G$63,Input!$C:$C,'1.CC Transition risk-Banking b.'!$G$64),0))/1000000</f>
        <v>0</v>
      </c>
      <c r="H56" s="69">
        <f>(ROUND(SUMIFS(Input!$I:$I,Input!$H:$H,'1.CC Transition risk-Banking b.'!$A56&amp;"*",Input!$E:$E,'1.CC Transition risk-Banking b.'!$H$63,Input!$C:$C,'1.CC Transition risk-Banking b.'!$H$64),0))/1000000</f>
        <v>0</v>
      </c>
      <c r="I56" s="69">
        <f>(ROUND(SUMIFS(Input!$I:$I,Input!$H:$H,'1.CC Transition risk-Banking b.'!$A56&amp;"*",Input!$E:$E,'1.CC Transition risk-Banking b.'!$I$63),0))/1000000</f>
        <v>0</v>
      </c>
      <c r="J56" s="69">
        <f>(ROUND(SUMIFS(Input!$I:$I,Input!$H:$H,'1.CC Transition risk-Banking b.'!$A56&amp;"*",Input!$E:$E,'1.CC Transition risk-Banking b.'!$J$63,Input!$C:$C,'1.CC Transition risk-Banking b.'!$J$64),0))/1000000</f>
        <v>0</v>
      </c>
      <c r="K56" s="69">
        <f>(ROUND(SUMIFS(Input!$I:$I,Input!$H:$H,'1.CC Transition risk-Banking b.'!$A56&amp;"*",Input!$E:$E,'1.CC Transition risk-Banking b.'!$K$63,Input!$C:$C,'1.CC Transition risk-Banking b.'!$K$64),0))/1000000</f>
        <v>0</v>
      </c>
      <c r="L56" s="70">
        <f>(ROUND(SUMIFS(Input!$J:$J,Input!$H:$H,'1.CC Transition risk-Banking b.'!$A56&amp;"*")
+ SUMIFS(Input!$L:$L,Input!$H:$H,'1.CC Transition risk-Banking b.'!$A56&amp;"*")
+SUMIFS(Input!$N:$N,Input!$H:$H,'1.CC Transition risk-Banking b.'!$A56&amp;"*"),0))/1</f>
        <v>0</v>
      </c>
      <c r="M56" s="70">
        <f>(ROUND(SUMIFS(Input!$N:$N,Input!$H:$H,'1.CC Transition risk-Banking b.'!$A56&amp;"*"),0))/1</f>
        <v>0</v>
      </c>
      <c r="N56" s="76">
        <f>IFERROR(AVERAGE(SUMIFS(Input!$I:$I,Input!$H:$H,'1.CC Transition risk-Banking b.'!$A56&amp;"*",Input!$R:$R,"SOUR1",Input!$E:$E,'1.CC Transition risk-Banking b.'!$O$63),
SUMIFS(Input!$I:$I,Input!$H:$H,'1.CC Transition risk-Banking b.'!$A56&amp;"*",Input!$S:$S,"SOUR1",Input!$E:$E,'1.CC Transition risk-Banking b.'!$O$63),
SUMIFS(Input!$I:$I,Input!$H:$H,'1.CC Transition risk-Banking b.'!$A56&amp;"*",Input!$T:$T,"SOUR1",Input!$E:$E,'1.CC Transition risk-Banking b.'!$O$63))/SUMIFS(Input!$I:$I,Input!$H:$H,'1.CC Transition risk-Banking b.'!$A56&amp;"*",Input!$E:$E,'1.CC Transition risk-Banking b.'!$O$63),0)</f>
        <v>0</v>
      </c>
      <c r="O56" s="71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0</v>
      </c>
      <c r="P56" s="71">
        <f>(ROUND(SUMIFS(Input!$I:$I,Input!$H:$H,'1.CC Transition risk-Banking b.'!$A56&amp;"*",Input!$E:$E,'1.CC Transition risk-Banking b.'!P$63,Input!$G:$G,"&gt;5",Input!$G:$G,"&lt;=10"),0))/1000000</f>
        <v>0</v>
      </c>
      <c r="Q56" s="71">
        <f>(ROUND(SUMIFS(Input!$I:$I,Input!$H:$H,'1.CC Transition risk-Banking b.'!$A56&amp;"*",Input!$E:$E,'1.CC Transition risk-Banking b.'!Q$63,Input!$G:$G,"&gt;10",Input!$G:$G,"&lt;=20"),0))/1000000</f>
        <v>0</v>
      </c>
      <c r="R56" s="71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0</v>
      </c>
      <c r="S56" s="72">
        <f>ROUND(IFERROR((SUMIFS(Input!$Q:$Q,Input!$H:$H,'1.CC Transition risk-Banking b.'!$A56&amp;"*",Input!$E:$E,'1.CC Transition risk-Banking b.'!S$63,Input!$G:$G,"&gt;0")/1000000)/'1.CC Transition risk-Banking b.'!$D56,0),0)</f>
        <v>0</v>
      </c>
    </row>
    <row r="57" spans="1:19" x14ac:dyDescent="0.3">
      <c r="A57" s="81" t="s">
        <v>169</v>
      </c>
      <c r="B57" s="52">
        <v>52</v>
      </c>
      <c r="C57" s="54" t="s">
        <v>170</v>
      </c>
      <c r="D57" s="69">
        <f>(ROUND(SUMIFS(Input!$I:$I,Input!$H:$H,'1.CC Transition risk-Banking b.'!$A57&amp;"*",Input!$E:$E,'1.CC Transition risk-Banking b.'!$D$63),0))/1000000</f>
        <v>0</v>
      </c>
      <c r="E57" s="69">
        <f>(ROUND(SUMIFS(Input!$I:$I,Input!$H:$H,'1.CC Transition risk-Banking b.'!$A57&amp;"*",Input!$E:$E,'1.CC Transition risk-Banking b.'!$E$63,Input!$F:$F,'1.CC Transition risk-Banking b.'!$E$64),0))/1000000</f>
        <v>0</v>
      </c>
      <c r="F57" s="69">
        <f>(ROUND(SUMIFS(Input!$P:$P,Input!$H:$H,'1.CC Transition risk-Banking b.'!$A57&amp;"*",Input!$E:$E,'1.CC Transition risk-Banking b.'!$E$63,Input!$O:$O,'1.CC Transition risk-Banking b.'!$F$63),0))/1000000</f>
        <v>0</v>
      </c>
      <c r="G57" s="69">
        <f>(ROUND(SUMIFS(Input!$I:$I,Input!$H:$H,'1.CC Transition risk-Banking b.'!$A57&amp;"*",Input!$E:$E,'1.CC Transition risk-Banking b.'!$G$63,Input!$C:$C,'1.CC Transition risk-Banking b.'!$G$64),0))/1000000</f>
        <v>0</v>
      </c>
      <c r="H57" s="69">
        <f>(ROUND(SUMIFS(Input!$I:$I,Input!$H:$H,'1.CC Transition risk-Banking b.'!$A57&amp;"*",Input!$E:$E,'1.CC Transition risk-Banking b.'!$H$63,Input!$C:$C,'1.CC Transition risk-Banking b.'!$H$64),0))/1000000</f>
        <v>0</v>
      </c>
      <c r="I57" s="69">
        <f>(ROUND(SUMIFS(Input!$I:$I,Input!$H:$H,'1.CC Transition risk-Banking b.'!$A57&amp;"*",Input!$E:$E,'1.CC Transition risk-Banking b.'!$I$63),0))/1000000</f>
        <v>0</v>
      </c>
      <c r="J57" s="69">
        <f>(ROUND(SUMIFS(Input!$I:$I,Input!$H:$H,'1.CC Transition risk-Banking b.'!$A57&amp;"*",Input!$E:$E,'1.CC Transition risk-Banking b.'!$J$63,Input!$C:$C,'1.CC Transition risk-Banking b.'!$J$64),0))/1000000</f>
        <v>0</v>
      </c>
      <c r="K57" s="69">
        <f>(ROUND(SUMIFS(Input!$I:$I,Input!$H:$H,'1.CC Transition risk-Banking b.'!$A57&amp;"*",Input!$E:$E,'1.CC Transition risk-Banking b.'!$K$63,Input!$C:$C,'1.CC Transition risk-Banking b.'!$K$64),0))/1000000</f>
        <v>0</v>
      </c>
      <c r="L57" s="70">
        <f>(ROUND(SUMIFS(Input!$J:$J,Input!$H:$H,'1.CC Transition risk-Banking b.'!$A57&amp;"*")
+ SUMIFS(Input!$L:$L,Input!$H:$H,'1.CC Transition risk-Banking b.'!$A57&amp;"*")
+SUMIFS(Input!$N:$N,Input!$H:$H,'1.CC Transition risk-Banking b.'!$A57&amp;"*"),0))/1</f>
        <v>0</v>
      </c>
      <c r="M57" s="70">
        <f>(ROUND(SUMIFS(Input!$N:$N,Input!$H:$H,'1.CC Transition risk-Banking b.'!$A57&amp;"*"),0))/1</f>
        <v>0</v>
      </c>
      <c r="N57" s="76">
        <f>IFERROR(AVERAGE(SUMIFS(Input!$I:$I,Input!$H:$H,'1.CC Transition risk-Banking b.'!$A57&amp;"*",Input!$R:$R,"SOUR1",Input!$E:$E,'1.CC Transition risk-Banking b.'!$O$63),
SUMIFS(Input!$I:$I,Input!$H:$H,'1.CC Transition risk-Banking b.'!$A57&amp;"*",Input!$S:$S,"SOUR1",Input!$E:$E,'1.CC Transition risk-Banking b.'!$O$63),
SUMIFS(Input!$I:$I,Input!$H:$H,'1.CC Transition risk-Banking b.'!$A57&amp;"*",Input!$T:$T,"SOUR1",Input!$E:$E,'1.CC Transition risk-Banking b.'!$O$63))/SUMIFS(Input!$I:$I,Input!$H:$H,'1.CC Transition risk-Banking b.'!$A57&amp;"*",Input!$E:$E,'1.CC Transition risk-Banking b.'!$O$63),0)</f>
        <v>0</v>
      </c>
      <c r="O57" s="71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0</v>
      </c>
      <c r="P57" s="71">
        <f>(ROUND(SUMIFS(Input!$I:$I,Input!$H:$H,'1.CC Transition risk-Banking b.'!$A57&amp;"*",Input!$E:$E,'1.CC Transition risk-Banking b.'!P$63,Input!$G:$G,"&gt;5",Input!$G:$G,"&lt;=10"),0))/1000000</f>
        <v>0</v>
      </c>
      <c r="Q57" s="71">
        <f>(ROUND(SUMIFS(Input!$I:$I,Input!$H:$H,'1.CC Transition risk-Banking b.'!$A57&amp;"*",Input!$E:$E,'1.CC Transition risk-Banking b.'!Q$63,Input!$G:$G,"&gt;10",Input!$G:$G,"&lt;=20"),0))/1000000</f>
        <v>0</v>
      </c>
      <c r="R57" s="71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</v>
      </c>
      <c r="S57" s="72">
        <f>ROUND(IFERROR((SUMIFS(Input!$Q:$Q,Input!$H:$H,'1.CC Transition risk-Banking b.'!$A57&amp;"*",Input!$E:$E,'1.CC Transition risk-Banking b.'!S$63,Input!$G:$G,"&gt;0")/1000000)/'1.CC Transition risk-Banking b.'!$D57,0),0)</f>
        <v>0</v>
      </c>
    </row>
    <row r="58" spans="1:19" s="58" customFormat="1" x14ac:dyDescent="0.3">
      <c r="A58" s="81"/>
      <c r="B58" s="52">
        <v>53</v>
      </c>
      <c r="C58" s="59" t="s">
        <v>171</v>
      </c>
      <c r="D58" s="67">
        <f>D59+D60</f>
        <v>0</v>
      </c>
      <c r="E58" s="67">
        <f>E59+E60</f>
        <v>0</v>
      </c>
      <c r="F58" s="67">
        <f>F59+F60</f>
        <v>0</v>
      </c>
      <c r="G58" s="67">
        <f t="shared" ref="G58:R58" si="1">G59+G60</f>
        <v>0</v>
      </c>
      <c r="H58" s="67">
        <f t="shared" si="1"/>
        <v>0</v>
      </c>
      <c r="I58" s="67">
        <f t="shared" si="1"/>
        <v>0</v>
      </c>
      <c r="J58" s="67">
        <f t="shared" si="1"/>
        <v>0</v>
      </c>
      <c r="K58" s="67">
        <f t="shared" si="1"/>
        <v>0</v>
      </c>
      <c r="L58" s="67">
        <f t="shared" si="1"/>
        <v>0</v>
      </c>
      <c r="M58" s="67">
        <f t="shared" si="1"/>
        <v>0</v>
      </c>
      <c r="N58" s="77" t="e">
        <f>(AVERAGE(SUM(SUMIFS(Input!$I:$I,Input!$H:$H,"J*",Input!$R:$R,"SOUR1",Input!$E:$E,'1.CC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b.'!$O$63)))/1000000)/$D$58</f>
        <v>#DIV/0!</v>
      </c>
      <c r="O58" s="67">
        <f t="shared" si="1"/>
        <v>0</v>
      </c>
      <c r="P58" s="67">
        <f t="shared" si="1"/>
        <v>0</v>
      </c>
      <c r="Q58" s="67">
        <f t="shared" si="1"/>
        <v>0</v>
      </c>
      <c r="R58" s="67">
        <f t="shared" si="1"/>
        <v>0</v>
      </c>
      <c r="S58" s="84" t="e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#DIV/0!</v>
      </c>
    </row>
    <row r="59" spans="1:19" s="58" customFormat="1" x14ac:dyDescent="0.3">
      <c r="A59" s="81" t="s">
        <v>172</v>
      </c>
      <c r="B59" s="52">
        <v>54</v>
      </c>
      <c r="C59" s="57" t="s">
        <v>173</v>
      </c>
      <c r="D59" s="69">
        <f>(ROUND(SUMIFS(Input!$I:$I,Input!$H:$H,'1.CC Transition risk-Banking b.'!$A59&amp;"*",Input!$E:$E,'1.CC Transition risk-Banking b.'!$D$63),0))/1000000</f>
        <v>0</v>
      </c>
      <c r="E59" s="69">
        <f>(ROUND(SUMIFS(Input!$I:$I,Input!$H:$H,'1.CC Transition risk-Banking b.'!$A59&amp;"*",Input!$E:$E,'1.CC Transition risk-Banking b.'!$E$63,Input!$F:$F,'1.CC Transition risk-Banking b.'!$E$64),0))/1000000</f>
        <v>0</v>
      </c>
      <c r="F59" s="69">
        <f>(ROUND(SUMIFS(Input!$P:$P,Input!$H:$H,'1.CC Transition risk-Banking b.'!$A59&amp;"*",Input!$E:$E,'1.CC Transition risk-Banking b.'!$E$63,Input!$O:$O,'1.CC Transition risk-Banking b.'!$F$63),0))/1000000</f>
        <v>0</v>
      </c>
      <c r="G59" s="69">
        <f>(ROUND(SUMIFS(Input!$I:$I,Input!$H:$H,'1.CC Transition risk-Banking b.'!$A59&amp;"*",Input!$E:$E,'1.CC Transition risk-Banking b.'!$G$63,Input!$C:$C,'1.CC Transition risk-Banking b.'!$G$64),0))/1000000</f>
        <v>0</v>
      </c>
      <c r="H59" s="69">
        <f>(ROUND(SUMIFS(Input!$I:$I,Input!$H:$H,'1.CC Transition risk-Banking b.'!$A59&amp;"*",Input!$E:$E,'1.CC Transition risk-Banking b.'!$H$63,Input!$C:$C,'1.CC Transition risk-Banking b.'!$H$64),0))/1000000</f>
        <v>0</v>
      </c>
      <c r="I59" s="69">
        <f>(ROUND(SUMIFS(Input!$I:$I,Input!$H:$H,'1.CC Transition risk-Banking b.'!$A59&amp;"*",Input!$E:$E,'1.CC Transition risk-Banking b.'!$I$63),0))/1000000</f>
        <v>0</v>
      </c>
      <c r="J59" s="69">
        <f>(ROUND(SUMIFS(Input!$I:$I,Input!$H:$H,'1.CC Transition risk-Banking b.'!$A59&amp;"*",Input!$E:$E,'1.CC Transition risk-Banking b.'!$J$63,Input!$C:$C,'1.CC Transition risk-Banking b.'!$J$64),0))/1000000</f>
        <v>0</v>
      </c>
      <c r="K59" s="69">
        <f>(ROUND(SUMIFS(Input!$I:$I,Input!$H:$H,'1.CC Transition risk-Banking b.'!$A59&amp;"*",Input!$E:$E,'1.CC Transition risk-Banking b.'!$K$63,Input!$C:$C,'1.CC Transition risk-Banking b.'!$K$64),0))/1000000</f>
        <v>0</v>
      </c>
      <c r="L59" s="70">
        <f>(ROUND(SUMIFS(Input!$J:$J,Input!$H:$H,'1.CC Transition risk-Banking b.'!$A59&amp;"*")
+ SUMIFS(Input!$L:$L,Input!$H:$H,'1.CC Transition risk-Banking b.'!$A59&amp;"*")
+SUMIFS(Input!$N:$N,Input!$H:$H,'1.CC Transition risk-Banking b.'!$A59&amp;"*"),0))/1</f>
        <v>0</v>
      </c>
      <c r="M59" s="70">
        <f>(ROUND(SUMIFS(Input!$N:$N,Input!$H:$H,'1.CC Transition risk-Banking b.'!$A59&amp;"*"),0))/1</f>
        <v>0</v>
      </c>
      <c r="N59" s="76">
        <f>IFERROR(AVERAGE(SUMIFS(Input!$I:$I,Input!$H:$H,'1.CC Transition risk-Banking b.'!$A59&amp;"*",Input!$R:$R,"SOUR1",Input!$E:$E,'1.CC Transition risk-Banking b.'!$O$63),
SUMIFS(Input!$I:$I,Input!$H:$H,'1.CC Transition risk-Banking b.'!$A59&amp;"*",Input!$S:$S,"SOUR1",Input!$E:$E,'1.CC Transition risk-Banking b.'!$O$63),
SUMIFS(Input!$I:$I,Input!$H:$H,'1.CC Transition risk-Banking b.'!$A59&amp;"*",Input!$T:$T,"SOUR1",Input!$E:$E,'1.CC Transition risk-Banking b.'!$O$63))/SUMIFS(Input!$I:$I,Input!$H:$H,'1.CC Transition risk-Banking b.'!$A59&amp;"*",Input!$E:$E,'1.CC Transition risk-Banking b.'!$O$63),0)</f>
        <v>0</v>
      </c>
      <c r="O59" s="71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0</v>
      </c>
      <c r="P59" s="71">
        <f>(ROUND(SUMIFS(Input!$I:$I,Input!$H:$H,'1.CC Transition risk-Banking b.'!$A59&amp;"*",Input!$E:$E,'1.CC Transition risk-Banking b.'!P$63,Input!$G:$G,"&gt;5",Input!$G:$G,"&lt;=10"),0))/1000000</f>
        <v>0</v>
      </c>
      <c r="Q59" s="71">
        <f>(ROUND(SUMIFS(Input!$I:$I,Input!$H:$H,'1.CC Transition risk-Banking b.'!$A59&amp;"*",Input!$E:$E,'1.CC Transition risk-Banking b.'!Q$63,Input!$G:$G,"&gt;10",Input!$G:$G,"&lt;=20"),0))/1000000</f>
        <v>0</v>
      </c>
      <c r="R59" s="71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72">
        <f>ROUND(IFERROR((SUMIFS(Input!$Q:$Q,Input!$H:$H,'1.CC Transition risk-Banking b.'!$A59&amp;"*",Input!$E:$E,'1.CC Transition risk-Banking b.'!S$63,Input!$G:$G,"&gt;0")/1000000)/'1.CC Transition risk-Banking b.'!$D59,0),0)</f>
        <v>0</v>
      </c>
    </row>
    <row r="60" spans="1:19" s="58" customFormat="1" ht="14.5" x14ac:dyDescent="0.35">
      <c r="A60" s="81" t="s">
        <v>174</v>
      </c>
      <c r="B60" s="52">
        <v>55</v>
      </c>
      <c r="C60" s="60" t="s">
        <v>175</v>
      </c>
      <c r="D60" s="69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0</v>
      </c>
      <c r="E60" s="69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0</v>
      </c>
      <c r="F60" s="69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0</v>
      </c>
      <c r="G60" s="69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0</v>
      </c>
      <c r="H60" s="69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0</v>
      </c>
      <c r="I60" s="69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0</v>
      </c>
      <c r="J60" s="69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0</v>
      </c>
      <c r="K60" s="69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0</v>
      </c>
      <c r="L60" s="74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</f>
        <v>0</v>
      </c>
      <c r="M60" s="85">
        <f>(ROUND(SUM(SUMIFS(Input!$N:$N,Input!$H:$H,{"J*";"M*";"N*";"O*";"P*";"Q*";"R*";"S*";"T*";"U*"})),0))/1</f>
        <v>0</v>
      </c>
      <c r="N60" s="78" t="e">
        <f>(AVERAGE(SUM(SUMIFS(Input!$I:$I,Input!$H:$H,"J*",Input!$R:$R,"SOUR1",Input!$E:$E,'1.CC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SUM(SUMIFS(Input!$I:$I,Input!$H:$H,"J*",Input!$S:$S,"SOUR1",Input!$E:$E,'1.CC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SUM(SUMIFS(Input!$I:$I,Input!$H:$H,"J*",Input!$T:$T,"SOUR1",Input!$E:$E,'1.CC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b.'!$O$63)))/1000000)/$D$60</f>
        <v>#DIV/0!</v>
      </c>
      <c r="O60" s="72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0</v>
      </c>
      <c r="P60" s="72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0</v>
      </c>
      <c r="Q60" s="72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0</v>
      </c>
      <c r="R60" s="72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0</v>
      </c>
      <c r="S60" s="73" t="e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#DIV/0!</v>
      </c>
    </row>
    <row r="61" spans="1:19" x14ac:dyDescent="0.3">
      <c r="A61" s="81" t="s">
        <v>176</v>
      </c>
      <c r="B61" s="52">
        <v>56</v>
      </c>
      <c r="C61" s="61" t="s">
        <v>176</v>
      </c>
      <c r="D61" s="69">
        <f>D6+D58</f>
        <v>0</v>
      </c>
      <c r="E61" s="69">
        <f>E6+E58</f>
        <v>0</v>
      </c>
      <c r="F61" s="69">
        <f>F6+F58</f>
        <v>0</v>
      </c>
      <c r="G61" s="69">
        <f t="shared" ref="G61:R61" si="2">G6+G58</f>
        <v>0</v>
      </c>
      <c r="H61" s="69">
        <f t="shared" si="2"/>
        <v>0</v>
      </c>
      <c r="I61" s="69">
        <f t="shared" si="2"/>
        <v>0</v>
      </c>
      <c r="J61" s="69">
        <f t="shared" si="2"/>
        <v>0</v>
      </c>
      <c r="K61" s="69">
        <f t="shared" si="2"/>
        <v>0</v>
      </c>
      <c r="L61" s="69">
        <f t="shared" si="2"/>
        <v>0</v>
      </c>
      <c r="M61" s="69">
        <f t="shared" si="2"/>
        <v>0</v>
      </c>
      <c r="N61" s="79" t="e">
        <f>(AVERAGE(SUM(SUMIFS(Input!$I:$I,Input!$H:$H,"A*",Input!$R:$R,"SOUR1",Input!$E:$E,'1.CC Transition risk-Banking b.'!$O$63) +
SUMIFS(Input!$I:$I,Input!$H:$H,"B*",Input!$R:$R,"SOUR1",Input!$E:$E,'1.CC Transition risk-Banking b.'!$O$63) +
SUMIFS(Input!$I:$I,Input!$H:$H,"C*",Input!$R:$R,"SOUR1",Input!$E:$E,'1.CC Transition risk-Banking b.'!$O$63) +
SUMIFS(Input!$I:$I,Input!$H:$H,"D*",Input!$R:$R,"SOUR1",Input!$E:$E,'1.CC Transition risk-Banking b.'!$O$63) +
SUMIFS(Input!$I:$I,Input!$H:$H,"E*",Input!$R:$R,"SOUR1",Input!$E:$E,'1.CC Transition risk-Banking b.'!$O$63) +
SUMIFS(Input!$I:$I,Input!$H:$H,"F*",Input!$R:$R,"SOUR1",Input!$E:$E,'1.CC Transition risk-Banking b.'!$O$63) +
SUMIFS(Input!$I:$I,Input!$H:$H,"G*",Input!$R:$R,"SOUR1",Input!$E:$E,'1.CC Transition risk-Banking b.'!$O$63) +
SUMIFS(Input!$I:$I,Input!$H:$H,"H*",Input!$R:$R,"SOUR1",Input!$E:$E,'1.CC Transition risk-Banking b.'!$O$63) +
SUMIFS(Input!$I:$I,Input!$H:$H,"I*",Input!$R:$R,"SOUR1",Input!$E:$E,'1.CC Transition risk-Banking b.'!$O$63) +
SUMIFS(Input!$I:$I,Input!$H:$H,"L*",Input!$R:$R,"SOUR1",Input!$E:$E,'1.CC Transition risk-Banking b.'!$O$63) +
SUMIFS(Input!$I:$I,Input!$H:$H,"J*",Input!$R:$R,"SOUR1",Input!$E:$E,'1.CC Transition risk-Banking b.'!$O$63) +
SUMIFS(Input!$I:$I,Input!$H:$H,"K*",Input!$R:$R,"SOUR1",Input!$E:$E,'1.CC Transition risk-Banking b.'!$O$63) +
SUMIFS(Input!$I:$I,Input!$H:$H,"M*",Input!$R:$R,"SOUR1",Input!$E:$E,'1.CC Transition risk-Banking b.'!$O$63) +
SUMIFS(Input!$I:$I,Input!$H:$H,"N*",Input!$R:$R,"SOUR1",Input!$E:$E,'1.CC Transition risk-Banking b.'!$O$63) +
SUMIFS(Input!$I:$I,Input!$H:$H,"O*",Input!$R:$R,"SOUR1",Input!$E:$E,'1.CC Transition risk-Banking b.'!$O$63) +
SUMIFS(Input!$I:$I,Input!$H:$H,"P*",Input!$R:$R,"SOUR1",Input!$E:$E,'1.CC Transition risk-Banking b.'!$O$63) +
SUMIFS(Input!$I:$I,Input!$H:$H,"Q*",Input!$R:$R,"SOUR1",Input!$E:$E,'1.CC Transition risk-Banking b.'!$O$63) +
SUMIFS(Input!$I:$I,Input!$H:$H,"R*",Input!$R:$R,"SOUR1",Input!$E:$E,'1.CC Transition risk-Banking b.'!$O$63) +
SUMIFS(Input!$I:$I,Input!$H:$H,"S*",Input!$R:$R,"SOUR1",Input!$E:$E,'1.CC Transition risk-Banking b.'!$O$63) +
SUMIFS(Input!$I:$I,Input!$H:$H,"T*",Input!$R:$R,"SOUR1",Input!$E:$E,'1.CC Transition risk-Banking b.'!$O$63) +
SUMIFS(Input!$I:$I,Input!$H:$H,"U*",Input!$R:$R,"SOUR1",Input!$E:$E,'1.CC Transition risk-Banking b.'!$O$63)),
SUM(SUMIFS(Input!$I:$I,Input!$H:$H,"A*",Input!$S:$S,"SOUR1",Input!$E:$E,'1.CC Transition risk-Banking b.'!$O$63) +
SUMIFS(Input!$I:$I,Input!$H:$H,"B*",Input!$S:$S,"SOUR1",Input!$E:$E,'1.CC Transition risk-Banking b.'!$O$63) +
SUMIFS(Input!$I:$I,Input!$H:$H,"C*",Input!$S:$S,"SOUR1",Input!$E:$E,'1.CC Transition risk-Banking b.'!$O$63) +
SUMIFS(Input!$I:$I,Input!$H:$H,"D*",Input!$S:$S,"SOUR1",Input!$E:$E,'1.CC Transition risk-Banking b.'!$O$63) +
SUMIFS(Input!$I:$I,Input!$H:$H,"E*",Input!$S:$S,"SOUR1",Input!$E:$E,'1.CC Transition risk-Banking b.'!$O$63) +
SUMIFS(Input!$I:$I,Input!$H:$H,"F*",Input!$S:$S,"SOUR1",Input!$E:$E,'1.CC Transition risk-Banking b.'!$O$63) +
SUMIFS(Input!$I:$I,Input!$H:$H,"G*",Input!$S:$S,"SOUR1",Input!$E:$E,'1.CC Transition risk-Banking b.'!$O$63) +
SUMIFS(Input!$I:$I,Input!$H:$H,"H*",Input!$S:$S,"SOUR1",Input!$E:$E,'1.CC Transition risk-Banking b.'!$O$63) +
SUMIFS(Input!$I:$I,Input!$H:$H,"I*",Input!$S:$S,"SOUR1",Input!$E:$E,'1.CC Transition risk-Banking b.'!$O$63) +
SUMIFS(Input!$I:$I,Input!$H:$H,"L*",Input!$S:$S,"SOUR1",Input!$E:$E,'1.CC Transition risk-Banking b.'!$O$63) +
SUMIFS(Input!$I:$I,Input!$H:$H,"J*",Input!$S:$S,"SOUR1",Input!$E:$E,'1.CC Transition risk-Banking b.'!$O$63) +
SUMIFS(Input!$I:$I,Input!$H:$H,"K*",Input!$S:$S,"SOUR1",Input!$E:$E,'1.CC Transition risk-Banking b.'!$O$63) +
SUMIFS(Input!$I:$I,Input!$H:$H,"M*",Input!$S:$S,"SOUR1",Input!$E:$E,'1.CC Transition risk-Banking b.'!$O$63) +
SUMIFS(Input!$I:$I,Input!$H:$H,"N*",Input!$S:$S,"SOUR1",Input!$E:$E,'1.CC Transition risk-Banking b.'!$O$63) +
SUMIFS(Input!$I:$I,Input!$H:$H,"O*",Input!$S:$S,"SOUR1",Input!$E:$E,'1.CC Transition risk-Banking b.'!$O$63) +
SUMIFS(Input!$I:$I,Input!$H:$H,"P*",Input!$S:$S,"SOUR1",Input!$E:$E,'1.CC Transition risk-Banking b.'!$O$63) +
SUMIFS(Input!$I:$I,Input!$H:$H,"Q*",Input!$S:$S,"SOUR1",Input!$E:$E,'1.CC Transition risk-Banking b.'!$O$63) +
SUMIFS(Input!$I:$I,Input!$H:$H,"R*",Input!$S:$S,"SOUR1",Input!$E:$E,'1.CC Transition risk-Banking b.'!$O$63) +
SUMIFS(Input!$I:$I,Input!$H:$H,"S*",Input!$S:$S,"SOUR1",Input!$E:$E,'1.CC Transition risk-Banking b.'!$O$63) +
SUMIFS(Input!$I:$I,Input!$H:$H,"T*",Input!$S:$S,"SOUR1",Input!$E:$E,'1.CC Transition risk-Banking b.'!$O$63) +
SUMIFS(Input!$I:$I,Input!$H:$H,"U*",Input!$S:$S,"SOUR1",Input!$E:$E,'1.CC Transition risk-Banking b.'!$O$63)),
SUM(SUMIFS(Input!$I:$I,Input!$H:$H,"A*",Input!$T:$T,"SOUR1",Input!$E:$E,'1.CC Transition risk-Banking b.'!$O$63) +
SUMIFS(Input!$I:$I,Input!$H:$H,"B*",Input!$T:$T,"SOUR1",Input!$E:$E,'1.CC Transition risk-Banking b.'!$O$63) +
SUMIFS(Input!$I:$I,Input!$H:$H,"C*",Input!$T:$T,"SOUR1",Input!$E:$E,'1.CC Transition risk-Banking b.'!$O$63) +
SUMIFS(Input!$I:$I,Input!$H:$H,"D*",Input!$T:$T,"SOUR1",Input!$E:$E,'1.CC Transition risk-Banking b.'!$O$63) +
SUMIFS(Input!$I:$I,Input!$H:$H,"E*",Input!$T:$T,"SOUR1",Input!$E:$E,'1.CC Transition risk-Banking b.'!$O$63) +
SUMIFS(Input!$I:$I,Input!$H:$H,"F*",Input!$T:$T,"SOUR1",Input!$E:$E,'1.CC Transition risk-Banking b.'!$O$63) +
SUMIFS(Input!$I:$I,Input!$H:$H,"G*",Input!$T:$T,"SOUR1",Input!$E:$E,'1.CC Transition risk-Banking b.'!$O$63) +
SUMIFS(Input!$I:$I,Input!$H:$H,"H*",Input!$T:$T,"SOUR1",Input!$E:$E,'1.CC Transition risk-Banking b.'!$O$63) +
SUMIFS(Input!$I:$I,Input!$H:$H,"I*",Input!$T:$T,"SOUR1",Input!$E:$E,'1.CC Transition risk-Banking b.'!$O$63) +
SUMIFS(Input!$I:$I,Input!$H:$H,"L*",Input!$T:$T,"SOUR1",Input!$E:$E,'1.CC Transition risk-Banking b.'!$O$63) +
SUMIFS(Input!$I:$I,Input!$H:$H,"J*",Input!$T:$T,"SOUR1",Input!$E:$E,'1.CC Transition risk-Banking b.'!$O$63) +
SUMIFS(Input!$I:$I,Input!$H:$H,"K*",Input!$T:$T,"SOUR1",Input!$E:$E,'1.CC Transition risk-Banking b.'!$O$63) +
SUMIFS(Input!$I:$I,Input!$H:$H,"M*",Input!$T:$T,"SOUR1",Input!$E:$E,'1.CC Transition risk-Banking b.'!$O$63) +
SUMIFS(Input!$I:$I,Input!$H:$H,"N*",Input!$T:$T,"SOUR1",Input!$E:$E,'1.CC Transition risk-Banking b.'!$O$63) +
SUMIFS(Input!$I:$I,Input!$H:$H,"O*",Input!$T:$T,"SOUR1",Input!$E:$E,'1.CC Transition risk-Banking b.'!$O$63) +
SUMIFS(Input!$I:$I,Input!$H:$H,"P*",Input!$T:$T,"SOUR1",Input!$E:$E,'1.CC Transition risk-Banking b.'!$O$63) +
SUMIFS(Input!$I:$I,Input!$H:$H,"Q*",Input!$T:$T,"SOUR1",Input!$E:$E,'1.CC Transition risk-Banking b.'!$O$63) +
SUMIFS(Input!$I:$I,Input!$H:$H,"R*",Input!$T:$T,"SOUR1",Input!$E:$E,'1.CC Transition risk-Banking b.'!$O$63) +
SUMIFS(Input!$I:$I,Input!$H:$H,"S*",Input!$T:$T,"SOUR1",Input!$E:$E,'1.CC Transition risk-Banking b.'!$O$63) +
SUMIFS(Input!$I:$I,Input!$H:$H,"T*",Input!$T:$T,"SOUR1",Input!$E:$E,'1.CC Transition risk-Banking b.'!$O$63) +
SUMIFS(Input!$I:$I,Input!$H:$H,"U*",Input!$T:$T,"SOUR1",Input!$E:$E,'1.CC Transition risk-Banking b.'!$O$63)))/1000000)/$D$61</f>
        <v>#DIV/0!</v>
      </c>
      <c r="O61" s="69">
        <f t="shared" si="2"/>
        <v>0</v>
      </c>
      <c r="P61" s="69">
        <f t="shared" si="2"/>
        <v>0</v>
      </c>
      <c r="Q61" s="69">
        <f t="shared" si="2"/>
        <v>0</v>
      </c>
      <c r="R61" s="69">
        <f t="shared" si="2"/>
        <v>0</v>
      </c>
      <c r="S61" s="69" t="e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
+SUMIFS(Input!$Q:$Q,Input!$H:$H,"K*",Input!$E:$E,'1.CC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b.'!D61,0)</f>
        <v>#DIV/0!</v>
      </c>
    </row>
    <row r="62" spans="1:19" x14ac:dyDescent="0.3">
      <c r="C62" s="62" t="s">
        <v>177</v>
      </c>
      <c r="D62" s="63"/>
      <c r="E62" s="63"/>
      <c r="F62" s="63"/>
      <c r="G62" s="63"/>
      <c r="H62" s="63"/>
      <c r="I62" s="63"/>
      <c r="J62" s="63"/>
      <c r="K62" s="63"/>
    </row>
    <row r="63" spans="1:19" x14ac:dyDescent="0.3">
      <c r="C63" s="64"/>
      <c r="D63" s="80" t="s">
        <v>30</v>
      </c>
      <c r="E63" s="80" t="s">
        <v>30</v>
      </c>
      <c r="F63" s="80">
        <v>1</v>
      </c>
      <c r="G63" s="80" t="s">
        <v>30</v>
      </c>
      <c r="H63" s="80" t="s">
        <v>30</v>
      </c>
      <c r="I63" s="80" t="s">
        <v>33</v>
      </c>
      <c r="J63" s="80" t="s">
        <v>33</v>
      </c>
      <c r="K63" s="80" t="s">
        <v>33</v>
      </c>
      <c r="L63" s="81"/>
      <c r="M63" s="81"/>
      <c r="N63" s="81"/>
      <c r="O63" s="82" t="s">
        <v>30</v>
      </c>
      <c r="P63" s="82" t="s">
        <v>30</v>
      </c>
      <c r="Q63" s="82" t="s">
        <v>30</v>
      </c>
      <c r="R63" s="82" t="s">
        <v>30</v>
      </c>
      <c r="S63" s="82" t="s">
        <v>30</v>
      </c>
    </row>
    <row r="64" spans="1:19" ht="11.65" customHeight="1" x14ac:dyDescent="0.3">
      <c r="D64" s="83"/>
      <c r="E64" s="83" t="s">
        <v>35</v>
      </c>
      <c r="F64" s="83"/>
      <c r="G64" s="83" t="s">
        <v>31</v>
      </c>
      <c r="H64" s="83" t="s">
        <v>32</v>
      </c>
      <c r="I64" s="83"/>
      <c r="J64" s="83" t="s">
        <v>31</v>
      </c>
      <c r="K64" s="83" t="s">
        <v>32</v>
      </c>
      <c r="L64" s="81"/>
      <c r="M64" s="81"/>
      <c r="N64" s="81"/>
      <c r="O64" s="82">
        <v>-4</v>
      </c>
      <c r="P64" s="82" t="s">
        <v>178</v>
      </c>
      <c r="Q64" s="82" t="s">
        <v>179</v>
      </c>
      <c r="R64" s="82" t="s">
        <v>180</v>
      </c>
      <c r="S64" s="82">
        <v>-1</v>
      </c>
    </row>
    <row r="65" spans="3:19" x14ac:dyDescent="0.3">
      <c r="D65" s="81"/>
      <c r="E65" s="81"/>
      <c r="F65" s="81"/>
      <c r="G65" s="81"/>
      <c r="H65" s="81"/>
      <c r="I65" s="81"/>
      <c r="J65" s="81"/>
      <c r="K65" s="81"/>
      <c r="L65" s="81"/>
      <c r="M65" s="81"/>
      <c r="N65" s="81"/>
      <c r="O65" s="82"/>
      <c r="P65" s="82" t="s">
        <v>181</v>
      </c>
      <c r="Q65" s="82" t="s">
        <v>182</v>
      </c>
      <c r="R65" s="82">
        <v>-3</v>
      </c>
      <c r="S65" s="82">
        <v>-2</v>
      </c>
    </row>
    <row r="66" spans="3:19" x14ac:dyDescent="0.3">
      <c r="D66" s="81"/>
      <c r="E66" s="81"/>
      <c r="F66" s="81"/>
      <c r="G66" s="81"/>
      <c r="H66" s="81"/>
      <c r="I66" s="81"/>
      <c r="J66" s="81"/>
      <c r="K66" s="81"/>
      <c r="L66" s="81"/>
      <c r="M66" s="81"/>
      <c r="N66" s="81"/>
      <c r="O66" s="81"/>
      <c r="P66" s="81"/>
      <c r="Q66" s="81"/>
      <c r="R66" s="82">
        <v>-2</v>
      </c>
      <c r="S66" s="81"/>
    </row>
    <row r="67" spans="3:19" x14ac:dyDescent="0.3">
      <c r="C67" s="65"/>
    </row>
    <row r="69" spans="3:19" x14ac:dyDescent="0.3">
      <c r="D69" s="65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  <ignoredErrors>
    <ignoredError sqref="N61 N58 N6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3307D328052CE49BABEAF1D5BD19CE8" ma:contentTypeVersion="6" ma:contentTypeDescription="Criar um novo documento." ma:contentTypeScope="" ma:versionID="09818ecab8cd6f3750c39b226e0d0548">
  <xsd:schema xmlns:xsd="http://www.w3.org/2001/XMLSchema" xmlns:xs="http://www.w3.org/2001/XMLSchema" xmlns:p="http://schemas.microsoft.com/office/2006/metadata/properties" xmlns:ns1="http://schemas.microsoft.com/sharepoint/v3" xmlns:ns2="691f81de-e01a-4b25-b573-c3f90f157691" targetNamespace="http://schemas.microsoft.com/office/2006/metadata/properties" ma:root="true" ma:fieldsID="948cb8d605f872dbc650270befa7fb42" ns1:_="" ns2:_="">
    <xsd:import namespace="http://schemas.microsoft.com/sharepoint/v3"/>
    <xsd:import namespace="691f81de-e01a-4b25-b573-c3f90f157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1" nillable="true" ma:displayName="Propriedades da Política de Conformidade Unificada" ma:hidden="true" ma:internalName="_ip_UnifiedCompliancePolicyProperties">
      <xsd:simpleType>
        <xsd:restriction base="dms:Note"/>
      </xsd:simpleType>
    </xsd:element>
    <xsd:element name="_ip_UnifiedCompliancePolicyUIAction" ma:index="12" nillable="true" ma:displayName="Ação de IU da Política de Conformidade Unificada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1f81de-e01a-4b25-b573-c3f90f15769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3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FAA08FF-BA12-4D0A-8953-9C151DD9864F}">
  <ds:schemaRefs>
    <ds:schemaRef ds:uri="http://schemas.microsoft.com/office/2006/metadata/properties"/>
    <ds:schemaRef ds:uri="http://schemas.microsoft.com/office/infopath/2007/PartnerControls"/>
    <ds:schemaRef ds:uri="http://schemas.microsoft.com/sharepoint/v3"/>
  </ds:schemaRefs>
</ds:datastoreItem>
</file>

<file path=customXml/itemProps2.xml><?xml version="1.0" encoding="utf-8"?>
<ds:datastoreItem xmlns:ds="http://schemas.openxmlformats.org/officeDocument/2006/customXml" ds:itemID="{945C835B-877D-4CC7-90A1-5BD90DA12ECF}"/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 Erbilgic</dc:creator>
  <cp:keywords/>
  <dc:description/>
  <cp:lastModifiedBy>Ana Rita Geraldo de Caguerelho</cp:lastModifiedBy>
  <cp:revision/>
  <dcterms:created xsi:type="dcterms:W3CDTF">2021-09-06T12:20:44Z</dcterms:created>
  <dcterms:modified xsi:type="dcterms:W3CDTF">2025-11-05T18:03:27Z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0x01010033307D328052CE49BABEAF1D5BD19CE8</vt:lpwstr>
  </property>
  <property fmtid="{D5CDD505-2E9C-101B-9397-08002B2CF9AE}" pid="17" name="SV_QUERY_LIST_4F35BF76-6C0D-4D9B-82B2-816C12CF3733">
    <vt:lpwstr>empty_477D106A-C0D6-4607-AEBD-E2C9D60EA279</vt:lpwstr>
  </property>
  <property fmtid="{D5CDD505-2E9C-101B-9397-08002B2CF9AE}" pid="18" name="SV_HIDDEN_GRID_QUERY_LIST_4F35BF76-6C0D-4D9B-82B2-816C12CF3733">
    <vt:lpwstr>empty_477D106A-C0D6-4607-AEBD-E2C9D60EA279</vt:lpwstr>
  </property>
</Properties>
</file>