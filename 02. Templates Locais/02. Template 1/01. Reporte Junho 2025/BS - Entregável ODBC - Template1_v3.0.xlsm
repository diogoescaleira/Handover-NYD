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02. Templates Locais/02. Template 1/"/>
    </mc:Choice>
  </mc:AlternateContent>
  <xr:revisionPtr revIDLastSave="36" documentId="11_5641FAE4C6190A278E0871A31C30A3F5788A0846" xr6:coauthVersionLast="47" xr6:coauthVersionMax="47" xr10:uidLastSave="{6E6BB6A3-C314-45AB-9638-D655E6A6F829}"/>
  <bookViews>
    <workbookView xWindow="-108" yWindow="-108" windowWidth="23256" windowHeight="12456" firstSheet="1" activeTab="1" xr2:uid="{00000000-000D-0000-FFFF-FFFF00000000}"/>
  </bookViews>
  <sheets>
    <sheet name="Instruções" sheetId="33" r:id="rId1"/>
    <sheet name="Menu" sheetId="29" r:id="rId2"/>
    <sheet name="Input" sheetId="27" r:id="rId3"/>
    <sheet name="1.CC Transition risk-Banking b." sheetId="35" r:id="rId4"/>
  </sheets>
  <externalReferences>
    <externalReference r:id="rId5"/>
  </externalReferences>
  <definedNames>
    <definedName name="_xlnm._FilterDatabase" localSheetId="2" hidden="1">Input!$C$6:$Q$6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0" i="35" l="1"/>
  <c r="L60" i="35"/>
  <c r="M59" i="35"/>
  <c r="L59" i="35"/>
  <c r="M57" i="35"/>
  <c r="L57" i="35"/>
  <c r="M56" i="35"/>
  <c r="L56" i="35"/>
  <c r="M55" i="35"/>
  <c r="L55" i="35"/>
  <c r="M54" i="35"/>
  <c r="L54" i="35"/>
  <c r="M53" i="35"/>
  <c r="L53" i="35"/>
  <c r="M52" i="35"/>
  <c r="L52" i="35"/>
  <c r="M51" i="35"/>
  <c r="L51" i="35"/>
  <c r="M50" i="35"/>
  <c r="L50" i="35"/>
  <c r="M49" i="35"/>
  <c r="L49" i="35"/>
  <c r="M48" i="35"/>
  <c r="L48" i="35"/>
  <c r="M47" i="35"/>
  <c r="L47" i="35"/>
  <c r="M46" i="35"/>
  <c r="L46" i="35"/>
  <c r="M45" i="35"/>
  <c r="L45" i="35"/>
  <c r="M44" i="35"/>
  <c r="L44" i="35"/>
  <c r="M43" i="35"/>
  <c r="L43" i="35"/>
  <c r="M42" i="35"/>
  <c r="L42" i="35"/>
  <c r="M41" i="35"/>
  <c r="L41" i="35"/>
  <c r="M40" i="35"/>
  <c r="L40" i="35"/>
  <c r="M39" i="35"/>
  <c r="L39" i="35"/>
  <c r="M38" i="35"/>
  <c r="L38" i="35"/>
  <c r="M37" i="35"/>
  <c r="L37" i="35"/>
  <c r="M36" i="35"/>
  <c r="L36" i="35"/>
  <c r="M35" i="35"/>
  <c r="L35" i="35"/>
  <c r="M34" i="35"/>
  <c r="L34" i="35"/>
  <c r="M33" i="35"/>
  <c r="L33" i="35"/>
  <c r="M32" i="35"/>
  <c r="L32" i="35"/>
  <c r="M31" i="35"/>
  <c r="L31" i="35"/>
  <c r="M30" i="35"/>
  <c r="L30" i="35"/>
  <c r="M29" i="35"/>
  <c r="L29" i="35"/>
  <c r="M28" i="35"/>
  <c r="L28" i="35"/>
  <c r="M27" i="35"/>
  <c r="L27" i="35"/>
  <c r="M26" i="35"/>
  <c r="L26" i="35"/>
  <c r="M25" i="35"/>
  <c r="L25" i="35"/>
  <c r="M24" i="35"/>
  <c r="L24" i="35"/>
  <c r="M23" i="35"/>
  <c r="L23" i="35"/>
  <c r="M22" i="35"/>
  <c r="L22" i="35"/>
  <c r="M21" i="35"/>
  <c r="L21" i="35"/>
  <c r="M20" i="35"/>
  <c r="L20" i="35"/>
  <c r="M19" i="35"/>
  <c r="L19" i="35"/>
  <c r="M18" i="35"/>
  <c r="L18" i="35"/>
  <c r="M17" i="35"/>
  <c r="L17" i="35"/>
  <c r="M16" i="35"/>
  <c r="L16" i="35"/>
  <c r="M15" i="35"/>
  <c r="L15" i="35"/>
  <c r="M14" i="35"/>
  <c r="L14" i="35"/>
  <c r="M13" i="35"/>
  <c r="L13" i="35"/>
  <c r="M12" i="35"/>
  <c r="L12" i="35"/>
  <c r="M11" i="35"/>
  <c r="L11" i="35"/>
  <c r="M10" i="35"/>
  <c r="L10" i="35"/>
  <c r="M9" i="35"/>
  <c r="L9" i="35"/>
  <c r="M8" i="35"/>
  <c r="L8" i="35"/>
  <c r="M7" i="35"/>
  <c r="L7" i="35"/>
  <c r="N57" i="35" l="1"/>
  <c r="N56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1" i="35"/>
  <c r="N40" i="35"/>
  <c r="N39" i="35"/>
  <c r="N38" i="35"/>
  <c r="N37" i="35"/>
  <c r="N36" i="35"/>
  <c r="N35" i="35"/>
  <c r="N34" i="35"/>
  <c r="N33" i="35"/>
  <c r="N32" i="35"/>
  <c r="N31" i="35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6" i="35"/>
  <c r="N15" i="35"/>
  <c r="N14" i="35"/>
  <c r="N13" i="35"/>
  <c r="N12" i="35"/>
  <c r="N11" i="35"/>
  <c r="N10" i="35"/>
  <c r="N9" i="35"/>
  <c r="N8" i="35"/>
  <c r="N59" i="35"/>
  <c r="N7" i="35"/>
  <c r="I60" i="35" l="1"/>
  <c r="R60" i="35"/>
  <c r="Q60" i="35"/>
  <c r="P60" i="35"/>
  <c r="O60" i="35"/>
  <c r="K60" i="35"/>
  <c r="J60" i="35"/>
  <c r="H60" i="35"/>
  <c r="G60" i="35"/>
  <c r="F60" i="35"/>
  <c r="E60" i="35"/>
  <c r="D60" i="35"/>
  <c r="N60" i="35" s="1"/>
  <c r="R59" i="35"/>
  <c r="Q59" i="35"/>
  <c r="P59" i="35"/>
  <c r="O59" i="35"/>
  <c r="K59" i="35"/>
  <c r="J59" i="35"/>
  <c r="I59" i="35"/>
  <c r="H59" i="35"/>
  <c r="G59" i="35"/>
  <c r="F59" i="35"/>
  <c r="E59" i="35"/>
  <c r="D59" i="35"/>
  <c r="S59" i="35" s="1"/>
  <c r="R57" i="35"/>
  <c r="Q57" i="35"/>
  <c r="P57" i="35"/>
  <c r="O57" i="35"/>
  <c r="K57" i="35"/>
  <c r="J57" i="35"/>
  <c r="I57" i="35"/>
  <c r="H57" i="35"/>
  <c r="G57" i="35"/>
  <c r="F57" i="35"/>
  <c r="E57" i="35"/>
  <c r="D57" i="35"/>
  <c r="S57" i="35" s="1"/>
  <c r="R56" i="35"/>
  <c r="Q56" i="35"/>
  <c r="P56" i="35"/>
  <c r="O56" i="35"/>
  <c r="K56" i="35"/>
  <c r="J56" i="35"/>
  <c r="I56" i="35"/>
  <c r="H56" i="35"/>
  <c r="G56" i="35"/>
  <c r="F56" i="35"/>
  <c r="E56" i="35"/>
  <c r="D56" i="35"/>
  <c r="S56" i="35" s="1"/>
  <c r="R55" i="35"/>
  <c r="Q55" i="35"/>
  <c r="P55" i="35"/>
  <c r="O55" i="35"/>
  <c r="K55" i="35"/>
  <c r="J55" i="35"/>
  <c r="I55" i="35"/>
  <c r="H55" i="35"/>
  <c r="G55" i="35"/>
  <c r="F55" i="35"/>
  <c r="E55" i="35"/>
  <c r="D55" i="35"/>
  <c r="S55" i="35" s="1"/>
  <c r="R54" i="35"/>
  <c r="Q54" i="35"/>
  <c r="P54" i="35"/>
  <c r="O54" i="35"/>
  <c r="K54" i="35"/>
  <c r="J54" i="35"/>
  <c r="I54" i="35"/>
  <c r="H54" i="35"/>
  <c r="G54" i="35"/>
  <c r="F54" i="35"/>
  <c r="E54" i="35"/>
  <c r="D54" i="35"/>
  <c r="S54" i="35" s="1"/>
  <c r="R53" i="35"/>
  <c r="Q53" i="35"/>
  <c r="P53" i="35"/>
  <c r="O53" i="35"/>
  <c r="K53" i="35"/>
  <c r="J53" i="35"/>
  <c r="I53" i="35"/>
  <c r="H53" i="35"/>
  <c r="G53" i="35"/>
  <c r="F53" i="35"/>
  <c r="E53" i="35"/>
  <c r="D53" i="35"/>
  <c r="S53" i="35" s="1"/>
  <c r="R52" i="35"/>
  <c r="Q52" i="35"/>
  <c r="P52" i="35"/>
  <c r="O52" i="35"/>
  <c r="K52" i="35"/>
  <c r="J52" i="35"/>
  <c r="I52" i="35"/>
  <c r="H52" i="35"/>
  <c r="G52" i="35"/>
  <c r="F52" i="35"/>
  <c r="E52" i="35"/>
  <c r="D52" i="35"/>
  <c r="S52" i="35" s="1"/>
  <c r="R51" i="35"/>
  <c r="Q51" i="35"/>
  <c r="P51" i="35"/>
  <c r="O51" i="35"/>
  <c r="K51" i="35"/>
  <c r="J51" i="35"/>
  <c r="I51" i="35"/>
  <c r="H51" i="35"/>
  <c r="G51" i="35"/>
  <c r="F51" i="35"/>
  <c r="E51" i="35"/>
  <c r="D51" i="35"/>
  <c r="S51" i="35" s="1"/>
  <c r="R50" i="35"/>
  <c r="Q50" i="35"/>
  <c r="P50" i="35"/>
  <c r="O50" i="35"/>
  <c r="K50" i="35"/>
  <c r="J50" i="35"/>
  <c r="I50" i="35"/>
  <c r="H50" i="35"/>
  <c r="G50" i="35"/>
  <c r="F50" i="35"/>
  <c r="E50" i="35"/>
  <c r="D50" i="35"/>
  <c r="S50" i="35" s="1"/>
  <c r="R49" i="35"/>
  <c r="Q49" i="35"/>
  <c r="P49" i="35"/>
  <c r="O49" i="35"/>
  <c r="K49" i="35"/>
  <c r="J49" i="35"/>
  <c r="I49" i="35"/>
  <c r="H49" i="35"/>
  <c r="G49" i="35"/>
  <c r="F49" i="35"/>
  <c r="E49" i="35"/>
  <c r="D49" i="35"/>
  <c r="S49" i="35" s="1"/>
  <c r="R48" i="35"/>
  <c r="Q48" i="35"/>
  <c r="P48" i="35"/>
  <c r="O48" i="35"/>
  <c r="K48" i="35"/>
  <c r="J48" i="35"/>
  <c r="I48" i="35"/>
  <c r="H48" i="35"/>
  <c r="G48" i="35"/>
  <c r="F48" i="35"/>
  <c r="E48" i="35"/>
  <c r="D48" i="35"/>
  <c r="S48" i="35" s="1"/>
  <c r="R47" i="35"/>
  <c r="Q47" i="35"/>
  <c r="P47" i="35"/>
  <c r="O47" i="35"/>
  <c r="K47" i="35"/>
  <c r="J47" i="35"/>
  <c r="I47" i="35"/>
  <c r="H47" i="35"/>
  <c r="G47" i="35"/>
  <c r="F47" i="35"/>
  <c r="E47" i="35"/>
  <c r="D47" i="35"/>
  <c r="S47" i="35" s="1"/>
  <c r="R46" i="35"/>
  <c r="Q46" i="35"/>
  <c r="P46" i="35"/>
  <c r="O46" i="35"/>
  <c r="K46" i="35"/>
  <c r="J46" i="35"/>
  <c r="I46" i="35"/>
  <c r="H46" i="35"/>
  <c r="G46" i="35"/>
  <c r="F46" i="35"/>
  <c r="E46" i="35"/>
  <c r="D46" i="35"/>
  <c r="S46" i="35" s="1"/>
  <c r="R45" i="35"/>
  <c r="Q45" i="35"/>
  <c r="P45" i="35"/>
  <c r="O45" i="35"/>
  <c r="K45" i="35"/>
  <c r="J45" i="35"/>
  <c r="I45" i="35"/>
  <c r="H45" i="35"/>
  <c r="G45" i="35"/>
  <c r="F45" i="35"/>
  <c r="E45" i="35"/>
  <c r="D45" i="35"/>
  <c r="S45" i="35" s="1"/>
  <c r="R44" i="35"/>
  <c r="Q44" i="35"/>
  <c r="P44" i="35"/>
  <c r="O44" i="35"/>
  <c r="K44" i="35"/>
  <c r="J44" i="35"/>
  <c r="I44" i="35"/>
  <c r="H44" i="35"/>
  <c r="G44" i="35"/>
  <c r="F44" i="35"/>
  <c r="E44" i="35"/>
  <c r="D44" i="35"/>
  <c r="S44" i="35" s="1"/>
  <c r="R43" i="35"/>
  <c r="Q43" i="35"/>
  <c r="P43" i="35"/>
  <c r="O43" i="35"/>
  <c r="K43" i="35"/>
  <c r="J43" i="35"/>
  <c r="I43" i="35"/>
  <c r="H43" i="35"/>
  <c r="G43" i="35"/>
  <c r="F43" i="35"/>
  <c r="E43" i="35"/>
  <c r="D43" i="35"/>
  <c r="S43" i="35" s="1"/>
  <c r="R42" i="35"/>
  <c r="Q42" i="35"/>
  <c r="P42" i="35"/>
  <c r="O42" i="35"/>
  <c r="K42" i="35"/>
  <c r="J42" i="35"/>
  <c r="I42" i="35"/>
  <c r="H42" i="35"/>
  <c r="G42" i="35"/>
  <c r="F42" i="35"/>
  <c r="E42" i="35"/>
  <c r="D42" i="35"/>
  <c r="S42" i="35" s="1"/>
  <c r="R41" i="35"/>
  <c r="Q41" i="35"/>
  <c r="P41" i="35"/>
  <c r="O41" i="35"/>
  <c r="K41" i="35"/>
  <c r="J41" i="35"/>
  <c r="I41" i="35"/>
  <c r="H41" i="35"/>
  <c r="G41" i="35"/>
  <c r="F41" i="35"/>
  <c r="E41" i="35"/>
  <c r="D41" i="35"/>
  <c r="S41" i="35" s="1"/>
  <c r="R40" i="35"/>
  <c r="Q40" i="35"/>
  <c r="P40" i="35"/>
  <c r="O40" i="35"/>
  <c r="K40" i="35"/>
  <c r="J40" i="35"/>
  <c r="I40" i="35"/>
  <c r="H40" i="35"/>
  <c r="G40" i="35"/>
  <c r="F40" i="35"/>
  <c r="E40" i="35"/>
  <c r="D40" i="35"/>
  <c r="S40" i="35" s="1"/>
  <c r="R39" i="35"/>
  <c r="Q39" i="35"/>
  <c r="P39" i="35"/>
  <c r="O39" i="35"/>
  <c r="K39" i="35"/>
  <c r="J39" i="35"/>
  <c r="I39" i="35"/>
  <c r="H39" i="35"/>
  <c r="G39" i="35"/>
  <c r="F39" i="35"/>
  <c r="E39" i="35"/>
  <c r="D39" i="35"/>
  <c r="S39" i="35" s="1"/>
  <c r="R38" i="35"/>
  <c r="Q38" i="35"/>
  <c r="P38" i="35"/>
  <c r="O38" i="35"/>
  <c r="K38" i="35"/>
  <c r="J38" i="35"/>
  <c r="I38" i="35"/>
  <c r="H38" i="35"/>
  <c r="G38" i="35"/>
  <c r="F38" i="35"/>
  <c r="E38" i="35"/>
  <c r="D38" i="35"/>
  <c r="S38" i="35" s="1"/>
  <c r="R37" i="35"/>
  <c r="Q37" i="35"/>
  <c r="P37" i="35"/>
  <c r="O37" i="35"/>
  <c r="K37" i="35"/>
  <c r="J37" i="35"/>
  <c r="I37" i="35"/>
  <c r="H37" i="35"/>
  <c r="G37" i="35"/>
  <c r="F37" i="35"/>
  <c r="E37" i="35"/>
  <c r="D37" i="35"/>
  <c r="S37" i="35" s="1"/>
  <c r="R36" i="35"/>
  <c r="Q36" i="35"/>
  <c r="P36" i="35"/>
  <c r="O36" i="35"/>
  <c r="K36" i="35"/>
  <c r="J36" i="35"/>
  <c r="I36" i="35"/>
  <c r="H36" i="35"/>
  <c r="G36" i="35"/>
  <c r="F36" i="35"/>
  <c r="E36" i="35"/>
  <c r="D36" i="35"/>
  <c r="S36" i="35" s="1"/>
  <c r="R35" i="35"/>
  <c r="Q35" i="35"/>
  <c r="P35" i="35"/>
  <c r="O35" i="35"/>
  <c r="K35" i="35"/>
  <c r="J35" i="35"/>
  <c r="I35" i="35"/>
  <c r="H35" i="35"/>
  <c r="G35" i="35"/>
  <c r="F35" i="35"/>
  <c r="E35" i="35"/>
  <c r="D35" i="35"/>
  <c r="S35" i="35" s="1"/>
  <c r="R34" i="35"/>
  <c r="Q34" i="35"/>
  <c r="P34" i="35"/>
  <c r="O34" i="35"/>
  <c r="K34" i="35"/>
  <c r="J34" i="35"/>
  <c r="I34" i="35"/>
  <c r="H34" i="35"/>
  <c r="G34" i="35"/>
  <c r="F34" i="35"/>
  <c r="E34" i="35"/>
  <c r="D34" i="35"/>
  <c r="S34" i="35" s="1"/>
  <c r="R33" i="35"/>
  <c r="Q33" i="35"/>
  <c r="P33" i="35"/>
  <c r="O33" i="35"/>
  <c r="K33" i="35"/>
  <c r="J33" i="35"/>
  <c r="I33" i="35"/>
  <c r="H33" i="35"/>
  <c r="G33" i="35"/>
  <c r="F33" i="35"/>
  <c r="E33" i="35"/>
  <c r="D33" i="35"/>
  <c r="S33" i="35" s="1"/>
  <c r="R32" i="35"/>
  <c r="Q32" i="35"/>
  <c r="P32" i="35"/>
  <c r="O32" i="35"/>
  <c r="K32" i="35"/>
  <c r="J32" i="35"/>
  <c r="I32" i="35"/>
  <c r="H32" i="35"/>
  <c r="G32" i="35"/>
  <c r="F32" i="35"/>
  <c r="E32" i="35"/>
  <c r="D32" i="35"/>
  <c r="S32" i="35" s="1"/>
  <c r="R31" i="35"/>
  <c r="Q31" i="35"/>
  <c r="P31" i="35"/>
  <c r="O31" i="35"/>
  <c r="K31" i="35"/>
  <c r="J31" i="35"/>
  <c r="I31" i="35"/>
  <c r="H31" i="35"/>
  <c r="G31" i="35"/>
  <c r="F31" i="35"/>
  <c r="E31" i="35"/>
  <c r="D31" i="35"/>
  <c r="S31" i="35" s="1"/>
  <c r="R30" i="35"/>
  <c r="Q30" i="35"/>
  <c r="P30" i="35"/>
  <c r="O30" i="35"/>
  <c r="K30" i="35"/>
  <c r="J30" i="35"/>
  <c r="I30" i="35"/>
  <c r="H30" i="35"/>
  <c r="G30" i="35"/>
  <c r="F30" i="35"/>
  <c r="E30" i="35"/>
  <c r="D30" i="35"/>
  <c r="S30" i="35" s="1"/>
  <c r="R29" i="35"/>
  <c r="Q29" i="35"/>
  <c r="P29" i="35"/>
  <c r="O29" i="35"/>
  <c r="K29" i="35"/>
  <c r="J29" i="35"/>
  <c r="I29" i="35"/>
  <c r="H29" i="35"/>
  <c r="G29" i="35"/>
  <c r="F29" i="35"/>
  <c r="E29" i="35"/>
  <c r="D29" i="35"/>
  <c r="S29" i="35" s="1"/>
  <c r="R28" i="35"/>
  <c r="Q28" i="35"/>
  <c r="P28" i="35"/>
  <c r="O28" i="35"/>
  <c r="K28" i="35"/>
  <c r="J28" i="35"/>
  <c r="I28" i="35"/>
  <c r="H28" i="35"/>
  <c r="G28" i="35"/>
  <c r="F28" i="35"/>
  <c r="E28" i="35"/>
  <c r="D28" i="35"/>
  <c r="S28" i="35" s="1"/>
  <c r="R27" i="35"/>
  <c r="Q27" i="35"/>
  <c r="P27" i="35"/>
  <c r="O27" i="35"/>
  <c r="K27" i="35"/>
  <c r="J27" i="35"/>
  <c r="I27" i="35"/>
  <c r="H27" i="35"/>
  <c r="G27" i="35"/>
  <c r="F27" i="35"/>
  <c r="E27" i="35"/>
  <c r="D27" i="35"/>
  <c r="S27" i="35" s="1"/>
  <c r="R26" i="35"/>
  <c r="Q26" i="35"/>
  <c r="P26" i="35"/>
  <c r="O26" i="35"/>
  <c r="K26" i="35"/>
  <c r="J26" i="35"/>
  <c r="I26" i="35"/>
  <c r="H26" i="35"/>
  <c r="G26" i="35"/>
  <c r="F26" i="35"/>
  <c r="E26" i="35"/>
  <c r="D26" i="35"/>
  <c r="S26" i="35" s="1"/>
  <c r="R25" i="35"/>
  <c r="Q25" i="35"/>
  <c r="P25" i="35"/>
  <c r="O25" i="35"/>
  <c r="K25" i="35"/>
  <c r="J25" i="35"/>
  <c r="I25" i="35"/>
  <c r="H25" i="35"/>
  <c r="G25" i="35"/>
  <c r="F25" i="35"/>
  <c r="E25" i="35"/>
  <c r="D25" i="35"/>
  <c r="S25" i="35" s="1"/>
  <c r="R24" i="35"/>
  <c r="Q24" i="35"/>
  <c r="P24" i="35"/>
  <c r="O24" i="35"/>
  <c r="K24" i="35"/>
  <c r="J24" i="35"/>
  <c r="I24" i="35"/>
  <c r="H24" i="35"/>
  <c r="G24" i="35"/>
  <c r="F24" i="35"/>
  <c r="E24" i="35"/>
  <c r="D24" i="35"/>
  <c r="S24" i="35" s="1"/>
  <c r="R23" i="35"/>
  <c r="Q23" i="35"/>
  <c r="P23" i="35"/>
  <c r="O23" i="35"/>
  <c r="K23" i="35"/>
  <c r="J23" i="35"/>
  <c r="I23" i="35"/>
  <c r="H23" i="35"/>
  <c r="G23" i="35"/>
  <c r="F23" i="35"/>
  <c r="E23" i="35"/>
  <c r="D23" i="35"/>
  <c r="S23" i="35" s="1"/>
  <c r="R22" i="35"/>
  <c r="Q22" i="35"/>
  <c r="P22" i="35"/>
  <c r="O22" i="35"/>
  <c r="K22" i="35"/>
  <c r="J22" i="35"/>
  <c r="I22" i="35"/>
  <c r="H22" i="35"/>
  <c r="G22" i="35"/>
  <c r="F22" i="35"/>
  <c r="E22" i="35"/>
  <c r="D22" i="35"/>
  <c r="S22" i="35" s="1"/>
  <c r="R21" i="35"/>
  <c r="Q21" i="35"/>
  <c r="P21" i="35"/>
  <c r="O21" i="35"/>
  <c r="K21" i="35"/>
  <c r="J21" i="35"/>
  <c r="I21" i="35"/>
  <c r="H21" i="35"/>
  <c r="G21" i="35"/>
  <c r="F21" i="35"/>
  <c r="E21" i="35"/>
  <c r="D21" i="35"/>
  <c r="S21" i="35" s="1"/>
  <c r="R20" i="35"/>
  <c r="Q20" i="35"/>
  <c r="P20" i="35"/>
  <c r="O20" i="35"/>
  <c r="K20" i="35"/>
  <c r="J20" i="35"/>
  <c r="I20" i="35"/>
  <c r="H20" i="35"/>
  <c r="G20" i="35"/>
  <c r="F20" i="35"/>
  <c r="E20" i="35"/>
  <c r="D20" i="35"/>
  <c r="S20" i="35" s="1"/>
  <c r="R19" i="35"/>
  <c r="Q19" i="35"/>
  <c r="P19" i="35"/>
  <c r="O19" i="35"/>
  <c r="K19" i="35"/>
  <c r="J19" i="35"/>
  <c r="I19" i="35"/>
  <c r="H19" i="35"/>
  <c r="G19" i="35"/>
  <c r="F19" i="35"/>
  <c r="E19" i="35"/>
  <c r="D19" i="35"/>
  <c r="S19" i="35" s="1"/>
  <c r="R18" i="35"/>
  <c r="Q18" i="35"/>
  <c r="P18" i="35"/>
  <c r="O18" i="35"/>
  <c r="K18" i="35"/>
  <c r="J18" i="35"/>
  <c r="I18" i="35"/>
  <c r="H18" i="35"/>
  <c r="G18" i="35"/>
  <c r="F18" i="35"/>
  <c r="E18" i="35"/>
  <c r="D18" i="35"/>
  <c r="S18" i="35" s="1"/>
  <c r="R17" i="35"/>
  <c r="Q17" i="35"/>
  <c r="P17" i="35"/>
  <c r="O17" i="35"/>
  <c r="K17" i="35"/>
  <c r="J17" i="35"/>
  <c r="I17" i="35"/>
  <c r="H17" i="35"/>
  <c r="G17" i="35"/>
  <c r="F17" i="35"/>
  <c r="E17" i="35"/>
  <c r="D17" i="35"/>
  <c r="S17" i="35" s="1"/>
  <c r="R16" i="35"/>
  <c r="Q16" i="35"/>
  <c r="P16" i="35"/>
  <c r="O16" i="35"/>
  <c r="K16" i="35"/>
  <c r="J16" i="35"/>
  <c r="I16" i="35"/>
  <c r="H16" i="35"/>
  <c r="G16" i="35"/>
  <c r="F16" i="35"/>
  <c r="E16" i="35"/>
  <c r="D16" i="35"/>
  <c r="S16" i="35" s="1"/>
  <c r="R15" i="35"/>
  <c r="Q15" i="35"/>
  <c r="P15" i="35"/>
  <c r="O15" i="35"/>
  <c r="K15" i="35"/>
  <c r="J15" i="35"/>
  <c r="I15" i="35"/>
  <c r="H15" i="35"/>
  <c r="G15" i="35"/>
  <c r="F15" i="35"/>
  <c r="E15" i="35"/>
  <c r="D15" i="35"/>
  <c r="S15" i="35" s="1"/>
  <c r="R14" i="35"/>
  <c r="Q14" i="35"/>
  <c r="P14" i="35"/>
  <c r="O14" i="35"/>
  <c r="K14" i="35"/>
  <c r="J14" i="35"/>
  <c r="I14" i="35"/>
  <c r="H14" i="35"/>
  <c r="G14" i="35"/>
  <c r="F14" i="35"/>
  <c r="E14" i="35"/>
  <c r="D14" i="35"/>
  <c r="S14" i="35" s="1"/>
  <c r="R13" i="35"/>
  <c r="Q13" i="35"/>
  <c r="P13" i="35"/>
  <c r="O13" i="35"/>
  <c r="K13" i="35"/>
  <c r="J13" i="35"/>
  <c r="I13" i="35"/>
  <c r="H13" i="35"/>
  <c r="G13" i="35"/>
  <c r="F13" i="35"/>
  <c r="E13" i="35"/>
  <c r="D13" i="35"/>
  <c r="S13" i="35" s="1"/>
  <c r="R12" i="35"/>
  <c r="Q12" i="35"/>
  <c r="P12" i="35"/>
  <c r="O12" i="35"/>
  <c r="K12" i="35"/>
  <c r="J12" i="35"/>
  <c r="I12" i="35"/>
  <c r="H12" i="35"/>
  <c r="G12" i="35"/>
  <c r="F12" i="35"/>
  <c r="E12" i="35"/>
  <c r="D12" i="35"/>
  <c r="S12" i="35" s="1"/>
  <c r="R11" i="35"/>
  <c r="Q11" i="35"/>
  <c r="P11" i="35"/>
  <c r="O11" i="35"/>
  <c r="K11" i="35"/>
  <c r="J11" i="35"/>
  <c r="I11" i="35"/>
  <c r="H11" i="35"/>
  <c r="G11" i="35"/>
  <c r="F11" i="35"/>
  <c r="E11" i="35"/>
  <c r="D11" i="35"/>
  <c r="S11" i="35" s="1"/>
  <c r="R10" i="35"/>
  <c r="Q10" i="35"/>
  <c r="P10" i="35"/>
  <c r="O10" i="35"/>
  <c r="K10" i="35"/>
  <c r="J10" i="35"/>
  <c r="I10" i="35"/>
  <c r="H10" i="35"/>
  <c r="G10" i="35"/>
  <c r="F10" i="35"/>
  <c r="E10" i="35"/>
  <c r="D10" i="35"/>
  <c r="S10" i="35" s="1"/>
  <c r="R9" i="35"/>
  <c r="Q9" i="35"/>
  <c r="P9" i="35"/>
  <c r="O9" i="35"/>
  <c r="K9" i="35"/>
  <c r="J9" i="35"/>
  <c r="I9" i="35"/>
  <c r="H9" i="35"/>
  <c r="G9" i="35"/>
  <c r="F9" i="35"/>
  <c r="E9" i="35"/>
  <c r="D9" i="35"/>
  <c r="S9" i="35" s="1"/>
  <c r="R8" i="35"/>
  <c r="Q8" i="35"/>
  <c r="P8" i="35"/>
  <c r="O8" i="35"/>
  <c r="K8" i="35"/>
  <c r="J8" i="35"/>
  <c r="I8" i="35"/>
  <c r="H8" i="35"/>
  <c r="G8" i="35"/>
  <c r="F8" i="35"/>
  <c r="E8" i="35"/>
  <c r="D8" i="35"/>
  <c r="S8" i="35" s="1"/>
  <c r="R7" i="35"/>
  <c r="Q7" i="35"/>
  <c r="P7" i="35"/>
  <c r="O7" i="35"/>
  <c r="K7" i="35"/>
  <c r="J7" i="35"/>
  <c r="I7" i="35"/>
  <c r="H7" i="35"/>
  <c r="G7" i="35"/>
  <c r="F7" i="35"/>
  <c r="E7" i="35"/>
  <c r="D7" i="35"/>
  <c r="S7" i="35" s="1"/>
  <c r="S60" i="35" l="1"/>
  <c r="O58" i="35"/>
  <c r="L58" i="35"/>
  <c r="J58" i="35"/>
  <c r="Q58" i="35"/>
  <c r="P58" i="35"/>
  <c r="M58" i="35"/>
  <c r="K58" i="35"/>
  <c r="I58" i="35"/>
  <c r="F58" i="35"/>
  <c r="E58" i="35"/>
  <c r="R58" i="35"/>
  <c r="H58" i="35" l="1"/>
  <c r="J6" i="35"/>
  <c r="J61" i="35" s="1"/>
  <c r="R6" i="35"/>
  <c r="R61" i="35" s="1"/>
  <c r="K6" i="35"/>
  <c r="K61" i="35" s="1"/>
  <c r="G6" i="35"/>
  <c r="O6" i="35"/>
  <c r="O61" i="35" s="1"/>
  <c r="P6" i="35"/>
  <c r="P61" i="35" s="1"/>
  <c r="E6" i="35"/>
  <c r="E61" i="35" s="1"/>
  <c r="M6" i="35"/>
  <c r="M61" i="35" s="1"/>
  <c r="D6" i="35"/>
  <c r="N6" i="35" s="1"/>
  <c r="I6" i="35"/>
  <c r="I61" i="35" s="1"/>
  <c r="Q6" i="35"/>
  <c r="Q61" i="35" s="1"/>
  <c r="H6" i="35"/>
  <c r="G58" i="35"/>
  <c r="L6" i="35"/>
  <c r="L61" i="35" s="1"/>
  <c r="F6" i="35"/>
  <c r="F61" i="35" s="1"/>
  <c r="D58" i="35"/>
  <c r="N58" i="35" s="1"/>
  <c r="S6" i="35" l="1"/>
  <c r="S58" i="35"/>
  <c r="G61" i="35"/>
  <c r="H61" i="35"/>
  <c r="D61" i="35"/>
  <c r="F10" i="29"/>
  <c r="S61" i="35" l="1"/>
  <c r="N61" i="35"/>
</calcChain>
</file>

<file path=xl/sharedStrings.xml><?xml version="1.0" encoding="utf-8"?>
<sst xmlns="http://schemas.openxmlformats.org/spreadsheetml/2006/main" count="215" uniqueCount="201">
  <si>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</si>
  <si>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</si>
  <si>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1 Granular_v2.0.sql" e </t>
    </r>
    <r>
      <rPr>
        <i/>
        <sz val="9"/>
        <color theme="1"/>
        <rFont val="Calibri"/>
        <family val="2"/>
        <scheme val="minor"/>
      </rPr>
      <t>"BS_Geracao Template 1 Agregado_v2.0.sql".</t>
    </r>
  </si>
  <si>
    <t>1.1. Execução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</si>
  <si>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"bu_esg_work.ag01_temp_cto_gra".</t>
    </r>
  </si>
  <si>
    <t>1.2. Parâmetros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</si>
  <si>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</si>
  <si>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</si>
  <si>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</si>
  <si>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</si>
  <si>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</si>
  <si>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</si>
  <si>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</si>
  <si>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</si>
  <si>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</si>
  <si>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</si>
  <si>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</si>
  <si>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</si>
  <si>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</si>
  <si>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</si>
  <si>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t>2.3. Atualizar informação</t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</si>
  <si>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</si>
  <si>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t>2.4. Consultar informação</t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</si>
  <si>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Transition risk-Banking b.".</t>
    </r>
  </si>
  <si>
    <t>3. Reporte BdP</t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</si>
  <si>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Transition risk-Banking b."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</si>
  <si>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</si>
  <si>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</si>
  <si>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</si>
  <si>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</si>
  <si>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t>stage</t>
  </si>
  <si>
    <t>contraparte</t>
  </si>
  <si>
    <t>vb_imp</t>
  </si>
  <si>
    <t>excluded_paris</t>
  </si>
  <si>
    <t>maturity</t>
  </si>
  <si>
    <t>cod_nace_esg</t>
  </si>
  <si>
    <t>asci</t>
  </si>
  <si>
    <t>gesi</t>
  </si>
  <si>
    <t>asc2</t>
  </si>
  <si>
    <t>gesii</t>
  </si>
  <si>
    <t>asciii</t>
  </si>
  <si>
    <t>gesiii</t>
  </si>
  <si>
    <t>flag_csrd</t>
  </si>
  <si>
    <t>sustainable_ccm</t>
  </si>
  <si>
    <t>aveg_aux</t>
  </si>
  <si>
    <t>source_emission_1</t>
  </si>
  <si>
    <t>source_emission_2</t>
  </si>
  <si>
    <t>source_emission_3</t>
  </si>
  <si>
    <t>Template 1: Banking book- Climate Change transition risk: Credit quality of exposures by sector, emissions and residual maturity</t>
  </si>
  <si>
    <t>Sector/subsector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</si>
  <si>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</si>
  <si>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</si>
  <si>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</si>
  <si>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</si>
  <si>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</si>
  <si>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</si>
  <si>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</si>
  <si>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</si>
  <si>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</si>
  <si>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</si>
  <si>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</si>
  <si>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</si>
  <si>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</si>
  <si>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</si>
  <si>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</si>
  <si>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</si>
  <si>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Gross carrying amount (Mln EUR)</t>
  </si>
  <si>
    <t>Accumulated impairment, accumulated negative changes in fair value due to credit risk and provisions (Mln EUR)</t>
  </si>
  <si>
    <t>GHG financed emissions (scope 1, scope 2 and scope 3 emissions of the counterparty) (in tons of CO2 equivalent)</t>
  </si>
  <si>
    <t>GHG emissions (column i): gross carrying amount percentage of the portfolio derived from company-specific reporting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</si>
  <si>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</si>
  <si>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</si>
  <si>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</si>
  <si>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</si>
  <si>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</si>
  <si>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exposures towards companies excluded from EU Paris-aligned Benchmarks in accordance with points (d) to (g) of Article 12.1 and in accordance with Article 12.2 of Climate Benchmark Standards Regulation</t>
  </si>
  <si>
    <t>Of which environmentally sustainable (CCM)</t>
  </si>
  <si>
    <t>Of which stage 2 exposures</t>
  </si>
  <si>
    <t>Of which non-performing exposures</t>
  </si>
  <si>
    <t>Of which Stage 2 exposures</t>
  </si>
  <si>
    <t>Of which Scope 3 financed emissions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</si>
  <si>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</si>
  <si>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</si>
  <si>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</si>
  <si>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</si>
  <si>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</si>
  <si>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</si>
  <si>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</si>
  <si>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</si>
  <si>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</si>
  <si>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</si>
  <si>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</si>
  <si>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</si>
  <si>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</si>
  <si>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</si>
  <si>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</si>
  <si>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</si>
  <si>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</si>
  <si>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</si>
  <si>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</si>
  <si>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</si>
  <si>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</si>
  <si>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</si>
  <si>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</si>
  <si>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</si>
  <si>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</si>
  <si>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</si>
  <si>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</si>
  <si>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</si>
  <si>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</si>
  <si>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</si>
  <si>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</si>
  <si>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</si>
  <si>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</si>
  <si>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</si>
  <si>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</si>
  <si>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</si>
  <si>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</si>
  <si>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</si>
  <si>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</si>
  <si>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</si>
  <si>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</si>
  <si>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</si>
  <si>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</si>
  <si>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</si>
  <si>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</si>
  <si>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</si>
  <si>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</si>
  <si>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</si>
  <si>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</si>
  <si>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</si>
  <si>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</si>
  <si>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</si>
  <si>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</si>
  <si>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</si>
  <si>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</si>
  <si>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</si>
  <si>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</si>
  <si>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</si>
  <si>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</si>
  <si>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</si>
  <si>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</si>
  <si>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</si>
  <si>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</si>
  <si>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</si>
  <si>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</si>
  <si>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</si>
  <si>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</si>
  <si>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</si>
  <si>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</si>
  <si>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D35.1.1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</si>
  <si>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</si>
  <si>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</si>
  <si>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</si>
  <si>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</si>
  <si>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</si>
  <si>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</si>
  <si>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</si>
  <si>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</si>
  <si>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</si>
  <si>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</si>
  <si>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</si>
  <si>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</si>
  <si>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</si>
  <si>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</si>
  <si>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</si>
  <si>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</si>
  <si>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</si>
  <si>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</si>
  <si>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</si>
  <si>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</si>
  <si>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</si>
  <si>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</si>
  <si>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</si>
  <si>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</si>
  <si>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</si>
  <si>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</si>
  <si>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</si>
  <si>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</si>
  <si>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</si>
  <si>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</si>
  <si>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</si>
  <si>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</si>
  <si>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</si>
  <si>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</si>
  <si>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</si>
  <si>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</si>
  <si>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</si>
  <si>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Exposures to other sectors (NACE codes J, M - U)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</si>
  <si>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</si>
  <si>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</si>
  <si>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valor bruto</t>
  </si>
  <si>
    <t>imparidade</t>
  </si>
  <si>
    <t>excluido</t>
  </si>
  <si>
    <t>stage 2</t>
  </si>
  <si>
    <t>stage 3</t>
  </si>
  <si>
    <t>&gt;5</t>
  </si>
  <si>
    <t>&gt;10</t>
  </si>
  <si>
    <t>&gt;20</t>
  </si>
  <si>
    <t>&lt;=10</t>
  </si>
  <si>
    <t>&lt;=20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</si>
</sst>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98">
    <xf numFmtId="0" fontId="0" fillId="0" borderId="0" xfId="0"/>
    <xf numFmtId="0" fontId="1" fillId="2" borderId="0" xfId="0" applyFont="1" applyFill="1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/>
    <xf numFmtId="0" fontId="6" fillId="5" borderId="12" xfId="0" applyFont="1" applyFill="1" applyBorder="1"/>
    <xf numFmtId="0" fontId="17" fillId="0" borderId="0" xfId="0" applyFont="1"/>
    <xf numFmtId="0" fontId="16" fillId="0" borderId="0" xfId="0" applyFont="1"/>
    <xf numFmtId="0" fontId="5" fillId="0" borderId="0" xfId="0" applyFont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9" fillId="0" borderId="2" xfId="0" applyFont="1" applyBorder="1" applyProtection="1">
      <protection locked="0"/>
    </xf>
    <xf numFmtId="0" fontId="8" fillId="0" borderId="2" xfId="0" applyFont="1" applyBorder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11" fillId="3" borderId="0" xfId="0" applyFont="1" applyFill="1" applyAlignment="1" applyProtection="1">
      <alignment horizontal="left"/>
      <protection locked="0"/>
    </xf>
    <xf numFmtId="0" fontId="6" fillId="3" borderId="0" xfId="0" applyFont="1" applyFill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ill="1" applyBorder="1" applyProtection="1">
      <protection locked="0"/>
    </xf>
    <xf numFmtId="0" fontId="2" fillId="3" borderId="0" xfId="0" applyFont="1" applyFill="1" applyProtection="1">
      <protection locked="0"/>
    </xf>
    <xf numFmtId="0" fontId="0" fillId="3" borderId="9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14" fillId="0" borderId="0" xfId="0" applyFont="1" applyAlignment="1" applyProtection="1">
      <alignment horizontal="centerContinuous"/>
      <protection locked="0"/>
    </xf>
    <xf numFmtId="0" fontId="0" fillId="3" borderId="8" xfId="0" applyFill="1" applyBorder="1"/>
    <xf numFmtId="0" fontId="25" fillId="2" borderId="0" xfId="0" applyFont="1" applyFill="1" applyAlignment="1">
      <alignment horizontal="left"/>
    </xf>
    <xf numFmtId="0" fontId="26" fillId="2" borderId="14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horizontal="center"/>
    </xf>
    <xf numFmtId="0" fontId="26" fillId="2" borderId="16" xfId="0" applyFont="1" applyFill="1" applyBorder="1" applyAlignment="1">
      <alignment vertical="center" wrapText="1"/>
    </xf>
    <xf numFmtId="0" fontId="27" fillId="2" borderId="20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6" fillId="2" borderId="15" xfId="0" applyFont="1" applyFill="1" applyBorder="1" applyAlignment="1">
      <alignment horizontal="left" vertical="center" wrapText="1"/>
    </xf>
    <xf numFmtId="0" fontId="1" fillId="2" borderId="15" xfId="0" applyFont="1" applyFill="1" applyBorder="1" applyAlignment="1">
      <alignment horizontal="left" vertical="center" indent="1"/>
    </xf>
    <xf numFmtId="0" fontId="29" fillId="2" borderId="15" xfId="0" applyFont="1" applyFill="1" applyBorder="1" applyAlignment="1">
      <alignment horizontal="left" vertical="center" indent="3"/>
    </xf>
    <xf numFmtId="0" fontId="29" fillId="2" borderId="15" xfId="0" applyFont="1" applyFill="1" applyBorder="1" applyAlignment="1">
      <alignment horizontal="left" vertical="center" wrapText="1" indent="3"/>
    </xf>
    <xf numFmtId="0" fontId="2" fillId="2" borderId="15" xfId="0" applyFont="1" applyFill="1" applyBorder="1" applyAlignment="1">
      <alignment horizontal="left" vertical="center" indent="1"/>
    </xf>
    <xf numFmtId="0" fontId="28" fillId="2" borderId="0" xfId="0" applyFont="1" applyFill="1"/>
    <xf numFmtId="0" fontId="3" fillId="2" borderId="15" xfId="0" applyFont="1" applyFill="1" applyBorder="1" applyAlignment="1">
      <alignment horizontal="left" vertical="center" wrapText="1"/>
    </xf>
    <xf numFmtId="0" fontId="2" fillId="2" borderId="15" xfId="0" applyFont="1" applyFill="1" applyBorder="1" applyAlignment="1">
      <alignment horizontal="left" vertical="center" wrapText="1" indent="1"/>
    </xf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" fontId="1" fillId="2" borderId="0" xfId="0" applyNumberFormat="1" applyFont="1" applyFill="1"/>
    <xf numFmtId="4" fontId="1" fillId="2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Border="1" applyAlignment="1">
      <alignment horizontal="right" vertical="center" wrapText="1"/>
    </xf>
    <xf numFmtId="4" fontId="29" fillId="0" borderId="15" xfId="0" applyNumberFormat="1" applyFont="1" applyBorder="1" applyAlignment="1">
      <alignment horizontal="right" vertical="center" wrapText="1"/>
    </xf>
    <xf numFmtId="4" fontId="1" fillId="0" borderId="15" xfId="0" applyNumberFormat="1" applyFont="1" applyBorder="1" applyAlignment="1">
      <alignment horizontal="right" vertical="center"/>
    </xf>
    <xf numFmtId="4" fontId="1" fillId="0" borderId="15" xfId="0" applyNumberFormat="1" applyFont="1" applyBorder="1" applyAlignment="1">
      <alignment horizontal="right"/>
    </xf>
    <xf numFmtId="4" fontId="1" fillId="2" borderId="15" xfId="0" applyNumberFormat="1" applyFont="1" applyFill="1" applyBorder="1" applyAlignment="1">
      <alignment horizontal="right" vertical="center"/>
    </xf>
    <xf numFmtId="4" fontId="1" fillId="2" borderId="15" xfId="0" applyNumberFormat="1" applyFont="1" applyFill="1" applyBorder="1" applyAlignment="1">
      <alignment horizontal="right"/>
    </xf>
    <xf numFmtId="4" fontId="1" fillId="2" borderId="15" xfId="0" quotePrefix="1" applyNumberFormat="1" applyFont="1" applyFill="1" applyBorder="1" applyAlignment="1">
      <alignment horizontal="right" wrapText="1"/>
    </xf>
    <xf numFmtId="4" fontId="30" fillId="0" borderId="0" xfId="0" applyNumberFormat="1" applyFont="1" applyAlignment="1">
      <alignment horizontal="right"/>
    </xf>
    <xf numFmtId="9" fontId="1" fillId="0" borderId="15" xfId="1" applyFont="1" applyFill="1" applyBorder="1" applyAlignment="1">
      <alignment horizontal="right" vertical="center" wrapText="1"/>
    </xf>
    <xf numFmtId="9" fontId="1" fillId="0" borderId="15" xfId="1" applyFont="1" applyFill="1" applyBorder="1" applyAlignment="1">
      <alignment horizontal="right"/>
    </xf>
    <xf numFmtId="9" fontId="1" fillId="0" borderId="15" xfId="1" applyFont="1" applyBorder="1" applyAlignment="1">
      <alignment horizontal="right" vertical="center" wrapText="1"/>
    </xf>
    <xf numFmtId="9" fontId="30" fillId="0" borderId="15" xfId="1" applyFont="1" applyBorder="1" applyAlignment="1">
      <alignment horizontal="right"/>
    </xf>
    <xf numFmtId="9" fontId="1" fillId="0" borderId="15" xfId="1" applyFont="1" applyBorder="1" applyAlignment="1">
      <alignment horizontal="right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4" fontId="29" fillId="0" borderId="15" xfId="0" quotePrefix="1" applyNumberFormat="1" applyFont="1" applyBorder="1" applyAlignment="1">
      <alignment horizontal="right" vertical="center" wrapText="1"/>
    </xf>
    <xf numFmtId="4" fontId="30" fillId="0" borderId="15" xfId="0" applyNumberFormat="1" applyFont="1" applyBorder="1" applyAlignment="1">
      <alignment horizontal="right"/>
    </xf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26" fillId="2" borderId="19" xfId="0" applyFont="1" applyFill="1" applyBorder="1" applyAlignment="1">
      <alignment horizontal="center" vertical="center" wrapText="1"/>
    </xf>
  </cellXfs>
  <cellStyles count="2">
    <cellStyle name="Normal" xfId="0" builtinId="0"/>
    <cellStyle name="Per 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0" Type="http://schemas.microsoft.com/office/2007/relationships/hdphoto" Target="../media/hdphoto1.wdp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751900" y="1736725"/>
          <a:ext cx="1518765" cy="20152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43892" y="2474207"/>
          <a:ext cx="1516295" cy="12777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675724" y="1736141"/>
          <a:ext cx="1532170" cy="20158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15144" y="1727829"/>
          <a:ext cx="578933" cy="5992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0000"/>
  </sheetPr>
  <dimension ref="A1:V62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4.85" customHeight="1" zeroHeight="1"/>
  <cols>
    <col min="1" max="2" width="3.5703125" customWidth="1"/>
    <col min="3" max="4" width="7.5703125" customWidth="1"/>
    <col min="5" max="5" width="0.42578125" customWidth="1"/>
    <col min="6" max="6" width="7.5703125" customWidth="1"/>
    <col min="7" max="7" width="0.42578125" customWidth="1"/>
    <col min="8" max="20" width="10.5703125" customWidth="1"/>
    <col min="21" max="21" width="8.5703125" customWidth="1"/>
    <col min="22" max="22" width="3.5703125" customWidth="1"/>
  </cols>
  <sheetData>
    <row r="1" spans="1:22" ht="14.4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4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4.4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15" thickBot="1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2"/>
    </row>
    <row r="5" spans="1:22" s="8" customFormat="1" ht="15" thickTop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</row>
    <row r="6" spans="1:22" ht="15" customHeight="1">
      <c r="A6" s="5"/>
      <c r="B6" s="15" t="s">
        <v>0</v>
      </c>
      <c r="C6" s="16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5"/>
    </row>
    <row r="7" spans="1:22" ht="8.1" customHeight="1">
      <c r="A7" s="5"/>
      <c r="B7" s="9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</row>
    <row r="8" spans="1:22" s="8" customFormat="1" ht="14.4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</row>
    <row r="9" spans="1:22" ht="14.45"/>
    <row r="10" spans="1:22" ht="14.45"/>
    <row r="11" spans="1:22" ht="14.45"/>
    <row r="12" spans="1:22" ht="14.45"/>
    <row r="13" spans="1:22" ht="14.45"/>
    <row r="14" spans="1:22" ht="14.45"/>
    <row r="15" spans="1:22" ht="14.45"/>
    <row r="16" spans="1:22" ht="14.45"/>
    <row r="17" spans="2:20" ht="14.45"/>
    <row r="18" spans="2:20" ht="14.45"/>
    <row r="19" spans="2:20" ht="14.45"/>
    <row r="20" spans="2:20" ht="14.45"/>
    <row r="21" spans="2:20" ht="14.45"/>
    <row r="22" spans="2:20" ht="14.45"/>
    <row r="23" spans="2:20" ht="14.45"/>
    <row r="24" spans="2:20" ht="13.35" customHeight="1">
      <c r="B24" s="89" t="s">
        <v>1</v>
      </c>
      <c r="C24" s="89"/>
      <c r="D24" s="89"/>
      <c r="E24" s="10"/>
      <c r="F24" s="90" t="s">
        <v>2</v>
      </c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11"/>
      <c r="R24" s="11"/>
      <c r="S24" s="11"/>
      <c r="T24" s="11"/>
    </row>
    <row r="25" spans="2:20" ht="13.35" customHeight="1">
      <c r="B25" s="89"/>
      <c r="C25" s="89"/>
      <c r="D25" s="89"/>
      <c r="E25" s="1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11"/>
      <c r="R25" s="11"/>
      <c r="S25" s="11"/>
      <c r="T25" s="11"/>
    </row>
    <row r="26" spans="2:20" ht="8.1" customHeight="1"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2:20" ht="12" customHeight="1">
      <c r="B27" s="12"/>
      <c r="C27" s="87" t="s">
        <v>3</v>
      </c>
      <c r="D27" s="87"/>
      <c r="E27" s="87"/>
      <c r="F27" s="87"/>
      <c r="G27" s="10"/>
      <c r="H27" s="88" t="s">
        <v>4</v>
      </c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</row>
    <row r="28" spans="2:20" ht="12" customHeight="1">
      <c r="B28" s="12"/>
      <c r="C28" s="87"/>
      <c r="D28" s="87"/>
      <c r="E28" s="87"/>
      <c r="F28" s="87"/>
      <c r="G28" s="10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</row>
    <row r="29" spans="2:20" ht="3" customHeight="1">
      <c r="B29" s="12"/>
      <c r="C29" s="13"/>
      <c r="D29" s="13"/>
      <c r="E29" s="13"/>
      <c r="F29" s="13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</row>
    <row r="30" spans="2:20" ht="12" customHeight="1">
      <c r="B30" s="12"/>
      <c r="C30" s="87" t="s">
        <v>5</v>
      </c>
      <c r="D30" s="87"/>
      <c r="E30" s="87"/>
      <c r="F30" s="87"/>
      <c r="G30" s="10"/>
      <c r="H30" s="14" t="s">
        <v>6</v>
      </c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2:20" ht="12" customHeight="1">
      <c r="B31" s="12"/>
      <c r="C31" s="87"/>
      <c r="D31" s="87"/>
      <c r="E31" s="87"/>
      <c r="F31" s="87"/>
      <c r="G31" s="10"/>
      <c r="H31" s="14" t="s">
        <v>7</v>
      </c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2:20" ht="12" customHeight="1">
      <c r="B32" s="12"/>
      <c r="C32" s="87"/>
      <c r="D32" s="87"/>
      <c r="E32" s="87"/>
      <c r="F32" s="87"/>
      <c r="G32" s="10"/>
      <c r="H32" s="14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2:20" ht="12" customHeight="1">
      <c r="B33" s="12"/>
      <c r="C33" s="87"/>
      <c r="D33" s="87"/>
      <c r="E33" s="87"/>
      <c r="F33" s="87"/>
      <c r="G33" s="10"/>
      <c r="H33" s="14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2:20" ht="12" customHeight="1">
      <c r="B34" s="12"/>
      <c r="C34" s="87"/>
      <c r="D34" s="87"/>
      <c r="E34" s="87"/>
      <c r="F34" s="87"/>
      <c r="G34" s="10"/>
      <c r="H34" s="14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2:20" ht="12" customHeight="1">
      <c r="B35" s="12"/>
      <c r="C35" s="87"/>
      <c r="D35" s="87"/>
      <c r="E35" s="87"/>
      <c r="F35" s="87"/>
      <c r="G35" s="10"/>
      <c r="H35" s="14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2:20" ht="12" customHeight="1">
      <c r="B36" s="12"/>
      <c r="C36" s="87"/>
      <c r="D36" s="87"/>
      <c r="E36" s="87"/>
      <c r="F36" s="87"/>
      <c r="G36" s="10"/>
      <c r="H36" s="14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  <row r="37" spans="2:20" ht="3" customHeight="1"/>
    <row r="38" spans="2:20" ht="12" customHeight="1">
      <c r="B38" s="12"/>
      <c r="C38" s="87" t="s">
        <v>8</v>
      </c>
      <c r="D38" s="87"/>
      <c r="E38" s="87"/>
      <c r="F38" s="87"/>
      <c r="G38" s="10"/>
      <c r="H38" s="14" t="s">
        <v>9</v>
      </c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</row>
    <row r="39" spans="2:20" ht="12" customHeight="1">
      <c r="B39" s="12"/>
      <c r="C39" s="87"/>
      <c r="D39" s="87"/>
      <c r="E39" s="87"/>
      <c r="F39" s="87"/>
      <c r="G39" s="10"/>
      <c r="H39" s="14" t="s">
        <v>10</v>
      </c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</row>
    <row r="40" spans="2:20" ht="3" customHeight="1"/>
    <row r="41" spans="2:20" ht="12" customHeight="1">
      <c r="B41" s="12"/>
      <c r="C41" s="87" t="s">
        <v>11</v>
      </c>
      <c r="D41" s="87"/>
      <c r="E41" s="87"/>
      <c r="F41" s="87"/>
      <c r="G41" s="10"/>
      <c r="H41" s="14" t="s">
        <v>12</v>
      </c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</row>
    <row r="42" spans="2:20" ht="12" customHeight="1">
      <c r="B42" s="12"/>
      <c r="C42" s="87"/>
      <c r="D42" s="87"/>
      <c r="E42" s="87"/>
      <c r="F42" s="87"/>
      <c r="G42" s="10"/>
      <c r="H42" s="14" t="s">
        <v>13</v>
      </c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</row>
    <row r="43" spans="2:20" ht="10.35" customHeight="1"/>
    <row r="44" spans="2:20" ht="13.35" customHeight="1">
      <c r="B44" s="89" t="s">
        <v>14</v>
      </c>
      <c r="C44" s="89"/>
      <c r="D44" s="89"/>
      <c r="E44" s="10"/>
      <c r="F44" s="90" t="s">
        <v>15</v>
      </c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11"/>
      <c r="R44" s="11"/>
      <c r="S44" s="11"/>
      <c r="T44" s="11"/>
    </row>
    <row r="45" spans="2:20" ht="13.35" customHeight="1">
      <c r="B45" s="89"/>
      <c r="C45" s="89"/>
      <c r="D45" s="89"/>
      <c r="E45" s="1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11"/>
      <c r="R45" s="11"/>
      <c r="S45" s="11"/>
      <c r="T45" s="11"/>
    </row>
    <row r="46" spans="2:20" ht="8.1" customHeight="1"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</row>
    <row r="47" spans="2:20" ht="12" customHeight="1">
      <c r="B47" s="12"/>
      <c r="C47" s="87" t="s">
        <v>16</v>
      </c>
      <c r="D47" s="87"/>
      <c r="E47" s="87"/>
      <c r="F47" s="87"/>
      <c r="G47" s="10"/>
      <c r="H47" s="88" t="s">
        <v>17</v>
      </c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</row>
    <row r="48" spans="2:20" ht="12" customHeight="1">
      <c r="B48" s="12"/>
      <c r="C48" s="87"/>
      <c r="D48" s="87"/>
      <c r="E48" s="87"/>
      <c r="F48" s="87"/>
      <c r="G48" s="10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</row>
    <row r="49" spans="2:20" ht="3" customHeight="1"/>
    <row r="50" spans="2:20" ht="12" customHeight="1">
      <c r="B50" s="12"/>
      <c r="C50" s="87" t="s">
        <v>18</v>
      </c>
      <c r="D50" s="87"/>
      <c r="E50" s="87"/>
      <c r="F50" s="87"/>
      <c r="G50" s="10"/>
      <c r="H50" s="88" t="s">
        <v>19</v>
      </c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</row>
    <row r="51" spans="2:20" ht="12" customHeight="1">
      <c r="B51" s="12"/>
      <c r="C51" s="87"/>
      <c r="D51" s="87"/>
      <c r="E51" s="87"/>
      <c r="F51" s="87"/>
      <c r="G51" s="10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</row>
    <row r="52" spans="2:20" ht="3" customHeight="1"/>
    <row r="53" spans="2:20" ht="12" customHeight="1">
      <c r="B53" s="12"/>
      <c r="C53" s="87" t="s">
        <v>20</v>
      </c>
      <c r="D53" s="87"/>
      <c r="E53" s="87"/>
      <c r="F53" s="87"/>
      <c r="G53" s="10"/>
      <c r="H53" s="88" t="s">
        <v>21</v>
      </c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</row>
    <row r="54" spans="2:20" ht="12" customHeight="1">
      <c r="B54" s="12"/>
      <c r="C54" s="87"/>
      <c r="D54" s="87"/>
      <c r="E54" s="87"/>
      <c r="F54" s="87"/>
      <c r="G54" s="10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</row>
    <row r="55" spans="2:20" ht="3" customHeight="1"/>
    <row r="56" spans="2:20" ht="12" customHeight="1">
      <c r="B56" s="12"/>
      <c r="C56" s="87" t="s">
        <v>22</v>
      </c>
      <c r="D56" s="87"/>
      <c r="E56" s="87"/>
      <c r="F56" s="87"/>
      <c r="G56" s="10"/>
      <c r="H56" s="88" t="s">
        <v>23</v>
      </c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</row>
    <row r="57" spans="2:20" ht="12" customHeight="1">
      <c r="B57" s="12"/>
      <c r="C57" s="87"/>
      <c r="D57" s="87"/>
      <c r="E57" s="87"/>
      <c r="F57" s="87"/>
      <c r="G57" s="10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</row>
    <row r="58" spans="2:20" ht="10.35" customHeight="1"/>
    <row r="59" spans="2:20" ht="13.35" customHeight="1">
      <c r="B59" s="89" t="s">
        <v>24</v>
      </c>
      <c r="C59" s="89"/>
      <c r="D59" s="89"/>
      <c r="E59" s="10"/>
      <c r="F59" s="90" t="s">
        <v>25</v>
      </c>
      <c r="G59" s="90"/>
      <c r="H59" s="90"/>
      <c r="I59" s="90"/>
      <c r="J59" s="90"/>
      <c r="K59" s="90"/>
      <c r="L59" s="90"/>
      <c r="M59" s="90"/>
      <c r="N59" s="90"/>
      <c r="O59" s="90"/>
      <c r="P59" s="90"/>
      <c r="Q59" s="11"/>
      <c r="R59" s="11"/>
      <c r="S59" s="11"/>
      <c r="T59" s="11"/>
    </row>
    <row r="60" spans="2:20" ht="13.35" customHeight="1">
      <c r="B60" s="89"/>
      <c r="C60" s="89"/>
      <c r="D60" s="89"/>
      <c r="E60" s="10"/>
      <c r="F60" s="90"/>
      <c r="G60" s="90"/>
      <c r="H60" s="90"/>
      <c r="I60" s="90"/>
      <c r="J60" s="90"/>
      <c r="K60" s="90"/>
      <c r="L60" s="90"/>
      <c r="M60" s="90"/>
      <c r="N60" s="90"/>
      <c r="O60" s="90"/>
      <c r="P60" s="90"/>
      <c r="Q60" s="11"/>
      <c r="R60" s="11"/>
      <c r="S60" s="11"/>
      <c r="T60" s="11"/>
    </row>
    <row r="61" spans="2:20" ht="14.45"/>
    <row r="62" spans="2:20" ht="14.45" hidden="1"/>
  </sheetData>
  <mergeCells count="19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tabSelected="1" zoomScale="150" zoomScaleNormal="150" workbookViewId="0">
      <pane ySplit="4" topLeftCell="A5" activePane="bottomLeft" state="frozen"/>
      <selection pane="bottomLeft" activeCell="G13" sqref="G13"/>
      <selection activeCell="L2" sqref="L2"/>
    </sheetView>
  </sheetViews>
  <sheetFormatPr defaultColWidth="0" defaultRowHeight="0" customHeight="1" zeroHeight="1"/>
  <cols>
    <col min="1" max="2" width="3.5703125" style="26" customWidth="1"/>
    <col min="3" max="4" width="10.5703125" style="26" customWidth="1"/>
    <col min="5" max="5" width="5.5703125" style="26" customWidth="1"/>
    <col min="6" max="6" width="10.5703125" style="26" customWidth="1"/>
    <col min="7" max="7" width="8.5703125" style="26" customWidth="1"/>
    <col min="8" max="8" width="3.5703125" style="26" customWidth="1"/>
    <col min="9" max="13" width="10.5703125" style="26" hidden="1" customWidth="1"/>
    <col min="14" max="16384" width="8.7109375" style="26" hidden="1"/>
  </cols>
  <sheetData>
    <row r="1" spans="1:8" s="19" customFormat="1" ht="14.45"/>
    <row r="2" spans="1:8" s="19" customFormat="1" ht="5.0999999999999996" customHeight="1"/>
    <row r="3" spans="1:8" s="19" customFormat="1" ht="14.45"/>
    <row r="4" spans="1:8" s="19" customFormat="1" ht="5.0999999999999996" customHeight="1" thickBot="1">
      <c r="A4" s="20"/>
      <c r="B4" s="21"/>
      <c r="C4" s="21"/>
      <c r="D4" s="21"/>
      <c r="E4" s="21"/>
      <c r="F4" s="21"/>
      <c r="G4" s="21"/>
    </row>
    <row r="5" spans="1:8" s="19" customFormat="1" ht="8.1" customHeight="1" thickTop="1">
      <c r="A5" s="22"/>
      <c r="B5" s="22"/>
      <c r="C5" s="22"/>
      <c r="D5" s="22"/>
      <c r="E5" s="22"/>
      <c r="F5" s="22"/>
      <c r="G5" s="22"/>
      <c r="H5" s="22"/>
    </row>
    <row r="6" spans="1:8" s="27" customFormat="1" ht="14.45">
      <c r="A6" s="23"/>
      <c r="B6" s="24" t="s">
        <v>26</v>
      </c>
      <c r="C6" s="25"/>
      <c r="D6" s="25"/>
      <c r="E6" s="25"/>
      <c r="F6" s="25"/>
      <c r="G6" s="25"/>
      <c r="H6" s="26"/>
    </row>
    <row r="7" spans="1:8" s="27" customFormat="1" ht="4.1500000000000004" customHeight="1">
      <c r="A7" s="23"/>
      <c r="B7" s="28"/>
      <c r="C7" s="23"/>
      <c r="D7" s="23"/>
      <c r="E7" s="23"/>
      <c r="F7" s="23"/>
      <c r="G7" s="23"/>
      <c r="H7" s="26"/>
    </row>
    <row r="8" spans="1:8" s="27" customFormat="1" ht="8.1" customHeight="1">
      <c r="A8" s="23"/>
      <c r="B8" s="29"/>
      <c r="C8" s="30"/>
      <c r="D8" s="30"/>
      <c r="E8" s="30"/>
      <c r="F8" s="30"/>
      <c r="G8" s="31"/>
      <c r="H8" s="26"/>
    </row>
    <row r="9" spans="1:8" s="27" customFormat="1" ht="14.45">
      <c r="A9" s="26"/>
      <c r="B9" s="32"/>
      <c r="C9" s="33" t="s">
        <v>27</v>
      </c>
      <c r="D9" s="33"/>
      <c r="E9" s="34"/>
      <c r="F9" s="35">
        <v>45838</v>
      </c>
      <c r="G9" s="36"/>
      <c r="H9" s="26"/>
    </row>
    <row r="10" spans="1:8" s="27" customFormat="1" ht="8.1" customHeight="1">
      <c r="A10" s="26"/>
      <c r="B10" s="32"/>
      <c r="C10" s="37"/>
      <c r="D10" s="37"/>
      <c r="E10" s="2"/>
      <c r="F10" s="18" t="str">
        <f>YEAR(F9)&amp;"-"&amp;TEXT(MONTH(F9),"00")&amp;"-"&amp;TEXT(DAY(F9),"00")</f>
        <v>2025-06-30</v>
      </c>
      <c r="G10" s="42"/>
      <c r="H10" s="26"/>
    </row>
    <row r="11" spans="1:8" s="27" customFormat="1" ht="8.1" customHeight="1">
      <c r="A11" s="26"/>
      <c r="B11" s="32"/>
      <c r="C11" s="19"/>
      <c r="D11" s="19"/>
      <c r="E11" s="19"/>
      <c r="F11" s="19"/>
      <c r="G11" s="36"/>
      <c r="H11" s="26"/>
    </row>
    <row r="12" spans="1:8" s="27" customFormat="1" ht="14.45">
      <c r="A12" s="26"/>
      <c r="B12" s="32"/>
      <c r="C12" s="33" t="s">
        <v>28</v>
      </c>
      <c r="D12" s="33"/>
      <c r="E12" s="34"/>
      <c r="F12" s="34"/>
      <c r="G12" s="36"/>
      <c r="H12" s="26"/>
    </row>
    <row r="13" spans="1:8" s="27" customFormat="1" ht="8.1" customHeight="1">
      <c r="A13" s="26"/>
      <c r="B13" s="32"/>
      <c r="C13" s="19"/>
      <c r="D13" s="19"/>
      <c r="E13" s="19"/>
      <c r="F13" s="19"/>
      <c r="G13" s="36"/>
      <c r="H13" s="26"/>
    </row>
    <row r="14" spans="1:8" s="27" customFormat="1" ht="8.1" customHeight="1">
      <c r="A14" s="26"/>
      <c r="B14" s="32"/>
      <c r="C14" s="19"/>
      <c r="D14" s="19"/>
      <c r="E14" s="19"/>
      <c r="F14" s="19"/>
      <c r="G14" s="36"/>
      <c r="H14" s="26"/>
    </row>
    <row r="15" spans="1:8" s="27" customFormat="1" ht="14.45">
      <c r="A15" s="26"/>
      <c r="B15" s="32"/>
      <c r="C15" s="33" t="s">
        <v>29</v>
      </c>
      <c r="D15" s="33"/>
      <c r="E15" s="34"/>
      <c r="F15" s="34"/>
      <c r="G15" s="36"/>
      <c r="H15" s="26"/>
    </row>
    <row r="16" spans="1:8" s="27" customFormat="1" ht="8.1" customHeight="1">
      <c r="A16" s="26"/>
      <c r="B16" s="32"/>
      <c r="C16" s="19"/>
      <c r="D16" s="19"/>
      <c r="E16" s="19"/>
      <c r="F16" s="19"/>
      <c r="G16" s="36"/>
      <c r="H16" s="26"/>
    </row>
    <row r="17" spans="1:8" s="27" customFormat="1" ht="8.1" customHeight="1">
      <c r="A17" s="26"/>
      <c r="B17" s="38"/>
      <c r="C17" s="39"/>
      <c r="D17" s="39"/>
      <c r="E17" s="39"/>
      <c r="F17" s="39"/>
      <c r="G17" s="40"/>
      <c r="H17" s="26"/>
    </row>
    <row r="18" spans="1:8" s="27" customFormat="1" ht="14.45">
      <c r="A18" s="26"/>
      <c r="B18" s="26"/>
      <c r="C18" s="26"/>
      <c r="D18" s="26"/>
      <c r="E18" s="26"/>
      <c r="F18" s="26"/>
      <c r="G18" s="26"/>
      <c r="H18" s="26"/>
    </row>
    <row r="19" spans="1:8" ht="14.45" hidden="1"/>
    <row r="20" spans="1:8" ht="14.45" hidden="1"/>
    <row r="21" spans="1:8" ht="14.45" hidden="1"/>
    <row r="22" spans="1:8" ht="14.45" hidden="1">
      <c r="F22" s="41"/>
      <c r="G22" s="41"/>
    </row>
    <row r="23" spans="1:8" ht="14.45" hidden="1"/>
    <row r="24" spans="1:8" ht="14.45" hidden="1"/>
    <row r="25" spans="1:8" ht="14.45" hidden="1"/>
    <row r="26" spans="1:8" ht="14.45" hidden="1"/>
    <row r="27" spans="1:8" ht="14.45" hidden="1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V6"/>
  <sheetViews>
    <sheetView showGridLines="0" topLeftCell="B1" workbookViewId="0">
      <pane ySplit="4" topLeftCell="A5" activePane="bottomLeft" state="frozen"/>
      <selection pane="bottomLeft" activeCell="F16" sqref="F16"/>
    </sheetView>
  </sheetViews>
  <sheetFormatPr defaultColWidth="0" defaultRowHeight="14.45"/>
  <cols>
    <col min="1" max="2" width="3.5703125" customWidth="1"/>
    <col min="3" max="3" width="16" customWidth="1"/>
    <col min="4" max="4" width="10.5703125" customWidth="1"/>
    <col min="5" max="5" width="10.42578125" customWidth="1"/>
    <col min="6" max="20" width="14.7109375" customWidth="1"/>
    <col min="21" max="22" width="3.5703125" customWidth="1"/>
    <col min="23" max="16384" width="8.7109375" hidden="1"/>
  </cols>
  <sheetData>
    <row r="1" spans="1:2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15" thickBot="1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2"/>
    </row>
    <row r="5" spans="1:22" ht="15" thickTop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</row>
    <row r="6" spans="1:22">
      <c r="C6" s="6" t="s">
        <v>30</v>
      </c>
      <c r="D6" s="6" t="s">
        <v>31</v>
      </c>
      <c r="E6" s="6" t="s">
        <v>32</v>
      </c>
      <c r="F6" s="6" t="s">
        <v>33</v>
      </c>
      <c r="G6" s="6" t="s">
        <v>34</v>
      </c>
      <c r="H6" s="6" t="s">
        <v>35</v>
      </c>
      <c r="I6" s="6" t="s">
        <v>36</v>
      </c>
      <c r="J6" s="6" t="s">
        <v>37</v>
      </c>
      <c r="K6" s="6" t="s">
        <v>38</v>
      </c>
      <c r="L6" s="6" t="s">
        <v>39</v>
      </c>
      <c r="M6" s="6" t="s">
        <v>40</v>
      </c>
      <c r="N6" s="6" t="s">
        <v>41</v>
      </c>
      <c r="O6" s="6" t="s">
        <v>42</v>
      </c>
      <c r="P6" s="6" t="s">
        <v>43</v>
      </c>
      <c r="Q6" s="6" t="s">
        <v>44</v>
      </c>
      <c r="R6" s="6" t="s">
        <v>45</v>
      </c>
      <c r="S6" s="6" t="s">
        <v>46</v>
      </c>
      <c r="T6" s="6" t="s">
        <v>47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2:S69"/>
  <sheetViews>
    <sheetView zoomScale="80" zoomScaleNormal="80" workbookViewId="0"/>
  </sheetViews>
  <sheetFormatPr defaultColWidth="8.7109375" defaultRowHeight="13.9"/>
  <cols>
    <col min="1" max="1" width="4.42578125" style="1" customWidth="1"/>
    <col min="2" max="2" width="3.28515625" style="1" customWidth="1"/>
    <col min="3" max="3" width="110.5703125" style="1" customWidth="1"/>
    <col min="4" max="4" width="21.5703125" style="1" customWidth="1"/>
    <col min="5" max="5" width="27" style="1" bestFit="1" customWidth="1"/>
    <col min="6" max="13" width="21.5703125" style="1" customWidth="1"/>
    <col min="14" max="14" width="23.5703125" style="1" customWidth="1"/>
    <col min="15" max="18" width="21" style="1" customWidth="1"/>
    <col min="19" max="19" width="17.42578125" style="1" bestFit="1" customWidth="1"/>
    <col min="20" max="16384" width="8.7109375" style="1"/>
  </cols>
  <sheetData>
    <row r="2" spans="1:19" ht="14.45">
      <c r="C2" s="43" t="s">
        <v>48</v>
      </c>
    </row>
    <row r="3" spans="1:19" ht="15" customHeight="1">
      <c r="C3" s="44" t="s">
        <v>49</v>
      </c>
      <c r="D3" s="45" t="s">
        <v>50</v>
      </c>
      <c r="E3" s="45" t="s">
        <v>51</v>
      </c>
      <c r="F3" s="45" t="s">
        <v>52</v>
      </c>
      <c r="G3" s="45" t="s">
        <v>53</v>
      </c>
      <c r="H3" s="45" t="s">
        <v>54</v>
      </c>
      <c r="I3" s="45" t="s">
        <v>55</v>
      </c>
      <c r="J3" s="45" t="s">
        <v>56</v>
      </c>
      <c r="K3" s="45" t="s">
        <v>57</v>
      </c>
      <c r="L3" s="45" t="s">
        <v>58</v>
      </c>
      <c r="M3" s="45" t="s">
        <v>59</v>
      </c>
      <c r="N3" s="45" t="s">
        <v>60</v>
      </c>
      <c r="O3" s="45" t="s">
        <v>61</v>
      </c>
      <c r="P3" s="45" t="s">
        <v>62</v>
      </c>
      <c r="Q3" s="45" t="s">
        <v>63</v>
      </c>
      <c r="R3" s="45" t="s">
        <v>64</v>
      </c>
      <c r="S3" s="45" t="s">
        <v>65</v>
      </c>
    </row>
    <row r="4" spans="1:19" ht="76.5" customHeight="1">
      <c r="C4" s="46"/>
      <c r="D4" s="95" t="s">
        <v>66</v>
      </c>
      <c r="E4" s="96"/>
      <c r="F4" s="96"/>
      <c r="G4" s="96"/>
      <c r="H4" s="97"/>
      <c r="I4" s="95" t="s">
        <v>67</v>
      </c>
      <c r="J4" s="96"/>
      <c r="K4" s="97"/>
      <c r="L4" s="95" t="s">
        <v>68</v>
      </c>
      <c r="M4" s="97"/>
      <c r="N4" s="91" t="s">
        <v>69</v>
      </c>
      <c r="O4" s="91" t="s">
        <v>70</v>
      </c>
      <c r="P4" s="91" t="s">
        <v>71</v>
      </c>
      <c r="Q4" s="91" t="s">
        <v>72</v>
      </c>
      <c r="R4" s="93" t="s">
        <v>73</v>
      </c>
      <c r="S4" s="91" t="s">
        <v>74</v>
      </c>
    </row>
    <row r="5" spans="1:19" ht="110.45">
      <c r="C5" s="46"/>
      <c r="D5" s="47"/>
      <c r="E5" s="48" t="s">
        <v>75</v>
      </c>
      <c r="F5" s="48" t="s">
        <v>76</v>
      </c>
      <c r="G5" s="49" t="s">
        <v>77</v>
      </c>
      <c r="H5" s="49" t="s">
        <v>78</v>
      </c>
      <c r="I5" s="50"/>
      <c r="J5" s="48" t="s">
        <v>79</v>
      </c>
      <c r="K5" s="48" t="s">
        <v>78</v>
      </c>
      <c r="L5" s="51"/>
      <c r="M5" s="52" t="s">
        <v>80</v>
      </c>
      <c r="N5" s="92"/>
      <c r="O5" s="92"/>
      <c r="P5" s="92"/>
      <c r="Q5" s="92"/>
      <c r="R5" s="94"/>
      <c r="S5" s="92"/>
    </row>
    <row r="6" spans="1:19">
      <c r="B6" s="53">
        <v>1</v>
      </c>
      <c r="C6" s="54" t="s">
        <v>81</v>
      </c>
      <c r="D6" s="67">
        <f t="shared" ref="D6:R6" si="0">D7+D8+D14+D39+D44+D45+D49+D50+D56+D57</f>
        <v>0</v>
      </c>
      <c r="E6" s="67">
        <f t="shared" si="0"/>
        <v>0</v>
      </c>
      <c r="F6" s="67">
        <f t="shared" si="0"/>
        <v>0</v>
      </c>
      <c r="G6" s="67">
        <f t="shared" si="0"/>
        <v>0</v>
      </c>
      <c r="H6" s="67">
        <f t="shared" si="0"/>
        <v>0</v>
      </c>
      <c r="I6" s="67">
        <f t="shared" si="0"/>
        <v>0</v>
      </c>
      <c r="J6" s="67">
        <f t="shared" si="0"/>
        <v>0</v>
      </c>
      <c r="K6" s="67">
        <f t="shared" si="0"/>
        <v>0</v>
      </c>
      <c r="L6" s="68">
        <f t="shared" si="0"/>
        <v>0</v>
      </c>
      <c r="M6" s="68">
        <f t="shared" si="0"/>
        <v>0</v>
      </c>
      <c r="N6" s="76" t="e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b.'!$O$63)))/1000000)/$D$6</f>
        <v>#DIV/0!</v>
      </c>
      <c r="O6" s="67">
        <f t="shared" si="0"/>
        <v>0</v>
      </c>
      <c r="P6" s="67">
        <f t="shared" si="0"/>
        <v>0</v>
      </c>
      <c r="Q6" s="67">
        <f t="shared" si="0"/>
        <v>0</v>
      </c>
      <c r="R6" s="67">
        <f t="shared" si="0"/>
        <v>0</v>
      </c>
      <c r="S6" s="69" t="e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b.'!S$63,Input!$G:$G,"&gt;0"))/1000000)/'1.CC Transition risk-Banking b.'!D6,0)</f>
        <v>#DIV/0!</v>
      </c>
    </row>
    <row r="7" spans="1:19">
      <c r="A7" s="82" t="s">
        <v>82</v>
      </c>
      <c r="B7" s="53">
        <v>2</v>
      </c>
      <c r="C7" s="55" t="s">
        <v>83</v>
      </c>
      <c r="D7" s="70">
        <f>(ROUND(SUMIFS(Input!$I:$I,Input!$H:$H,'1.CC Transition risk-Banking b.'!$A7&amp;"*",Input!$E:$E,'1.CC Transition risk-Banking b.'!$D$63),0))/1000000</f>
        <v>0</v>
      </c>
      <c r="E7" s="70">
        <f>(ROUND(SUMIFS(Input!$I:$I,Input!$H:$H,'1.CC Transition risk-Banking b.'!$A7&amp;"*",Input!$E:$E,'1.CC Transition risk-Banking b.'!$E$63,Input!$F:$F,'1.CC Transition risk-Banking b.'!$E$64),0))/1000000</f>
        <v>0</v>
      </c>
      <c r="F7" s="70">
        <f>(ROUND(SUMIFS(Input!$P:$P,Input!$H:$H,'1.CC Transition risk-Banking b.'!$A7&amp;"*",Input!$E:$E,'1.CC Transition risk-Banking b.'!$E$63,Input!$O:$O,'1.CC Transition risk-Banking b.'!$F$63),0))/1000000</f>
        <v>0</v>
      </c>
      <c r="G7" s="70">
        <f>(ROUND(SUMIFS(Input!$I:$I,Input!$H:$H,'1.CC Transition risk-Banking b.'!$A7&amp;"*",Input!$E:$E,'1.CC Transition risk-Banking b.'!$G$63,Input!$C:$C,'1.CC Transition risk-Banking b.'!$G$64),0))/1000000</f>
        <v>0</v>
      </c>
      <c r="H7" s="70">
        <f>(ROUND(SUMIFS(Input!$I:$I,Input!$H:$H,'1.CC Transition risk-Banking b.'!$A7&amp;"*",Input!$E:$E,'1.CC Transition risk-Banking b.'!$H$63,Input!$C:$C,'1.CC Transition risk-Banking b.'!$H$64),0))/1000000</f>
        <v>0</v>
      </c>
      <c r="I7" s="70">
        <f>(ROUND(SUMIFS(Input!$I:$I,Input!$H:$H,'1.CC Transition risk-Banking b.'!$A7&amp;"*",Input!$E:$E,'1.CC Transition risk-Banking b.'!$I$63),0))/1000000</f>
        <v>0</v>
      </c>
      <c r="J7" s="70">
        <f>(ROUND(SUMIFS(Input!$I:$I,Input!$H:$H,'1.CC Transition risk-Banking b.'!$A7&amp;"*",Input!$E:$E,'1.CC Transition risk-Banking b.'!$J$63,Input!$C:$C,'1.CC Transition risk-Banking b.'!$J$64),0))/1000000</f>
        <v>0</v>
      </c>
      <c r="K7" s="70">
        <f>(ROUND(SUMIFS(Input!$I:$I,Input!$H:$H,'1.CC Transition risk-Banking b.'!$A7&amp;"*",Input!$E:$E,'1.CC Transition risk-Banking b.'!$K$63,Input!$C:$C,'1.CC Transition risk-Banking b.'!$K$64),0))/1000000</f>
        <v>0</v>
      </c>
      <c r="L7" s="71">
        <f>(ROUND(SUMIFS(Input!$J:$J,Input!$H:$H,'1.CC Transition risk-Banking b.'!$A7&amp;"*")
+ SUMIFS(Input!$L:$L,Input!$H:$H,'1.CC Transition risk-Banking b.'!$A7&amp;"*")
+SUMIFS(Input!$N:$N,Input!$H:$H,'1.CC Transition risk-Banking b.'!$A7&amp;"*"),0))/1</f>
        <v>0</v>
      </c>
      <c r="M7" s="71">
        <f>(ROUND(SUMIFS(Input!$N:$N,Input!$H:$H,'1.CC Transition risk-Banking b.'!$A7&amp;"*"),0))/1</f>
        <v>0</v>
      </c>
      <c r="N7" s="77">
        <f>IFERROR(AVERAGE(SUMIFS(Input!$I:$I,Input!$H:$H,'1.CC Transition risk-Banking b.'!$A7&amp;"*",Input!$R:$R,"SOUR1",Input!$E:$E,'1.CC Transition risk-Banking b.'!$O$63),
SUMIFS(Input!$I:$I,Input!$H:$H,'1.CC Transition risk-Banking b.'!$A7&amp;"*",Input!$S:$S,"SOUR1",Input!$E:$E,'1.CC Transition risk-Banking b.'!$O$63),
SUMIFS(Input!$I:$I,Input!$H:$H,'1.CC Transition risk-Banking b.'!$A7&amp;"*",Input!$T:$T,"SOUR1",Input!$E:$E,'1.CC Transition risk-Banking b.'!$O$63))/SUMIFS(Input!$I:$I,Input!$H:$H,'1.CC Transition risk-Banking b.'!$A7&amp;"*",Input!$E:$E,'1.CC Transition risk-Banking b.'!$O$63),0)</f>
        <v>0</v>
      </c>
      <c r="O7" s="72">
        <f>(ROUND(SUMIFS(Input!$I:$I,Input!$H:$H,'1.CC Transition risk-Banking b.'!$A7&amp;"*",Input!$E:$E,'1.CC Transition risk-Banking b.'!O$63,Input!$G:$G,"&gt;=0",Input!$G:$G,"&lt;=5")
+ SUMIFS(Input!$I:$I,Input!$H:$H,'1.CC Transition risk-Banking b.'!$A7&amp;"*",Input!$E:$E,'1.CC Transition risk-Banking b.'!O$63,Input!$G:$G,"-4")
+ SUMIFS(Input!$I:$I,Input!$H:$H,'1.CC Transition risk-Banking b.'!$A7&amp;"*",Input!$E:$E,'1.CC Transition risk-Banking b.'!O$63,Input!$G:$G,"-1"),0))/1000000</f>
        <v>0</v>
      </c>
      <c r="P7" s="72">
        <f>(ROUND(SUMIFS(Input!$I:$I,Input!$H:$H,'1.CC Transition risk-Banking b.'!$A7&amp;"*",Input!$E:$E,'1.CC Transition risk-Banking b.'!P$63,Input!$G:$G,"&gt;5",Input!$G:$G,"&lt;=10"),0))/1000000</f>
        <v>0</v>
      </c>
      <c r="Q7" s="72">
        <f>(ROUND(SUMIFS(Input!$I:$I,Input!$H:$H,'1.CC Transition risk-Banking b.'!$A7&amp;"*",Input!$E:$E,'1.CC Transition risk-Banking b.'!Q$63,Input!$G:$G,"&gt;10",Input!$G:$G,"&lt;=20"),0))/1000000</f>
        <v>0</v>
      </c>
      <c r="R7" s="72">
        <f>(ROUND(SUMIFS(Input!$I:$I,Input!$H:$H,'1.CC Transition risk-Banking b.'!$A7&amp;"*",Input!$E:$E,'1.CC Transition risk-Banking b.'!R$63,Input!$G:$G,"&gt;20")
+ SUMIFS(Input!$I:$I,Input!$H:$H,'1.CC Transition risk-Banking b.'!$A7&amp;"*",Input!$E:$E,'1.CC Transition risk-Banking b.'!R$63,Input!$G:$G,"-2")
+ SUMIFS(Input!$I:$I,Input!$H:$H,'1.CC Transition risk-Banking b.'!$A7&amp;"*",Input!$E:$E,'1.CC Transition risk-Banking b.'!R$63,Input!$G:$G,"-3"),0))/1000000</f>
        <v>0</v>
      </c>
      <c r="S7" s="73">
        <f>ROUND(IFERROR((SUMIFS(Input!$Q:$Q,Input!$H:$H,'1.CC Transition risk-Banking b.'!$A7&amp;"*",Input!$E:$E,'1.CC Transition risk-Banking b.'!S$63,Input!$G:$G,"&gt;0")/1000000)/'1.CC Transition risk-Banking b.'!$D7,0),0)</f>
        <v>0</v>
      </c>
    </row>
    <row r="8" spans="1:19">
      <c r="A8" s="82" t="s">
        <v>84</v>
      </c>
      <c r="B8" s="53">
        <v>3</v>
      </c>
      <c r="C8" s="55" t="s">
        <v>85</v>
      </c>
      <c r="D8" s="70">
        <f>(ROUND(SUMIFS(Input!$I:$I,Input!$H:$H,'1.CC Transition risk-Banking b.'!$A8&amp;"*",Input!$E:$E,'1.CC Transition risk-Banking b.'!$D$63),0))/1000000</f>
        <v>0</v>
      </c>
      <c r="E8" s="70">
        <f>(ROUND(SUMIFS(Input!$I:$I,Input!$H:$H,'1.CC Transition risk-Banking b.'!$A8&amp;"*",Input!$E:$E,'1.CC Transition risk-Banking b.'!$E$63,Input!$F:$F,'1.CC Transition risk-Banking b.'!$E$64),0))/1000000</f>
        <v>0</v>
      </c>
      <c r="F8" s="70">
        <f>(ROUND(SUMIFS(Input!$P:$P,Input!$H:$H,'1.CC Transition risk-Banking b.'!$A8&amp;"*",Input!$E:$E,'1.CC Transition risk-Banking b.'!$E$63,Input!$O:$O,'1.CC Transition risk-Banking b.'!$F$63),0))/1000000</f>
        <v>0</v>
      </c>
      <c r="G8" s="70">
        <f>(ROUND(SUMIFS(Input!$I:$I,Input!$H:$H,'1.CC Transition risk-Banking b.'!$A8&amp;"*",Input!$E:$E,'1.CC Transition risk-Banking b.'!$G$63,Input!$C:$C,'1.CC Transition risk-Banking b.'!$G$64),0))/1000000</f>
        <v>0</v>
      </c>
      <c r="H8" s="70">
        <f>(ROUND(SUMIFS(Input!$I:$I,Input!$H:$H,'1.CC Transition risk-Banking b.'!$A8&amp;"*",Input!$E:$E,'1.CC Transition risk-Banking b.'!$H$63,Input!$C:$C,'1.CC Transition risk-Banking b.'!$H$64),0))/1000000</f>
        <v>0</v>
      </c>
      <c r="I8" s="70">
        <f>(ROUND(SUMIFS(Input!$I:$I,Input!$H:$H,'1.CC Transition risk-Banking b.'!$A8&amp;"*",Input!$E:$E,'1.CC Transition risk-Banking b.'!$I$63),0))/1000000</f>
        <v>0</v>
      </c>
      <c r="J8" s="70">
        <f>(ROUND(SUMIFS(Input!$I:$I,Input!$H:$H,'1.CC Transition risk-Banking b.'!$A8&amp;"*",Input!$E:$E,'1.CC Transition risk-Banking b.'!$J$63,Input!$C:$C,'1.CC Transition risk-Banking b.'!$J$64),0))/1000000</f>
        <v>0</v>
      </c>
      <c r="K8" s="70">
        <f>(ROUND(SUMIFS(Input!$I:$I,Input!$H:$H,'1.CC Transition risk-Banking b.'!$A8&amp;"*",Input!$E:$E,'1.CC Transition risk-Banking b.'!$K$63,Input!$C:$C,'1.CC Transition risk-Banking b.'!$K$64),0))/1000000</f>
        <v>0</v>
      </c>
      <c r="L8" s="71">
        <f>(ROUND(SUMIFS(Input!$J:$J,Input!$H:$H,'1.CC Transition risk-Banking b.'!$A8&amp;"*")
+ SUMIFS(Input!$L:$L,Input!$H:$H,'1.CC Transition risk-Banking b.'!$A8&amp;"*")
+SUMIFS(Input!$N:$N,Input!$H:$H,'1.CC Transition risk-Banking b.'!$A8&amp;"*"),0))/1</f>
        <v>0</v>
      </c>
      <c r="M8" s="71">
        <f>(ROUND(SUMIFS(Input!$N:$N,Input!$H:$H,'1.CC Transition risk-Banking b.'!$A8&amp;"*"),0))/1</f>
        <v>0</v>
      </c>
      <c r="N8" s="77">
        <f>IFERROR(AVERAGE(SUMIFS(Input!$I:$I,Input!$H:$H,'1.CC Transition risk-Banking b.'!$A8&amp;"*",Input!$R:$R,"SOUR1",Input!$E:$E,'1.CC Transition risk-Banking b.'!$O$63),
SUMIFS(Input!$I:$I,Input!$H:$H,'1.CC Transition risk-Banking b.'!$A8&amp;"*",Input!$S:$S,"SOUR1",Input!$E:$E,'1.CC Transition risk-Banking b.'!$O$63),
SUMIFS(Input!$I:$I,Input!$H:$H,'1.CC Transition risk-Banking b.'!$A8&amp;"*",Input!$T:$T,"SOUR1",Input!$E:$E,'1.CC Transition risk-Banking b.'!$O$63))/SUMIFS(Input!$I:$I,Input!$H:$H,'1.CC Transition risk-Banking b.'!$A8&amp;"*",Input!$E:$E,'1.CC Transition risk-Banking b.'!$O$63),0)</f>
        <v>0</v>
      </c>
      <c r="O8" s="72">
        <f>(ROUND(SUMIFS(Input!$I:$I,Input!$H:$H,'1.CC Transition risk-Banking b.'!$A8&amp;"*",Input!$E:$E,'1.CC Transition risk-Banking b.'!O$63,Input!$G:$G,"&gt;=0",Input!$G:$G,"&lt;=5")
+ SUMIFS(Input!$I:$I,Input!$H:$H,'1.CC Transition risk-Banking b.'!$A8&amp;"*",Input!$E:$E,'1.CC Transition risk-Banking b.'!O$63,Input!$G:$G,"-4")
+ SUMIFS(Input!$I:$I,Input!$H:$H,'1.CC Transition risk-Banking b.'!$A8&amp;"*",Input!$E:$E,'1.CC Transition risk-Banking b.'!O$63,Input!$G:$G,"-1"),0))/1000000</f>
        <v>0</v>
      </c>
      <c r="P8" s="72">
        <f>(ROUND(SUMIFS(Input!$I:$I,Input!$H:$H,'1.CC Transition risk-Banking b.'!$A8&amp;"*",Input!$E:$E,'1.CC Transition risk-Banking b.'!P$63,Input!$G:$G,"&gt;5",Input!$G:$G,"&lt;=10"),0))/1000000</f>
        <v>0</v>
      </c>
      <c r="Q8" s="72">
        <f>(ROUND(SUMIFS(Input!$I:$I,Input!$H:$H,'1.CC Transition risk-Banking b.'!$A8&amp;"*",Input!$E:$E,'1.CC Transition risk-Banking b.'!Q$63,Input!$G:$G,"&gt;10",Input!$G:$G,"&lt;=20"),0))/1000000</f>
        <v>0</v>
      </c>
      <c r="R8" s="72">
        <f>(ROUND(SUMIFS(Input!$I:$I,Input!$H:$H,'1.CC Transition risk-Banking b.'!$A8&amp;"*",Input!$E:$E,'1.CC Transition risk-Banking b.'!R$63,Input!$G:$G,"&gt;20")
+ SUMIFS(Input!$I:$I,Input!$H:$H,'1.CC Transition risk-Banking b.'!$A8&amp;"*",Input!$E:$E,'1.CC Transition risk-Banking b.'!R$63,Input!$G:$G,"-2")
+ SUMIFS(Input!$I:$I,Input!$H:$H,'1.CC Transition risk-Banking b.'!$A8&amp;"*",Input!$E:$E,'1.CC Transition risk-Banking b.'!R$63,Input!$G:$G,"-3"),0))/1000000</f>
        <v>0</v>
      </c>
      <c r="S8" s="73">
        <f>ROUND(IFERROR((SUMIFS(Input!$Q:$Q,Input!$H:$H,'1.CC Transition risk-Banking b.'!$A8&amp;"*",Input!$E:$E,'1.CC Transition risk-Banking b.'!S$63,Input!$G:$G,"&gt;0")/1000000)/'1.CC Transition risk-Banking b.'!$D8,0),0)</f>
        <v>0</v>
      </c>
    </row>
    <row r="9" spans="1:19">
      <c r="A9" s="82" t="s">
        <v>86</v>
      </c>
      <c r="B9" s="53">
        <v>4</v>
      </c>
      <c r="C9" s="56" t="s">
        <v>87</v>
      </c>
      <c r="D9" s="70">
        <f>(ROUND(SUMIFS(Input!$I:$I,Input!$H:$H,'1.CC Transition risk-Banking b.'!$A9&amp;"*",Input!$E:$E,'1.CC Transition risk-Banking b.'!$D$63),0))/1000000</f>
        <v>0</v>
      </c>
      <c r="E9" s="70">
        <f>(ROUND(SUMIFS(Input!$I:$I,Input!$H:$H,'1.CC Transition risk-Banking b.'!$A9&amp;"*",Input!$E:$E,'1.CC Transition risk-Banking b.'!$E$63,Input!$F:$F,'1.CC Transition risk-Banking b.'!$E$64),0))/1000000</f>
        <v>0</v>
      </c>
      <c r="F9" s="70">
        <f>(ROUND(SUMIFS(Input!$P:$P,Input!$H:$H,'1.CC Transition risk-Banking b.'!$A9&amp;"*",Input!$E:$E,'1.CC Transition risk-Banking b.'!$E$63,Input!$O:$O,'1.CC Transition risk-Banking b.'!$F$63),0))/1000000</f>
        <v>0</v>
      </c>
      <c r="G9" s="70">
        <f>(ROUND(SUMIFS(Input!$I:$I,Input!$H:$H,'1.CC Transition risk-Banking b.'!$A9&amp;"*",Input!$E:$E,'1.CC Transition risk-Banking b.'!$G$63,Input!$C:$C,'1.CC Transition risk-Banking b.'!$G$64),0))/1000000</f>
        <v>0</v>
      </c>
      <c r="H9" s="70">
        <f>(ROUND(SUMIFS(Input!$I:$I,Input!$H:$H,'1.CC Transition risk-Banking b.'!$A9&amp;"*",Input!$E:$E,'1.CC Transition risk-Banking b.'!$H$63,Input!$C:$C,'1.CC Transition risk-Banking b.'!$H$64),0))/1000000</f>
        <v>0</v>
      </c>
      <c r="I9" s="70">
        <f>(ROUND(SUMIFS(Input!$I:$I,Input!$H:$H,'1.CC Transition risk-Banking b.'!$A9&amp;"*",Input!$E:$E,'1.CC Transition risk-Banking b.'!$I$63),0))/1000000</f>
        <v>0</v>
      </c>
      <c r="J9" s="70">
        <f>(ROUND(SUMIFS(Input!$I:$I,Input!$H:$H,'1.CC Transition risk-Banking b.'!$A9&amp;"*",Input!$E:$E,'1.CC Transition risk-Banking b.'!$J$63,Input!$C:$C,'1.CC Transition risk-Banking b.'!$J$64),0))/1000000</f>
        <v>0</v>
      </c>
      <c r="K9" s="70">
        <f>(ROUND(SUMIFS(Input!$I:$I,Input!$H:$H,'1.CC Transition risk-Banking b.'!$A9&amp;"*",Input!$E:$E,'1.CC Transition risk-Banking b.'!$K$63,Input!$C:$C,'1.CC Transition risk-Banking b.'!$K$64),0))/1000000</f>
        <v>0</v>
      </c>
      <c r="L9" s="71">
        <f>(ROUND(SUMIFS(Input!$J:$J,Input!$H:$H,'1.CC Transition risk-Banking b.'!$A9&amp;"*")
+ SUMIFS(Input!$L:$L,Input!$H:$H,'1.CC Transition risk-Banking b.'!$A9&amp;"*")
+SUMIFS(Input!$N:$N,Input!$H:$H,'1.CC Transition risk-Banking b.'!$A9&amp;"*"),0))/1</f>
        <v>0</v>
      </c>
      <c r="M9" s="71">
        <f>(ROUND(SUMIFS(Input!$N:$N,Input!$H:$H,'1.CC Transition risk-Banking b.'!$A9&amp;"*"),0))/1</f>
        <v>0</v>
      </c>
      <c r="N9" s="77">
        <f>IFERROR(AVERAGE(SUMIFS(Input!$I:$I,Input!$H:$H,'1.CC Transition risk-Banking b.'!$A9&amp;"*",Input!$R:$R,"SOUR1",Input!$E:$E,'1.CC Transition risk-Banking b.'!$O$63),
SUMIFS(Input!$I:$I,Input!$H:$H,'1.CC Transition risk-Banking b.'!$A9&amp;"*",Input!$S:$S,"SOUR1",Input!$E:$E,'1.CC Transition risk-Banking b.'!$O$63),
SUMIFS(Input!$I:$I,Input!$H:$H,'1.CC Transition risk-Banking b.'!$A9&amp;"*",Input!$T:$T,"SOUR1",Input!$E:$E,'1.CC Transition risk-Banking b.'!$O$63))/SUMIFS(Input!$I:$I,Input!$H:$H,'1.CC Transition risk-Banking b.'!$A9&amp;"*",Input!$E:$E,'1.CC Transition risk-Banking b.'!$O$63),0)</f>
        <v>0</v>
      </c>
      <c r="O9" s="72">
        <f>(ROUND(SUMIFS(Input!$I:$I,Input!$H:$H,'1.CC Transition risk-Banking b.'!$A9&amp;"*",Input!$E:$E,'1.CC Transition risk-Banking b.'!O$63,Input!$G:$G,"&gt;=0",Input!$G:$G,"&lt;=5")
+ SUMIFS(Input!$I:$I,Input!$H:$H,'1.CC Transition risk-Banking b.'!$A9&amp;"*",Input!$E:$E,'1.CC Transition risk-Banking b.'!O$63,Input!$G:$G,"-4")
+ SUMIFS(Input!$I:$I,Input!$H:$H,'1.CC Transition risk-Banking b.'!$A9&amp;"*",Input!$E:$E,'1.CC Transition risk-Banking b.'!O$63,Input!$G:$G,"-1"),0))/1000000</f>
        <v>0</v>
      </c>
      <c r="P9" s="72">
        <f>(ROUND(SUMIFS(Input!$I:$I,Input!$H:$H,'1.CC Transition risk-Banking b.'!$A9&amp;"*",Input!$E:$E,'1.CC Transition risk-Banking b.'!P$63,Input!$G:$G,"&gt;5",Input!$G:$G,"&lt;=10"),0))/1000000</f>
        <v>0</v>
      </c>
      <c r="Q9" s="72">
        <f>(ROUND(SUMIFS(Input!$I:$I,Input!$H:$H,'1.CC Transition risk-Banking b.'!$A9&amp;"*",Input!$E:$E,'1.CC Transition risk-Banking b.'!Q$63,Input!$G:$G,"&gt;10",Input!$G:$G,"&lt;=20"),0))/1000000</f>
        <v>0</v>
      </c>
      <c r="R9" s="72">
        <f>(ROUND(SUMIFS(Input!$I:$I,Input!$H:$H,'1.CC Transition risk-Banking b.'!$A9&amp;"*",Input!$E:$E,'1.CC Transition risk-Banking b.'!R$63,Input!$G:$G,"&gt;20")
+ SUMIFS(Input!$I:$I,Input!$H:$H,'1.CC Transition risk-Banking b.'!$A9&amp;"*",Input!$E:$E,'1.CC Transition risk-Banking b.'!R$63,Input!$G:$G,"-2")
+ SUMIFS(Input!$I:$I,Input!$H:$H,'1.CC Transition risk-Banking b.'!$A9&amp;"*",Input!$E:$E,'1.CC Transition risk-Banking b.'!R$63,Input!$G:$G,"-3"),0))/1000000</f>
        <v>0</v>
      </c>
      <c r="S9" s="73">
        <f>ROUND(IFERROR((SUMIFS(Input!$Q:$Q,Input!$H:$H,'1.CC Transition risk-Banking b.'!$A9&amp;"*",Input!$E:$E,'1.CC Transition risk-Banking b.'!S$63,Input!$G:$G,"&gt;0")/1000000)/'1.CC Transition risk-Banking b.'!$D9,0),0)</f>
        <v>0</v>
      </c>
    </row>
    <row r="10" spans="1:19">
      <c r="A10" s="82" t="s">
        <v>88</v>
      </c>
      <c r="B10" s="53">
        <v>5</v>
      </c>
      <c r="C10" s="56" t="s">
        <v>89</v>
      </c>
      <c r="D10" s="70">
        <f>(ROUND(SUMIFS(Input!$I:$I,Input!$H:$H,'1.CC Transition risk-Banking b.'!$A10&amp;"*",Input!$E:$E,'1.CC Transition risk-Banking b.'!$D$63),0))/1000000</f>
        <v>0</v>
      </c>
      <c r="E10" s="70">
        <f>(ROUND(SUMIFS(Input!$I:$I,Input!$H:$H,'1.CC Transition risk-Banking b.'!$A10&amp;"*",Input!$E:$E,'1.CC Transition risk-Banking b.'!$E$63,Input!$F:$F,'1.CC Transition risk-Banking b.'!$E$64),0))/1000000</f>
        <v>0</v>
      </c>
      <c r="F10" s="70">
        <f>(ROUND(SUMIFS(Input!$P:$P,Input!$H:$H,'1.CC Transition risk-Banking b.'!$A10&amp;"*",Input!$E:$E,'1.CC Transition risk-Banking b.'!$E$63,Input!$O:$O,'1.CC Transition risk-Banking b.'!$F$63),0))/1000000</f>
        <v>0</v>
      </c>
      <c r="G10" s="70">
        <f>(ROUND(SUMIFS(Input!$I:$I,Input!$H:$H,'1.CC Transition risk-Banking b.'!$A10&amp;"*",Input!$E:$E,'1.CC Transition risk-Banking b.'!$G$63,Input!$C:$C,'1.CC Transition risk-Banking b.'!$G$64),0))/1000000</f>
        <v>0</v>
      </c>
      <c r="H10" s="70">
        <f>(ROUND(SUMIFS(Input!$I:$I,Input!$H:$H,'1.CC Transition risk-Banking b.'!$A10&amp;"*",Input!$E:$E,'1.CC Transition risk-Banking b.'!$H$63,Input!$C:$C,'1.CC Transition risk-Banking b.'!$H$64),0))/1000000</f>
        <v>0</v>
      </c>
      <c r="I10" s="70">
        <f>(ROUND(SUMIFS(Input!$I:$I,Input!$H:$H,'1.CC Transition risk-Banking b.'!$A10&amp;"*",Input!$E:$E,'1.CC Transition risk-Banking b.'!$I$63),0))/1000000</f>
        <v>0</v>
      </c>
      <c r="J10" s="70">
        <f>(ROUND(SUMIFS(Input!$I:$I,Input!$H:$H,'1.CC Transition risk-Banking b.'!$A10&amp;"*",Input!$E:$E,'1.CC Transition risk-Banking b.'!$J$63,Input!$C:$C,'1.CC Transition risk-Banking b.'!$J$64),0))/1000000</f>
        <v>0</v>
      </c>
      <c r="K10" s="70">
        <f>(ROUND(SUMIFS(Input!$I:$I,Input!$H:$H,'1.CC Transition risk-Banking b.'!$A10&amp;"*",Input!$E:$E,'1.CC Transition risk-Banking b.'!$K$63,Input!$C:$C,'1.CC Transition risk-Banking b.'!$K$64),0))/1000000</f>
        <v>0</v>
      </c>
      <c r="L10" s="71">
        <f>(ROUND(SUMIFS(Input!$J:$J,Input!$H:$H,'1.CC Transition risk-Banking b.'!$A10&amp;"*")
+ SUMIFS(Input!$L:$L,Input!$H:$H,'1.CC Transition risk-Banking b.'!$A10&amp;"*")
+SUMIFS(Input!$N:$N,Input!$H:$H,'1.CC Transition risk-Banking b.'!$A10&amp;"*"),0))/1</f>
        <v>0</v>
      </c>
      <c r="M10" s="71">
        <f>(ROUND(SUMIFS(Input!$N:$N,Input!$H:$H,'1.CC Transition risk-Banking b.'!$A10&amp;"*"),0))/1</f>
        <v>0</v>
      </c>
      <c r="N10" s="77">
        <f>IFERROR(AVERAGE(SUMIFS(Input!$I:$I,Input!$H:$H,'1.CC Transition risk-Banking b.'!$A10&amp;"*",Input!$R:$R,"SOUR1",Input!$E:$E,'1.CC Transition risk-Banking b.'!$O$63),
SUMIFS(Input!$I:$I,Input!$H:$H,'1.CC Transition risk-Banking b.'!$A10&amp;"*",Input!$S:$S,"SOUR1",Input!$E:$E,'1.CC Transition risk-Banking b.'!$O$63),
SUMIFS(Input!$I:$I,Input!$H:$H,'1.CC Transition risk-Banking b.'!$A10&amp;"*",Input!$T:$T,"SOUR1",Input!$E:$E,'1.CC Transition risk-Banking b.'!$O$63))/SUMIFS(Input!$I:$I,Input!$H:$H,'1.CC Transition risk-Banking b.'!$A10&amp;"*",Input!$E:$E,'1.CC Transition risk-Banking b.'!$O$63),0)</f>
        <v>0</v>
      </c>
      <c r="O10" s="72">
        <f>(ROUND(SUMIFS(Input!$I:$I,Input!$H:$H,'1.CC Transition risk-Banking b.'!$A10&amp;"*",Input!$E:$E,'1.CC Transition risk-Banking b.'!O$63,Input!$G:$G,"&gt;=0",Input!$G:$G,"&lt;=5")
+ SUMIFS(Input!$I:$I,Input!$H:$H,'1.CC Transition risk-Banking b.'!$A10&amp;"*",Input!$E:$E,'1.CC Transition risk-Banking b.'!O$63,Input!$G:$G,"-4")
+ SUMIFS(Input!$I:$I,Input!$H:$H,'1.CC Transition risk-Banking b.'!$A10&amp;"*",Input!$E:$E,'1.CC Transition risk-Banking b.'!O$63,Input!$G:$G,"-1"),0))/1000000</f>
        <v>0</v>
      </c>
      <c r="P10" s="72">
        <f>(ROUND(SUMIFS(Input!$I:$I,Input!$H:$H,'1.CC Transition risk-Banking b.'!$A10&amp;"*",Input!$E:$E,'1.CC Transition risk-Banking b.'!P$63,Input!$G:$G,"&gt;5",Input!$G:$G,"&lt;=10"),0))/1000000</f>
        <v>0</v>
      </c>
      <c r="Q10" s="72">
        <f>(ROUND(SUMIFS(Input!$I:$I,Input!$H:$H,'1.CC Transition risk-Banking b.'!$A10&amp;"*",Input!$E:$E,'1.CC Transition risk-Banking b.'!Q$63,Input!$G:$G,"&gt;10",Input!$G:$G,"&lt;=20"),0))/1000000</f>
        <v>0</v>
      </c>
      <c r="R10" s="72">
        <f>(ROUND(SUMIFS(Input!$I:$I,Input!$H:$H,'1.CC Transition risk-Banking b.'!$A10&amp;"*",Input!$E:$E,'1.CC Transition risk-Banking b.'!R$63,Input!$G:$G,"&gt;20")
+ SUMIFS(Input!$I:$I,Input!$H:$H,'1.CC Transition risk-Banking b.'!$A10&amp;"*",Input!$E:$E,'1.CC Transition risk-Banking b.'!R$63,Input!$G:$G,"-2")
+ SUMIFS(Input!$I:$I,Input!$H:$H,'1.CC Transition risk-Banking b.'!$A10&amp;"*",Input!$E:$E,'1.CC Transition risk-Banking b.'!R$63,Input!$G:$G,"-3"),0))/1000000</f>
        <v>0</v>
      </c>
      <c r="S10" s="73">
        <f>ROUND(IFERROR((SUMIFS(Input!$Q:$Q,Input!$H:$H,'1.CC Transition risk-Banking b.'!$A10&amp;"*",Input!$E:$E,'1.CC Transition risk-Banking b.'!S$63,Input!$G:$G,"&gt;0")/1000000)/'1.CC Transition risk-Banking b.'!$D10,0),0)</f>
        <v>0</v>
      </c>
    </row>
    <row r="11" spans="1:19">
      <c r="A11" s="82" t="s">
        <v>90</v>
      </c>
      <c r="B11" s="53">
        <v>6</v>
      </c>
      <c r="C11" s="56" t="s">
        <v>91</v>
      </c>
      <c r="D11" s="70">
        <f>(ROUND(SUMIFS(Input!$I:$I,Input!$H:$H,'1.CC Transition risk-Banking b.'!$A11&amp;"*",Input!$E:$E,'1.CC Transition risk-Banking b.'!$D$63),0))/1000000</f>
        <v>0</v>
      </c>
      <c r="E11" s="70">
        <f>(ROUND(SUMIFS(Input!$I:$I,Input!$H:$H,'1.CC Transition risk-Banking b.'!$A11&amp;"*",Input!$E:$E,'1.CC Transition risk-Banking b.'!$E$63,Input!$F:$F,'1.CC Transition risk-Banking b.'!$E$64),0))/1000000</f>
        <v>0</v>
      </c>
      <c r="F11" s="70">
        <f>(ROUND(SUMIFS(Input!$P:$P,Input!$H:$H,'1.CC Transition risk-Banking b.'!$A11&amp;"*",Input!$E:$E,'1.CC Transition risk-Banking b.'!$E$63,Input!$O:$O,'1.CC Transition risk-Banking b.'!$F$63),0))/1000000</f>
        <v>0</v>
      </c>
      <c r="G11" s="70">
        <f>(ROUND(SUMIFS(Input!$I:$I,Input!$H:$H,'1.CC Transition risk-Banking b.'!$A11&amp;"*",Input!$E:$E,'1.CC Transition risk-Banking b.'!$G$63,Input!$C:$C,'1.CC Transition risk-Banking b.'!$G$64),0))/1000000</f>
        <v>0</v>
      </c>
      <c r="H11" s="70">
        <f>(ROUND(SUMIFS(Input!$I:$I,Input!$H:$H,'1.CC Transition risk-Banking b.'!$A11&amp;"*",Input!$E:$E,'1.CC Transition risk-Banking b.'!$H$63,Input!$C:$C,'1.CC Transition risk-Banking b.'!$H$64),0))/1000000</f>
        <v>0</v>
      </c>
      <c r="I11" s="70">
        <f>(ROUND(SUMIFS(Input!$I:$I,Input!$H:$H,'1.CC Transition risk-Banking b.'!$A11&amp;"*",Input!$E:$E,'1.CC Transition risk-Banking b.'!$I$63),0))/1000000</f>
        <v>0</v>
      </c>
      <c r="J11" s="70">
        <f>(ROUND(SUMIFS(Input!$I:$I,Input!$H:$H,'1.CC Transition risk-Banking b.'!$A11&amp;"*",Input!$E:$E,'1.CC Transition risk-Banking b.'!$J$63,Input!$C:$C,'1.CC Transition risk-Banking b.'!$J$64),0))/1000000</f>
        <v>0</v>
      </c>
      <c r="K11" s="70">
        <f>(ROUND(SUMIFS(Input!$I:$I,Input!$H:$H,'1.CC Transition risk-Banking b.'!$A11&amp;"*",Input!$E:$E,'1.CC Transition risk-Banking b.'!$K$63,Input!$C:$C,'1.CC Transition risk-Banking b.'!$K$64),0))/1000000</f>
        <v>0</v>
      </c>
      <c r="L11" s="71">
        <f>(ROUND(SUMIFS(Input!$J:$J,Input!$H:$H,'1.CC Transition risk-Banking b.'!$A11&amp;"*")
+ SUMIFS(Input!$L:$L,Input!$H:$H,'1.CC Transition risk-Banking b.'!$A11&amp;"*")
+SUMIFS(Input!$N:$N,Input!$H:$H,'1.CC Transition risk-Banking b.'!$A11&amp;"*"),0))/1</f>
        <v>0</v>
      </c>
      <c r="M11" s="71">
        <f>(ROUND(SUMIFS(Input!$N:$N,Input!$H:$H,'1.CC Transition risk-Banking b.'!$A11&amp;"*"),0))/1</f>
        <v>0</v>
      </c>
      <c r="N11" s="77">
        <f>IFERROR(AVERAGE(SUMIFS(Input!$I:$I,Input!$H:$H,'1.CC Transition risk-Banking b.'!$A11&amp;"*",Input!$R:$R,"SOUR1",Input!$E:$E,'1.CC Transition risk-Banking b.'!$O$63),
SUMIFS(Input!$I:$I,Input!$H:$H,'1.CC Transition risk-Banking b.'!$A11&amp;"*",Input!$S:$S,"SOUR1",Input!$E:$E,'1.CC Transition risk-Banking b.'!$O$63),
SUMIFS(Input!$I:$I,Input!$H:$H,'1.CC Transition risk-Banking b.'!$A11&amp;"*",Input!$T:$T,"SOUR1",Input!$E:$E,'1.CC Transition risk-Banking b.'!$O$63))/SUMIFS(Input!$I:$I,Input!$H:$H,'1.CC Transition risk-Banking b.'!$A11&amp;"*",Input!$E:$E,'1.CC Transition risk-Banking b.'!$O$63),0)</f>
        <v>0</v>
      </c>
      <c r="O11" s="72">
        <f>(ROUND(SUMIFS(Input!$I:$I,Input!$H:$H,'1.CC Transition risk-Banking b.'!$A11&amp;"*",Input!$E:$E,'1.CC Transition risk-Banking b.'!O$63,Input!$G:$G,"&gt;=0",Input!$G:$G,"&lt;=5")
+ SUMIFS(Input!$I:$I,Input!$H:$H,'1.CC Transition risk-Banking b.'!$A11&amp;"*",Input!$E:$E,'1.CC Transition risk-Banking b.'!O$63,Input!$G:$G,"-4")
+ SUMIFS(Input!$I:$I,Input!$H:$H,'1.CC Transition risk-Banking b.'!$A11&amp;"*",Input!$E:$E,'1.CC Transition risk-Banking b.'!O$63,Input!$G:$G,"-1"),0))/1000000</f>
        <v>0</v>
      </c>
      <c r="P11" s="72">
        <f>(ROUND(SUMIFS(Input!$I:$I,Input!$H:$H,'1.CC Transition risk-Banking b.'!$A11&amp;"*",Input!$E:$E,'1.CC Transition risk-Banking b.'!P$63,Input!$G:$G,"&gt;5",Input!$G:$G,"&lt;=10"),0))/1000000</f>
        <v>0</v>
      </c>
      <c r="Q11" s="72">
        <f>(ROUND(SUMIFS(Input!$I:$I,Input!$H:$H,'1.CC Transition risk-Banking b.'!$A11&amp;"*",Input!$E:$E,'1.CC Transition risk-Banking b.'!Q$63,Input!$G:$G,"&gt;10",Input!$G:$G,"&lt;=20"),0))/1000000</f>
        <v>0</v>
      </c>
      <c r="R11" s="72">
        <f>(ROUND(SUMIFS(Input!$I:$I,Input!$H:$H,'1.CC Transition risk-Banking b.'!$A11&amp;"*",Input!$E:$E,'1.CC Transition risk-Banking b.'!R$63,Input!$G:$G,"&gt;20")
+ SUMIFS(Input!$I:$I,Input!$H:$H,'1.CC Transition risk-Banking b.'!$A11&amp;"*",Input!$E:$E,'1.CC Transition risk-Banking b.'!R$63,Input!$G:$G,"-2")
+ SUMIFS(Input!$I:$I,Input!$H:$H,'1.CC Transition risk-Banking b.'!$A11&amp;"*",Input!$E:$E,'1.CC Transition risk-Banking b.'!R$63,Input!$G:$G,"-3"),0))/1000000</f>
        <v>0</v>
      </c>
      <c r="S11" s="73">
        <f>ROUND(IFERROR((SUMIFS(Input!$Q:$Q,Input!$H:$H,'1.CC Transition risk-Banking b.'!$A11&amp;"*",Input!$E:$E,'1.CC Transition risk-Banking b.'!S$63,Input!$G:$G,"&gt;0")/1000000)/'1.CC Transition risk-Banking b.'!$D11,0),0)</f>
        <v>0</v>
      </c>
    </row>
    <row r="12" spans="1:19">
      <c r="A12" s="82" t="s">
        <v>92</v>
      </c>
      <c r="B12" s="53">
        <v>7</v>
      </c>
      <c r="C12" s="56" t="s">
        <v>93</v>
      </c>
      <c r="D12" s="70">
        <f>(ROUND(SUMIFS(Input!$I:$I,Input!$H:$H,'1.CC Transition risk-Banking b.'!$A12&amp;"*",Input!$E:$E,'1.CC Transition risk-Banking b.'!$D$63),0))/1000000</f>
        <v>0</v>
      </c>
      <c r="E12" s="70">
        <f>(ROUND(SUMIFS(Input!$I:$I,Input!$H:$H,'1.CC Transition risk-Banking b.'!$A12&amp;"*",Input!$E:$E,'1.CC Transition risk-Banking b.'!$E$63,Input!$F:$F,'1.CC Transition risk-Banking b.'!$E$64),0))/1000000</f>
        <v>0</v>
      </c>
      <c r="F12" s="70">
        <f>(ROUND(SUMIFS(Input!$P:$P,Input!$H:$H,'1.CC Transition risk-Banking b.'!$A12&amp;"*",Input!$E:$E,'1.CC Transition risk-Banking b.'!$E$63,Input!$O:$O,'1.CC Transition risk-Banking b.'!$F$63),0))/1000000</f>
        <v>0</v>
      </c>
      <c r="G12" s="70">
        <f>(ROUND(SUMIFS(Input!$I:$I,Input!$H:$H,'1.CC Transition risk-Banking b.'!$A12&amp;"*",Input!$E:$E,'1.CC Transition risk-Banking b.'!$G$63,Input!$C:$C,'1.CC Transition risk-Banking b.'!$G$64),0))/1000000</f>
        <v>0</v>
      </c>
      <c r="H12" s="70">
        <f>(ROUND(SUMIFS(Input!$I:$I,Input!$H:$H,'1.CC Transition risk-Banking b.'!$A12&amp;"*",Input!$E:$E,'1.CC Transition risk-Banking b.'!$H$63,Input!$C:$C,'1.CC Transition risk-Banking b.'!$H$64),0))/1000000</f>
        <v>0</v>
      </c>
      <c r="I12" s="70">
        <f>(ROUND(SUMIFS(Input!$I:$I,Input!$H:$H,'1.CC Transition risk-Banking b.'!$A12&amp;"*",Input!$E:$E,'1.CC Transition risk-Banking b.'!$I$63),0))/1000000</f>
        <v>0</v>
      </c>
      <c r="J12" s="70">
        <f>(ROUND(SUMIFS(Input!$I:$I,Input!$H:$H,'1.CC Transition risk-Banking b.'!$A12&amp;"*",Input!$E:$E,'1.CC Transition risk-Banking b.'!$J$63,Input!$C:$C,'1.CC Transition risk-Banking b.'!$J$64),0))/1000000</f>
        <v>0</v>
      </c>
      <c r="K12" s="70">
        <f>(ROUND(SUMIFS(Input!$I:$I,Input!$H:$H,'1.CC Transition risk-Banking b.'!$A12&amp;"*",Input!$E:$E,'1.CC Transition risk-Banking b.'!$K$63,Input!$C:$C,'1.CC Transition risk-Banking b.'!$K$64),0))/1000000</f>
        <v>0</v>
      </c>
      <c r="L12" s="71">
        <f>(ROUND(SUMIFS(Input!$J:$J,Input!$H:$H,'1.CC Transition risk-Banking b.'!$A12&amp;"*")
+ SUMIFS(Input!$L:$L,Input!$H:$H,'1.CC Transition risk-Banking b.'!$A12&amp;"*")
+SUMIFS(Input!$N:$N,Input!$H:$H,'1.CC Transition risk-Banking b.'!$A12&amp;"*"),0))/1</f>
        <v>0</v>
      </c>
      <c r="M12" s="71">
        <f>(ROUND(SUMIFS(Input!$N:$N,Input!$H:$H,'1.CC Transition risk-Banking b.'!$A12&amp;"*"),0))/1</f>
        <v>0</v>
      </c>
      <c r="N12" s="77">
        <f>IFERROR(AVERAGE(SUMIFS(Input!$I:$I,Input!$H:$H,'1.CC Transition risk-Banking b.'!$A12&amp;"*",Input!$R:$R,"SOUR1",Input!$E:$E,'1.CC Transition risk-Banking b.'!$O$63),
SUMIFS(Input!$I:$I,Input!$H:$H,'1.CC Transition risk-Banking b.'!$A12&amp;"*",Input!$S:$S,"SOUR1",Input!$E:$E,'1.CC Transition risk-Banking b.'!$O$63),
SUMIFS(Input!$I:$I,Input!$H:$H,'1.CC Transition risk-Banking b.'!$A12&amp;"*",Input!$T:$T,"SOUR1",Input!$E:$E,'1.CC Transition risk-Banking b.'!$O$63))/SUMIFS(Input!$I:$I,Input!$H:$H,'1.CC Transition risk-Banking b.'!$A12&amp;"*",Input!$E:$E,'1.CC Transition risk-Banking b.'!$O$63),0)</f>
        <v>0</v>
      </c>
      <c r="O12" s="72">
        <f>(ROUND(SUMIFS(Input!$I:$I,Input!$H:$H,'1.CC Transition risk-Banking b.'!$A12&amp;"*",Input!$E:$E,'1.CC Transition risk-Banking b.'!O$63,Input!$G:$G,"&gt;=0",Input!$G:$G,"&lt;=5")
+ SUMIFS(Input!$I:$I,Input!$H:$H,'1.CC Transition risk-Banking b.'!$A12&amp;"*",Input!$E:$E,'1.CC Transition risk-Banking b.'!O$63,Input!$G:$G,"-4")
+ SUMIFS(Input!$I:$I,Input!$H:$H,'1.CC Transition risk-Banking b.'!$A12&amp;"*",Input!$E:$E,'1.CC Transition risk-Banking b.'!O$63,Input!$G:$G,"-1"),0))/1000000</f>
        <v>0</v>
      </c>
      <c r="P12" s="72">
        <f>(ROUND(SUMIFS(Input!$I:$I,Input!$H:$H,'1.CC Transition risk-Banking b.'!$A12&amp;"*",Input!$E:$E,'1.CC Transition risk-Banking b.'!P$63,Input!$G:$G,"&gt;5",Input!$G:$G,"&lt;=10"),0))/1000000</f>
        <v>0</v>
      </c>
      <c r="Q12" s="72">
        <f>(ROUND(SUMIFS(Input!$I:$I,Input!$H:$H,'1.CC Transition risk-Banking b.'!$A12&amp;"*",Input!$E:$E,'1.CC Transition risk-Banking b.'!Q$63,Input!$G:$G,"&gt;10",Input!$G:$G,"&lt;=20"),0))/1000000</f>
        <v>0</v>
      </c>
      <c r="R12" s="72">
        <f>(ROUND(SUMIFS(Input!$I:$I,Input!$H:$H,'1.CC Transition risk-Banking b.'!$A12&amp;"*",Input!$E:$E,'1.CC Transition risk-Banking b.'!R$63,Input!$G:$G,"&gt;20")
+ SUMIFS(Input!$I:$I,Input!$H:$H,'1.CC Transition risk-Banking b.'!$A12&amp;"*",Input!$E:$E,'1.CC Transition risk-Banking b.'!R$63,Input!$G:$G,"-2")
+ SUMIFS(Input!$I:$I,Input!$H:$H,'1.CC Transition risk-Banking b.'!$A12&amp;"*",Input!$E:$E,'1.CC Transition risk-Banking b.'!R$63,Input!$G:$G,"-3"),0))/1000000</f>
        <v>0</v>
      </c>
      <c r="S12" s="73">
        <f>ROUND(IFERROR((SUMIFS(Input!$Q:$Q,Input!$H:$H,'1.CC Transition risk-Banking b.'!$A12&amp;"*",Input!$E:$E,'1.CC Transition risk-Banking b.'!S$63,Input!$G:$G,"&gt;0")/1000000)/'1.CC Transition risk-Banking b.'!$D12,0),0)</f>
        <v>0</v>
      </c>
    </row>
    <row r="13" spans="1:19">
      <c r="A13" s="82" t="s">
        <v>94</v>
      </c>
      <c r="B13" s="53">
        <v>8</v>
      </c>
      <c r="C13" s="56" t="s">
        <v>95</v>
      </c>
      <c r="D13" s="70">
        <f>(ROUND(SUMIFS(Input!$I:$I,Input!$H:$H,'1.CC Transition risk-Banking b.'!$A13&amp;"*",Input!$E:$E,'1.CC Transition risk-Banking b.'!$D$63),0))/1000000</f>
        <v>0</v>
      </c>
      <c r="E13" s="70">
        <f>(ROUND(SUMIFS(Input!$I:$I,Input!$H:$H,'1.CC Transition risk-Banking b.'!$A13&amp;"*",Input!$E:$E,'1.CC Transition risk-Banking b.'!$E$63,Input!$F:$F,'1.CC Transition risk-Banking b.'!$E$64),0))/1000000</f>
        <v>0</v>
      </c>
      <c r="F13" s="70">
        <f>(ROUND(SUMIFS(Input!$P:$P,Input!$H:$H,'1.CC Transition risk-Banking b.'!$A13&amp;"*",Input!$E:$E,'1.CC Transition risk-Banking b.'!$E$63,Input!$O:$O,'1.CC Transition risk-Banking b.'!$F$63),0))/1000000</f>
        <v>0</v>
      </c>
      <c r="G13" s="70">
        <f>(ROUND(SUMIFS(Input!$I:$I,Input!$H:$H,'1.CC Transition risk-Banking b.'!$A13&amp;"*",Input!$E:$E,'1.CC Transition risk-Banking b.'!$G$63,Input!$C:$C,'1.CC Transition risk-Banking b.'!$G$64),0))/1000000</f>
        <v>0</v>
      </c>
      <c r="H13" s="70">
        <f>(ROUND(SUMIFS(Input!$I:$I,Input!$H:$H,'1.CC Transition risk-Banking b.'!$A13&amp;"*",Input!$E:$E,'1.CC Transition risk-Banking b.'!$H$63,Input!$C:$C,'1.CC Transition risk-Banking b.'!$H$64),0))/1000000</f>
        <v>0</v>
      </c>
      <c r="I13" s="70">
        <f>(ROUND(SUMIFS(Input!$I:$I,Input!$H:$H,'1.CC Transition risk-Banking b.'!$A13&amp;"*",Input!$E:$E,'1.CC Transition risk-Banking b.'!$I$63),0))/1000000</f>
        <v>0</v>
      </c>
      <c r="J13" s="70">
        <f>(ROUND(SUMIFS(Input!$I:$I,Input!$H:$H,'1.CC Transition risk-Banking b.'!$A13&amp;"*",Input!$E:$E,'1.CC Transition risk-Banking b.'!$J$63,Input!$C:$C,'1.CC Transition risk-Banking b.'!$J$64),0))/1000000</f>
        <v>0</v>
      </c>
      <c r="K13" s="70">
        <f>(ROUND(SUMIFS(Input!$I:$I,Input!$H:$H,'1.CC Transition risk-Banking b.'!$A13&amp;"*",Input!$E:$E,'1.CC Transition risk-Banking b.'!$K$63,Input!$C:$C,'1.CC Transition risk-Banking b.'!$K$64),0))/1000000</f>
        <v>0</v>
      </c>
      <c r="L13" s="71">
        <f>(ROUND(SUMIFS(Input!$J:$J,Input!$H:$H,'1.CC Transition risk-Banking b.'!$A13&amp;"*")
+ SUMIFS(Input!$L:$L,Input!$H:$H,'1.CC Transition risk-Banking b.'!$A13&amp;"*")
+SUMIFS(Input!$N:$N,Input!$H:$H,'1.CC Transition risk-Banking b.'!$A13&amp;"*"),0))/1</f>
        <v>0</v>
      </c>
      <c r="M13" s="71">
        <f>(ROUND(SUMIFS(Input!$N:$N,Input!$H:$H,'1.CC Transition risk-Banking b.'!$A13&amp;"*"),0))/1</f>
        <v>0</v>
      </c>
      <c r="N13" s="77">
        <f>IFERROR(AVERAGE(SUMIFS(Input!$I:$I,Input!$H:$H,'1.CC Transition risk-Banking b.'!$A13&amp;"*",Input!$R:$R,"SOUR1",Input!$E:$E,'1.CC Transition risk-Banking b.'!$O$63),
SUMIFS(Input!$I:$I,Input!$H:$H,'1.CC Transition risk-Banking b.'!$A13&amp;"*",Input!$S:$S,"SOUR1",Input!$E:$E,'1.CC Transition risk-Banking b.'!$O$63),
SUMIFS(Input!$I:$I,Input!$H:$H,'1.CC Transition risk-Banking b.'!$A13&amp;"*",Input!$T:$T,"SOUR1",Input!$E:$E,'1.CC Transition risk-Banking b.'!$O$63))/SUMIFS(Input!$I:$I,Input!$H:$H,'1.CC Transition risk-Banking b.'!$A13&amp;"*",Input!$E:$E,'1.CC Transition risk-Banking b.'!$O$63),0)</f>
        <v>0</v>
      </c>
      <c r="O13" s="72">
        <f>(ROUND(SUMIFS(Input!$I:$I,Input!$H:$H,'1.CC Transition risk-Banking b.'!$A13&amp;"*",Input!$E:$E,'1.CC Transition risk-Banking b.'!O$63,Input!$G:$G,"&gt;=0",Input!$G:$G,"&lt;=5")
+ SUMIFS(Input!$I:$I,Input!$H:$H,'1.CC Transition risk-Banking b.'!$A13&amp;"*",Input!$E:$E,'1.CC Transition risk-Banking b.'!O$63,Input!$G:$G,"-4")
+ SUMIFS(Input!$I:$I,Input!$H:$H,'1.CC Transition risk-Banking b.'!$A13&amp;"*",Input!$E:$E,'1.CC Transition risk-Banking b.'!O$63,Input!$G:$G,"-1"),0))/1000000</f>
        <v>0</v>
      </c>
      <c r="P13" s="72">
        <f>(ROUND(SUMIFS(Input!$I:$I,Input!$H:$H,'1.CC Transition risk-Banking b.'!$A13&amp;"*",Input!$E:$E,'1.CC Transition risk-Banking b.'!P$63,Input!$G:$G,"&gt;5",Input!$G:$G,"&lt;=10"),0))/1000000</f>
        <v>0</v>
      </c>
      <c r="Q13" s="72">
        <f>(ROUND(SUMIFS(Input!$I:$I,Input!$H:$H,'1.CC Transition risk-Banking b.'!$A13&amp;"*",Input!$E:$E,'1.CC Transition risk-Banking b.'!Q$63,Input!$G:$G,"&gt;10",Input!$G:$G,"&lt;=20"),0))/1000000</f>
        <v>0</v>
      </c>
      <c r="R13" s="72">
        <f>(ROUND(SUMIFS(Input!$I:$I,Input!$H:$H,'1.CC Transition risk-Banking b.'!$A13&amp;"*",Input!$E:$E,'1.CC Transition risk-Banking b.'!R$63,Input!$G:$G,"&gt;20")
+ SUMIFS(Input!$I:$I,Input!$H:$H,'1.CC Transition risk-Banking b.'!$A13&amp;"*",Input!$E:$E,'1.CC Transition risk-Banking b.'!R$63,Input!$G:$G,"-2")
+ SUMIFS(Input!$I:$I,Input!$H:$H,'1.CC Transition risk-Banking b.'!$A13&amp;"*",Input!$E:$E,'1.CC Transition risk-Banking b.'!R$63,Input!$G:$G,"-3"),0))/1000000</f>
        <v>0</v>
      </c>
      <c r="S13" s="73">
        <f>ROUND(IFERROR((SUMIFS(Input!$Q:$Q,Input!$H:$H,'1.CC Transition risk-Banking b.'!$A13&amp;"*",Input!$E:$E,'1.CC Transition risk-Banking b.'!S$63,Input!$G:$G,"&gt;0")/1000000)/'1.CC Transition risk-Banking b.'!$D13,0),0)</f>
        <v>0</v>
      </c>
    </row>
    <row r="14" spans="1:19">
      <c r="A14" s="82" t="s">
        <v>96</v>
      </c>
      <c r="B14" s="53">
        <v>9</v>
      </c>
      <c r="C14" s="55" t="s">
        <v>97</v>
      </c>
      <c r="D14" s="70">
        <f>(ROUND(SUMIFS(Input!$I:$I,Input!$H:$H,'1.CC Transition risk-Banking b.'!$A14&amp;"*",Input!$E:$E,'1.CC Transition risk-Banking b.'!$D$63),0))/1000000</f>
        <v>0</v>
      </c>
      <c r="E14" s="70">
        <f>(ROUND(SUMIFS(Input!$I:$I,Input!$H:$H,'1.CC Transition risk-Banking b.'!$A14&amp;"*",Input!$E:$E,'1.CC Transition risk-Banking b.'!$E$63,Input!$F:$F,'1.CC Transition risk-Banking b.'!$E$64),0))/1000000</f>
        <v>0</v>
      </c>
      <c r="F14" s="70">
        <f>(ROUND(SUMIFS(Input!$P:$P,Input!$H:$H,'1.CC Transition risk-Banking b.'!$A14&amp;"*",Input!$E:$E,'1.CC Transition risk-Banking b.'!$E$63,Input!$O:$O,'1.CC Transition risk-Banking b.'!$F$63),0))/1000000</f>
        <v>0</v>
      </c>
      <c r="G14" s="70">
        <f>(ROUND(SUMIFS(Input!$I:$I,Input!$H:$H,'1.CC Transition risk-Banking b.'!$A14&amp;"*",Input!$E:$E,'1.CC Transition risk-Banking b.'!$G$63,Input!$C:$C,'1.CC Transition risk-Banking b.'!$G$64),0))/1000000</f>
        <v>0</v>
      </c>
      <c r="H14" s="70">
        <f>(ROUND(SUMIFS(Input!$I:$I,Input!$H:$H,'1.CC Transition risk-Banking b.'!$A14&amp;"*",Input!$E:$E,'1.CC Transition risk-Banking b.'!$H$63,Input!$C:$C,'1.CC Transition risk-Banking b.'!$H$64),0))/1000000</f>
        <v>0</v>
      </c>
      <c r="I14" s="70">
        <f>(ROUND(SUMIFS(Input!$I:$I,Input!$H:$H,'1.CC Transition risk-Banking b.'!$A14&amp;"*",Input!$E:$E,'1.CC Transition risk-Banking b.'!$I$63),0))/1000000</f>
        <v>0</v>
      </c>
      <c r="J14" s="70">
        <f>(ROUND(SUMIFS(Input!$I:$I,Input!$H:$H,'1.CC Transition risk-Banking b.'!$A14&amp;"*",Input!$E:$E,'1.CC Transition risk-Banking b.'!$J$63,Input!$C:$C,'1.CC Transition risk-Banking b.'!$J$64),0))/1000000</f>
        <v>0</v>
      </c>
      <c r="K14" s="70">
        <f>(ROUND(SUMIFS(Input!$I:$I,Input!$H:$H,'1.CC Transition risk-Banking b.'!$A14&amp;"*",Input!$E:$E,'1.CC Transition risk-Banking b.'!$K$63,Input!$C:$C,'1.CC Transition risk-Banking b.'!$K$64),0))/1000000</f>
        <v>0</v>
      </c>
      <c r="L14" s="71">
        <f>(ROUND(SUMIFS(Input!$J:$J,Input!$H:$H,'1.CC Transition risk-Banking b.'!$A14&amp;"*")
+ SUMIFS(Input!$L:$L,Input!$H:$H,'1.CC Transition risk-Banking b.'!$A14&amp;"*")
+SUMIFS(Input!$N:$N,Input!$H:$H,'1.CC Transition risk-Banking b.'!$A14&amp;"*"),0))/1</f>
        <v>0</v>
      </c>
      <c r="M14" s="71">
        <f>(ROUND(SUMIFS(Input!$N:$N,Input!$H:$H,'1.CC Transition risk-Banking b.'!$A14&amp;"*"),0))/1</f>
        <v>0</v>
      </c>
      <c r="N14" s="77">
        <f>IFERROR(AVERAGE(SUMIFS(Input!$I:$I,Input!$H:$H,'1.CC Transition risk-Banking b.'!$A14&amp;"*",Input!$R:$R,"SOUR1",Input!$E:$E,'1.CC Transition risk-Banking b.'!$O$63),
SUMIFS(Input!$I:$I,Input!$H:$H,'1.CC Transition risk-Banking b.'!$A14&amp;"*",Input!$S:$S,"SOUR1",Input!$E:$E,'1.CC Transition risk-Banking b.'!$O$63),
SUMIFS(Input!$I:$I,Input!$H:$H,'1.CC Transition risk-Banking b.'!$A14&amp;"*",Input!$T:$T,"SOUR1",Input!$E:$E,'1.CC Transition risk-Banking b.'!$O$63))/SUMIFS(Input!$I:$I,Input!$H:$H,'1.CC Transition risk-Banking b.'!$A14&amp;"*",Input!$E:$E,'1.CC Transition risk-Banking b.'!$O$63),0)</f>
        <v>0</v>
      </c>
      <c r="O14" s="72">
        <f>(ROUND(SUMIFS(Input!$I:$I,Input!$H:$H,'1.CC Transition risk-Banking b.'!$A14&amp;"*",Input!$E:$E,'1.CC Transition risk-Banking b.'!O$63,Input!$G:$G,"&gt;=0",Input!$G:$G,"&lt;=5")
+ SUMIFS(Input!$I:$I,Input!$H:$H,'1.CC Transition risk-Banking b.'!$A14&amp;"*",Input!$E:$E,'1.CC Transition risk-Banking b.'!O$63,Input!$G:$G,"-4")
+ SUMIFS(Input!$I:$I,Input!$H:$H,'1.CC Transition risk-Banking b.'!$A14&amp;"*",Input!$E:$E,'1.CC Transition risk-Banking b.'!O$63,Input!$G:$G,"-1"),0))/1000000</f>
        <v>0</v>
      </c>
      <c r="P14" s="72">
        <f>(ROUND(SUMIFS(Input!$I:$I,Input!$H:$H,'1.CC Transition risk-Banking b.'!$A14&amp;"*",Input!$E:$E,'1.CC Transition risk-Banking b.'!P$63,Input!$G:$G,"&gt;5",Input!$G:$G,"&lt;=10"),0))/1000000</f>
        <v>0</v>
      </c>
      <c r="Q14" s="72">
        <f>(ROUND(SUMIFS(Input!$I:$I,Input!$H:$H,'1.CC Transition risk-Banking b.'!$A14&amp;"*",Input!$E:$E,'1.CC Transition risk-Banking b.'!Q$63,Input!$G:$G,"&gt;10",Input!$G:$G,"&lt;=20"),0))/1000000</f>
        <v>0</v>
      </c>
      <c r="R14" s="72">
        <f>(ROUND(SUMIFS(Input!$I:$I,Input!$H:$H,'1.CC Transition risk-Banking b.'!$A14&amp;"*",Input!$E:$E,'1.CC Transition risk-Banking b.'!R$63,Input!$G:$G,"&gt;20")
+ SUMIFS(Input!$I:$I,Input!$H:$H,'1.CC Transition risk-Banking b.'!$A14&amp;"*",Input!$E:$E,'1.CC Transition risk-Banking b.'!R$63,Input!$G:$G,"-2")
+ SUMIFS(Input!$I:$I,Input!$H:$H,'1.CC Transition risk-Banking b.'!$A14&amp;"*",Input!$E:$E,'1.CC Transition risk-Banking b.'!R$63,Input!$G:$G,"-3"),0))/1000000</f>
        <v>0</v>
      </c>
      <c r="S14" s="73">
        <f>ROUND(IFERROR((SUMIFS(Input!$Q:$Q,Input!$H:$H,'1.CC Transition risk-Banking b.'!$A14&amp;"*",Input!$E:$E,'1.CC Transition risk-Banking b.'!S$63,Input!$G:$G,"&gt;0")/1000000)/'1.CC Transition risk-Banking b.'!$D14,0),0)</f>
        <v>0</v>
      </c>
    </row>
    <row r="15" spans="1:19">
      <c r="A15" s="82" t="s">
        <v>98</v>
      </c>
      <c r="B15" s="53">
        <v>10</v>
      </c>
      <c r="C15" s="56" t="s">
        <v>99</v>
      </c>
      <c r="D15" s="70">
        <f>(ROUND(SUMIFS(Input!$I:$I,Input!$H:$H,'1.CC Transition risk-Banking b.'!$A15&amp;"*",Input!$E:$E,'1.CC Transition risk-Banking b.'!$D$63),0))/1000000</f>
        <v>0</v>
      </c>
      <c r="E15" s="70">
        <f>(ROUND(SUMIFS(Input!$I:$I,Input!$H:$H,'1.CC Transition risk-Banking b.'!$A15&amp;"*",Input!$E:$E,'1.CC Transition risk-Banking b.'!$E$63,Input!$F:$F,'1.CC Transition risk-Banking b.'!$E$64),0))/1000000</f>
        <v>0</v>
      </c>
      <c r="F15" s="70">
        <f>(ROUND(SUMIFS(Input!$P:$P,Input!$H:$H,'1.CC Transition risk-Banking b.'!$A15&amp;"*",Input!$E:$E,'1.CC Transition risk-Banking b.'!$E$63,Input!$O:$O,'1.CC Transition risk-Banking b.'!$F$63),0))/1000000</f>
        <v>0</v>
      </c>
      <c r="G15" s="70">
        <f>(ROUND(SUMIFS(Input!$I:$I,Input!$H:$H,'1.CC Transition risk-Banking b.'!$A15&amp;"*",Input!$E:$E,'1.CC Transition risk-Banking b.'!$G$63,Input!$C:$C,'1.CC Transition risk-Banking b.'!$G$64),0))/1000000</f>
        <v>0</v>
      </c>
      <c r="H15" s="70">
        <f>(ROUND(SUMIFS(Input!$I:$I,Input!$H:$H,'1.CC Transition risk-Banking b.'!$A15&amp;"*",Input!$E:$E,'1.CC Transition risk-Banking b.'!$H$63,Input!$C:$C,'1.CC Transition risk-Banking b.'!$H$64),0))/1000000</f>
        <v>0</v>
      </c>
      <c r="I15" s="70">
        <f>(ROUND(SUMIFS(Input!$I:$I,Input!$H:$H,'1.CC Transition risk-Banking b.'!$A15&amp;"*",Input!$E:$E,'1.CC Transition risk-Banking b.'!$I$63),0))/1000000</f>
        <v>0</v>
      </c>
      <c r="J15" s="70">
        <f>(ROUND(SUMIFS(Input!$I:$I,Input!$H:$H,'1.CC Transition risk-Banking b.'!$A15&amp;"*",Input!$E:$E,'1.CC Transition risk-Banking b.'!$J$63,Input!$C:$C,'1.CC Transition risk-Banking b.'!$J$64),0))/1000000</f>
        <v>0</v>
      </c>
      <c r="K15" s="70">
        <f>(ROUND(SUMIFS(Input!$I:$I,Input!$H:$H,'1.CC Transition risk-Banking b.'!$A15&amp;"*",Input!$E:$E,'1.CC Transition risk-Banking b.'!$K$63,Input!$C:$C,'1.CC Transition risk-Banking b.'!$K$64),0))/1000000</f>
        <v>0</v>
      </c>
      <c r="L15" s="71">
        <f>(ROUND(SUMIFS(Input!$J:$J,Input!$H:$H,'1.CC Transition risk-Banking b.'!$A15&amp;"*")
+ SUMIFS(Input!$L:$L,Input!$H:$H,'1.CC Transition risk-Banking b.'!$A15&amp;"*")
+SUMIFS(Input!$N:$N,Input!$H:$H,'1.CC Transition risk-Banking b.'!$A15&amp;"*"),0))/1</f>
        <v>0</v>
      </c>
      <c r="M15" s="71">
        <f>(ROUND(SUMIFS(Input!$N:$N,Input!$H:$H,'1.CC Transition risk-Banking b.'!$A15&amp;"*"),0))/1</f>
        <v>0</v>
      </c>
      <c r="N15" s="77">
        <f>IFERROR(AVERAGE(SUMIFS(Input!$I:$I,Input!$H:$H,'1.CC Transition risk-Banking b.'!$A15&amp;"*",Input!$R:$R,"SOUR1",Input!$E:$E,'1.CC Transition risk-Banking b.'!$O$63),
SUMIFS(Input!$I:$I,Input!$H:$H,'1.CC Transition risk-Banking b.'!$A15&amp;"*",Input!$S:$S,"SOUR1",Input!$E:$E,'1.CC Transition risk-Banking b.'!$O$63),
SUMIFS(Input!$I:$I,Input!$H:$H,'1.CC Transition risk-Banking b.'!$A15&amp;"*",Input!$T:$T,"SOUR1",Input!$E:$E,'1.CC Transition risk-Banking b.'!$O$63))/SUMIFS(Input!$I:$I,Input!$H:$H,'1.CC Transition risk-Banking b.'!$A15&amp;"*",Input!$E:$E,'1.CC Transition risk-Banking b.'!$O$63),0)</f>
        <v>0</v>
      </c>
      <c r="O15" s="72">
        <f>(ROUND(SUMIFS(Input!$I:$I,Input!$H:$H,'1.CC Transition risk-Banking b.'!$A15&amp;"*",Input!$E:$E,'1.CC Transition risk-Banking b.'!O$63,Input!$G:$G,"&gt;=0",Input!$G:$G,"&lt;=5")
+ SUMIFS(Input!$I:$I,Input!$H:$H,'1.CC Transition risk-Banking b.'!$A15&amp;"*",Input!$E:$E,'1.CC Transition risk-Banking b.'!O$63,Input!$G:$G,"-4")
+ SUMIFS(Input!$I:$I,Input!$H:$H,'1.CC Transition risk-Banking b.'!$A15&amp;"*",Input!$E:$E,'1.CC Transition risk-Banking b.'!O$63,Input!$G:$G,"-1"),0))/1000000</f>
        <v>0</v>
      </c>
      <c r="P15" s="72">
        <f>(ROUND(SUMIFS(Input!$I:$I,Input!$H:$H,'1.CC Transition risk-Banking b.'!$A15&amp;"*",Input!$E:$E,'1.CC Transition risk-Banking b.'!P$63,Input!$G:$G,"&gt;5",Input!$G:$G,"&lt;=10"),0))/1000000</f>
        <v>0</v>
      </c>
      <c r="Q15" s="72">
        <f>(ROUND(SUMIFS(Input!$I:$I,Input!$H:$H,'1.CC Transition risk-Banking b.'!$A15&amp;"*",Input!$E:$E,'1.CC Transition risk-Banking b.'!Q$63,Input!$G:$G,"&gt;10",Input!$G:$G,"&lt;=20"),0))/1000000</f>
        <v>0</v>
      </c>
      <c r="R15" s="72">
        <f>(ROUND(SUMIFS(Input!$I:$I,Input!$H:$H,'1.CC Transition risk-Banking b.'!$A15&amp;"*",Input!$E:$E,'1.CC Transition risk-Banking b.'!R$63,Input!$G:$G,"&gt;20")
+ SUMIFS(Input!$I:$I,Input!$H:$H,'1.CC Transition risk-Banking b.'!$A15&amp;"*",Input!$E:$E,'1.CC Transition risk-Banking b.'!R$63,Input!$G:$G,"-2")
+ SUMIFS(Input!$I:$I,Input!$H:$H,'1.CC Transition risk-Banking b.'!$A15&amp;"*",Input!$E:$E,'1.CC Transition risk-Banking b.'!R$63,Input!$G:$G,"-3"),0))/1000000</f>
        <v>0</v>
      </c>
      <c r="S15" s="73">
        <f>ROUND(IFERROR((SUMIFS(Input!$Q:$Q,Input!$H:$H,'1.CC Transition risk-Banking b.'!$A15&amp;"*",Input!$E:$E,'1.CC Transition risk-Banking b.'!S$63,Input!$G:$G,"&gt;0")/1000000)/'1.CC Transition risk-Banking b.'!$D15,0),0)</f>
        <v>0</v>
      </c>
    </row>
    <row r="16" spans="1:19">
      <c r="A16" s="82" t="s">
        <v>100</v>
      </c>
      <c r="B16" s="53">
        <v>11</v>
      </c>
      <c r="C16" s="56" t="s">
        <v>101</v>
      </c>
      <c r="D16" s="70">
        <f>(ROUND(SUMIFS(Input!$I:$I,Input!$H:$H,'1.CC Transition risk-Banking b.'!$A16&amp;"*",Input!$E:$E,'1.CC Transition risk-Banking b.'!$D$63),0))/1000000</f>
        <v>0</v>
      </c>
      <c r="E16" s="70">
        <f>(ROUND(SUMIFS(Input!$I:$I,Input!$H:$H,'1.CC Transition risk-Banking b.'!$A16&amp;"*",Input!$E:$E,'1.CC Transition risk-Banking b.'!$E$63,Input!$F:$F,'1.CC Transition risk-Banking b.'!$E$64),0))/1000000</f>
        <v>0</v>
      </c>
      <c r="F16" s="70">
        <f>(ROUND(SUMIFS(Input!$P:$P,Input!$H:$H,'1.CC Transition risk-Banking b.'!$A16&amp;"*",Input!$E:$E,'1.CC Transition risk-Banking b.'!$E$63,Input!$O:$O,'1.CC Transition risk-Banking b.'!$F$63),0))/1000000</f>
        <v>0</v>
      </c>
      <c r="G16" s="70">
        <f>(ROUND(SUMIFS(Input!$I:$I,Input!$H:$H,'1.CC Transition risk-Banking b.'!$A16&amp;"*",Input!$E:$E,'1.CC Transition risk-Banking b.'!$G$63,Input!$C:$C,'1.CC Transition risk-Banking b.'!$G$64),0))/1000000</f>
        <v>0</v>
      </c>
      <c r="H16" s="70">
        <f>(ROUND(SUMIFS(Input!$I:$I,Input!$H:$H,'1.CC Transition risk-Banking b.'!$A16&amp;"*",Input!$E:$E,'1.CC Transition risk-Banking b.'!$H$63,Input!$C:$C,'1.CC Transition risk-Banking b.'!$H$64),0))/1000000</f>
        <v>0</v>
      </c>
      <c r="I16" s="70">
        <f>(ROUND(SUMIFS(Input!$I:$I,Input!$H:$H,'1.CC Transition risk-Banking b.'!$A16&amp;"*",Input!$E:$E,'1.CC Transition risk-Banking b.'!$I$63),0))/1000000</f>
        <v>0</v>
      </c>
      <c r="J16" s="70">
        <f>(ROUND(SUMIFS(Input!$I:$I,Input!$H:$H,'1.CC Transition risk-Banking b.'!$A16&amp;"*",Input!$E:$E,'1.CC Transition risk-Banking b.'!$J$63,Input!$C:$C,'1.CC Transition risk-Banking b.'!$J$64),0))/1000000</f>
        <v>0</v>
      </c>
      <c r="K16" s="70">
        <f>(ROUND(SUMIFS(Input!$I:$I,Input!$H:$H,'1.CC Transition risk-Banking b.'!$A16&amp;"*",Input!$E:$E,'1.CC Transition risk-Banking b.'!$K$63,Input!$C:$C,'1.CC Transition risk-Banking b.'!$K$64),0))/1000000</f>
        <v>0</v>
      </c>
      <c r="L16" s="71">
        <f>(ROUND(SUMIFS(Input!$J:$J,Input!$H:$H,'1.CC Transition risk-Banking b.'!$A16&amp;"*")
+ SUMIFS(Input!$L:$L,Input!$H:$H,'1.CC Transition risk-Banking b.'!$A16&amp;"*")
+SUMIFS(Input!$N:$N,Input!$H:$H,'1.CC Transition risk-Banking b.'!$A16&amp;"*"),0))/1</f>
        <v>0</v>
      </c>
      <c r="M16" s="71">
        <f>(ROUND(SUMIFS(Input!$N:$N,Input!$H:$H,'1.CC Transition risk-Banking b.'!$A16&amp;"*"),0))/1</f>
        <v>0</v>
      </c>
      <c r="N16" s="77">
        <f>IFERROR(AVERAGE(SUMIFS(Input!$I:$I,Input!$H:$H,'1.CC Transition risk-Banking b.'!$A16&amp;"*",Input!$R:$R,"SOUR1",Input!$E:$E,'1.CC Transition risk-Banking b.'!$O$63),
SUMIFS(Input!$I:$I,Input!$H:$H,'1.CC Transition risk-Banking b.'!$A16&amp;"*",Input!$S:$S,"SOUR1",Input!$E:$E,'1.CC Transition risk-Banking b.'!$O$63),
SUMIFS(Input!$I:$I,Input!$H:$H,'1.CC Transition risk-Banking b.'!$A16&amp;"*",Input!$T:$T,"SOUR1",Input!$E:$E,'1.CC Transition risk-Banking b.'!$O$63))/SUMIFS(Input!$I:$I,Input!$H:$H,'1.CC Transition risk-Banking b.'!$A16&amp;"*",Input!$E:$E,'1.CC Transition risk-Banking b.'!$O$63),0)</f>
        <v>0</v>
      </c>
      <c r="O16" s="72">
        <f>(ROUND(SUMIFS(Input!$I:$I,Input!$H:$H,'1.CC Transition risk-Banking b.'!$A16&amp;"*",Input!$E:$E,'1.CC Transition risk-Banking b.'!O$63,Input!$G:$G,"&gt;=0",Input!$G:$G,"&lt;=5")
+ SUMIFS(Input!$I:$I,Input!$H:$H,'1.CC Transition risk-Banking b.'!$A16&amp;"*",Input!$E:$E,'1.CC Transition risk-Banking b.'!O$63,Input!$G:$G,"-4")
+ SUMIFS(Input!$I:$I,Input!$H:$H,'1.CC Transition risk-Banking b.'!$A16&amp;"*",Input!$E:$E,'1.CC Transition risk-Banking b.'!O$63,Input!$G:$G,"-1"),0))/1000000</f>
        <v>0</v>
      </c>
      <c r="P16" s="72">
        <f>(ROUND(SUMIFS(Input!$I:$I,Input!$H:$H,'1.CC Transition risk-Banking b.'!$A16&amp;"*",Input!$E:$E,'1.CC Transition risk-Banking b.'!P$63,Input!$G:$G,"&gt;5",Input!$G:$G,"&lt;=10"),0))/1000000</f>
        <v>0</v>
      </c>
      <c r="Q16" s="72">
        <f>(ROUND(SUMIFS(Input!$I:$I,Input!$H:$H,'1.CC Transition risk-Banking b.'!$A16&amp;"*",Input!$E:$E,'1.CC Transition risk-Banking b.'!Q$63,Input!$G:$G,"&gt;10",Input!$G:$G,"&lt;=20"),0))/1000000</f>
        <v>0</v>
      </c>
      <c r="R16" s="72">
        <f>(ROUND(SUMIFS(Input!$I:$I,Input!$H:$H,'1.CC Transition risk-Banking b.'!$A16&amp;"*",Input!$E:$E,'1.CC Transition risk-Banking b.'!R$63,Input!$G:$G,"&gt;20")
+ SUMIFS(Input!$I:$I,Input!$H:$H,'1.CC Transition risk-Banking b.'!$A16&amp;"*",Input!$E:$E,'1.CC Transition risk-Banking b.'!R$63,Input!$G:$G,"-2")
+ SUMIFS(Input!$I:$I,Input!$H:$H,'1.CC Transition risk-Banking b.'!$A16&amp;"*",Input!$E:$E,'1.CC Transition risk-Banking b.'!R$63,Input!$G:$G,"-3"),0))/1000000</f>
        <v>0</v>
      </c>
      <c r="S16" s="73">
        <f>ROUND(IFERROR((SUMIFS(Input!$Q:$Q,Input!$H:$H,'1.CC Transition risk-Banking b.'!$A16&amp;"*",Input!$E:$E,'1.CC Transition risk-Banking b.'!S$63,Input!$G:$G,"&gt;0")/1000000)/'1.CC Transition risk-Banking b.'!$D16,0),0)</f>
        <v>0</v>
      </c>
    </row>
    <row r="17" spans="1:19">
      <c r="A17" s="82" t="s">
        <v>102</v>
      </c>
      <c r="B17" s="53">
        <v>12</v>
      </c>
      <c r="C17" s="56" t="s">
        <v>103</v>
      </c>
      <c r="D17" s="70">
        <f>(ROUND(SUMIFS(Input!$I:$I,Input!$H:$H,'1.CC Transition risk-Banking b.'!$A17&amp;"*",Input!$E:$E,'1.CC Transition risk-Banking b.'!$D$63),0))/1000000</f>
        <v>0</v>
      </c>
      <c r="E17" s="70">
        <f>(ROUND(SUMIFS(Input!$I:$I,Input!$H:$H,'1.CC Transition risk-Banking b.'!$A17&amp;"*",Input!$E:$E,'1.CC Transition risk-Banking b.'!$E$63,Input!$F:$F,'1.CC Transition risk-Banking b.'!$E$64),0))/1000000</f>
        <v>0</v>
      </c>
      <c r="F17" s="70">
        <f>(ROUND(SUMIFS(Input!$P:$P,Input!$H:$H,'1.CC Transition risk-Banking b.'!$A17&amp;"*",Input!$E:$E,'1.CC Transition risk-Banking b.'!$E$63,Input!$O:$O,'1.CC Transition risk-Banking b.'!$F$63),0))/1000000</f>
        <v>0</v>
      </c>
      <c r="G17" s="70">
        <f>(ROUND(SUMIFS(Input!$I:$I,Input!$H:$H,'1.CC Transition risk-Banking b.'!$A17&amp;"*",Input!$E:$E,'1.CC Transition risk-Banking b.'!$G$63,Input!$C:$C,'1.CC Transition risk-Banking b.'!$G$64),0))/1000000</f>
        <v>0</v>
      </c>
      <c r="H17" s="70">
        <f>(ROUND(SUMIFS(Input!$I:$I,Input!$H:$H,'1.CC Transition risk-Banking b.'!$A17&amp;"*",Input!$E:$E,'1.CC Transition risk-Banking b.'!$H$63,Input!$C:$C,'1.CC Transition risk-Banking b.'!$H$64),0))/1000000</f>
        <v>0</v>
      </c>
      <c r="I17" s="70">
        <f>(ROUND(SUMIFS(Input!$I:$I,Input!$H:$H,'1.CC Transition risk-Banking b.'!$A17&amp;"*",Input!$E:$E,'1.CC Transition risk-Banking b.'!$I$63),0))/1000000</f>
        <v>0</v>
      </c>
      <c r="J17" s="70">
        <f>(ROUND(SUMIFS(Input!$I:$I,Input!$H:$H,'1.CC Transition risk-Banking b.'!$A17&amp;"*",Input!$E:$E,'1.CC Transition risk-Banking b.'!$J$63,Input!$C:$C,'1.CC Transition risk-Banking b.'!$J$64),0))/1000000</f>
        <v>0</v>
      </c>
      <c r="K17" s="70">
        <f>(ROUND(SUMIFS(Input!$I:$I,Input!$H:$H,'1.CC Transition risk-Banking b.'!$A17&amp;"*",Input!$E:$E,'1.CC Transition risk-Banking b.'!$K$63,Input!$C:$C,'1.CC Transition risk-Banking b.'!$K$64),0))/1000000</f>
        <v>0</v>
      </c>
      <c r="L17" s="71">
        <f>(ROUND(SUMIFS(Input!$J:$J,Input!$H:$H,'1.CC Transition risk-Banking b.'!$A17&amp;"*")
+ SUMIFS(Input!$L:$L,Input!$H:$H,'1.CC Transition risk-Banking b.'!$A17&amp;"*")
+SUMIFS(Input!$N:$N,Input!$H:$H,'1.CC Transition risk-Banking b.'!$A17&amp;"*"),0))/1</f>
        <v>0</v>
      </c>
      <c r="M17" s="71">
        <f>(ROUND(SUMIFS(Input!$N:$N,Input!$H:$H,'1.CC Transition risk-Banking b.'!$A17&amp;"*"),0))/1</f>
        <v>0</v>
      </c>
      <c r="N17" s="77">
        <f>IFERROR(AVERAGE(SUMIFS(Input!$I:$I,Input!$H:$H,'1.CC Transition risk-Banking b.'!$A17&amp;"*",Input!$R:$R,"SOUR1",Input!$E:$E,'1.CC Transition risk-Banking b.'!$O$63),
SUMIFS(Input!$I:$I,Input!$H:$H,'1.CC Transition risk-Banking b.'!$A17&amp;"*",Input!$S:$S,"SOUR1",Input!$E:$E,'1.CC Transition risk-Banking b.'!$O$63),
SUMIFS(Input!$I:$I,Input!$H:$H,'1.CC Transition risk-Banking b.'!$A17&amp;"*",Input!$T:$T,"SOUR1",Input!$E:$E,'1.CC Transition risk-Banking b.'!$O$63))/SUMIFS(Input!$I:$I,Input!$H:$H,'1.CC Transition risk-Banking b.'!$A17&amp;"*",Input!$E:$E,'1.CC Transition risk-Banking b.'!$O$63),0)</f>
        <v>0</v>
      </c>
      <c r="O17" s="72">
        <f>(ROUND(SUMIFS(Input!$I:$I,Input!$H:$H,'1.CC Transition risk-Banking b.'!$A17&amp;"*",Input!$E:$E,'1.CC Transition risk-Banking b.'!O$63,Input!$G:$G,"&gt;=0",Input!$G:$G,"&lt;=5")
+ SUMIFS(Input!$I:$I,Input!$H:$H,'1.CC Transition risk-Banking b.'!$A17&amp;"*",Input!$E:$E,'1.CC Transition risk-Banking b.'!O$63,Input!$G:$G,"-4")
+ SUMIFS(Input!$I:$I,Input!$H:$H,'1.CC Transition risk-Banking b.'!$A17&amp;"*",Input!$E:$E,'1.CC Transition risk-Banking b.'!O$63,Input!$G:$G,"-1"),0))/1000000</f>
        <v>0</v>
      </c>
      <c r="P17" s="72">
        <f>(ROUND(SUMIFS(Input!$I:$I,Input!$H:$H,'1.CC Transition risk-Banking b.'!$A17&amp;"*",Input!$E:$E,'1.CC Transition risk-Banking b.'!P$63,Input!$G:$G,"&gt;5",Input!$G:$G,"&lt;=10"),0))/1000000</f>
        <v>0</v>
      </c>
      <c r="Q17" s="72">
        <f>(ROUND(SUMIFS(Input!$I:$I,Input!$H:$H,'1.CC Transition risk-Banking b.'!$A17&amp;"*",Input!$E:$E,'1.CC Transition risk-Banking b.'!Q$63,Input!$G:$G,"&gt;10",Input!$G:$G,"&lt;=20"),0))/1000000</f>
        <v>0</v>
      </c>
      <c r="R17" s="72">
        <f>(ROUND(SUMIFS(Input!$I:$I,Input!$H:$H,'1.CC Transition risk-Banking b.'!$A17&amp;"*",Input!$E:$E,'1.CC Transition risk-Banking b.'!R$63,Input!$G:$G,"&gt;20")
+ SUMIFS(Input!$I:$I,Input!$H:$H,'1.CC Transition risk-Banking b.'!$A17&amp;"*",Input!$E:$E,'1.CC Transition risk-Banking b.'!R$63,Input!$G:$G,"-2")
+ SUMIFS(Input!$I:$I,Input!$H:$H,'1.CC Transition risk-Banking b.'!$A17&amp;"*",Input!$E:$E,'1.CC Transition risk-Banking b.'!R$63,Input!$G:$G,"-3"),0))/1000000</f>
        <v>0</v>
      </c>
      <c r="S17" s="73">
        <f>ROUND(IFERROR((SUMIFS(Input!$Q:$Q,Input!$H:$H,'1.CC Transition risk-Banking b.'!$A17&amp;"*",Input!$E:$E,'1.CC Transition risk-Banking b.'!S$63,Input!$G:$G,"&gt;0")/1000000)/'1.CC Transition risk-Banking b.'!$D17,0),0)</f>
        <v>0</v>
      </c>
    </row>
    <row r="18" spans="1:19">
      <c r="A18" s="82" t="s">
        <v>104</v>
      </c>
      <c r="B18" s="53">
        <v>13</v>
      </c>
      <c r="C18" s="56" t="s">
        <v>105</v>
      </c>
      <c r="D18" s="70">
        <f>(ROUND(SUMIFS(Input!$I:$I,Input!$H:$H,'1.CC Transition risk-Banking b.'!$A18&amp;"*",Input!$E:$E,'1.CC Transition risk-Banking b.'!$D$63),0))/1000000</f>
        <v>0</v>
      </c>
      <c r="E18" s="70">
        <f>(ROUND(SUMIFS(Input!$I:$I,Input!$H:$H,'1.CC Transition risk-Banking b.'!$A18&amp;"*",Input!$E:$E,'1.CC Transition risk-Banking b.'!$E$63,Input!$F:$F,'1.CC Transition risk-Banking b.'!$E$64),0))/1000000</f>
        <v>0</v>
      </c>
      <c r="F18" s="70">
        <f>(ROUND(SUMIFS(Input!$P:$P,Input!$H:$H,'1.CC Transition risk-Banking b.'!$A18&amp;"*",Input!$E:$E,'1.CC Transition risk-Banking b.'!$E$63,Input!$O:$O,'1.CC Transition risk-Banking b.'!$F$63),0))/1000000</f>
        <v>0</v>
      </c>
      <c r="G18" s="70">
        <f>(ROUND(SUMIFS(Input!$I:$I,Input!$H:$H,'1.CC Transition risk-Banking b.'!$A18&amp;"*",Input!$E:$E,'1.CC Transition risk-Banking b.'!$G$63,Input!$C:$C,'1.CC Transition risk-Banking b.'!$G$64),0))/1000000</f>
        <v>0</v>
      </c>
      <c r="H18" s="70">
        <f>(ROUND(SUMIFS(Input!$I:$I,Input!$H:$H,'1.CC Transition risk-Banking b.'!$A18&amp;"*",Input!$E:$E,'1.CC Transition risk-Banking b.'!$H$63,Input!$C:$C,'1.CC Transition risk-Banking b.'!$H$64),0))/1000000</f>
        <v>0</v>
      </c>
      <c r="I18" s="70">
        <f>(ROUND(SUMIFS(Input!$I:$I,Input!$H:$H,'1.CC Transition risk-Banking b.'!$A18&amp;"*",Input!$E:$E,'1.CC Transition risk-Banking b.'!$I$63),0))/1000000</f>
        <v>0</v>
      </c>
      <c r="J18" s="70">
        <f>(ROUND(SUMIFS(Input!$I:$I,Input!$H:$H,'1.CC Transition risk-Banking b.'!$A18&amp;"*",Input!$E:$E,'1.CC Transition risk-Banking b.'!$J$63,Input!$C:$C,'1.CC Transition risk-Banking b.'!$J$64),0))/1000000</f>
        <v>0</v>
      </c>
      <c r="K18" s="70">
        <f>(ROUND(SUMIFS(Input!$I:$I,Input!$H:$H,'1.CC Transition risk-Banking b.'!$A18&amp;"*",Input!$E:$E,'1.CC Transition risk-Banking b.'!$K$63,Input!$C:$C,'1.CC Transition risk-Banking b.'!$K$64),0))/1000000</f>
        <v>0</v>
      </c>
      <c r="L18" s="71">
        <f>(ROUND(SUMIFS(Input!$J:$J,Input!$H:$H,'1.CC Transition risk-Banking b.'!$A18&amp;"*")
+ SUMIFS(Input!$L:$L,Input!$H:$H,'1.CC Transition risk-Banking b.'!$A18&amp;"*")
+SUMIFS(Input!$N:$N,Input!$H:$H,'1.CC Transition risk-Banking b.'!$A18&amp;"*"),0))/1</f>
        <v>0</v>
      </c>
      <c r="M18" s="71">
        <f>(ROUND(SUMIFS(Input!$N:$N,Input!$H:$H,'1.CC Transition risk-Banking b.'!$A18&amp;"*"),0))/1</f>
        <v>0</v>
      </c>
      <c r="N18" s="77">
        <f>IFERROR(AVERAGE(SUMIFS(Input!$I:$I,Input!$H:$H,'1.CC Transition risk-Banking b.'!$A18&amp;"*",Input!$R:$R,"SOUR1",Input!$E:$E,'1.CC Transition risk-Banking b.'!$O$63),
SUMIFS(Input!$I:$I,Input!$H:$H,'1.CC Transition risk-Banking b.'!$A18&amp;"*",Input!$S:$S,"SOUR1",Input!$E:$E,'1.CC Transition risk-Banking b.'!$O$63),
SUMIFS(Input!$I:$I,Input!$H:$H,'1.CC Transition risk-Banking b.'!$A18&amp;"*",Input!$T:$T,"SOUR1",Input!$E:$E,'1.CC Transition risk-Banking b.'!$O$63))/SUMIFS(Input!$I:$I,Input!$H:$H,'1.CC Transition risk-Banking b.'!$A18&amp;"*",Input!$E:$E,'1.CC Transition risk-Banking b.'!$O$63),0)</f>
        <v>0</v>
      </c>
      <c r="O18" s="72">
        <f>(ROUND(SUMIFS(Input!$I:$I,Input!$H:$H,'1.CC Transition risk-Banking b.'!$A18&amp;"*",Input!$E:$E,'1.CC Transition risk-Banking b.'!O$63,Input!$G:$G,"&gt;=0",Input!$G:$G,"&lt;=5")
+ SUMIFS(Input!$I:$I,Input!$H:$H,'1.CC Transition risk-Banking b.'!$A18&amp;"*",Input!$E:$E,'1.CC Transition risk-Banking b.'!O$63,Input!$G:$G,"-4")
+ SUMIFS(Input!$I:$I,Input!$H:$H,'1.CC Transition risk-Banking b.'!$A18&amp;"*",Input!$E:$E,'1.CC Transition risk-Banking b.'!O$63,Input!$G:$G,"-1"),0))/1000000</f>
        <v>0</v>
      </c>
      <c r="P18" s="72">
        <f>(ROUND(SUMIFS(Input!$I:$I,Input!$H:$H,'1.CC Transition risk-Banking b.'!$A18&amp;"*",Input!$E:$E,'1.CC Transition risk-Banking b.'!P$63,Input!$G:$G,"&gt;5",Input!$G:$G,"&lt;=10"),0))/1000000</f>
        <v>0</v>
      </c>
      <c r="Q18" s="72">
        <f>(ROUND(SUMIFS(Input!$I:$I,Input!$H:$H,'1.CC Transition risk-Banking b.'!$A18&amp;"*",Input!$E:$E,'1.CC Transition risk-Banking b.'!Q$63,Input!$G:$G,"&gt;10",Input!$G:$G,"&lt;=20"),0))/1000000</f>
        <v>0</v>
      </c>
      <c r="R18" s="72">
        <f>(ROUND(SUMIFS(Input!$I:$I,Input!$H:$H,'1.CC Transition risk-Banking b.'!$A18&amp;"*",Input!$E:$E,'1.CC Transition risk-Banking b.'!R$63,Input!$G:$G,"&gt;20")
+ SUMIFS(Input!$I:$I,Input!$H:$H,'1.CC Transition risk-Banking b.'!$A18&amp;"*",Input!$E:$E,'1.CC Transition risk-Banking b.'!R$63,Input!$G:$G,"-2")
+ SUMIFS(Input!$I:$I,Input!$H:$H,'1.CC Transition risk-Banking b.'!$A18&amp;"*",Input!$E:$E,'1.CC Transition risk-Banking b.'!R$63,Input!$G:$G,"-3"),0))/1000000</f>
        <v>0</v>
      </c>
      <c r="S18" s="73">
        <f>ROUND(IFERROR((SUMIFS(Input!$Q:$Q,Input!$H:$H,'1.CC Transition risk-Banking b.'!$A18&amp;"*",Input!$E:$E,'1.CC Transition risk-Banking b.'!S$63,Input!$G:$G,"&gt;0")/1000000)/'1.CC Transition risk-Banking b.'!$D18,0),0)</f>
        <v>0</v>
      </c>
    </row>
    <row r="19" spans="1:19">
      <c r="A19" s="82" t="s">
        <v>106</v>
      </c>
      <c r="B19" s="53">
        <v>14</v>
      </c>
      <c r="C19" s="56" t="s">
        <v>107</v>
      </c>
      <c r="D19" s="70">
        <f>(ROUND(SUMIFS(Input!$I:$I,Input!$H:$H,'1.CC Transition risk-Banking b.'!$A19&amp;"*",Input!$E:$E,'1.CC Transition risk-Banking b.'!$D$63),0))/1000000</f>
        <v>0</v>
      </c>
      <c r="E19" s="70">
        <f>(ROUND(SUMIFS(Input!$I:$I,Input!$H:$H,'1.CC Transition risk-Banking b.'!$A19&amp;"*",Input!$E:$E,'1.CC Transition risk-Banking b.'!$E$63,Input!$F:$F,'1.CC Transition risk-Banking b.'!$E$64),0))/1000000</f>
        <v>0</v>
      </c>
      <c r="F19" s="70">
        <f>(ROUND(SUMIFS(Input!$P:$P,Input!$H:$H,'1.CC Transition risk-Banking b.'!$A19&amp;"*",Input!$E:$E,'1.CC Transition risk-Banking b.'!$E$63,Input!$O:$O,'1.CC Transition risk-Banking b.'!$F$63),0))/1000000</f>
        <v>0</v>
      </c>
      <c r="G19" s="70">
        <f>(ROUND(SUMIFS(Input!$I:$I,Input!$H:$H,'1.CC Transition risk-Banking b.'!$A19&amp;"*",Input!$E:$E,'1.CC Transition risk-Banking b.'!$G$63,Input!$C:$C,'1.CC Transition risk-Banking b.'!$G$64),0))/1000000</f>
        <v>0</v>
      </c>
      <c r="H19" s="70">
        <f>(ROUND(SUMIFS(Input!$I:$I,Input!$H:$H,'1.CC Transition risk-Banking b.'!$A19&amp;"*",Input!$E:$E,'1.CC Transition risk-Banking b.'!$H$63,Input!$C:$C,'1.CC Transition risk-Banking b.'!$H$64),0))/1000000</f>
        <v>0</v>
      </c>
      <c r="I19" s="70">
        <f>(ROUND(SUMIFS(Input!$I:$I,Input!$H:$H,'1.CC Transition risk-Banking b.'!$A19&amp;"*",Input!$E:$E,'1.CC Transition risk-Banking b.'!$I$63),0))/1000000</f>
        <v>0</v>
      </c>
      <c r="J19" s="70">
        <f>(ROUND(SUMIFS(Input!$I:$I,Input!$H:$H,'1.CC Transition risk-Banking b.'!$A19&amp;"*",Input!$E:$E,'1.CC Transition risk-Banking b.'!$J$63,Input!$C:$C,'1.CC Transition risk-Banking b.'!$J$64),0))/1000000</f>
        <v>0</v>
      </c>
      <c r="K19" s="70">
        <f>(ROUND(SUMIFS(Input!$I:$I,Input!$H:$H,'1.CC Transition risk-Banking b.'!$A19&amp;"*",Input!$E:$E,'1.CC Transition risk-Banking b.'!$K$63,Input!$C:$C,'1.CC Transition risk-Banking b.'!$K$64),0))/1000000</f>
        <v>0</v>
      </c>
      <c r="L19" s="71">
        <f>(ROUND(SUMIFS(Input!$J:$J,Input!$H:$H,'1.CC Transition risk-Banking b.'!$A19&amp;"*")
+ SUMIFS(Input!$L:$L,Input!$H:$H,'1.CC Transition risk-Banking b.'!$A19&amp;"*")
+SUMIFS(Input!$N:$N,Input!$H:$H,'1.CC Transition risk-Banking b.'!$A19&amp;"*"),0))/1</f>
        <v>0</v>
      </c>
      <c r="M19" s="71">
        <f>(ROUND(SUMIFS(Input!$N:$N,Input!$H:$H,'1.CC Transition risk-Banking b.'!$A19&amp;"*"),0))/1</f>
        <v>0</v>
      </c>
      <c r="N19" s="77">
        <f>IFERROR(AVERAGE(SUMIFS(Input!$I:$I,Input!$H:$H,'1.CC Transition risk-Banking b.'!$A19&amp;"*",Input!$R:$R,"SOUR1",Input!$E:$E,'1.CC Transition risk-Banking b.'!$O$63),
SUMIFS(Input!$I:$I,Input!$H:$H,'1.CC Transition risk-Banking b.'!$A19&amp;"*",Input!$S:$S,"SOUR1",Input!$E:$E,'1.CC Transition risk-Banking b.'!$O$63),
SUMIFS(Input!$I:$I,Input!$H:$H,'1.CC Transition risk-Banking b.'!$A19&amp;"*",Input!$T:$T,"SOUR1",Input!$E:$E,'1.CC Transition risk-Banking b.'!$O$63))/SUMIFS(Input!$I:$I,Input!$H:$H,'1.CC Transition risk-Banking b.'!$A19&amp;"*",Input!$E:$E,'1.CC Transition risk-Banking b.'!$O$63),0)</f>
        <v>0</v>
      </c>
      <c r="O19" s="72">
        <f>(ROUND(SUMIFS(Input!$I:$I,Input!$H:$H,'1.CC Transition risk-Banking b.'!$A19&amp;"*",Input!$E:$E,'1.CC Transition risk-Banking b.'!O$63,Input!$G:$G,"&gt;=0",Input!$G:$G,"&lt;=5")
+ SUMIFS(Input!$I:$I,Input!$H:$H,'1.CC Transition risk-Banking b.'!$A19&amp;"*",Input!$E:$E,'1.CC Transition risk-Banking b.'!O$63,Input!$G:$G,"-4")
+ SUMIFS(Input!$I:$I,Input!$H:$H,'1.CC Transition risk-Banking b.'!$A19&amp;"*",Input!$E:$E,'1.CC Transition risk-Banking b.'!O$63,Input!$G:$G,"-1"),0))/1000000</f>
        <v>0</v>
      </c>
      <c r="P19" s="72">
        <f>(ROUND(SUMIFS(Input!$I:$I,Input!$H:$H,'1.CC Transition risk-Banking b.'!$A19&amp;"*",Input!$E:$E,'1.CC Transition risk-Banking b.'!P$63,Input!$G:$G,"&gt;5",Input!$G:$G,"&lt;=10"),0))/1000000</f>
        <v>0</v>
      </c>
      <c r="Q19" s="72">
        <f>(ROUND(SUMIFS(Input!$I:$I,Input!$H:$H,'1.CC Transition risk-Banking b.'!$A19&amp;"*",Input!$E:$E,'1.CC Transition risk-Banking b.'!Q$63,Input!$G:$G,"&gt;10",Input!$G:$G,"&lt;=20"),0))/1000000</f>
        <v>0</v>
      </c>
      <c r="R19" s="72">
        <f>(ROUND(SUMIFS(Input!$I:$I,Input!$H:$H,'1.CC Transition risk-Banking b.'!$A19&amp;"*",Input!$E:$E,'1.CC Transition risk-Banking b.'!R$63,Input!$G:$G,"&gt;20")
+ SUMIFS(Input!$I:$I,Input!$H:$H,'1.CC Transition risk-Banking b.'!$A19&amp;"*",Input!$E:$E,'1.CC Transition risk-Banking b.'!R$63,Input!$G:$G,"-2")
+ SUMIFS(Input!$I:$I,Input!$H:$H,'1.CC Transition risk-Banking b.'!$A19&amp;"*",Input!$E:$E,'1.CC Transition risk-Banking b.'!R$63,Input!$G:$G,"-3"),0))/1000000</f>
        <v>0</v>
      </c>
      <c r="S19" s="73">
        <f>ROUND(IFERROR((SUMIFS(Input!$Q:$Q,Input!$H:$H,'1.CC Transition risk-Banking b.'!$A19&amp;"*",Input!$E:$E,'1.CC Transition risk-Banking b.'!S$63,Input!$G:$G,"&gt;0")/1000000)/'1.CC Transition risk-Banking b.'!$D19,0),0)</f>
        <v>0</v>
      </c>
    </row>
    <row r="20" spans="1:19">
      <c r="A20" s="82" t="s">
        <v>108</v>
      </c>
      <c r="B20" s="53">
        <v>15</v>
      </c>
      <c r="C20" s="56" t="s">
        <v>109</v>
      </c>
      <c r="D20" s="70">
        <f>(ROUND(SUMIFS(Input!$I:$I,Input!$H:$H,'1.CC Transition risk-Banking b.'!$A20&amp;"*",Input!$E:$E,'1.CC Transition risk-Banking b.'!$D$63),0))/1000000</f>
        <v>0</v>
      </c>
      <c r="E20" s="70">
        <f>(ROUND(SUMIFS(Input!$I:$I,Input!$H:$H,'1.CC Transition risk-Banking b.'!$A20&amp;"*",Input!$E:$E,'1.CC Transition risk-Banking b.'!$E$63,Input!$F:$F,'1.CC Transition risk-Banking b.'!$E$64),0))/1000000</f>
        <v>0</v>
      </c>
      <c r="F20" s="70">
        <f>(ROUND(SUMIFS(Input!$P:$P,Input!$H:$H,'1.CC Transition risk-Banking b.'!$A20&amp;"*",Input!$E:$E,'1.CC Transition risk-Banking b.'!$E$63,Input!$O:$O,'1.CC Transition risk-Banking b.'!$F$63),0))/1000000</f>
        <v>0</v>
      </c>
      <c r="G20" s="70">
        <f>(ROUND(SUMIFS(Input!$I:$I,Input!$H:$H,'1.CC Transition risk-Banking b.'!$A20&amp;"*",Input!$E:$E,'1.CC Transition risk-Banking b.'!$G$63,Input!$C:$C,'1.CC Transition risk-Banking b.'!$G$64),0))/1000000</f>
        <v>0</v>
      </c>
      <c r="H20" s="70">
        <f>(ROUND(SUMIFS(Input!$I:$I,Input!$H:$H,'1.CC Transition risk-Banking b.'!$A20&amp;"*",Input!$E:$E,'1.CC Transition risk-Banking b.'!$H$63,Input!$C:$C,'1.CC Transition risk-Banking b.'!$H$64),0))/1000000</f>
        <v>0</v>
      </c>
      <c r="I20" s="70">
        <f>(ROUND(SUMIFS(Input!$I:$I,Input!$H:$H,'1.CC Transition risk-Banking b.'!$A20&amp;"*",Input!$E:$E,'1.CC Transition risk-Banking b.'!$I$63),0))/1000000</f>
        <v>0</v>
      </c>
      <c r="J20" s="70">
        <f>(ROUND(SUMIFS(Input!$I:$I,Input!$H:$H,'1.CC Transition risk-Banking b.'!$A20&amp;"*",Input!$E:$E,'1.CC Transition risk-Banking b.'!$J$63,Input!$C:$C,'1.CC Transition risk-Banking b.'!$J$64),0))/1000000</f>
        <v>0</v>
      </c>
      <c r="K20" s="70">
        <f>(ROUND(SUMIFS(Input!$I:$I,Input!$H:$H,'1.CC Transition risk-Banking b.'!$A20&amp;"*",Input!$E:$E,'1.CC Transition risk-Banking b.'!$K$63,Input!$C:$C,'1.CC Transition risk-Banking b.'!$K$64),0))/1000000</f>
        <v>0</v>
      </c>
      <c r="L20" s="71">
        <f>(ROUND(SUMIFS(Input!$J:$J,Input!$H:$H,'1.CC Transition risk-Banking b.'!$A20&amp;"*")
+ SUMIFS(Input!$L:$L,Input!$H:$H,'1.CC Transition risk-Banking b.'!$A20&amp;"*")
+SUMIFS(Input!$N:$N,Input!$H:$H,'1.CC Transition risk-Banking b.'!$A20&amp;"*"),0))/1</f>
        <v>0</v>
      </c>
      <c r="M20" s="71">
        <f>(ROUND(SUMIFS(Input!$N:$N,Input!$H:$H,'1.CC Transition risk-Banking b.'!$A20&amp;"*"),0))/1</f>
        <v>0</v>
      </c>
      <c r="N20" s="77">
        <f>IFERROR(AVERAGE(SUMIFS(Input!$I:$I,Input!$H:$H,'1.CC Transition risk-Banking b.'!$A20&amp;"*",Input!$R:$R,"SOUR1",Input!$E:$E,'1.CC Transition risk-Banking b.'!$O$63),
SUMIFS(Input!$I:$I,Input!$H:$H,'1.CC Transition risk-Banking b.'!$A20&amp;"*",Input!$S:$S,"SOUR1",Input!$E:$E,'1.CC Transition risk-Banking b.'!$O$63),
SUMIFS(Input!$I:$I,Input!$H:$H,'1.CC Transition risk-Banking b.'!$A20&amp;"*",Input!$T:$T,"SOUR1",Input!$E:$E,'1.CC Transition risk-Banking b.'!$O$63))/SUMIFS(Input!$I:$I,Input!$H:$H,'1.CC Transition risk-Banking b.'!$A20&amp;"*",Input!$E:$E,'1.CC Transition risk-Banking b.'!$O$63),0)</f>
        <v>0</v>
      </c>
      <c r="O20" s="72">
        <f>(ROUND(SUMIFS(Input!$I:$I,Input!$H:$H,'1.CC Transition risk-Banking b.'!$A20&amp;"*",Input!$E:$E,'1.CC Transition risk-Banking b.'!O$63,Input!$G:$G,"&gt;=0",Input!$G:$G,"&lt;=5")
+ SUMIFS(Input!$I:$I,Input!$H:$H,'1.CC Transition risk-Banking b.'!$A20&amp;"*",Input!$E:$E,'1.CC Transition risk-Banking b.'!O$63,Input!$G:$G,"-4")
+ SUMIFS(Input!$I:$I,Input!$H:$H,'1.CC Transition risk-Banking b.'!$A20&amp;"*",Input!$E:$E,'1.CC Transition risk-Banking b.'!O$63,Input!$G:$G,"-1"),0))/1000000</f>
        <v>0</v>
      </c>
      <c r="P20" s="72">
        <f>(ROUND(SUMIFS(Input!$I:$I,Input!$H:$H,'1.CC Transition risk-Banking b.'!$A20&amp;"*",Input!$E:$E,'1.CC Transition risk-Banking b.'!P$63,Input!$G:$G,"&gt;5",Input!$G:$G,"&lt;=10"),0))/1000000</f>
        <v>0</v>
      </c>
      <c r="Q20" s="72">
        <f>(ROUND(SUMIFS(Input!$I:$I,Input!$H:$H,'1.CC Transition risk-Banking b.'!$A20&amp;"*",Input!$E:$E,'1.CC Transition risk-Banking b.'!Q$63,Input!$G:$G,"&gt;10",Input!$G:$G,"&lt;=20"),0))/1000000</f>
        <v>0</v>
      </c>
      <c r="R20" s="72">
        <f>(ROUND(SUMIFS(Input!$I:$I,Input!$H:$H,'1.CC Transition risk-Banking b.'!$A20&amp;"*",Input!$E:$E,'1.CC Transition risk-Banking b.'!R$63,Input!$G:$G,"&gt;20")
+ SUMIFS(Input!$I:$I,Input!$H:$H,'1.CC Transition risk-Banking b.'!$A20&amp;"*",Input!$E:$E,'1.CC Transition risk-Banking b.'!R$63,Input!$G:$G,"-2")
+ SUMIFS(Input!$I:$I,Input!$H:$H,'1.CC Transition risk-Banking b.'!$A20&amp;"*",Input!$E:$E,'1.CC Transition risk-Banking b.'!R$63,Input!$G:$G,"-3"),0))/1000000</f>
        <v>0</v>
      </c>
      <c r="S20" s="73">
        <f>ROUND(IFERROR((SUMIFS(Input!$Q:$Q,Input!$H:$H,'1.CC Transition risk-Banking b.'!$A20&amp;"*",Input!$E:$E,'1.CC Transition risk-Banking b.'!S$63,Input!$G:$G,"&gt;0")/1000000)/'1.CC Transition risk-Banking b.'!$D20,0),0)</f>
        <v>0</v>
      </c>
    </row>
    <row r="21" spans="1:19">
      <c r="A21" s="82" t="s">
        <v>110</v>
      </c>
      <c r="B21" s="53">
        <v>16</v>
      </c>
      <c r="C21" s="56" t="s">
        <v>111</v>
      </c>
      <c r="D21" s="70">
        <f>(ROUND(SUMIFS(Input!$I:$I,Input!$H:$H,'1.CC Transition risk-Banking b.'!$A21&amp;"*",Input!$E:$E,'1.CC Transition risk-Banking b.'!$D$63),0))/1000000</f>
        <v>0</v>
      </c>
      <c r="E21" s="70">
        <f>(ROUND(SUMIFS(Input!$I:$I,Input!$H:$H,'1.CC Transition risk-Banking b.'!$A21&amp;"*",Input!$E:$E,'1.CC Transition risk-Banking b.'!$E$63,Input!$F:$F,'1.CC Transition risk-Banking b.'!$E$64),0))/1000000</f>
        <v>0</v>
      </c>
      <c r="F21" s="70">
        <f>(ROUND(SUMIFS(Input!$P:$P,Input!$H:$H,'1.CC Transition risk-Banking b.'!$A21&amp;"*",Input!$E:$E,'1.CC Transition risk-Banking b.'!$E$63,Input!$O:$O,'1.CC Transition risk-Banking b.'!$F$63),0))/1000000</f>
        <v>0</v>
      </c>
      <c r="G21" s="70">
        <f>(ROUND(SUMIFS(Input!$I:$I,Input!$H:$H,'1.CC Transition risk-Banking b.'!$A21&amp;"*",Input!$E:$E,'1.CC Transition risk-Banking b.'!$G$63,Input!$C:$C,'1.CC Transition risk-Banking b.'!$G$64),0))/1000000</f>
        <v>0</v>
      </c>
      <c r="H21" s="70">
        <f>(ROUND(SUMIFS(Input!$I:$I,Input!$H:$H,'1.CC Transition risk-Banking b.'!$A21&amp;"*",Input!$E:$E,'1.CC Transition risk-Banking b.'!$H$63,Input!$C:$C,'1.CC Transition risk-Banking b.'!$H$64),0))/1000000</f>
        <v>0</v>
      </c>
      <c r="I21" s="70">
        <f>(ROUND(SUMIFS(Input!$I:$I,Input!$H:$H,'1.CC Transition risk-Banking b.'!$A21&amp;"*",Input!$E:$E,'1.CC Transition risk-Banking b.'!$I$63),0))/1000000</f>
        <v>0</v>
      </c>
      <c r="J21" s="70">
        <f>(ROUND(SUMIFS(Input!$I:$I,Input!$H:$H,'1.CC Transition risk-Banking b.'!$A21&amp;"*",Input!$E:$E,'1.CC Transition risk-Banking b.'!$J$63,Input!$C:$C,'1.CC Transition risk-Banking b.'!$J$64),0))/1000000</f>
        <v>0</v>
      </c>
      <c r="K21" s="70">
        <f>(ROUND(SUMIFS(Input!$I:$I,Input!$H:$H,'1.CC Transition risk-Banking b.'!$A21&amp;"*",Input!$E:$E,'1.CC Transition risk-Banking b.'!$K$63,Input!$C:$C,'1.CC Transition risk-Banking b.'!$K$64),0))/1000000</f>
        <v>0</v>
      </c>
      <c r="L21" s="71">
        <f>(ROUND(SUMIFS(Input!$J:$J,Input!$H:$H,'1.CC Transition risk-Banking b.'!$A21&amp;"*")
+ SUMIFS(Input!$L:$L,Input!$H:$H,'1.CC Transition risk-Banking b.'!$A21&amp;"*")
+SUMIFS(Input!$N:$N,Input!$H:$H,'1.CC Transition risk-Banking b.'!$A21&amp;"*"),0))/1</f>
        <v>0</v>
      </c>
      <c r="M21" s="71">
        <f>(ROUND(SUMIFS(Input!$N:$N,Input!$H:$H,'1.CC Transition risk-Banking b.'!$A21&amp;"*"),0))/1</f>
        <v>0</v>
      </c>
      <c r="N21" s="77">
        <f>IFERROR(AVERAGE(SUMIFS(Input!$I:$I,Input!$H:$H,'1.CC Transition risk-Banking b.'!$A21&amp;"*",Input!$R:$R,"SOUR1",Input!$E:$E,'1.CC Transition risk-Banking b.'!$O$63),
SUMIFS(Input!$I:$I,Input!$H:$H,'1.CC Transition risk-Banking b.'!$A21&amp;"*",Input!$S:$S,"SOUR1",Input!$E:$E,'1.CC Transition risk-Banking b.'!$O$63),
SUMIFS(Input!$I:$I,Input!$H:$H,'1.CC Transition risk-Banking b.'!$A21&amp;"*",Input!$T:$T,"SOUR1",Input!$E:$E,'1.CC Transition risk-Banking b.'!$O$63))/SUMIFS(Input!$I:$I,Input!$H:$H,'1.CC Transition risk-Banking b.'!$A21&amp;"*",Input!$E:$E,'1.CC Transition risk-Banking b.'!$O$63),0)</f>
        <v>0</v>
      </c>
      <c r="O21" s="72">
        <f>(ROUND(SUMIFS(Input!$I:$I,Input!$H:$H,'1.CC Transition risk-Banking b.'!$A21&amp;"*",Input!$E:$E,'1.CC Transition risk-Banking b.'!O$63,Input!$G:$G,"&gt;=0",Input!$G:$G,"&lt;=5")
+ SUMIFS(Input!$I:$I,Input!$H:$H,'1.CC Transition risk-Banking b.'!$A21&amp;"*",Input!$E:$E,'1.CC Transition risk-Banking b.'!O$63,Input!$G:$G,"-4")
+ SUMIFS(Input!$I:$I,Input!$H:$H,'1.CC Transition risk-Banking b.'!$A21&amp;"*",Input!$E:$E,'1.CC Transition risk-Banking b.'!O$63,Input!$G:$G,"-1"),0))/1000000</f>
        <v>0</v>
      </c>
      <c r="P21" s="72">
        <f>(ROUND(SUMIFS(Input!$I:$I,Input!$H:$H,'1.CC Transition risk-Banking b.'!$A21&amp;"*",Input!$E:$E,'1.CC Transition risk-Banking b.'!P$63,Input!$G:$G,"&gt;5",Input!$G:$G,"&lt;=10"),0))/1000000</f>
        <v>0</v>
      </c>
      <c r="Q21" s="72">
        <f>(ROUND(SUMIFS(Input!$I:$I,Input!$H:$H,'1.CC Transition risk-Banking b.'!$A21&amp;"*",Input!$E:$E,'1.CC Transition risk-Banking b.'!Q$63,Input!$G:$G,"&gt;10",Input!$G:$G,"&lt;=20"),0))/1000000</f>
        <v>0</v>
      </c>
      <c r="R21" s="72">
        <f>(ROUND(SUMIFS(Input!$I:$I,Input!$H:$H,'1.CC Transition risk-Banking b.'!$A21&amp;"*",Input!$E:$E,'1.CC Transition risk-Banking b.'!R$63,Input!$G:$G,"&gt;20")
+ SUMIFS(Input!$I:$I,Input!$H:$H,'1.CC Transition risk-Banking b.'!$A21&amp;"*",Input!$E:$E,'1.CC Transition risk-Banking b.'!R$63,Input!$G:$G,"-2")
+ SUMIFS(Input!$I:$I,Input!$H:$H,'1.CC Transition risk-Banking b.'!$A21&amp;"*",Input!$E:$E,'1.CC Transition risk-Banking b.'!R$63,Input!$G:$G,"-3"),0))/1000000</f>
        <v>0</v>
      </c>
      <c r="S21" s="73">
        <f>ROUND(IFERROR((SUMIFS(Input!$Q:$Q,Input!$H:$H,'1.CC Transition risk-Banking b.'!$A21&amp;"*",Input!$E:$E,'1.CC Transition risk-Banking b.'!S$63,Input!$G:$G,"&gt;0")/1000000)/'1.CC Transition risk-Banking b.'!$D21,0),0)</f>
        <v>0</v>
      </c>
    </row>
    <row r="22" spans="1:19">
      <c r="A22" s="82" t="s">
        <v>112</v>
      </c>
      <c r="B22" s="53">
        <v>17</v>
      </c>
      <c r="C22" s="56" t="s">
        <v>113</v>
      </c>
      <c r="D22" s="70">
        <f>(ROUND(SUMIFS(Input!$I:$I,Input!$H:$H,'1.CC Transition risk-Banking b.'!$A22&amp;"*",Input!$E:$E,'1.CC Transition risk-Banking b.'!$D$63),0))/1000000</f>
        <v>0</v>
      </c>
      <c r="E22" s="70">
        <f>(ROUND(SUMIFS(Input!$I:$I,Input!$H:$H,'1.CC Transition risk-Banking b.'!$A22&amp;"*",Input!$E:$E,'1.CC Transition risk-Banking b.'!$E$63,Input!$F:$F,'1.CC Transition risk-Banking b.'!$E$64),0))/1000000</f>
        <v>0</v>
      </c>
      <c r="F22" s="70">
        <f>(ROUND(SUMIFS(Input!$P:$P,Input!$H:$H,'1.CC Transition risk-Banking b.'!$A22&amp;"*",Input!$E:$E,'1.CC Transition risk-Banking b.'!$E$63,Input!$O:$O,'1.CC Transition risk-Banking b.'!$F$63),0))/1000000</f>
        <v>0</v>
      </c>
      <c r="G22" s="70">
        <f>(ROUND(SUMIFS(Input!$I:$I,Input!$H:$H,'1.CC Transition risk-Banking b.'!$A22&amp;"*",Input!$E:$E,'1.CC Transition risk-Banking b.'!$G$63,Input!$C:$C,'1.CC Transition risk-Banking b.'!$G$64),0))/1000000</f>
        <v>0</v>
      </c>
      <c r="H22" s="70">
        <f>(ROUND(SUMIFS(Input!$I:$I,Input!$H:$H,'1.CC Transition risk-Banking b.'!$A22&amp;"*",Input!$E:$E,'1.CC Transition risk-Banking b.'!$H$63,Input!$C:$C,'1.CC Transition risk-Banking b.'!$H$64),0))/1000000</f>
        <v>0</v>
      </c>
      <c r="I22" s="70">
        <f>(ROUND(SUMIFS(Input!$I:$I,Input!$H:$H,'1.CC Transition risk-Banking b.'!$A22&amp;"*",Input!$E:$E,'1.CC Transition risk-Banking b.'!$I$63),0))/1000000</f>
        <v>0</v>
      </c>
      <c r="J22" s="70">
        <f>(ROUND(SUMIFS(Input!$I:$I,Input!$H:$H,'1.CC Transition risk-Banking b.'!$A22&amp;"*",Input!$E:$E,'1.CC Transition risk-Banking b.'!$J$63,Input!$C:$C,'1.CC Transition risk-Banking b.'!$J$64),0))/1000000</f>
        <v>0</v>
      </c>
      <c r="K22" s="70">
        <f>(ROUND(SUMIFS(Input!$I:$I,Input!$H:$H,'1.CC Transition risk-Banking b.'!$A22&amp;"*",Input!$E:$E,'1.CC Transition risk-Banking b.'!$K$63,Input!$C:$C,'1.CC Transition risk-Banking b.'!$K$64),0))/1000000</f>
        <v>0</v>
      </c>
      <c r="L22" s="71">
        <f>(ROUND(SUMIFS(Input!$J:$J,Input!$H:$H,'1.CC Transition risk-Banking b.'!$A22&amp;"*")
+ SUMIFS(Input!$L:$L,Input!$H:$H,'1.CC Transition risk-Banking b.'!$A22&amp;"*")
+SUMIFS(Input!$N:$N,Input!$H:$H,'1.CC Transition risk-Banking b.'!$A22&amp;"*"),0))/1</f>
        <v>0</v>
      </c>
      <c r="M22" s="71">
        <f>(ROUND(SUMIFS(Input!$N:$N,Input!$H:$H,'1.CC Transition risk-Banking b.'!$A22&amp;"*"),0))/1</f>
        <v>0</v>
      </c>
      <c r="N22" s="77">
        <f>IFERROR(AVERAGE(SUMIFS(Input!$I:$I,Input!$H:$H,'1.CC Transition risk-Banking b.'!$A22&amp;"*",Input!$R:$R,"SOUR1",Input!$E:$E,'1.CC Transition risk-Banking b.'!$O$63),
SUMIFS(Input!$I:$I,Input!$H:$H,'1.CC Transition risk-Banking b.'!$A22&amp;"*",Input!$S:$S,"SOUR1",Input!$E:$E,'1.CC Transition risk-Banking b.'!$O$63),
SUMIFS(Input!$I:$I,Input!$H:$H,'1.CC Transition risk-Banking b.'!$A22&amp;"*",Input!$T:$T,"SOUR1",Input!$E:$E,'1.CC Transition risk-Banking b.'!$O$63))/SUMIFS(Input!$I:$I,Input!$H:$H,'1.CC Transition risk-Banking b.'!$A22&amp;"*",Input!$E:$E,'1.CC Transition risk-Banking b.'!$O$63),0)</f>
        <v>0</v>
      </c>
      <c r="O22" s="72">
        <f>(ROUND(SUMIFS(Input!$I:$I,Input!$H:$H,'1.CC Transition risk-Banking b.'!$A22&amp;"*",Input!$E:$E,'1.CC Transition risk-Banking b.'!O$63,Input!$G:$G,"&gt;=0",Input!$G:$G,"&lt;=5")
+ SUMIFS(Input!$I:$I,Input!$H:$H,'1.CC Transition risk-Banking b.'!$A22&amp;"*",Input!$E:$E,'1.CC Transition risk-Banking b.'!O$63,Input!$G:$G,"-4")
+ SUMIFS(Input!$I:$I,Input!$H:$H,'1.CC Transition risk-Banking b.'!$A22&amp;"*",Input!$E:$E,'1.CC Transition risk-Banking b.'!O$63,Input!$G:$G,"-1"),0))/1000000</f>
        <v>0</v>
      </c>
      <c r="P22" s="72">
        <f>(ROUND(SUMIFS(Input!$I:$I,Input!$H:$H,'1.CC Transition risk-Banking b.'!$A22&amp;"*",Input!$E:$E,'1.CC Transition risk-Banking b.'!P$63,Input!$G:$G,"&gt;5",Input!$G:$G,"&lt;=10"),0))/1000000</f>
        <v>0</v>
      </c>
      <c r="Q22" s="72">
        <f>(ROUND(SUMIFS(Input!$I:$I,Input!$H:$H,'1.CC Transition risk-Banking b.'!$A22&amp;"*",Input!$E:$E,'1.CC Transition risk-Banking b.'!Q$63,Input!$G:$G,"&gt;10",Input!$G:$G,"&lt;=20"),0))/1000000</f>
        <v>0</v>
      </c>
      <c r="R22" s="72">
        <f>(ROUND(SUMIFS(Input!$I:$I,Input!$H:$H,'1.CC Transition risk-Banking b.'!$A22&amp;"*",Input!$E:$E,'1.CC Transition risk-Banking b.'!R$63,Input!$G:$G,"&gt;20")
+ SUMIFS(Input!$I:$I,Input!$H:$H,'1.CC Transition risk-Banking b.'!$A22&amp;"*",Input!$E:$E,'1.CC Transition risk-Banking b.'!R$63,Input!$G:$G,"-2")
+ SUMIFS(Input!$I:$I,Input!$H:$H,'1.CC Transition risk-Banking b.'!$A22&amp;"*",Input!$E:$E,'1.CC Transition risk-Banking b.'!R$63,Input!$G:$G,"-3"),0))/1000000</f>
        <v>0</v>
      </c>
      <c r="S22" s="73">
        <f>ROUND(IFERROR((SUMIFS(Input!$Q:$Q,Input!$H:$H,'1.CC Transition risk-Banking b.'!$A22&amp;"*",Input!$E:$E,'1.CC Transition risk-Banking b.'!S$63,Input!$G:$G,"&gt;0")/1000000)/'1.CC Transition risk-Banking b.'!$D22,0),0)</f>
        <v>0</v>
      </c>
    </row>
    <row r="23" spans="1:19">
      <c r="A23" s="82" t="s">
        <v>114</v>
      </c>
      <c r="B23" s="53">
        <v>18</v>
      </c>
      <c r="C23" s="56" t="s">
        <v>115</v>
      </c>
      <c r="D23" s="70">
        <f>(ROUND(SUMIFS(Input!$I:$I,Input!$H:$H,'1.CC Transition risk-Banking b.'!$A23&amp;"*",Input!$E:$E,'1.CC Transition risk-Banking b.'!$D$63),0))/1000000</f>
        <v>0</v>
      </c>
      <c r="E23" s="70">
        <f>(ROUND(SUMIFS(Input!$I:$I,Input!$H:$H,'1.CC Transition risk-Banking b.'!$A23&amp;"*",Input!$E:$E,'1.CC Transition risk-Banking b.'!$E$63,Input!$F:$F,'1.CC Transition risk-Banking b.'!$E$64),0))/1000000</f>
        <v>0</v>
      </c>
      <c r="F23" s="70">
        <f>(ROUND(SUMIFS(Input!$P:$P,Input!$H:$H,'1.CC Transition risk-Banking b.'!$A23&amp;"*",Input!$E:$E,'1.CC Transition risk-Banking b.'!$E$63,Input!$O:$O,'1.CC Transition risk-Banking b.'!$F$63),0))/1000000</f>
        <v>0</v>
      </c>
      <c r="G23" s="70">
        <f>(ROUND(SUMIFS(Input!$I:$I,Input!$H:$H,'1.CC Transition risk-Banking b.'!$A23&amp;"*",Input!$E:$E,'1.CC Transition risk-Banking b.'!$G$63,Input!$C:$C,'1.CC Transition risk-Banking b.'!$G$64),0))/1000000</f>
        <v>0</v>
      </c>
      <c r="H23" s="70">
        <f>(ROUND(SUMIFS(Input!$I:$I,Input!$H:$H,'1.CC Transition risk-Banking b.'!$A23&amp;"*",Input!$E:$E,'1.CC Transition risk-Banking b.'!$H$63,Input!$C:$C,'1.CC Transition risk-Banking b.'!$H$64),0))/1000000</f>
        <v>0</v>
      </c>
      <c r="I23" s="70">
        <f>(ROUND(SUMIFS(Input!$I:$I,Input!$H:$H,'1.CC Transition risk-Banking b.'!$A23&amp;"*",Input!$E:$E,'1.CC Transition risk-Banking b.'!$I$63),0))/1000000</f>
        <v>0</v>
      </c>
      <c r="J23" s="70">
        <f>(ROUND(SUMIFS(Input!$I:$I,Input!$H:$H,'1.CC Transition risk-Banking b.'!$A23&amp;"*",Input!$E:$E,'1.CC Transition risk-Banking b.'!$J$63,Input!$C:$C,'1.CC Transition risk-Banking b.'!$J$64),0))/1000000</f>
        <v>0</v>
      </c>
      <c r="K23" s="70">
        <f>(ROUND(SUMIFS(Input!$I:$I,Input!$H:$H,'1.CC Transition risk-Banking b.'!$A23&amp;"*",Input!$E:$E,'1.CC Transition risk-Banking b.'!$K$63,Input!$C:$C,'1.CC Transition risk-Banking b.'!$K$64),0))/1000000</f>
        <v>0</v>
      </c>
      <c r="L23" s="71">
        <f>(ROUND(SUMIFS(Input!$J:$J,Input!$H:$H,'1.CC Transition risk-Banking b.'!$A23&amp;"*")
+ SUMIFS(Input!$L:$L,Input!$H:$H,'1.CC Transition risk-Banking b.'!$A23&amp;"*")
+SUMIFS(Input!$N:$N,Input!$H:$H,'1.CC Transition risk-Banking b.'!$A23&amp;"*"),0))/1</f>
        <v>0</v>
      </c>
      <c r="M23" s="71">
        <f>(ROUND(SUMIFS(Input!$N:$N,Input!$H:$H,'1.CC Transition risk-Banking b.'!$A23&amp;"*"),0))/1</f>
        <v>0</v>
      </c>
      <c r="N23" s="77">
        <f>IFERROR(AVERAGE(SUMIFS(Input!$I:$I,Input!$H:$H,'1.CC Transition risk-Banking b.'!$A23&amp;"*",Input!$R:$R,"SOUR1",Input!$E:$E,'1.CC Transition risk-Banking b.'!$O$63),
SUMIFS(Input!$I:$I,Input!$H:$H,'1.CC Transition risk-Banking b.'!$A23&amp;"*",Input!$S:$S,"SOUR1",Input!$E:$E,'1.CC Transition risk-Banking b.'!$O$63),
SUMIFS(Input!$I:$I,Input!$H:$H,'1.CC Transition risk-Banking b.'!$A23&amp;"*",Input!$T:$T,"SOUR1",Input!$E:$E,'1.CC Transition risk-Banking b.'!$O$63))/SUMIFS(Input!$I:$I,Input!$H:$H,'1.CC Transition risk-Banking b.'!$A23&amp;"*",Input!$E:$E,'1.CC Transition risk-Banking b.'!$O$63),0)</f>
        <v>0</v>
      </c>
      <c r="O23" s="72">
        <f>(ROUND(SUMIFS(Input!$I:$I,Input!$H:$H,'1.CC Transition risk-Banking b.'!$A23&amp;"*",Input!$E:$E,'1.CC Transition risk-Banking b.'!O$63,Input!$G:$G,"&gt;=0",Input!$G:$G,"&lt;=5")
+ SUMIFS(Input!$I:$I,Input!$H:$H,'1.CC Transition risk-Banking b.'!$A23&amp;"*",Input!$E:$E,'1.CC Transition risk-Banking b.'!O$63,Input!$G:$G,"-4")
+ SUMIFS(Input!$I:$I,Input!$H:$H,'1.CC Transition risk-Banking b.'!$A23&amp;"*",Input!$E:$E,'1.CC Transition risk-Banking b.'!O$63,Input!$G:$G,"-1"),0))/1000000</f>
        <v>0</v>
      </c>
      <c r="P23" s="72">
        <f>(ROUND(SUMIFS(Input!$I:$I,Input!$H:$H,'1.CC Transition risk-Banking b.'!$A23&amp;"*",Input!$E:$E,'1.CC Transition risk-Banking b.'!P$63,Input!$G:$G,"&gt;5",Input!$G:$G,"&lt;=10"),0))/1000000</f>
        <v>0</v>
      </c>
      <c r="Q23" s="72">
        <f>(ROUND(SUMIFS(Input!$I:$I,Input!$H:$H,'1.CC Transition risk-Banking b.'!$A23&amp;"*",Input!$E:$E,'1.CC Transition risk-Banking b.'!Q$63,Input!$G:$G,"&gt;10",Input!$G:$G,"&lt;=20"),0))/1000000</f>
        <v>0</v>
      </c>
      <c r="R23" s="72">
        <f>(ROUND(SUMIFS(Input!$I:$I,Input!$H:$H,'1.CC Transition risk-Banking b.'!$A23&amp;"*",Input!$E:$E,'1.CC Transition risk-Banking b.'!R$63,Input!$G:$G,"&gt;20")
+ SUMIFS(Input!$I:$I,Input!$H:$H,'1.CC Transition risk-Banking b.'!$A23&amp;"*",Input!$E:$E,'1.CC Transition risk-Banking b.'!R$63,Input!$G:$G,"-2")
+ SUMIFS(Input!$I:$I,Input!$H:$H,'1.CC Transition risk-Banking b.'!$A23&amp;"*",Input!$E:$E,'1.CC Transition risk-Banking b.'!R$63,Input!$G:$G,"-3"),0))/1000000</f>
        <v>0</v>
      </c>
      <c r="S23" s="73">
        <f>ROUND(IFERROR((SUMIFS(Input!$Q:$Q,Input!$H:$H,'1.CC Transition risk-Banking b.'!$A23&amp;"*",Input!$E:$E,'1.CC Transition risk-Banking b.'!S$63,Input!$G:$G,"&gt;0")/1000000)/'1.CC Transition risk-Banking b.'!$D23,0),0)</f>
        <v>0</v>
      </c>
    </row>
    <row r="24" spans="1:19">
      <c r="A24" s="82" t="s">
        <v>116</v>
      </c>
      <c r="B24" s="53">
        <v>19</v>
      </c>
      <c r="C24" s="56" t="s">
        <v>117</v>
      </c>
      <c r="D24" s="70">
        <f>(ROUND(SUMIFS(Input!$I:$I,Input!$H:$H,'1.CC Transition risk-Banking b.'!$A24&amp;"*",Input!$E:$E,'1.CC Transition risk-Banking b.'!$D$63),0))/1000000</f>
        <v>0</v>
      </c>
      <c r="E24" s="70">
        <f>(ROUND(SUMIFS(Input!$I:$I,Input!$H:$H,'1.CC Transition risk-Banking b.'!$A24&amp;"*",Input!$E:$E,'1.CC Transition risk-Banking b.'!$E$63,Input!$F:$F,'1.CC Transition risk-Banking b.'!$E$64),0))/1000000</f>
        <v>0</v>
      </c>
      <c r="F24" s="70">
        <f>(ROUND(SUMIFS(Input!$P:$P,Input!$H:$H,'1.CC Transition risk-Banking b.'!$A24&amp;"*",Input!$E:$E,'1.CC Transition risk-Banking b.'!$E$63,Input!$O:$O,'1.CC Transition risk-Banking b.'!$F$63),0))/1000000</f>
        <v>0</v>
      </c>
      <c r="G24" s="70">
        <f>(ROUND(SUMIFS(Input!$I:$I,Input!$H:$H,'1.CC Transition risk-Banking b.'!$A24&amp;"*",Input!$E:$E,'1.CC Transition risk-Banking b.'!$G$63,Input!$C:$C,'1.CC Transition risk-Banking b.'!$G$64),0))/1000000</f>
        <v>0</v>
      </c>
      <c r="H24" s="70">
        <f>(ROUND(SUMIFS(Input!$I:$I,Input!$H:$H,'1.CC Transition risk-Banking b.'!$A24&amp;"*",Input!$E:$E,'1.CC Transition risk-Banking b.'!$H$63,Input!$C:$C,'1.CC Transition risk-Banking b.'!$H$64),0))/1000000</f>
        <v>0</v>
      </c>
      <c r="I24" s="70">
        <f>(ROUND(SUMIFS(Input!$I:$I,Input!$H:$H,'1.CC Transition risk-Banking b.'!$A24&amp;"*",Input!$E:$E,'1.CC Transition risk-Banking b.'!$I$63),0))/1000000</f>
        <v>0</v>
      </c>
      <c r="J24" s="70">
        <f>(ROUND(SUMIFS(Input!$I:$I,Input!$H:$H,'1.CC Transition risk-Banking b.'!$A24&amp;"*",Input!$E:$E,'1.CC Transition risk-Banking b.'!$J$63,Input!$C:$C,'1.CC Transition risk-Banking b.'!$J$64),0))/1000000</f>
        <v>0</v>
      </c>
      <c r="K24" s="70">
        <f>(ROUND(SUMIFS(Input!$I:$I,Input!$H:$H,'1.CC Transition risk-Banking b.'!$A24&amp;"*",Input!$E:$E,'1.CC Transition risk-Banking b.'!$K$63,Input!$C:$C,'1.CC Transition risk-Banking b.'!$K$64),0))/1000000</f>
        <v>0</v>
      </c>
      <c r="L24" s="71">
        <f>(ROUND(SUMIFS(Input!$J:$J,Input!$H:$H,'1.CC Transition risk-Banking b.'!$A24&amp;"*")
+ SUMIFS(Input!$L:$L,Input!$H:$H,'1.CC Transition risk-Banking b.'!$A24&amp;"*")
+SUMIFS(Input!$N:$N,Input!$H:$H,'1.CC Transition risk-Banking b.'!$A24&amp;"*"),0))/1</f>
        <v>0</v>
      </c>
      <c r="M24" s="71">
        <f>(ROUND(SUMIFS(Input!$N:$N,Input!$H:$H,'1.CC Transition risk-Banking b.'!$A24&amp;"*"),0))/1</f>
        <v>0</v>
      </c>
      <c r="N24" s="77">
        <f>IFERROR(AVERAGE(SUMIFS(Input!$I:$I,Input!$H:$H,'1.CC Transition risk-Banking b.'!$A24&amp;"*",Input!$R:$R,"SOUR1",Input!$E:$E,'1.CC Transition risk-Banking b.'!$O$63),
SUMIFS(Input!$I:$I,Input!$H:$H,'1.CC Transition risk-Banking b.'!$A24&amp;"*",Input!$S:$S,"SOUR1",Input!$E:$E,'1.CC Transition risk-Banking b.'!$O$63),
SUMIFS(Input!$I:$I,Input!$H:$H,'1.CC Transition risk-Banking b.'!$A24&amp;"*",Input!$T:$T,"SOUR1",Input!$E:$E,'1.CC Transition risk-Banking b.'!$O$63))/SUMIFS(Input!$I:$I,Input!$H:$H,'1.CC Transition risk-Banking b.'!$A24&amp;"*",Input!$E:$E,'1.CC Transition risk-Banking b.'!$O$63),0)</f>
        <v>0</v>
      </c>
      <c r="O24" s="72">
        <f>(ROUND(SUMIFS(Input!$I:$I,Input!$H:$H,'1.CC Transition risk-Banking b.'!$A24&amp;"*",Input!$E:$E,'1.CC Transition risk-Banking b.'!O$63,Input!$G:$G,"&gt;=0",Input!$G:$G,"&lt;=5")
+ SUMIFS(Input!$I:$I,Input!$H:$H,'1.CC Transition risk-Banking b.'!$A24&amp;"*",Input!$E:$E,'1.CC Transition risk-Banking b.'!O$63,Input!$G:$G,"-4")
+ SUMIFS(Input!$I:$I,Input!$H:$H,'1.CC Transition risk-Banking b.'!$A24&amp;"*",Input!$E:$E,'1.CC Transition risk-Banking b.'!O$63,Input!$G:$G,"-1"),0))/1000000</f>
        <v>0</v>
      </c>
      <c r="P24" s="72">
        <f>(ROUND(SUMIFS(Input!$I:$I,Input!$H:$H,'1.CC Transition risk-Banking b.'!$A24&amp;"*",Input!$E:$E,'1.CC Transition risk-Banking b.'!P$63,Input!$G:$G,"&gt;5",Input!$G:$G,"&lt;=10"),0))/1000000</f>
        <v>0</v>
      </c>
      <c r="Q24" s="72">
        <f>(ROUND(SUMIFS(Input!$I:$I,Input!$H:$H,'1.CC Transition risk-Banking b.'!$A24&amp;"*",Input!$E:$E,'1.CC Transition risk-Banking b.'!Q$63,Input!$G:$G,"&gt;10",Input!$G:$G,"&lt;=20"),0))/1000000</f>
        <v>0</v>
      </c>
      <c r="R24" s="72">
        <f>(ROUND(SUMIFS(Input!$I:$I,Input!$H:$H,'1.CC Transition risk-Banking b.'!$A24&amp;"*",Input!$E:$E,'1.CC Transition risk-Banking b.'!R$63,Input!$G:$G,"&gt;20")
+ SUMIFS(Input!$I:$I,Input!$H:$H,'1.CC Transition risk-Banking b.'!$A24&amp;"*",Input!$E:$E,'1.CC Transition risk-Banking b.'!R$63,Input!$G:$G,"-2")
+ SUMIFS(Input!$I:$I,Input!$H:$H,'1.CC Transition risk-Banking b.'!$A24&amp;"*",Input!$E:$E,'1.CC Transition risk-Banking b.'!R$63,Input!$G:$G,"-3"),0))/1000000</f>
        <v>0</v>
      </c>
      <c r="S24" s="73">
        <f>ROUND(IFERROR((SUMIFS(Input!$Q:$Q,Input!$H:$H,'1.CC Transition risk-Banking b.'!$A24&amp;"*",Input!$E:$E,'1.CC Transition risk-Banking b.'!S$63,Input!$G:$G,"&gt;0")/1000000)/'1.CC Transition risk-Banking b.'!$D24,0),0)</f>
        <v>0</v>
      </c>
    </row>
    <row r="25" spans="1:19">
      <c r="A25" s="82" t="s">
        <v>118</v>
      </c>
      <c r="B25" s="53">
        <v>20</v>
      </c>
      <c r="C25" s="56" t="s">
        <v>119</v>
      </c>
      <c r="D25" s="70">
        <f>(ROUND(SUMIFS(Input!$I:$I,Input!$H:$H,'1.CC Transition risk-Banking b.'!$A25&amp;"*",Input!$E:$E,'1.CC Transition risk-Banking b.'!$D$63),0))/1000000</f>
        <v>0</v>
      </c>
      <c r="E25" s="70">
        <f>(ROUND(SUMIFS(Input!$I:$I,Input!$H:$H,'1.CC Transition risk-Banking b.'!$A25&amp;"*",Input!$E:$E,'1.CC Transition risk-Banking b.'!$E$63,Input!$F:$F,'1.CC Transition risk-Banking b.'!$E$64),0))/1000000</f>
        <v>0</v>
      </c>
      <c r="F25" s="70">
        <f>(ROUND(SUMIFS(Input!$P:$P,Input!$H:$H,'1.CC Transition risk-Banking b.'!$A25&amp;"*",Input!$E:$E,'1.CC Transition risk-Banking b.'!$E$63,Input!$O:$O,'1.CC Transition risk-Banking b.'!$F$63),0))/1000000</f>
        <v>0</v>
      </c>
      <c r="G25" s="70">
        <f>(ROUND(SUMIFS(Input!$I:$I,Input!$H:$H,'1.CC Transition risk-Banking b.'!$A25&amp;"*",Input!$E:$E,'1.CC Transition risk-Banking b.'!$G$63,Input!$C:$C,'1.CC Transition risk-Banking b.'!$G$64),0))/1000000</f>
        <v>0</v>
      </c>
      <c r="H25" s="70">
        <f>(ROUND(SUMIFS(Input!$I:$I,Input!$H:$H,'1.CC Transition risk-Banking b.'!$A25&amp;"*",Input!$E:$E,'1.CC Transition risk-Banking b.'!$H$63,Input!$C:$C,'1.CC Transition risk-Banking b.'!$H$64),0))/1000000</f>
        <v>0</v>
      </c>
      <c r="I25" s="70">
        <f>(ROUND(SUMIFS(Input!$I:$I,Input!$H:$H,'1.CC Transition risk-Banking b.'!$A25&amp;"*",Input!$E:$E,'1.CC Transition risk-Banking b.'!$I$63),0))/1000000</f>
        <v>0</v>
      </c>
      <c r="J25" s="70">
        <f>(ROUND(SUMIFS(Input!$I:$I,Input!$H:$H,'1.CC Transition risk-Banking b.'!$A25&amp;"*",Input!$E:$E,'1.CC Transition risk-Banking b.'!$J$63,Input!$C:$C,'1.CC Transition risk-Banking b.'!$J$64),0))/1000000</f>
        <v>0</v>
      </c>
      <c r="K25" s="70">
        <f>(ROUND(SUMIFS(Input!$I:$I,Input!$H:$H,'1.CC Transition risk-Banking b.'!$A25&amp;"*",Input!$E:$E,'1.CC Transition risk-Banking b.'!$K$63,Input!$C:$C,'1.CC Transition risk-Banking b.'!$K$64),0))/1000000</f>
        <v>0</v>
      </c>
      <c r="L25" s="71">
        <f>(ROUND(SUMIFS(Input!$J:$J,Input!$H:$H,'1.CC Transition risk-Banking b.'!$A25&amp;"*")
+ SUMIFS(Input!$L:$L,Input!$H:$H,'1.CC Transition risk-Banking b.'!$A25&amp;"*")
+SUMIFS(Input!$N:$N,Input!$H:$H,'1.CC Transition risk-Banking b.'!$A25&amp;"*"),0))/1</f>
        <v>0</v>
      </c>
      <c r="M25" s="71">
        <f>(ROUND(SUMIFS(Input!$N:$N,Input!$H:$H,'1.CC Transition risk-Banking b.'!$A25&amp;"*"),0))/1</f>
        <v>0</v>
      </c>
      <c r="N25" s="77">
        <f>IFERROR(AVERAGE(SUMIFS(Input!$I:$I,Input!$H:$H,'1.CC Transition risk-Banking b.'!$A25&amp;"*",Input!$R:$R,"SOUR1",Input!$E:$E,'1.CC Transition risk-Banking b.'!$O$63),
SUMIFS(Input!$I:$I,Input!$H:$H,'1.CC Transition risk-Banking b.'!$A25&amp;"*",Input!$S:$S,"SOUR1",Input!$E:$E,'1.CC Transition risk-Banking b.'!$O$63),
SUMIFS(Input!$I:$I,Input!$H:$H,'1.CC Transition risk-Banking b.'!$A25&amp;"*",Input!$T:$T,"SOUR1",Input!$E:$E,'1.CC Transition risk-Banking b.'!$O$63))/SUMIFS(Input!$I:$I,Input!$H:$H,'1.CC Transition risk-Banking b.'!$A25&amp;"*",Input!$E:$E,'1.CC Transition risk-Banking b.'!$O$63),0)</f>
        <v>0</v>
      </c>
      <c r="O25" s="72">
        <f>(ROUND(SUMIFS(Input!$I:$I,Input!$H:$H,'1.CC Transition risk-Banking b.'!$A25&amp;"*",Input!$E:$E,'1.CC Transition risk-Banking b.'!O$63,Input!$G:$G,"&gt;=0",Input!$G:$G,"&lt;=5")
+ SUMIFS(Input!$I:$I,Input!$H:$H,'1.CC Transition risk-Banking b.'!$A25&amp;"*",Input!$E:$E,'1.CC Transition risk-Banking b.'!O$63,Input!$G:$G,"-4")
+ SUMIFS(Input!$I:$I,Input!$H:$H,'1.CC Transition risk-Banking b.'!$A25&amp;"*",Input!$E:$E,'1.CC Transition risk-Banking b.'!O$63,Input!$G:$G,"-1"),0))/1000000</f>
        <v>0</v>
      </c>
      <c r="P25" s="72">
        <f>(ROUND(SUMIFS(Input!$I:$I,Input!$H:$H,'1.CC Transition risk-Banking b.'!$A25&amp;"*",Input!$E:$E,'1.CC Transition risk-Banking b.'!P$63,Input!$G:$G,"&gt;5",Input!$G:$G,"&lt;=10"),0))/1000000</f>
        <v>0</v>
      </c>
      <c r="Q25" s="72">
        <f>(ROUND(SUMIFS(Input!$I:$I,Input!$H:$H,'1.CC Transition risk-Banking b.'!$A25&amp;"*",Input!$E:$E,'1.CC Transition risk-Banking b.'!Q$63,Input!$G:$G,"&gt;10",Input!$G:$G,"&lt;=20"),0))/1000000</f>
        <v>0</v>
      </c>
      <c r="R25" s="72">
        <f>(ROUND(SUMIFS(Input!$I:$I,Input!$H:$H,'1.CC Transition risk-Banking b.'!$A25&amp;"*",Input!$E:$E,'1.CC Transition risk-Banking b.'!R$63,Input!$G:$G,"&gt;20")
+ SUMIFS(Input!$I:$I,Input!$H:$H,'1.CC Transition risk-Banking b.'!$A25&amp;"*",Input!$E:$E,'1.CC Transition risk-Banking b.'!R$63,Input!$G:$G,"-2")
+ SUMIFS(Input!$I:$I,Input!$H:$H,'1.CC Transition risk-Banking b.'!$A25&amp;"*",Input!$E:$E,'1.CC Transition risk-Banking b.'!R$63,Input!$G:$G,"-3"),0))/1000000</f>
        <v>0</v>
      </c>
      <c r="S25" s="73">
        <f>ROUND(IFERROR((SUMIFS(Input!$Q:$Q,Input!$H:$H,'1.CC Transition risk-Banking b.'!$A25&amp;"*",Input!$E:$E,'1.CC Transition risk-Banking b.'!S$63,Input!$G:$G,"&gt;0")/1000000)/'1.CC Transition risk-Banking b.'!$D25,0),0)</f>
        <v>0</v>
      </c>
    </row>
    <row r="26" spans="1:19">
      <c r="A26" s="82" t="s">
        <v>120</v>
      </c>
      <c r="B26" s="53">
        <v>21</v>
      </c>
      <c r="C26" s="56" t="s">
        <v>121</v>
      </c>
      <c r="D26" s="70">
        <f>(ROUND(SUMIFS(Input!$I:$I,Input!$H:$H,'1.CC Transition risk-Banking b.'!$A26&amp;"*",Input!$E:$E,'1.CC Transition risk-Banking b.'!$D$63),0))/1000000</f>
        <v>0</v>
      </c>
      <c r="E26" s="70">
        <f>(ROUND(SUMIFS(Input!$I:$I,Input!$H:$H,'1.CC Transition risk-Banking b.'!$A26&amp;"*",Input!$E:$E,'1.CC Transition risk-Banking b.'!$E$63,Input!$F:$F,'1.CC Transition risk-Banking b.'!$E$64),0))/1000000</f>
        <v>0</v>
      </c>
      <c r="F26" s="70">
        <f>(ROUND(SUMIFS(Input!$P:$P,Input!$H:$H,'1.CC Transition risk-Banking b.'!$A26&amp;"*",Input!$E:$E,'1.CC Transition risk-Banking b.'!$E$63,Input!$O:$O,'1.CC Transition risk-Banking b.'!$F$63),0))/1000000</f>
        <v>0</v>
      </c>
      <c r="G26" s="70">
        <f>(ROUND(SUMIFS(Input!$I:$I,Input!$H:$H,'1.CC Transition risk-Banking b.'!$A26&amp;"*",Input!$E:$E,'1.CC Transition risk-Banking b.'!$G$63,Input!$C:$C,'1.CC Transition risk-Banking b.'!$G$64),0))/1000000</f>
        <v>0</v>
      </c>
      <c r="H26" s="70">
        <f>(ROUND(SUMIFS(Input!$I:$I,Input!$H:$H,'1.CC Transition risk-Banking b.'!$A26&amp;"*",Input!$E:$E,'1.CC Transition risk-Banking b.'!$H$63,Input!$C:$C,'1.CC Transition risk-Banking b.'!$H$64),0))/1000000</f>
        <v>0</v>
      </c>
      <c r="I26" s="70">
        <f>(ROUND(SUMIFS(Input!$I:$I,Input!$H:$H,'1.CC Transition risk-Banking b.'!$A26&amp;"*",Input!$E:$E,'1.CC Transition risk-Banking b.'!$I$63),0))/1000000</f>
        <v>0</v>
      </c>
      <c r="J26" s="70">
        <f>(ROUND(SUMIFS(Input!$I:$I,Input!$H:$H,'1.CC Transition risk-Banking b.'!$A26&amp;"*",Input!$E:$E,'1.CC Transition risk-Banking b.'!$J$63,Input!$C:$C,'1.CC Transition risk-Banking b.'!$J$64),0))/1000000</f>
        <v>0</v>
      </c>
      <c r="K26" s="70">
        <f>(ROUND(SUMIFS(Input!$I:$I,Input!$H:$H,'1.CC Transition risk-Banking b.'!$A26&amp;"*",Input!$E:$E,'1.CC Transition risk-Banking b.'!$K$63,Input!$C:$C,'1.CC Transition risk-Banking b.'!$K$64),0))/1000000</f>
        <v>0</v>
      </c>
      <c r="L26" s="71">
        <f>(ROUND(SUMIFS(Input!$J:$J,Input!$H:$H,'1.CC Transition risk-Banking b.'!$A26&amp;"*")
+ SUMIFS(Input!$L:$L,Input!$H:$H,'1.CC Transition risk-Banking b.'!$A26&amp;"*")
+SUMIFS(Input!$N:$N,Input!$H:$H,'1.CC Transition risk-Banking b.'!$A26&amp;"*"),0))/1</f>
        <v>0</v>
      </c>
      <c r="M26" s="71">
        <f>(ROUND(SUMIFS(Input!$N:$N,Input!$H:$H,'1.CC Transition risk-Banking b.'!$A26&amp;"*"),0))/1</f>
        <v>0</v>
      </c>
      <c r="N26" s="77">
        <f>IFERROR(AVERAGE(SUMIFS(Input!$I:$I,Input!$H:$H,'1.CC Transition risk-Banking b.'!$A26&amp;"*",Input!$R:$R,"SOUR1",Input!$E:$E,'1.CC Transition risk-Banking b.'!$O$63),
SUMIFS(Input!$I:$I,Input!$H:$H,'1.CC Transition risk-Banking b.'!$A26&amp;"*",Input!$S:$S,"SOUR1",Input!$E:$E,'1.CC Transition risk-Banking b.'!$O$63),
SUMIFS(Input!$I:$I,Input!$H:$H,'1.CC Transition risk-Banking b.'!$A26&amp;"*",Input!$T:$T,"SOUR1",Input!$E:$E,'1.CC Transition risk-Banking b.'!$O$63))/SUMIFS(Input!$I:$I,Input!$H:$H,'1.CC Transition risk-Banking b.'!$A26&amp;"*",Input!$E:$E,'1.CC Transition risk-Banking b.'!$O$63),0)</f>
        <v>0</v>
      </c>
      <c r="O26" s="72">
        <f>(ROUND(SUMIFS(Input!$I:$I,Input!$H:$H,'1.CC Transition risk-Banking b.'!$A26&amp;"*",Input!$E:$E,'1.CC Transition risk-Banking b.'!O$63,Input!$G:$G,"&gt;=0",Input!$G:$G,"&lt;=5")
+ SUMIFS(Input!$I:$I,Input!$H:$H,'1.CC Transition risk-Banking b.'!$A26&amp;"*",Input!$E:$E,'1.CC Transition risk-Banking b.'!O$63,Input!$G:$G,"-4")
+ SUMIFS(Input!$I:$I,Input!$H:$H,'1.CC Transition risk-Banking b.'!$A26&amp;"*",Input!$E:$E,'1.CC Transition risk-Banking b.'!O$63,Input!$G:$G,"-1"),0))/1000000</f>
        <v>0</v>
      </c>
      <c r="P26" s="72">
        <f>(ROUND(SUMIFS(Input!$I:$I,Input!$H:$H,'1.CC Transition risk-Banking b.'!$A26&amp;"*",Input!$E:$E,'1.CC Transition risk-Banking b.'!P$63,Input!$G:$G,"&gt;5",Input!$G:$G,"&lt;=10"),0))/1000000</f>
        <v>0</v>
      </c>
      <c r="Q26" s="72">
        <f>(ROUND(SUMIFS(Input!$I:$I,Input!$H:$H,'1.CC Transition risk-Banking b.'!$A26&amp;"*",Input!$E:$E,'1.CC Transition risk-Banking b.'!Q$63,Input!$G:$G,"&gt;10",Input!$G:$G,"&lt;=20"),0))/1000000</f>
        <v>0</v>
      </c>
      <c r="R26" s="72">
        <f>(ROUND(SUMIFS(Input!$I:$I,Input!$H:$H,'1.CC Transition risk-Banking b.'!$A26&amp;"*",Input!$E:$E,'1.CC Transition risk-Banking b.'!R$63,Input!$G:$G,"&gt;20")
+ SUMIFS(Input!$I:$I,Input!$H:$H,'1.CC Transition risk-Banking b.'!$A26&amp;"*",Input!$E:$E,'1.CC Transition risk-Banking b.'!R$63,Input!$G:$G,"-2")
+ SUMIFS(Input!$I:$I,Input!$H:$H,'1.CC Transition risk-Banking b.'!$A26&amp;"*",Input!$E:$E,'1.CC Transition risk-Banking b.'!R$63,Input!$G:$G,"-3"),0))/1000000</f>
        <v>0</v>
      </c>
      <c r="S26" s="73">
        <f>ROUND(IFERROR((SUMIFS(Input!$Q:$Q,Input!$H:$H,'1.CC Transition risk-Banking b.'!$A26&amp;"*",Input!$E:$E,'1.CC Transition risk-Banking b.'!S$63,Input!$G:$G,"&gt;0")/1000000)/'1.CC Transition risk-Banking b.'!$D26,0),0)</f>
        <v>0</v>
      </c>
    </row>
    <row r="27" spans="1:19">
      <c r="A27" s="82" t="s">
        <v>122</v>
      </c>
      <c r="B27" s="53">
        <v>22</v>
      </c>
      <c r="C27" s="56" t="s">
        <v>123</v>
      </c>
      <c r="D27" s="70">
        <f>(ROUND(SUMIFS(Input!$I:$I,Input!$H:$H,'1.CC Transition risk-Banking b.'!$A27&amp;"*",Input!$E:$E,'1.CC Transition risk-Banking b.'!$D$63),0))/1000000</f>
        <v>0</v>
      </c>
      <c r="E27" s="70">
        <f>(ROUND(SUMIFS(Input!$I:$I,Input!$H:$H,'1.CC Transition risk-Banking b.'!$A27&amp;"*",Input!$E:$E,'1.CC Transition risk-Banking b.'!$E$63,Input!$F:$F,'1.CC Transition risk-Banking b.'!$E$64),0))/1000000</f>
        <v>0</v>
      </c>
      <c r="F27" s="70">
        <f>(ROUND(SUMIFS(Input!$P:$P,Input!$H:$H,'1.CC Transition risk-Banking b.'!$A27&amp;"*",Input!$E:$E,'1.CC Transition risk-Banking b.'!$E$63,Input!$O:$O,'1.CC Transition risk-Banking b.'!$F$63),0))/1000000</f>
        <v>0</v>
      </c>
      <c r="G27" s="70">
        <f>(ROUND(SUMIFS(Input!$I:$I,Input!$H:$H,'1.CC Transition risk-Banking b.'!$A27&amp;"*",Input!$E:$E,'1.CC Transition risk-Banking b.'!$G$63,Input!$C:$C,'1.CC Transition risk-Banking b.'!$G$64),0))/1000000</f>
        <v>0</v>
      </c>
      <c r="H27" s="70">
        <f>(ROUND(SUMIFS(Input!$I:$I,Input!$H:$H,'1.CC Transition risk-Banking b.'!$A27&amp;"*",Input!$E:$E,'1.CC Transition risk-Banking b.'!$H$63,Input!$C:$C,'1.CC Transition risk-Banking b.'!$H$64),0))/1000000</f>
        <v>0</v>
      </c>
      <c r="I27" s="70">
        <f>(ROUND(SUMIFS(Input!$I:$I,Input!$H:$H,'1.CC Transition risk-Banking b.'!$A27&amp;"*",Input!$E:$E,'1.CC Transition risk-Banking b.'!$I$63),0))/1000000</f>
        <v>0</v>
      </c>
      <c r="J27" s="70">
        <f>(ROUND(SUMIFS(Input!$I:$I,Input!$H:$H,'1.CC Transition risk-Banking b.'!$A27&amp;"*",Input!$E:$E,'1.CC Transition risk-Banking b.'!$J$63,Input!$C:$C,'1.CC Transition risk-Banking b.'!$J$64),0))/1000000</f>
        <v>0</v>
      </c>
      <c r="K27" s="70">
        <f>(ROUND(SUMIFS(Input!$I:$I,Input!$H:$H,'1.CC Transition risk-Banking b.'!$A27&amp;"*",Input!$E:$E,'1.CC Transition risk-Banking b.'!$K$63,Input!$C:$C,'1.CC Transition risk-Banking b.'!$K$64),0))/1000000</f>
        <v>0</v>
      </c>
      <c r="L27" s="71">
        <f>(ROUND(SUMIFS(Input!$J:$J,Input!$H:$H,'1.CC Transition risk-Banking b.'!$A27&amp;"*")
+ SUMIFS(Input!$L:$L,Input!$H:$H,'1.CC Transition risk-Banking b.'!$A27&amp;"*")
+SUMIFS(Input!$N:$N,Input!$H:$H,'1.CC Transition risk-Banking b.'!$A27&amp;"*"),0))/1</f>
        <v>0</v>
      </c>
      <c r="M27" s="71">
        <f>(ROUND(SUMIFS(Input!$N:$N,Input!$H:$H,'1.CC Transition risk-Banking b.'!$A27&amp;"*"),0))/1</f>
        <v>0</v>
      </c>
      <c r="N27" s="77">
        <f>IFERROR(AVERAGE(SUMIFS(Input!$I:$I,Input!$H:$H,'1.CC Transition risk-Banking b.'!$A27&amp;"*",Input!$R:$R,"SOUR1",Input!$E:$E,'1.CC Transition risk-Banking b.'!$O$63),
SUMIFS(Input!$I:$I,Input!$H:$H,'1.CC Transition risk-Banking b.'!$A27&amp;"*",Input!$S:$S,"SOUR1",Input!$E:$E,'1.CC Transition risk-Banking b.'!$O$63),
SUMIFS(Input!$I:$I,Input!$H:$H,'1.CC Transition risk-Banking b.'!$A27&amp;"*",Input!$T:$T,"SOUR1",Input!$E:$E,'1.CC Transition risk-Banking b.'!$O$63))/SUMIFS(Input!$I:$I,Input!$H:$H,'1.CC Transition risk-Banking b.'!$A27&amp;"*",Input!$E:$E,'1.CC Transition risk-Banking b.'!$O$63),0)</f>
        <v>0</v>
      </c>
      <c r="O27" s="72">
        <f>(ROUND(SUMIFS(Input!$I:$I,Input!$H:$H,'1.CC Transition risk-Banking b.'!$A27&amp;"*",Input!$E:$E,'1.CC Transition risk-Banking b.'!O$63,Input!$G:$G,"&gt;=0",Input!$G:$G,"&lt;=5")
+ SUMIFS(Input!$I:$I,Input!$H:$H,'1.CC Transition risk-Banking b.'!$A27&amp;"*",Input!$E:$E,'1.CC Transition risk-Banking b.'!O$63,Input!$G:$G,"-4")
+ SUMIFS(Input!$I:$I,Input!$H:$H,'1.CC Transition risk-Banking b.'!$A27&amp;"*",Input!$E:$E,'1.CC Transition risk-Banking b.'!O$63,Input!$G:$G,"-1"),0))/1000000</f>
        <v>0</v>
      </c>
      <c r="P27" s="72">
        <f>(ROUND(SUMIFS(Input!$I:$I,Input!$H:$H,'1.CC Transition risk-Banking b.'!$A27&amp;"*",Input!$E:$E,'1.CC Transition risk-Banking b.'!P$63,Input!$G:$G,"&gt;5",Input!$G:$G,"&lt;=10"),0))/1000000</f>
        <v>0</v>
      </c>
      <c r="Q27" s="72">
        <f>(ROUND(SUMIFS(Input!$I:$I,Input!$H:$H,'1.CC Transition risk-Banking b.'!$A27&amp;"*",Input!$E:$E,'1.CC Transition risk-Banking b.'!Q$63,Input!$G:$G,"&gt;10",Input!$G:$G,"&lt;=20"),0))/1000000</f>
        <v>0</v>
      </c>
      <c r="R27" s="72">
        <f>(ROUND(SUMIFS(Input!$I:$I,Input!$H:$H,'1.CC Transition risk-Banking b.'!$A27&amp;"*",Input!$E:$E,'1.CC Transition risk-Banking b.'!R$63,Input!$G:$G,"&gt;20")
+ SUMIFS(Input!$I:$I,Input!$H:$H,'1.CC Transition risk-Banking b.'!$A27&amp;"*",Input!$E:$E,'1.CC Transition risk-Banking b.'!R$63,Input!$G:$G,"-2")
+ SUMIFS(Input!$I:$I,Input!$H:$H,'1.CC Transition risk-Banking b.'!$A27&amp;"*",Input!$E:$E,'1.CC Transition risk-Banking b.'!R$63,Input!$G:$G,"-3"),0))/1000000</f>
        <v>0</v>
      </c>
      <c r="S27" s="73">
        <f>ROUND(IFERROR((SUMIFS(Input!$Q:$Q,Input!$H:$H,'1.CC Transition risk-Banking b.'!$A27&amp;"*",Input!$E:$E,'1.CC Transition risk-Banking b.'!S$63,Input!$G:$G,"&gt;0")/1000000)/'1.CC Transition risk-Banking b.'!$D27,0),0)</f>
        <v>0</v>
      </c>
    </row>
    <row r="28" spans="1:19">
      <c r="A28" s="82" t="s">
        <v>124</v>
      </c>
      <c r="B28" s="53">
        <v>23</v>
      </c>
      <c r="C28" s="56" t="s">
        <v>125</v>
      </c>
      <c r="D28" s="70">
        <f>(ROUND(SUMIFS(Input!$I:$I,Input!$H:$H,'1.CC Transition risk-Banking b.'!$A28&amp;"*",Input!$E:$E,'1.CC Transition risk-Banking b.'!$D$63),0))/1000000</f>
        <v>0</v>
      </c>
      <c r="E28" s="70">
        <f>(ROUND(SUMIFS(Input!$I:$I,Input!$H:$H,'1.CC Transition risk-Banking b.'!$A28&amp;"*",Input!$E:$E,'1.CC Transition risk-Banking b.'!$E$63,Input!$F:$F,'1.CC Transition risk-Banking b.'!$E$64),0))/1000000</f>
        <v>0</v>
      </c>
      <c r="F28" s="70">
        <f>(ROUND(SUMIFS(Input!$P:$P,Input!$H:$H,'1.CC Transition risk-Banking b.'!$A28&amp;"*",Input!$E:$E,'1.CC Transition risk-Banking b.'!$E$63,Input!$O:$O,'1.CC Transition risk-Banking b.'!$F$63),0))/1000000</f>
        <v>0</v>
      </c>
      <c r="G28" s="70">
        <f>(ROUND(SUMIFS(Input!$I:$I,Input!$H:$H,'1.CC Transition risk-Banking b.'!$A28&amp;"*",Input!$E:$E,'1.CC Transition risk-Banking b.'!$G$63,Input!$C:$C,'1.CC Transition risk-Banking b.'!$G$64),0))/1000000</f>
        <v>0</v>
      </c>
      <c r="H28" s="70">
        <f>(ROUND(SUMIFS(Input!$I:$I,Input!$H:$H,'1.CC Transition risk-Banking b.'!$A28&amp;"*",Input!$E:$E,'1.CC Transition risk-Banking b.'!$H$63,Input!$C:$C,'1.CC Transition risk-Banking b.'!$H$64),0))/1000000</f>
        <v>0</v>
      </c>
      <c r="I28" s="70">
        <f>(ROUND(SUMIFS(Input!$I:$I,Input!$H:$H,'1.CC Transition risk-Banking b.'!$A28&amp;"*",Input!$E:$E,'1.CC Transition risk-Banking b.'!$I$63),0))/1000000</f>
        <v>0</v>
      </c>
      <c r="J28" s="70">
        <f>(ROUND(SUMIFS(Input!$I:$I,Input!$H:$H,'1.CC Transition risk-Banking b.'!$A28&amp;"*",Input!$E:$E,'1.CC Transition risk-Banking b.'!$J$63,Input!$C:$C,'1.CC Transition risk-Banking b.'!$J$64),0))/1000000</f>
        <v>0</v>
      </c>
      <c r="K28" s="70">
        <f>(ROUND(SUMIFS(Input!$I:$I,Input!$H:$H,'1.CC Transition risk-Banking b.'!$A28&amp;"*",Input!$E:$E,'1.CC Transition risk-Banking b.'!$K$63,Input!$C:$C,'1.CC Transition risk-Banking b.'!$K$64),0))/1000000</f>
        <v>0</v>
      </c>
      <c r="L28" s="71">
        <f>(ROUND(SUMIFS(Input!$J:$J,Input!$H:$H,'1.CC Transition risk-Banking b.'!$A28&amp;"*")
+ SUMIFS(Input!$L:$L,Input!$H:$H,'1.CC Transition risk-Banking b.'!$A28&amp;"*")
+SUMIFS(Input!$N:$N,Input!$H:$H,'1.CC Transition risk-Banking b.'!$A28&amp;"*"),0))/1</f>
        <v>0</v>
      </c>
      <c r="M28" s="71">
        <f>(ROUND(SUMIFS(Input!$N:$N,Input!$H:$H,'1.CC Transition risk-Banking b.'!$A28&amp;"*"),0))/1</f>
        <v>0</v>
      </c>
      <c r="N28" s="77">
        <f>IFERROR(AVERAGE(SUMIFS(Input!$I:$I,Input!$H:$H,'1.CC Transition risk-Banking b.'!$A28&amp;"*",Input!$R:$R,"SOUR1",Input!$E:$E,'1.CC Transition risk-Banking b.'!$O$63),
SUMIFS(Input!$I:$I,Input!$H:$H,'1.CC Transition risk-Banking b.'!$A28&amp;"*",Input!$S:$S,"SOUR1",Input!$E:$E,'1.CC Transition risk-Banking b.'!$O$63),
SUMIFS(Input!$I:$I,Input!$H:$H,'1.CC Transition risk-Banking b.'!$A28&amp;"*",Input!$T:$T,"SOUR1",Input!$E:$E,'1.CC Transition risk-Banking b.'!$O$63))/SUMIFS(Input!$I:$I,Input!$H:$H,'1.CC Transition risk-Banking b.'!$A28&amp;"*",Input!$E:$E,'1.CC Transition risk-Banking b.'!$O$63),0)</f>
        <v>0</v>
      </c>
      <c r="O28" s="72">
        <f>(ROUND(SUMIFS(Input!$I:$I,Input!$H:$H,'1.CC Transition risk-Banking b.'!$A28&amp;"*",Input!$E:$E,'1.CC Transition risk-Banking b.'!O$63,Input!$G:$G,"&gt;=0",Input!$G:$G,"&lt;=5")
+ SUMIFS(Input!$I:$I,Input!$H:$H,'1.CC Transition risk-Banking b.'!$A28&amp;"*",Input!$E:$E,'1.CC Transition risk-Banking b.'!O$63,Input!$G:$G,"-4")
+ SUMIFS(Input!$I:$I,Input!$H:$H,'1.CC Transition risk-Banking b.'!$A28&amp;"*",Input!$E:$E,'1.CC Transition risk-Banking b.'!O$63,Input!$G:$G,"-1"),0))/1000000</f>
        <v>0</v>
      </c>
      <c r="P28" s="72">
        <f>(ROUND(SUMIFS(Input!$I:$I,Input!$H:$H,'1.CC Transition risk-Banking b.'!$A28&amp;"*",Input!$E:$E,'1.CC Transition risk-Banking b.'!P$63,Input!$G:$G,"&gt;5",Input!$G:$G,"&lt;=10"),0))/1000000</f>
        <v>0</v>
      </c>
      <c r="Q28" s="72">
        <f>(ROUND(SUMIFS(Input!$I:$I,Input!$H:$H,'1.CC Transition risk-Banking b.'!$A28&amp;"*",Input!$E:$E,'1.CC Transition risk-Banking b.'!Q$63,Input!$G:$G,"&gt;10",Input!$G:$G,"&lt;=20"),0))/1000000</f>
        <v>0</v>
      </c>
      <c r="R28" s="72">
        <f>(ROUND(SUMIFS(Input!$I:$I,Input!$H:$H,'1.CC Transition risk-Banking b.'!$A28&amp;"*",Input!$E:$E,'1.CC Transition risk-Banking b.'!R$63,Input!$G:$G,"&gt;20")
+ SUMIFS(Input!$I:$I,Input!$H:$H,'1.CC Transition risk-Banking b.'!$A28&amp;"*",Input!$E:$E,'1.CC Transition risk-Banking b.'!R$63,Input!$G:$G,"-2")
+ SUMIFS(Input!$I:$I,Input!$H:$H,'1.CC Transition risk-Banking b.'!$A28&amp;"*",Input!$E:$E,'1.CC Transition risk-Banking b.'!R$63,Input!$G:$G,"-3"),0))/1000000</f>
        <v>0</v>
      </c>
      <c r="S28" s="73">
        <f>ROUND(IFERROR((SUMIFS(Input!$Q:$Q,Input!$H:$H,'1.CC Transition risk-Banking b.'!$A28&amp;"*",Input!$E:$E,'1.CC Transition risk-Banking b.'!S$63,Input!$G:$G,"&gt;0")/1000000)/'1.CC Transition risk-Banking b.'!$D28,0),0)</f>
        <v>0</v>
      </c>
    </row>
    <row r="29" spans="1:19">
      <c r="A29" s="82" t="s">
        <v>126</v>
      </c>
      <c r="B29" s="53">
        <v>24</v>
      </c>
      <c r="C29" s="56" t="s">
        <v>127</v>
      </c>
      <c r="D29" s="70">
        <f>(ROUND(SUMIFS(Input!$I:$I,Input!$H:$H,'1.CC Transition risk-Banking b.'!$A29&amp;"*",Input!$E:$E,'1.CC Transition risk-Banking b.'!$D$63),0))/1000000</f>
        <v>0</v>
      </c>
      <c r="E29" s="70">
        <f>(ROUND(SUMIFS(Input!$I:$I,Input!$H:$H,'1.CC Transition risk-Banking b.'!$A29&amp;"*",Input!$E:$E,'1.CC Transition risk-Banking b.'!$E$63,Input!$F:$F,'1.CC Transition risk-Banking b.'!$E$64),0))/1000000</f>
        <v>0</v>
      </c>
      <c r="F29" s="70">
        <f>(ROUND(SUMIFS(Input!$P:$P,Input!$H:$H,'1.CC Transition risk-Banking b.'!$A29&amp;"*",Input!$E:$E,'1.CC Transition risk-Banking b.'!$E$63,Input!$O:$O,'1.CC Transition risk-Banking b.'!$F$63),0))/1000000</f>
        <v>0</v>
      </c>
      <c r="G29" s="70">
        <f>(ROUND(SUMIFS(Input!$I:$I,Input!$H:$H,'1.CC Transition risk-Banking b.'!$A29&amp;"*",Input!$E:$E,'1.CC Transition risk-Banking b.'!$G$63,Input!$C:$C,'1.CC Transition risk-Banking b.'!$G$64),0))/1000000</f>
        <v>0</v>
      </c>
      <c r="H29" s="70">
        <f>(ROUND(SUMIFS(Input!$I:$I,Input!$H:$H,'1.CC Transition risk-Banking b.'!$A29&amp;"*",Input!$E:$E,'1.CC Transition risk-Banking b.'!$H$63,Input!$C:$C,'1.CC Transition risk-Banking b.'!$H$64),0))/1000000</f>
        <v>0</v>
      </c>
      <c r="I29" s="70">
        <f>(ROUND(SUMIFS(Input!$I:$I,Input!$H:$H,'1.CC Transition risk-Banking b.'!$A29&amp;"*",Input!$E:$E,'1.CC Transition risk-Banking b.'!$I$63),0))/1000000</f>
        <v>0</v>
      </c>
      <c r="J29" s="70">
        <f>(ROUND(SUMIFS(Input!$I:$I,Input!$H:$H,'1.CC Transition risk-Banking b.'!$A29&amp;"*",Input!$E:$E,'1.CC Transition risk-Banking b.'!$J$63,Input!$C:$C,'1.CC Transition risk-Banking b.'!$J$64),0))/1000000</f>
        <v>0</v>
      </c>
      <c r="K29" s="70">
        <f>(ROUND(SUMIFS(Input!$I:$I,Input!$H:$H,'1.CC Transition risk-Banking b.'!$A29&amp;"*",Input!$E:$E,'1.CC Transition risk-Banking b.'!$K$63,Input!$C:$C,'1.CC Transition risk-Banking b.'!$K$64),0))/1000000</f>
        <v>0</v>
      </c>
      <c r="L29" s="71">
        <f>(ROUND(SUMIFS(Input!$J:$J,Input!$H:$H,'1.CC Transition risk-Banking b.'!$A29&amp;"*")
+ SUMIFS(Input!$L:$L,Input!$H:$H,'1.CC Transition risk-Banking b.'!$A29&amp;"*")
+SUMIFS(Input!$N:$N,Input!$H:$H,'1.CC Transition risk-Banking b.'!$A29&amp;"*"),0))/1</f>
        <v>0</v>
      </c>
      <c r="M29" s="71">
        <f>(ROUND(SUMIFS(Input!$N:$N,Input!$H:$H,'1.CC Transition risk-Banking b.'!$A29&amp;"*"),0))/1</f>
        <v>0</v>
      </c>
      <c r="N29" s="77">
        <f>IFERROR(AVERAGE(SUMIFS(Input!$I:$I,Input!$H:$H,'1.CC Transition risk-Banking b.'!$A29&amp;"*",Input!$R:$R,"SOUR1",Input!$E:$E,'1.CC Transition risk-Banking b.'!$O$63),
SUMIFS(Input!$I:$I,Input!$H:$H,'1.CC Transition risk-Banking b.'!$A29&amp;"*",Input!$S:$S,"SOUR1",Input!$E:$E,'1.CC Transition risk-Banking b.'!$O$63),
SUMIFS(Input!$I:$I,Input!$H:$H,'1.CC Transition risk-Banking b.'!$A29&amp;"*",Input!$T:$T,"SOUR1",Input!$E:$E,'1.CC Transition risk-Banking b.'!$O$63))/SUMIFS(Input!$I:$I,Input!$H:$H,'1.CC Transition risk-Banking b.'!$A29&amp;"*",Input!$E:$E,'1.CC Transition risk-Banking b.'!$O$63),0)</f>
        <v>0</v>
      </c>
      <c r="O29" s="72">
        <f>(ROUND(SUMIFS(Input!$I:$I,Input!$H:$H,'1.CC Transition risk-Banking b.'!$A29&amp;"*",Input!$E:$E,'1.CC Transition risk-Banking b.'!O$63,Input!$G:$G,"&gt;=0",Input!$G:$G,"&lt;=5")
+ SUMIFS(Input!$I:$I,Input!$H:$H,'1.CC Transition risk-Banking b.'!$A29&amp;"*",Input!$E:$E,'1.CC Transition risk-Banking b.'!O$63,Input!$G:$G,"-4")
+ SUMIFS(Input!$I:$I,Input!$H:$H,'1.CC Transition risk-Banking b.'!$A29&amp;"*",Input!$E:$E,'1.CC Transition risk-Banking b.'!O$63,Input!$G:$G,"-1"),0))/1000000</f>
        <v>0</v>
      </c>
      <c r="P29" s="72">
        <f>(ROUND(SUMIFS(Input!$I:$I,Input!$H:$H,'1.CC Transition risk-Banking b.'!$A29&amp;"*",Input!$E:$E,'1.CC Transition risk-Banking b.'!P$63,Input!$G:$G,"&gt;5",Input!$G:$G,"&lt;=10"),0))/1000000</f>
        <v>0</v>
      </c>
      <c r="Q29" s="72">
        <f>(ROUND(SUMIFS(Input!$I:$I,Input!$H:$H,'1.CC Transition risk-Banking b.'!$A29&amp;"*",Input!$E:$E,'1.CC Transition risk-Banking b.'!Q$63,Input!$G:$G,"&gt;10",Input!$G:$G,"&lt;=20"),0))/1000000</f>
        <v>0</v>
      </c>
      <c r="R29" s="72">
        <f>(ROUND(SUMIFS(Input!$I:$I,Input!$H:$H,'1.CC Transition risk-Banking b.'!$A29&amp;"*",Input!$E:$E,'1.CC Transition risk-Banking b.'!R$63,Input!$G:$G,"&gt;20")
+ SUMIFS(Input!$I:$I,Input!$H:$H,'1.CC Transition risk-Banking b.'!$A29&amp;"*",Input!$E:$E,'1.CC Transition risk-Banking b.'!R$63,Input!$G:$G,"-2")
+ SUMIFS(Input!$I:$I,Input!$H:$H,'1.CC Transition risk-Banking b.'!$A29&amp;"*",Input!$E:$E,'1.CC Transition risk-Banking b.'!R$63,Input!$G:$G,"-3"),0))/1000000</f>
        <v>0</v>
      </c>
      <c r="S29" s="73">
        <f>ROUND(IFERROR((SUMIFS(Input!$Q:$Q,Input!$H:$H,'1.CC Transition risk-Banking b.'!$A29&amp;"*",Input!$E:$E,'1.CC Transition risk-Banking b.'!S$63,Input!$G:$G,"&gt;0")/1000000)/'1.CC Transition risk-Banking b.'!$D29,0),0)</f>
        <v>0</v>
      </c>
    </row>
    <row r="30" spans="1:19">
      <c r="A30" s="82" t="s">
        <v>128</v>
      </c>
      <c r="B30" s="53">
        <v>25</v>
      </c>
      <c r="C30" s="56" t="s">
        <v>129</v>
      </c>
      <c r="D30" s="70">
        <f>(ROUND(SUMIFS(Input!$I:$I,Input!$H:$H,'1.CC Transition risk-Banking b.'!$A30&amp;"*",Input!$E:$E,'1.CC Transition risk-Banking b.'!$D$63),0))/1000000</f>
        <v>0</v>
      </c>
      <c r="E30" s="70">
        <f>(ROUND(SUMIFS(Input!$I:$I,Input!$H:$H,'1.CC Transition risk-Banking b.'!$A30&amp;"*",Input!$E:$E,'1.CC Transition risk-Banking b.'!$E$63,Input!$F:$F,'1.CC Transition risk-Banking b.'!$E$64),0))/1000000</f>
        <v>0</v>
      </c>
      <c r="F30" s="70">
        <f>(ROUND(SUMIFS(Input!$P:$P,Input!$H:$H,'1.CC Transition risk-Banking b.'!$A30&amp;"*",Input!$E:$E,'1.CC Transition risk-Banking b.'!$E$63,Input!$O:$O,'1.CC Transition risk-Banking b.'!$F$63),0))/1000000</f>
        <v>0</v>
      </c>
      <c r="G30" s="70">
        <f>(ROUND(SUMIFS(Input!$I:$I,Input!$H:$H,'1.CC Transition risk-Banking b.'!$A30&amp;"*",Input!$E:$E,'1.CC Transition risk-Banking b.'!$G$63,Input!$C:$C,'1.CC Transition risk-Banking b.'!$G$64),0))/1000000</f>
        <v>0</v>
      </c>
      <c r="H30" s="70">
        <f>(ROUND(SUMIFS(Input!$I:$I,Input!$H:$H,'1.CC Transition risk-Banking b.'!$A30&amp;"*",Input!$E:$E,'1.CC Transition risk-Banking b.'!$H$63,Input!$C:$C,'1.CC Transition risk-Banking b.'!$H$64),0))/1000000</f>
        <v>0</v>
      </c>
      <c r="I30" s="70">
        <f>(ROUND(SUMIFS(Input!$I:$I,Input!$H:$H,'1.CC Transition risk-Banking b.'!$A30&amp;"*",Input!$E:$E,'1.CC Transition risk-Banking b.'!$I$63),0))/1000000</f>
        <v>0</v>
      </c>
      <c r="J30" s="70">
        <f>(ROUND(SUMIFS(Input!$I:$I,Input!$H:$H,'1.CC Transition risk-Banking b.'!$A30&amp;"*",Input!$E:$E,'1.CC Transition risk-Banking b.'!$J$63,Input!$C:$C,'1.CC Transition risk-Banking b.'!$J$64),0))/1000000</f>
        <v>0</v>
      </c>
      <c r="K30" s="70">
        <f>(ROUND(SUMIFS(Input!$I:$I,Input!$H:$H,'1.CC Transition risk-Banking b.'!$A30&amp;"*",Input!$E:$E,'1.CC Transition risk-Banking b.'!$K$63,Input!$C:$C,'1.CC Transition risk-Banking b.'!$K$64),0))/1000000</f>
        <v>0</v>
      </c>
      <c r="L30" s="71">
        <f>(ROUND(SUMIFS(Input!$J:$J,Input!$H:$H,'1.CC Transition risk-Banking b.'!$A30&amp;"*")
+ SUMIFS(Input!$L:$L,Input!$H:$H,'1.CC Transition risk-Banking b.'!$A30&amp;"*")
+SUMIFS(Input!$N:$N,Input!$H:$H,'1.CC Transition risk-Banking b.'!$A30&amp;"*"),0))/1</f>
        <v>0</v>
      </c>
      <c r="M30" s="71">
        <f>(ROUND(SUMIFS(Input!$N:$N,Input!$H:$H,'1.CC Transition risk-Banking b.'!$A30&amp;"*"),0))/1</f>
        <v>0</v>
      </c>
      <c r="N30" s="77">
        <f>IFERROR(AVERAGE(SUMIFS(Input!$I:$I,Input!$H:$H,'1.CC Transition risk-Banking b.'!$A30&amp;"*",Input!$R:$R,"SOUR1",Input!$E:$E,'1.CC Transition risk-Banking b.'!$O$63),
SUMIFS(Input!$I:$I,Input!$H:$H,'1.CC Transition risk-Banking b.'!$A30&amp;"*",Input!$S:$S,"SOUR1",Input!$E:$E,'1.CC Transition risk-Banking b.'!$O$63),
SUMIFS(Input!$I:$I,Input!$H:$H,'1.CC Transition risk-Banking b.'!$A30&amp;"*",Input!$T:$T,"SOUR1",Input!$E:$E,'1.CC Transition risk-Banking b.'!$O$63))/SUMIFS(Input!$I:$I,Input!$H:$H,'1.CC Transition risk-Banking b.'!$A30&amp;"*",Input!$E:$E,'1.CC Transition risk-Banking b.'!$O$63),0)</f>
        <v>0</v>
      </c>
      <c r="O30" s="72">
        <f>(ROUND(SUMIFS(Input!$I:$I,Input!$H:$H,'1.CC Transition risk-Banking b.'!$A30&amp;"*",Input!$E:$E,'1.CC Transition risk-Banking b.'!O$63,Input!$G:$G,"&gt;=0",Input!$G:$G,"&lt;=5")
+ SUMIFS(Input!$I:$I,Input!$H:$H,'1.CC Transition risk-Banking b.'!$A30&amp;"*",Input!$E:$E,'1.CC Transition risk-Banking b.'!O$63,Input!$G:$G,"-4")
+ SUMIFS(Input!$I:$I,Input!$H:$H,'1.CC Transition risk-Banking b.'!$A30&amp;"*",Input!$E:$E,'1.CC Transition risk-Banking b.'!O$63,Input!$G:$G,"-1"),0))/1000000</f>
        <v>0</v>
      </c>
      <c r="P30" s="72">
        <f>(ROUND(SUMIFS(Input!$I:$I,Input!$H:$H,'1.CC Transition risk-Banking b.'!$A30&amp;"*",Input!$E:$E,'1.CC Transition risk-Banking b.'!P$63,Input!$G:$G,"&gt;5",Input!$G:$G,"&lt;=10"),0))/1000000</f>
        <v>0</v>
      </c>
      <c r="Q30" s="72">
        <f>(ROUND(SUMIFS(Input!$I:$I,Input!$H:$H,'1.CC Transition risk-Banking b.'!$A30&amp;"*",Input!$E:$E,'1.CC Transition risk-Banking b.'!Q$63,Input!$G:$G,"&gt;10",Input!$G:$G,"&lt;=20"),0))/1000000</f>
        <v>0</v>
      </c>
      <c r="R30" s="72">
        <f>(ROUND(SUMIFS(Input!$I:$I,Input!$H:$H,'1.CC Transition risk-Banking b.'!$A30&amp;"*",Input!$E:$E,'1.CC Transition risk-Banking b.'!R$63,Input!$G:$G,"&gt;20")
+ SUMIFS(Input!$I:$I,Input!$H:$H,'1.CC Transition risk-Banking b.'!$A30&amp;"*",Input!$E:$E,'1.CC Transition risk-Banking b.'!R$63,Input!$G:$G,"-2")
+ SUMIFS(Input!$I:$I,Input!$H:$H,'1.CC Transition risk-Banking b.'!$A30&amp;"*",Input!$E:$E,'1.CC Transition risk-Banking b.'!R$63,Input!$G:$G,"-3"),0))/1000000</f>
        <v>0</v>
      </c>
      <c r="S30" s="73">
        <f>ROUND(IFERROR((SUMIFS(Input!$Q:$Q,Input!$H:$H,'1.CC Transition risk-Banking b.'!$A30&amp;"*",Input!$E:$E,'1.CC Transition risk-Banking b.'!S$63,Input!$G:$G,"&gt;0")/1000000)/'1.CC Transition risk-Banking b.'!$D30,0),0)</f>
        <v>0</v>
      </c>
    </row>
    <row r="31" spans="1:19">
      <c r="A31" s="82" t="s">
        <v>130</v>
      </c>
      <c r="B31" s="53">
        <v>26</v>
      </c>
      <c r="C31" s="56" t="s">
        <v>131</v>
      </c>
      <c r="D31" s="70">
        <f>(ROUND(SUMIFS(Input!$I:$I,Input!$H:$H,'1.CC Transition risk-Banking b.'!$A31&amp;"*",Input!$E:$E,'1.CC Transition risk-Banking b.'!$D$63),0))/1000000</f>
        <v>0</v>
      </c>
      <c r="E31" s="70">
        <f>(ROUND(SUMIFS(Input!$I:$I,Input!$H:$H,'1.CC Transition risk-Banking b.'!$A31&amp;"*",Input!$E:$E,'1.CC Transition risk-Banking b.'!$E$63,Input!$F:$F,'1.CC Transition risk-Banking b.'!$E$64),0))/1000000</f>
        <v>0</v>
      </c>
      <c r="F31" s="70">
        <f>(ROUND(SUMIFS(Input!$P:$P,Input!$H:$H,'1.CC Transition risk-Banking b.'!$A31&amp;"*",Input!$E:$E,'1.CC Transition risk-Banking b.'!$E$63,Input!$O:$O,'1.CC Transition risk-Banking b.'!$F$63),0))/1000000</f>
        <v>0</v>
      </c>
      <c r="G31" s="70">
        <f>(ROUND(SUMIFS(Input!$I:$I,Input!$H:$H,'1.CC Transition risk-Banking b.'!$A31&amp;"*",Input!$E:$E,'1.CC Transition risk-Banking b.'!$G$63,Input!$C:$C,'1.CC Transition risk-Banking b.'!$G$64),0))/1000000</f>
        <v>0</v>
      </c>
      <c r="H31" s="70">
        <f>(ROUND(SUMIFS(Input!$I:$I,Input!$H:$H,'1.CC Transition risk-Banking b.'!$A31&amp;"*",Input!$E:$E,'1.CC Transition risk-Banking b.'!$H$63,Input!$C:$C,'1.CC Transition risk-Banking b.'!$H$64),0))/1000000</f>
        <v>0</v>
      </c>
      <c r="I31" s="70">
        <f>(ROUND(SUMIFS(Input!$I:$I,Input!$H:$H,'1.CC Transition risk-Banking b.'!$A31&amp;"*",Input!$E:$E,'1.CC Transition risk-Banking b.'!$I$63),0))/1000000</f>
        <v>0</v>
      </c>
      <c r="J31" s="70">
        <f>(ROUND(SUMIFS(Input!$I:$I,Input!$H:$H,'1.CC Transition risk-Banking b.'!$A31&amp;"*",Input!$E:$E,'1.CC Transition risk-Banking b.'!$J$63,Input!$C:$C,'1.CC Transition risk-Banking b.'!$J$64),0))/1000000</f>
        <v>0</v>
      </c>
      <c r="K31" s="70">
        <f>(ROUND(SUMIFS(Input!$I:$I,Input!$H:$H,'1.CC Transition risk-Banking b.'!$A31&amp;"*",Input!$E:$E,'1.CC Transition risk-Banking b.'!$K$63,Input!$C:$C,'1.CC Transition risk-Banking b.'!$K$64),0))/1000000</f>
        <v>0</v>
      </c>
      <c r="L31" s="71">
        <f>(ROUND(SUMIFS(Input!$J:$J,Input!$H:$H,'1.CC Transition risk-Banking b.'!$A31&amp;"*")
+ SUMIFS(Input!$L:$L,Input!$H:$H,'1.CC Transition risk-Banking b.'!$A31&amp;"*")
+SUMIFS(Input!$N:$N,Input!$H:$H,'1.CC Transition risk-Banking b.'!$A31&amp;"*"),0))/1</f>
        <v>0</v>
      </c>
      <c r="M31" s="71">
        <f>(ROUND(SUMIFS(Input!$N:$N,Input!$H:$H,'1.CC Transition risk-Banking b.'!$A31&amp;"*"),0))/1</f>
        <v>0</v>
      </c>
      <c r="N31" s="77">
        <f>IFERROR(AVERAGE(SUMIFS(Input!$I:$I,Input!$H:$H,'1.CC Transition risk-Banking b.'!$A31&amp;"*",Input!$R:$R,"SOUR1",Input!$E:$E,'1.CC Transition risk-Banking b.'!$O$63),
SUMIFS(Input!$I:$I,Input!$H:$H,'1.CC Transition risk-Banking b.'!$A31&amp;"*",Input!$S:$S,"SOUR1",Input!$E:$E,'1.CC Transition risk-Banking b.'!$O$63),
SUMIFS(Input!$I:$I,Input!$H:$H,'1.CC Transition risk-Banking b.'!$A31&amp;"*",Input!$T:$T,"SOUR1",Input!$E:$E,'1.CC Transition risk-Banking b.'!$O$63))/SUMIFS(Input!$I:$I,Input!$H:$H,'1.CC Transition risk-Banking b.'!$A31&amp;"*",Input!$E:$E,'1.CC Transition risk-Banking b.'!$O$63),0)</f>
        <v>0</v>
      </c>
      <c r="O31" s="72">
        <f>(ROUND(SUMIFS(Input!$I:$I,Input!$H:$H,'1.CC Transition risk-Banking b.'!$A31&amp;"*",Input!$E:$E,'1.CC Transition risk-Banking b.'!O$63,Input!$G:$G,"&gt;=0",Input!$G:$G,"&lt;=5")
+ SUMIFS(Input!$I:$I,Input!$H:$H,'1.CC Transition risk-Banking b.'!$A31&amp;"*",Input!$E:$E,'1.CC Transition risk-Banking b.'!O$63,Input!$G:$G,"-4")
+ SUMIFS(Input!$I:$I,Input!$H:$H,'1.CC Transition risk-Banking b.'!$A31&amp;"*",Input!$E:$E,'1.CC Transition risk-Banking b.'!O$63,Input!$G:$G,"-1"),0))/1000000</f>
        <v>0</v>
      </c>
      <c r="P31" s="72">
        <f>(ROUND(SUMIFS(Input!$I:$I,Input!$H:$H,'1.CC Transition risk-Banking b.'!$A31&amp;"*",Input!$E:$E,'1.CC Transition risk-Banking b.'!P$63,Input!$G:$G,"&gt;5",Input!$G:$G,"&lt;=10"),0))/1000000</f>
        <v>0</v>
      </c>
      <c r="Q31" s="72">
        <f>(ROUND(SUMIFS(Input!$I:$I,Input!$H:$H,'1.CC Transition risk-Banking b.'!$A31&amp;"*",Input!$E:$E,'1.CC Transition risk-Banking b.'!Q$63,Input!$G:$G,"&gt;10",Input!$G:$G,"&lt;=20"),0))/1000000</f>
        <v>0</v>
      </c>
      <c r="R31" s="72">
        <f>(ROUND(SUMIFS(Input!$I:$I,Input!$H:$H,'1.CC Transition risk-Banking b.'!$A31&amp;"*",Input!$E:$E,'1.CC Transition risk-Banking b.'!R$63,Input!$G:$G,"&gt;20")
+ SUMIFS(Input!$I:$I,Input!$H:$H,'1.CC Transition risk-Banking b.'!$A31&amp;"*",Input!$E:$E,'1.CC Transition risk-Banking b.'!R$63,Input!$G:$G,"-2")
+ SUMIFS(Input!$I:$I,Input!$H:$H,'1.CC Transition risk-Banking b.'!$A31&amp;"*",Input!$E:$E,'1.CC Transition risk-Banking b.'!R$63,Input!$G:$G,"-3"),0))/1000000</f>
        <v>0</v>
      </c>
      <c r="S31" s="73">
        <f>ROUND(IFERROR((SUMIFS(Input!$Q:$Q,Input!$H:$H,'1.CC Transition risk-Banking b.'!$A31&amp;"*",Input!$E:$E,'1.CC Transition risk-Banking b.'!S$63,Input!$G:$G,"&gt;0")/1000000)/'1.CC Transition risk-Banking b.'!$D31,0),0)</f>
        <v>0</v>
      </c>
    </row>
    <row r="32" spans="1:19">
      <c r="A32" s="82" t="s">
        <v>132</v>
      </c>
      <c r="B32" s="53">
        <v>27</v>
      </c>
      <c r="C32" s="56" t="s">
        <v>133</v>
      </c>
      <c r="D32" s="70">
        <f>(ROUND(SUMIFS(Input!$I:$I,Input!$H:$H,'1.CC Transition risk-Banking b.'!$A32&amp;"*",Input!$E:$E,'1.CC Transition risk-Banking b.'!$D$63),0))/1000000</f>
        <v>0</v>
      </c>
      <c r="E32" s="70">
        <f>(ROUND(SUMIFS(Input!$I:$I,Input!$H:$H,'1.CC Transition risk-Banking b.'!$A32&amp;"*",Input!$E:$E,'1.CC Transition risk-Banking b.'!$E$63,Input!$F:$F,'1.CC Transition risk-Banking b.'!$E$64),0))/1000000</f>
        <v>0</v>
      </c>
      <c r="F32" s="70">
        <f>(ROUND(SUMIFS(Input!$P:$P,Input!$H:$H,'1.CC Transition risk-Banking b.'!$A32&amp;"*",Input!$E:$E,'1.CC Transition risk-Banking b.'!$E$63,Input!$O:$O,'1.CC Transition risk-Banking b.'!$F$63),0))/1000000</f>
        <v>0</v>
      </c>
      <c r="G32" s="70">
        <f>(ROUND(SUMIFS(Input!$I:$I,Input!$H:$H,'1.CC Transition risk-Banking b.'!$A32&amp;"*",Input!$E:$E,'1.CC Transition risk-Banking b.'!$G$63,Input!$C:$C,'1.CC Transition risk-Banking b.'!$G$64),0))/1000000</f>
        <v>0</v>
      </c>
      <c r="H32" s="70">
        <f>(ROUND(SUMIFS(Input!$I:$I,Input!$H:$H,'1.CC Transition risk-Banking b.'!$A32&amp;"*",Input!$E:$E,'1.CC Transition risk-Banking b.'!$H$63,Input!$C:$C,'1.CC Transition risk-Banking b.'!$H$64),0))/1000000</f>
        <v>0</v>
      </c>
      <c r="I32" s="70">
        <f>(ROUND(SUMIFS(Input!$I:$I,Input!$H:$H,'1.CC Transition risk-Banking b.'!$A32&amp;"*",Input!$E:$E,'1.CC Transition risk-Banking b.'!$I$63),0))/1000000</f>
        <v>0</v>
      </c>
      <c r="J32" s="70">
        <f>(ROUND(SUMIFS(Input!$I:$I,Input!$H:$H,'1.CC Transition risk-Banking b.'!$A32&amp;"*",Input!$E:$E,'1.CC Transition risk-Banking b.'!$J$63,Input!$C:$C,'1.CC Transition risk-Banking b.'!$J$64),0))/1000000</f>
        <v>0</v>
      </c>
      <c r="K32" s="70">
        <f>(ROUND(SUMIFS(Input!$I:$I,Input!$H:$H,'1.CC Transition risk-Banking b.'!$A32&amp;"*",Input!$E:$E,'1.CC Transition risk-Banking b.'!$K$63,Input!$C:$C,'1.CC Transition risk-Banking b.'!$K$64),0))/1000000</f>
        <v>0</v>
      </c>
      <c r="L32" s="71">
        <f>(ROUND(SUMIFS(Input!$J:$J,Input!$H:$H,'1.CC Transition risk-Banking b.'!$A32&amp;"*")
+ SUMIFS(Input!$L:$L,Input!$H:$H,'1.CC Transition risk-Banking b.'!$A32&amp;"*")
+SUMIFS(Input!$N:$N,Input!$H:$H,'1.CC Transition risk-Banking b.'!$A32&amp;"*"),0))/1</f>
        <v>0</v>
      </c>
      <c r="M32" s="71">
        <f>(ROUND(SUMIFS(Input!$N:$N,Input!$H:$H,'1.CC Transition risk-Banking b.'!$A32&amp;"*"),0))/1</f>
        <v>0</v>
      </c>
      <c r="N32" s="77">
        <f>IFERROR(AVERAGE(SUMIFS(Input!$I:$I,Input!$H:$H,'1.CC Transition risk-Banking b.'!$A32&amp;"*",Input!$R:$R,"SOUR1",Input!$E:$E,'1.CC Transition risk-Banking b.'!$O$63),
SUMIFS(Input!$I:$I,Input!$H:$H,'1.CC Transition risk-Banking b.'!$A32&amp;"*",Input!$S:$S,"SOUR1",Input!$E:$E,'1.CC Transition risk-Banking b.'!$O$63),
SUMIFS(Input!$I:$I,Input!$H:$H,'1.CC Transition risk-Banking b.'!$A32&amp;"*",Input!$T:$T,"SOUR1",Input!$E:$E,'1.CC Transition risk-Banking b.'!$O$63))/SUMIFS(Input!$I:$I,Input!$H:$H,'1.CC Transition risk-Banking b.'!$A32&amp;"*",Input!$E:$E,'1.CC Transition risk-Banking b.'!$O$63),0)</f>
        <v>0</v>
      </c>
      <c r="O32" s="72">
        <f>(ROUND(SUMIFS(Input!$I:$I,Input!$H:$H,'1.CC Transition risk-Banking b.'!$A32&amp;"*",Input!$E:$E,'1.CC Transition risk-Banking b.'!O$63,Input!$G:$G,"&gt;=0",Input!$G:$G,"&lt;=5")
+ SUMIFS(Input!$I:$I,Input!$H:$H,'1.CC Transition risk-Banking b.'!$A32&amp;"*",Input!$E:$E,'1.CC Transition risk-Banking b.'!O$63,Input!$G:$G,"-4")
+ SUMIFS(Input!$I:$I,Input!$H:$H,'1.CC Transition risk-Banking b.'!$A32&amp;"*",Input!$E:$E,'1.CC Transition risk-Banking b.'!O$63,Input!$G:$G,"-1"),0))/1000000</f>
        <v>0</v>
      </c>
      <c r="P32" s="72">
        <f>(ROUND(SUMIFS(Input!$I:$I,Input!$H:$H,'1.CC Transition risk-Banking b.'!$A32&amp;"*",Input!$E:$E,'1.CC Transition risk-Banking b.'!P$63,Input!$G:$G,"&gt;5",Input!$G:$G,"&lt;=10"),0))/1000000</f>
        <v>0</v>
      </c>
      <c r="Q32" s="72">
        <f>(ROUND(SUMIFS(Input!$I:$I,Input!$H:$H,'1.CC Transition risk-Banking b.'!$A32&amp;"*",Input!$E:$E,'1.CC Transition risk-Banking b.'!Q$63,Input!$G:$G,"&gt;10",Input!$G:$G,"&lt;=20"),0))/1000000</f>
        <v>0</v>
      </c>
      <c r="R32" s="72">
        <f>(ROUND(SUMIFS(Input!$I:$I,Input!$H:$H,'1.CC Transition risk-Banking b.'!$A32&amp;"*",Input!$E:$E,'1.CC Transition risk-Banking b.'!R$63,Input!$G:$G,"&gt;20")
+ SUMIFS(Input!$I:$I,Input!$H:$H,'1.CC Transition risk-Banking b.'!$A32&amp;"*",Input!$E:$E,'1.CC Transition risk-Banking b.'!R$63,Input!$G:$G,"-2")
+ SUMIFS(Input!$I:$I,Input!$H:$H,'1.CC Transition risk-Banking b.'!$A32&amp;"*",Input!$E:$E,'1.CC Transition risk-Banking b.'!R$63,Input!$G:$G,"-3"),0))/1000000</f>
        <v>0</v>
      </c>
      <c r="S32" s="73">
        <f>ROUND(IFERROR((SUMIFS(Input!$Q:$Q,Input!$H:$H,'1.CC Transition risk-Banking b.'!$A32&amp;"*",Input!$E:$E,'1.CC Transition risk-Banking b.'!S$63,Input!$G:$G,"&gt;0")/1000000)/'1.CC Transition risk-Banking b.'!$D32,0),0)</f>
        <v>0</v>
      </c>
    </row>
    <row r="33" spans="1:19">
      <c r="A33" s="82" t="s">
        <v>134</v>
      </c>
      <c r="B33" s="53">
        <v>28</v>
      </c>
      <c r="C33" s="56" t="s">
        <v>135</v>
      </c>
      <c r="D33" s="70">
        <f>(ROUND(SUMIFS(Input!$I:$I,Input!$H:$H,'1.CC Transition risk-Banking b.'!$A33&amp;"*",Input!$E:$E,'1.CC Transition risk-Banking b.'!$D$63),0))/1000000</f>
        <v>0</v>
      </c>
      <c r="E33" s="70">
        <f>(ROUND(SUMIFS(Input!$I:$I,Input!$H:$H,'1.CC Transition risk-Banking b.'!$A33&amp;"*",Input!$E:$E,'1.CC Transition risk-Banking b.'!$E$63,Input!$F:$F,'1.CC Transition risk-Banking b.'!$E$64),0))/1000000</f>
        <v>0</v>
      </c>
      <c r="F33" s="70">
        <f>(ROUND(SUMIFS(Input!$P:$P,Input!$H:$H,'1.CC Transition risk-Banking b.'!$A33&amp;"*",Input!$E:$E,'1.CC Transition risk-Banking b.'!$E$63,Input!$O:$O,'1.CC Transition risk-Banking b.'!$F$63),0))/1000000</f>
        <v>0</v>
      </c>
      <c r="G33" s="70">
        <f>(ROUND(SUMIFS(Input!$I:$I,Input!$H:$H,'1.CC Transition risk-Banking b.'!$A33&amp;"*",Input!$E:$E,'1.CC Transition risk-Banking b.'!$G$63,Input!$C:$C,'1.CC Transition risk-Banking b.'!$G$64),0))/1000000</f>
        <v>0</v>
      </c>
      <c r="H33" s="70">
        <f>(ROUND(SUMIFS(Input!$I:$I,Input!$H:$H,'1.CC Transition risk-Banking b.'!$A33&amp;"*",Input!$E:$E,'1.CC Transition risk-Banking b.'!$H$63,Input!$C:$C,'1.CC Transition risk-Banking b.'!$H$64),0))/1000000</f>
        <v>0</v>
      </c>
      <c r="I33" s="70">
        <f>(ROUND(SUMIFS(Input!$I:$I,Input!$H:$H,'1.CC Transition risk-Banking b.'!$A33&amp;"*",Input!$E:$E,'1.CC Transition risk-Banking b.'!$I$63),0))/1000000</f>
        <v>0</v>
      </c>
      <c r="J33" s="70">
        <f>(ROUND(SUMIFS(Input!$I:$I,Input!$H:$H,'1.CC Transition risk-Banking b.'!$A33&amp;"*",Input!$E:$E,'1.CC Transition risk-Banking b.'!$J$63,Input!$C:$C,'1.CC Transition risk-Banking b.'!$J$64),0))/1000000</f>
        <v>0</v>
      </c>
      <c r="K33" s="70">
        <f>(ROUND(SUMIFS(Input!$I:$I,Input!$H:$H,'1.CC Transition risk-Banking b.'!$A33&amp;"*",Input!$E:$E,'1.CC Transition risk-Banking b.'!$K$63,Input!$C:$C,'1.CC Transition risk-Banking b.'!$K$64),0))/1000000</f>
        <v>0</v>
      </c>
      <c r="L33" s="71">
        <f>(ROUND(SUMIFS(Input!$J:$J,Input!$H:$H,'1.CC Transition risk-Banking b.'!$A33&amp;"*")
+ SUMIFS(Input!$L:$L,Input!$H:$H,'1.CC Transition risk-Banking b.'!$A33&amp;"*")
+SUMIFS(Input!$N:$N,Input!$H:$H,'1.CC Transition risk-Banking b.'!$A33&amp;"*"),0))/1</f>
        <v>0</v>
      </c>
      <c r="M33" s="71">
        <f>(ROUND(SUMIFS(Input!$N:$N,Input!$H:$H,'1.CC Transition risk-Banking b.'!$A33&amp;"*"),0))/1</f>
        <v>0</v>
      </c>
      <c r="N33" s="77">
        <f>IFERROR(AVERAGE(SUMIFS(Input!$I:$I,Input!$H:$H,'1.CC Transition risk-Banking b.'!$A33&amp;"*",Input!$R:$R,"SOUR1",Input!$E:$E,'1.CC Transition risk-Banking b.'!$O$63),
SUMIFS(Input!$I:$I,Input!$H:$H,'1.CC Transition risk-Banking b.'!$A33&amp;"*",Input!$S:$S,"SOUR1",Input!$E:$E,'1.CC Transition risk-Banking b.'!$O$63),
SUMIFS(Input!$I:$I,Input!$H:$H,'1.CC Transition risk-Banking b.'!$A33&amp;"*",Input!$T:$T,"SOUR1",Input!$E:$E,'1.CC Transition risk-Banking b.'!$O$63))/SUMIFS(Input!$I:$I,Input!$H:$H,'1.CC Transition risk-Banking b.'!$A33&amp;"*",Input!$E:$E,'1.CC Transition risk-Banking b.'!$O$63),0)</f>
        <v>0</v>
      </c>
      <c r="O33" s="72">
        <f>(ROUND(SUMIFS(Input!$I:$I,Input!$H:$H,'1.CC Transition risk-Banking b.'!$A33&amp;"*",Input!$E:$E,'1.CC Transition risk-Banking b.'!O$63,Input!$G:$G,"&gt;=0",Input!$G:$G,"&lt;=5")
+ SUMIFS(Input!$I:$I,Input!$H:$H,'1.CC Transition risk-Banking b.'!$A33&amp;"*",Input!$E:$E,'1.CC Transition risk-Banking b.'!O$63,Input!$G:$G,"-4")
+ SUMIFS(Input!$I:$I,Input!$H:$H,'1.CC Transition risk-Banking b.'!$A33&amp;"*",Input!$E:$E,'1.CC Transition risk-Banking b.'!O$63,Input!$G:$G,"-1"),0))/1000000</f>
        <v>0</v>
      </c>
      <c r="P33" s="72">
        <f>(ROUND(SUMIFS(Input!$I:$I,Input!$H:$H,'1.CC Transition risk-Banking b.'!$A33&amp;"*",Input!$E:$E,'1.CC Transition risk-Banking b.'!P$63,Input!$G:$G,"&gt;5",Input!$G:$G,"&lt;=10"),0))/1000000</f>
        <v>0</v>
      </c>
      <c r="Q33" s="72">
        <f>(ROUND(SUMIFS(Input!$I:$I,Input!$H:$H,'1.CC Transition risk-Banking b.'!$A33&amp;"*",Input!$E:$E,'1.CC Transition risk-Banking b.'!Q$63,Input!$G:$G,"&gt;10",Input!$G:$G,"&lt;=20"),0))/1000000</f>
        <v>0</v>
      </c>
      <c r="R33" s="72">
        <f>(ROUND(SUMIFS(Input!$I:$I,Input!$H:$H,'1.CC Transition risk-Banking b.'!$A33&amp;"*",Input!$E:$E,'1.CC Transition risk-Banking b.'!R$63,Input!$G:$G,"&gt;20")
+ SUMIFS(Input!$I:$I,Input!$H:$H,'1.CC Transition risk-Banking b.'!$A33&amp;"*",Input!$E:$E,'1.CC Transition risk-Banking b.'!R$63,Input!$G:$G,"-2")
+ SUMIFS(Input!$I:$I,Input!$H:$H,'1.CC Transition risk-Banking b.'!$A33&amp;"*",Input!$E:$E,'1.CC Transition risk-Banking b.'!R$63,Input!$G:$G,"-3"),0))/1000000</f>
        <v>0</v>
      </c>
      <c r="S33" s="73">
        <f>ROUND(IFERROR((SUMIFS(Input!$Q:$Q,Input!$H:$H,'1.CC Transition risk-Banking b.'!$A33&amp;"*",Input!$E:$E,'1.CC Transition risk-Banking b.'!S$63,Input!$G:$G,"&gt;0")/1000000)/'1.CC Transition risk-Banking b.'!$D33,0),0)</f>
        <v>0</v>
      </c>
    </row>
    <row r="34" spans="1:19">
      <c r="A34" s="82" t="s">
        <v>136</v>
      </c>
      <c r="B34" s="53">
        <v>29</v>
      </c>
      <c r="C34" s="56" t="s">
        <v>137</v>
      </c>
      <c r="D34" s="70">
        <f>(ROUND(SUMIFS(Input!$I:$I,Input!$H:$H,'1.CC Transition risk-Banking b.'!$A34&amp;"*",Input!$E:$E,'1.CC Transition risk-Banking b.'!$D$63),0))/1000000</f>
        <v>0</v>
      </c>
      <c r="E34" s="70">
        <f>(ROUND(SUMIFS(Input!$I:$I,Input!$H:$H,'1.CC Transition risk-Banking b.'!$A34&amp;"*",Input!$E:$E,'1.CC Transition risk-Banking b.'!$E$63,Input!$F:$F,'1.CC Transition risk-Banking b.'!$E$64),0))/1000000</f>
        <v>0</v>
      </c>
      <c r="F34" s="70">
        <f>(ROUND(SUMIFS(Input!$P:$P,Input!$H:$H,'1.CC Transition risk-Banking b.'!$A34&amp;"*",Input!$E:$E,'1.CC Transition risk-Banking b.'!$E$63,Input!$O:$O,'1.CC Transition risk-Banking b.'!$F$63),0))/1000000</f>
        <v>0</v>
      </c>
      <c r="G34" s="70">
        <f>(ROUND(SUMIFS(Input!$I:$I,Input!$H:$H,'1.CC Transition risk-Banking b.'!$A34&amp;"*",Input!$E:$E,'1.CC Transition risk-Banking b.'!$G$63,Input!$C:$C,'1.CC Transition risk-Banking b.'!$G$64),0))/1000000</f>
        <v>0</v>
      </c>
      <c r="H34" s="70">
        <f>(ROUND(SUMIFS(Input!$I:$I,Input!$H:$H,'1.CC Transition risk-Banking b.'!$A34&amp;"*",Input!$E:$E,'1.CC Transition risk-Banking b.'!$H$63,Input!$C:$C,'1.CC Transition risk-Banking b.'!$H$64),0))/1000000</f>
        <v>0</v>
      </c>
      <c r="I34" s="70">
        <f>(ROUND(SUMIFS(Input!$I:$I,Input!$H:$H,'1.CC Transition risk-Banking b.'!$A34&amp;"*",Input!$E:$E,'1.CC Transition risk-Banking b.'!$I$63),0))/1000000</f>
        <v>0</v>
      </c>
      <c r="J34" s="70">
        <f>(ROUND(SUMIFS(Input!$I:$I,Input!$H:$H,'1.CC Transition risk-Banking b.'!$A34&amp;"*",Input!$E:$E,'1.CC Transition risk-Banking b.'!$J$63,Input!$C:$C,'1.CC Transition risk-Banking b.'!$J$64),0))/1000000</f>
        <v>0</v>
      </c>
      <c r="K34" s="70">
        <f>(ROUND(SUMIFS(Input!$I:$I,Input!$H:$H,'1.CC Transition risk-Banking b.'!$A34&amp;"*",Input!$E:$E,'1.CC Transition risk-Banking b.'!$K$63,Input!$C:$C,'1.CC Transition risk-Banking b.'!$K$64),0))/1000000</f>
        <v>0</v>
      </c>
      <c r="L34" s="71">
        <f>(ROUND(SUMIFS(Input!$J:$J,Input!$H:$H,'1.CC Transition risk-Banking b.'!$A34&amp;"*")
+ SUMIFS(Input!$L:$L,Input!$H:$H,'1.CC Transition risk-Banking b.'!$A34&amp;"*")
+SUMIFS(Input!$N:$N,Input!$H:$H,'1.CC Transition risk-Banking b.'!$A34&amp;"*"),0))/1</f>
        <v>0</v>
      </c>
      <c r="M34" s="71">
        <f>(ROUND(SUMIFS(Input!$N:$N,Input!$H:$H,'1.CC Transition risk-Banking b.'!$A34&amp;"*"),0))/1</f>
        <v>0</v>
      </c>
      <c r="N34" s="77">
        <f>IFERROR(AVERAGE(SUMIFS(Input!$I:$I,Input!$H:$H,'1.CC Transition risk-Banking b.'!$A34&amp;"*",Input!$R:$R,"SOUR1",Input!$E:$E,'1.CC Transition risk-Banking b.'!$O$63),
SUMIFS(Input!$I:$I,Input!$H:$H,'1.CC Transition risk-Banking b.'!$A34&amp;"*",Input!$S:$S,"SOUR1",Input!$E:$E,'1.CC Transition risk-Banking b.'!$O$63),
SUMIFS(Input!$I:$I,Input!$H:$H,'1.CC Transition risk-Banking b.'!$A34&amp;"*",Input!$T:$T,"SOUR1",Input!$E:$E,'1.CC Transition risk-Banking b.'!$O$63))/SUMIFS(Input!$I:$I,Input!$H:$H,'1.CC Transition risk-Banking b.'!$A34&amp;"*",Input!$E:$E,'1.CC Transition risk-Banking b.'!$O$63),0)</f>
        <v>0</v>
      </c>
      <c r="O34" s="72">
        <f>(ROUND(SUMIFS(Input!$I:$I,Input!$H:$H,'1.CC Transition risk-Banking b.'!$A34&amp;"*",Input!$E:$E,'1.CC Transition risk-Banking b.'!O$63,Input!$G:$G,"&gt;=0",Input!$G:$G,"&lt;=5")
+ SUMIFS(Input!$I:$I,Input!$H:$H,'1.CC Transition risk-Banking b.'!$A34&amp;"*",Input!$E:$E,'1.CC Transition risk-Banking b.'!O$63,Input!$G:$G,"-4")
+ SUMIFS(Input!$I:$I,Input!$H:$H,'1.CC Transition risk-Banking b.'!$A34&amp;"*",Input!$E:$E,'1.CC Transition risk-Banking b.'!O$63,Input!$G:$G,"-1"),0))/1000000</f>
        <v>0</v>
      </c>
      <c r="P34" s="72">
        <f>(ROUND(SUMIFS(Input!$I:$I,Input!$H:$H,'1.CC Transition risk-Banking b.'!$A34&amp;"*",Input!$E:$E,'1.CC Transition risk-Banking b.'!P$63,Input!$G:$G,"&gt;5",Input!$G:$G,"&lt;=10"),0))/1000000</f>
        <v>0</v>
      </c>
      <c r="Q34" s="72">
        <f>(ROUND(SUMIFS(Input!$I:$I,Input!$H:$H,'1.CC Transition risk-Banking b.'!$A34&amp;"*",Input!$E:$E,'1.CC Transition risk-Banking b.'!Q$63,Input!$G:$G,"&gt;10",Input!$G:$G,"&lt;=20"),0))/1000000</f>
        <v>0</v>
      </c>
      <c r="R34" s="72">
        <f>(ROUND(SUMIFS(Input!$I:$I,Input!$H:$H,'1.CC Transition risk-Banking b.'!$A34&amp;"*",Input!$E:$E,'1.CC Transition risk-Banking b.'!R$63,Input!$G:$G,"&gt;20")
+ SUMIFS(Input!$I:$I,Input!$H:$H,'1.CC Transition risk-Banking b.'!$A34&amp;"*",Input!$E:$E,'1.CC Transition risk-Banking b.'!R$63,Input!$G:$G,"-2")
+ SUMIFS(Input!$I:$I,Input!$H:$H,'1.CC Transition risk-Banking b.'!$A34&amp;"*",Input!$E:$E,'1.CC Transition risk-Banking b.'!R$63,Input!$G:$G,"-3"),0))/1000000</f>
        <v>0</v>
      </c>
      <c r="S34" s="73">
        <f>ROUND(IFERROR((SUMIFS(Input!$Q:$Q,Input!$H:$H,'1.CC Transition risk-Banking b.'!$A34&amp;"*",Input!$E:$E,'1.CC Transition risk-Banking b.'!S$63,Input!$G:$G,"&gt;0")/1000000)/'1.CC Transition risk-Banking b.'!$D34,0),0)</f>
        <v>0</v>
      </c>
    </row>
    <row r="35" spans="1:19">
      <c r="A35" s="82" t="s">
        <v>138</v>
      </c>
      <c r="B35" s="53">
        <v>30</v>
      </c>
      <c r="C35" s="56" t="s">
        <v>139</v>
      </c>
      <c r="D35" s="70">
        <f>(ROUND(SUMIFS(Input!$I:$I,Input!$H:$H,'1.CC Transition risk-Banking b.'!$A35&amp;"*",Input!$E:$E,'1.CC Transition risk-Banking b.'!$D$63),0))/1000000</f>
        <v>0</v>
      </c>
      <c r="E35" s="70">
        <f>(ROUND(SUMIFS(Input!$I:$I,Input!$H:$H,'1.CC Transition risk-Banking b.'!$A35&amp;"*",Input!$E:$E,'1.CC Transition risk-Banking b.'!$E$63,Input!$F:$F,'1.CC Transition risk-Banking b.'!$E$64),0))/1000000</f>
        <v>0</v>
      </c>
      <c r="F35" s="70">
        <f>(ROUND(SUMIFS(Input!$P:$P,Input!$H:$H,'1.CC Transition risk-Banking b.'!$A35&amp;"*",Input!$E:$E,'1.CC Transition risk-Banking b.'!$E$63,Input!$O:$O,'1.CC Transition risk-Banking b.'!$F$63),0))/1000000</f>
        <v>0</v>
      </c>
      <c r="G35" s="70">
        <f>(ROUND(SUMIFS(Input!$I:$I,Input!$H:$H,'1.CC Transition risk-Banking b.'!$A35&amp;"*",Input!$E:$E,'1.CC Transition risk-Banking b.'!$G$63,Input!$C:$C,'1.CC Transition risk-Banking b.'!$G$64),0))/1000000</f>
        <v>0</v>
      </c>
      <c r="H35" s="70">
        <f>(ROUND(SUMIFS(Input!$I:$I,Input!$H:$H,'1.CC Transition risk-Banking b.'!$A35&amp;"*",Input!$E:$E,'1.CC Transition risk-Banking b.'!$H$63,Input!$C:$C,'1.CC Transition risk-Banking b.'!$H$64),0))/1000000</f>
        <v>0</v>
      </c>
      <c r="I35" s="70">
        <f>(ROUND(SUMIFS(Input!$I:$I,Input!$H:$H,'1.CC Transition risk-Banking b.'!$A35&amp;"*",Input!$E:$E,'1.CC Transition risk-Banking b.'!$I$63),0))/1000000</f>
        <v>0</v>
      </c>
      <c r="J35" s="70">
        <f>(ROUND(SUMIFS(Input!$I:$I,Input!$H:$H,'1.CC Transition risk-Banking b.'!$A35&amp;"*",Input!$E:$E,'1.CC Transition risk-Banking b.'!$J$63,Input!$C:$C,'1.CC Transition risk-Banking b.'!$J$64),0))/1000000</f>
        <v>0</v>
      </c>
      <c r="K35" s="70">
        <f>(ROUND(SUMIFS(Input!$I:$I,Input!$H:$H,'1.CC Transition risk-Banking b.'!$A35&amp;"*",Input!$E:$E,'1.CC Transition risk-Banking b.'!$K$63,Input!$C:$C,'1.CC Transition risk-Banking b.'!$K$64),0))/1000000</f>
        <v>0</v>
      </c>
      <c r="L35" s="71">
        <f>(ROUND(SUMIFS(Input!$J:$J,Input!$H:$H,'1.CC Transition risk-Banking b.'!$A35&amp;"*")
+ SUMIFS(Input!$L:$L,Input!$H:$H,'1.CC Transition risk-Banking b.'!$A35&amp;"*")
+SUMIFS(Input!$N:$N,Input!$H:$H,'1.CC Transition risk-Banking b.'!$A35&amp;"*"),0))/1</f>
        <v>0</v>
      </c>
      <c r="M35" s="71">
        <f>(ROUND(SUMIFS(Input!$N:$N,Input!$H:$H,'1.CC Transition risk-Banking b.'!$A35&amp;"*"),0))/1</f>
        <v>0</v>
      </c>
      <c r="N35" s="77">
        <f>IFERROR(AVERAGE(SUMIFS(Input!$I:$I,Input!$H:$H,'1.CC Transition risk-Banking b.'!$A35&amp;"*",Input!$R:$R,"SOUR1",Input!$E:$E,'1.CC Transition risk-Banking b.'!$O$63),
SUMIFS(Input!$I:$I,Input!$H:$H,'1.CC Transition risk-Banking b.'!$A35&amp;"*",Input!$S:$S,"SOUR1",Input!$E:$E,'1.CC Transition risk-Banking b.'!$O$63),
SUMIFS(Input!$I:$I,Input!$H:$H,'1.CC Transition risk-Banking b.'!$A35&amp;"*",Input!$T:$T,"SOUR1",Input!$E:$E,'1.CC Transition risk-Banking b.'!$O$63))/SUMIFS(Input!$I:$I,Input!$H:$H,'1.CC Transition risk-Banking b.'!$A35&amp;"*",Input!$E:$E,'1.CC Transition risk-Banking b.'!$O$63),0)</f>
        <v>0</v>
      </c>
      <c r="O35" s="72">
        <f>(ROUND(SUMIFS(Input!$I:$I,Input!$H:$H,'1.CC Transition risk-Banking b.'!$A35&amp;"*",Input!$E:$E,'1.CC Transition risk-Banking b.'!O$63,Input!$G:$G,"&gt;=0",Input!$G:$G,"&lt;=5")
+ SUMIFS(Input!$I:$I,Input!$H:$H,'1.CC Transition risk-Banking b.'!$A35&amp;"*",Input!$E:$E,'1.CC Transition risk-Banking b.'!O$63,Input!$G:$G,"-4")
+ SUMIFS(Input!$I:$I,Input!$H:$H,'1.CC Transition risk-Banking b.'!$A35&amp;"*",Input!$E:$E,'1.CC Transition risk-Banking b.'!O$63,Input!$G:$G,"-1"),0))/1000000</f>
        <v>0</v>
      </c>
      <c r="P35" s="72">
        <f>(ROUND(SUMIFS(Input!$I:$I,Input!$H:$H,'1.CC Transition risk-Banking b.'!$A35&amp;"*",Input!$E:$E,'1.CC Transition risk-Banking b.'!P$63,Input!$G:$G,"&gt;5",Input!$G:$G,"&lt;=10"),0))/1000000</f>
        <v>0</v>
      </c>
      <c r="Q35" s="72">
        <f>(ROUND(SUMIFS(Input!$I:$I,Input!$H:$H,'1.CC Transition risk-Banking b.'!$A35&amp;"*",Input!$E:$E,'1.CC Transition risk-Banking b.'!Q$63,Input!$G:$G,"&gt;10",Input!$G:$G,"&lt;=20"),0))/1000000</f>
        <v>0</v>
      </c>
      <c r="R35" s="72">
        <f>(ROUND(SUMIFS(Input!$I:$I,Input!$H:$H,'1.CC Transition risk-Banking b.'!$A35&amp;"*",Input!$E:$E,'1.CC Transition risk-Banking b.'!R$63,Input!$G:$G,"&gt;20")
+ SUMIFS(Input!$I:$I,Input!$H:$H,'1.CC Transition risk-Banking b.'!$A35&amp;"*",Input!$E:$E,'1.CC Transition risk-Banking b.'!R$63,Input!$G:$G,"-2")
+ SUMIFS(Input!$I:$I,Input!$H:$H,'1.CC Transition risk-Banking b.'!$A35&amp;"*",Input!$E:$E,'1.CC Transition risk-Banking b.'!R$63,Input!$G:$G,"-3"),0))/1000000</f>
        <v>0</v>
      </c>
      <c r="S35" s="73">
        <f>ROUND(IFERROR((SUMIFS(Input!$Q:$Q,Input!$H:$H,'1.CC Transition risk-Banking b.'!$A35&amp;"*",Input!$E:$E,'1.CC Transition risk-Banking b.'!S$63,Input!$G:$G,"&gt;0")/1000000)/'1.CC Transition risk-Banking b.'!$D35,0),0)</f>
        <v>0</v>
      </c>
    </row>
    <row r="36" spans="1:19">
      <c r="A36" s="82" t="s">
        <v>140</v>
      </c>
      <c r="B36" s="53">
        <v>31</v>
      </c>
      <c r="C36" s="56" t="s">
        <v>141</v>
      </c>
      <c r="D36" s="70">
        <f>(ROUND(SUMIFS(Input!$I:$I,Input!$H:$H,'1.CC Transition risk-Banking b.'!$A36&amp;"*",Input!$E:$E,'1.CC Transition risk-Banking b.'!$D$63),0))/1000000</f>
        <v>0</v>
      </c>
      <c r="E36" s="70">
        <f>(ROUND(SUMIFS(Input!$I:$I,Input!$H:$H,'1.CC Transition risk-Banking b.'!$A36&amp;"*",Input!$E:$E,'1.CC Transition risk-Banking b.'!$E$63,Input!$F:$F,'1.CC Transition risk-Banking b.'!$E$64),0))/1000000</f>
        <v>0</v>
      </c>
      <c r="F36" s="70">
        <f>(ROUND(SUMIFS(Input!$P:$P,Input!$H:$H,'1.CC Transition risk-Banking b.'!$A36&amp;"*",Input!$E:$E,'1.CC Transition risk-Banking b.'!$E$63,Input!$O:$O,'1.CC Transition risk-Banking b.'!$F$63),0))/1000000</f>
        <v>0</v>
      </c>
      <c r="G36" s="70">
        <f>(ROUND(SUMIFS(Input!$I:$I,Input!$H:$H,'1.CC Transition risk-Banking b.'!$A36&amp;"*",Input!$E:$E,'1.CC Transition risk-Banking b.'!$G$63,Input!$C:$C,'1.CC Transition risk-Banking b.'!$G$64),0))/1000000</f>
        <v>0</v>
      </c>
      <c r="H36" s="70">
        <f>(ROUND(SUMIFS(Input!$I:$I,Input!$H:$H,'1.CC Transition risk-Banking b.'!$A36&amp;"*",Input!$E:$E,'1.CC Transition risk-Banking b.'!$H$63,Input!$C:$C,'1.CC Transition risk-Banking b.'!$H$64),0))/1000000</f>
        <v>0</v>
      </c>
      <c r="I36" s="70">
        <f>(ROUND(SUMIFS(Input!$I:$I,Input!$H:$H,'1.CC Transition risk-Banking b.'!$A36&amp;"*",Input!$E:$E,'1.CC Transition risk-Banking b.'!$I$63),0))/1000000</f>
        <v>0</v>
      </c>
      <c r="J36" s="70">
        <f>(ROUND(SUMIFS(Input!$I:$I,Input!$H:$H,'1.CC Transition risk-Banking b.'!$A36&amp;"*",Input!$E:$E,'1.CC Transition risk-Banking b.'!$J$63,Input!$C:$C,'1.CC Transition risk-Banking b.'!$J$64),0))/1000000</f>
        <v>0</v>
      </c>
      <c r="K36" s="70">
        <f>(ROUND(SUMIFS(Input!$I:$I,Input!$H:$H,'1.CC Transition risk-Banking b.'!$A36&amp;"*",Input!$E:$E,'1.CC Transition risk-Banking b.'!$K$63,Input!$C:$C,'1.CC Transition risk-Banking b.'!$K$64),0))/1000000</f>
        <v>0</v>
      </c>
      <c r="L36" s="71">
        <f>(ROUND(SUMIFS(Input!$J:$J,Input!$H:$H,'1.CC Transition risk-Banking b.'!$A36&amp;"*")
+ SUMIFS(Input!$L:$L,Input!$H:$H,'1.CC Transition risk-Banking b.'!$A36&amp;"*")
+SUMIFS(Input!$N:$N,Input!$H:$H,'1.CC Transition risk-Banking b.'!$A36&amp;"*"),0))/1</f>
        <v>0</v>
      </c>
      <c r="M36" s="71">
        <f>(ROUND(SUMIFS(Input!$N:$N,Input!$H:$H,'1.CC Transition risk-Banking b.'!$A36&amp;"*"),0))/1</f>
        <v>0</v>
      </c>
      <c r="N36" s="77">
        <f>IFERROR(AVERAGE(SUMIFS(Input!$I:$I,Input!$H:$H,'1.CC Transition risk-Banking b.'!$A36&amp;"*",Input!$R:$R,"SOUR1",Input!$E:$E,'1.CC Transition risk-Banking b.'!$O$63),
SUMIFS(Input!$I:$I,Input!$H:$H,'1.CC Transition risk-Banking b.'!$A36&amp;"*",Input!$S:$S,"SOUR1",Input!$E:$E,'1.CC Transition risk-Banking b.'!$O$63),
SUMIFS(Input!$I:$I,Input!$H:$H,'1.CC Transition risk-Banking b.'!$A36&amp;"*",Input!$T:$T,"SOUR1",Input!$E:$E,'1.CC Transition risk-Banking b.'!$O$63))/SUMIFS(Input!$I:$I,Input!$H:$H,'1.CC Transition risk-Banking b.'!$A36&amp;"*",Input!$E:$E,'1.CC Transition risk-Banking b.'!$O$63),0)</f>
        <v>0</v>
      </c>
      <c r="O36" s="72">
        <f>(ROUND(SUMIFS(Input!$I:$I,Input!$H:$H,'1.CC Transition risk-Banking b.'!$A36&amp;"*",Input!$E:$E,'1.CC Transition risk-Banking b.'!O$63,Input!$G:$G,"&gt;=0",Input!$G:$G,"&lt;=5")
+ SUMIFS(Input!$I:$I,Input!$H:$H,'1.CC Transition risk-Banking b.'!$A36&amp;"*",Input!$E:$E,'1.CC Transition risk-Banking b.'!O$63,Input!$G:$G,"-4")
+ SUMIFS(Input!$I:$I,Input!$H:$H,'1.CC Transition risk-Banking b.'!$A36&amp;"*",Input!$E:$E,'1.CC Transition risk-Banking b.'!O$63,Input!$G:$G,"-1"),0))/1000000</f>
        <v>0</v>
      </c>
      <c r="P36" s="72">
        <f>(ROUND(SUMIFS(Input!$I:$I,Input!$H:$H,'1.CC Transition risk-Banking b.'!$A36&amp;"*",Input!$E:$E,'1.CC Transition risk-Banking b.'!P$63,Input!$G:$G,"&gt;5",Input!$G:$G,"&lt;=10"),0))/1000000</f>
        <v>0</v>
      </c>
      <c r="Q36" s="72">
        <f>(ROUND(SUMIFS(Input!$I:$I,Input!$H:$H,'1.CC Transition risk-Banking b.'!$A36&amp;"*",Input!$E:$E,'1.CC Transition risk-Banking b.'!Q$63,Input!$G:$G,"&gt;10",Input!$G:$G,"&lt;=20"),0))/1000000</f>
        <v>0</v>
      </c>
      <c r="R36" s="72">
        <f>(ROUND(SUMIFS(Input!$I:$I,Input!$H:$H,'1.CC Transition risk-Banking b.'!$A36&amp;"*",Input!$E:$E,'1.CC Transition risk-Banking b.'!R$63,Input!$G:$G,"&gt;20")
+ SUMIFS(Input!$I:$I,Input!$H:$H,'1.CC Transition risk-Banking b.'!$A36&amp;"*",Input!$E:$E,'1.CC Transition risk-Banking b.'!R$63,Input!$G:$G,"-2")
+ SUMIFS(Input!$I:$I,Input!$H:$H,'1.CC Transition risk-Banking b.'!$A36&amp;"*",Input!$E:$E,'1.CC Transition risk-Banking b.'!R$63,Input!$G:$G,"-3"),0))/1000000</f>
        <v>0</v>
      </c>
      <c r="S36" s="73">
        <f>ROUND(IFERROR((SUMIFS(Input!$Q:$Q,Input!$H:$H,'1.CC Transition risk-Banking b.'!$A36&amp;"*",Input!$E:$E,'1.CC Transition risk-Banking b.'!S$63,Input!$G:$G,"&gt;0")/1000000)/'1.CC Transition risk-Banking b.'!$D36,0),0)</f>
        <v>0</v>
      </c>
    </row>
    <row r="37" spans="1:19">
      <c r="A37" s="82" t="s">
        <v>142</v>
      </c>
      <c r="B37" s="53">
        <v>32</v>
      </c>
      <c r="C37" s="56" t="s">
        <v>143</v>
      </c>
      <c r="D37" s="70">
        <f>(ROUND(SUMIFS(Input!$I:$I,Input!$H:$H,'1.CC Transition risk-Banking b.'!$A37&amp;"*",Input!$E:$E,'1.CC Transition risk-Banking b.'!$D$63),0))/1000000</f>
        <v>0</v>
      </c>
      <c r="E37" s="70">
        <f>(ROUND(SUMIFS(Input!$I:$I,Input!$H:$H,'1.CC Transition risk-Banking b.'!$A37&amp;"*",Input!$E:$E,'1.CC Transition risk-Banking b.'!$E$63,Input!$F:$F,'1.CC Transition risk-Banking b.'!$E$64),0))/1000000</f>
        <v>0</v>
      </c>
      <c r="F37" s="70">
        <f>(ROUND(SUMIFS(Input!$P:$P,Input!$H:$H,'1.CC Transition risk-Banking b.'!$A37&amp;"*",Input!$E:$E,'1.CC Transition risk-Banking b.'!$E$63,Input!$O:$O,'1.CC Transition risk-Banking b.'!$F$63),0))/1000000</f>
        <v>0</v>
      </c>
      <c r="G37" s="70">
        <f>(ROUND(SUMIFS(Input!$I:$I,Input!$H:$H,'1.CC Transition risk-Banking b.'!$A37&amp;"*",Input!$E:$E,'1.CC Transition risk-Banking b.'!$G$63,Input!$C:$C,'1.CC Transition risk-Banking b.'!$G$64),0))/1000000</f>
        <v>0</v>
      </c>
      <c r="H37" s="70">
        <f>(ROUND(SUMIFS(Input!$I:$I,Input!$H:$H,'1.CC Transition risk-Banking b.'!$A37&amp;"*",Input!$E:$E,'1.CC Transition risk-Banking b.'!$H$63,Input!$C:$C,'1.CC Transition risk-Banking b.'!$H$64),0))/1000000</f>
        <v>0</v>
      </c>
      <c r="I37" s="70">
        <f>(ROUND(SUMIFS(Input!$I:$I,Input!$H:$H,'1.CC Transition risk-Banking b.'!$A37&amp;"*",Input!$E:$E,'1.CC Transition risk-Banking b.'!$I$63),0))/1000000</f>
        <v>0</v>
      </c>
      <c r="J37" s="70">
        <f>(ROUND(SUMIFS(Input!$I:$I,Input!$H:$H,'1.CC Transition risk-Banking b.'!$A37&amp;"*",Input!$E:$E,'1.CC Transition risk-Banking b.'!$J$63,Input!$C:$C,'1.CC Transition risk-Banking b.'!$J$64),0))/1000000</f>
        <v>0</v>
      </c>
      <c r="K37" s="70">
        <f>(ROUND(SUMIFS(Input!$I:$I,Input!$H:$H,'1.CC Transition risk-Banking b.'!$A37&amp;"*",Input!$E:$E,'1.CC Transition risk-Banking b.'!$K$63,Input!$C:$C,'1.CC Transition risk-Banking b.'!$K$64),0))/1000000</f>
        <v>0</v>
      </c>
      <c r="L37" s="71">
        <f>(ROUND(SUMIFS(Input!$J:$J,Input!$H:$H,'1.CC Transition risk-Banking b.'!$A37&amp;"*")
+ SUMIFS(Input!$L:$L,Input!$H:$H,'1.CC Transition risk-Banking b.'!$A37&amp;"*")
+SUMIFS(Input!$N:$N,Input!$H:$H,'1.CC Transition risk-Banking b.'!$A37&amp;"*"),0))/1</f>
        <v>0</v>
      </c>
      <c r="M37" s="71">
        <f>(ROUND(SUMIFS(Input!$N:$N,Input!$H:$H,'1.CC Transition risk-Banking b.'!$A37&amp;"*"),0))/1</f>
        <v>0</v>
      </c>
      <c r="N37" s="77">
        <f>IFERROR(AVERAGE(SUMIFS(Input!$I:$I,Input!$H:$H,'1.CC Transition risk-Banking b.'!$A37&amp;"*",Input!$R:$R,"SOUR1",Input!$E:$E,'1.CC Transition risk-Banking b.'!$O$63),
SUMIFS(Input!$I:$I,Input!$H:$H,'1.CC Transition risk-Banking b.'!$A37&amp;"*",Input!$S:$S,"SOUR1",Input!$E:$E,'1.CC Transition risk-Banking b.'!$O$63),
SUMIFS(Input!$I:$I,Input!$H:$H,'1.CC Transition risk-Banking b.'!$A37&amp;"*",Input!$T:$T,"SOUR1",Input!$E:$E,'1.CC Transition risk-Banking b.'!$O$63))/SUMIFS(Input!$I:$I,Input!$H:$H,'1.CC Transition risk-Banking b.'!$A37&amp;"*",Input!$E:$E,'1.CC Transition risk-Banking b.'!$O$63),0)</f>
        <v>0</v>
      </c>
      <c r="O37" s="72">
        <f>(ROUND(SUMIFS(Input!$I:$I,Input!$H:$H,'1.CC Transition risk-Banking b.'!$A37&amp;"*",Input!$E:$E,'1.CC Transition risk-Banking b.'!O$63,Input!$G:$G,"&gt;=0",Input!$G:$G,"&lt;=5")
+ SUMIFS(Input!$I:$I,Input!$H:$H,'1.CC Transition risk-Banking b.'!$A37&amp;"*",Input!$E:$E,'1.CC Transition risk-Banking b.'!O$63,Input!$G:$G,"-4")
+ SUMIFS(Input!$I:$I,Input!$H:$H,'1.CC Transition risk-Banking b.'!$A37&amp;"*",Input!$E:$E,'1.CC Transition risk-Banking b.'!O$63,Input!$G:$G,"-1"),0))/1000000</f>
        <v>0</v>
      </c>
      <c r="P37" s="72">
        <f>(ROUND(SUMIFS(Input!$I:$I,Input!$H:$H,'1.CC Transition risk-Banking b.'!$A37&amp;"*",Input!$E:$E,'1.CC Transition risk-Banking b.'!P$63,Input!$G:$G,"&gt;5",Input!$G:$G,"&lt;=10"),0))/1000000</f>
        <v>0</v>
      </c>
      <c r="Q37" s="72">
        <f>(ROUND(SUMIFS(Input!$I:$I,Input!$H:$H,'1.CC Transition risk-Banking b.'!$A37&amp;"*",Input!$E:$E,'1.CC Transition risk-Banking b.'!Q$63,Input!$G:$G,"&gt;10",Input!$G:$G,"&lt;=20"),0))/1000000</f>
        <v>0</v>
      </c>
      <c r="R37" s="72">
        <f>(ROUND(SUMIFS(Input!$I:$I,Input!$H:$H,'1.CC Transition risk-Banking b.'!$A37&amp;"*",Input!$E:$E,'1.CC Transition risk-Banking b.'!R$63,Input!$G:$G,"&gt;20")
+ SUMIFS(Input!$I:$I,Input!$H:$H,'1.CC Transition risk-Banking b.'!$A37&amp;"*",Input!$E:$E,'1.CC Transition risk-Banking b.'!R$63,Input!$G:$G,"-2")
+ SUMIFS(Input!$I:$I,Input!$H:$H,'1.CC Transition risk-Banking b.'!$A37&amp;"*",Input!$E:$E,'1.CC Transition risk-Banking b.'!R$63,Input!$G:$G,"-3"),0))/1000000</f>
        <v>0</v>
      </c>
      <c r="S37" s="73">
        <f>ROUND(IFERROR((SUMIFS(Input!$Q:$Q,Input!$H:$H,'1.CC Transition risk-Banking b.'!$A37&amp;"*",Input!$E:$E,'1.CC Transition risk-Banking b.'!S$63,Input!$G:$G,"&gt;0")/1000000)/'1.CC Transition risk-Banking b.'!$D37,0),0)</f>
        <v>0</v>
      </c>
    </row>
    <row r="38" spans="1:19">
      <c r="A38" s="82" t="s">
        <v>144</v>
      </c>
      <c r="B38" s="53">
        <v>33</v>
      </c>
      <c r="C38" s="56" t="s">
        <v>145</v>
      </c>
      <c r="D38" s="70">
        <f>(ROUND(SUMIFS(Input!$I:$I,Input!$H:$H,'1.CC Transition risk-Banking b.'!$A38&amp;"*",Input!$E:$E,'1.CC Transition risk-Banking b.'!$D$63),0))/1000000</f>
        <v>0</v>
      </c>
      <c r="E38" s="70">
        <f>(ROUND(SUMIFS(Input!$I:$I,Input!$H:$H,'1.CC Transition risk-Banking b.'!$A38&amp;"*",Input!$E:$E,'1.CC Transition risk-Banking b.'!$E$63,Input!$F:$F,'1.CC Transition risk-Banking b.'!$E$64),0))/1000000</f>
        <v>0</v>
      </c>
      <c r="F38" s="70">
        <f>(ROUND(SUMIFS(Input!$P:$P,Input!$H:$H,'1.CC Transition risk-Banking b.'!$A38&amp;"*",Input!$E:$E,'1.CC Transition risk-Banking b.'!$E$63,Input!$O:$O,'1.CC Transition risk-Banking b.'!$F$63),0))/1000000</f>
        <v>0</v>
      </c>
      <c r="G38" s="70">
        <f>(ROUND(SUMIFS(Input!$I:$I,Input!$H:$H,'1.CC Transition risk-Banking b.'!$A38&amp;"*",Input!$E:$E,'1.CC Transition risk-Banking b.'!$G$63,Input!$C:$C,'1.CC Transition risk-Banking b.'!$G$64),0))/1000000</f>
        <v>0</v>
      </c>
      <c r="H38" s="70">
        <f>(ROUND(SUMIFS(Input!$I:$I,Input!$H:$H,'1.CC Transition risk-Banking b.'!$A38&amp;"*",Input!$E:$E,'1.CC Transition risk-Banking b.'!$H$63,Input!$C:$C,'1.CC Transition risk-Banking b.'!$H$64),0))/1000000</f>
        <v>0</v>
      </c>
      <c r="I38" s="70">
        <f>(ROUND(SUMIFS(Input!$I:$I,Input!$H:$H,'1.CC Transition risk-Banking b.'!$A38&amp;"*",Input!$E:$E,'1.CC Transition risk-Banking b.'!$I$63),0))/1000000</f>
        <v>0</v>
      </c>
      <c r="J38" s="70">
        <f>(ROUND(SUMIFS(Input!$I:$I,Input!$H:$H,'1.CC Transition risk-Banking b.'!$A38&amp;"*",Input!$E:$E,'1.CC Transition risk-Banking b.'!$J$63,Input!$C:$C,'1.CC Transition risk-Banking b.'!$J$64),0))/1000000</f>
        <v>0</v>
      </c>
      <c r="K38" s="70">
        <f>(ROUND(SUMIFS(Input!$I:$I,Input!$H:$H,'1.CC Transition risk-Banking b.'!$A38&amp;"*",Input!$E:$E,'1.CC Transition risk-Banking b.'!$K$63,Input!$C:$C,'1.CC Transition risk-Banking b.'!$K$64),0))/1000000</f>
        <v>0</v>
      </c>
      <c r="L38" s="71">
        <f>(ROUND(SUMIFS(Input!$J:$J,Input!$H:$H,'1.CC Transition risk-Banking b.'!$A38&amp;"*")
+ SUMIFS(Input!$L:$L,Input!$H:$H,'1.CC Transition risk-Banking b.'!$A38&amp;"*")
+SUMIFS(Input!$N:$N,Input!$H:$H,'1.CC Transition risk-Banking b.'!$A38&amp;"*"),0))/1</f>
        <v>0</v>
      </c>
      <c r="M38" s="71">
        <f>(ROUND(SUMIFS(Input!$N:$N,Input!$H:$H,'1.CC Transition risk-Banking b.'!$A38&amp;"*"),0))/1</f>
        <v>0</v>
      </c>
      <c r="N38" s="77">
        <f>IFERROR(AVERAGE(SUMIFS(Input!$I:$I,Input!$H:$H,'1.CC Transition risk-Banking b.'!$A38&amp;"*",Input!$R:$R,"SOUR1",Input!$E:$E,'1.CC Transition risk-Banking b.'!$O$63),
SUMIFS(Input!$I:$I,Input!$H:$H,'1.CC Transition risk-Banking b.'!$A38&amp;"*",Input!$S:$S,"SOUR1",Input!$E:$E,'1.CC Transition risk-Banking b.'!$O$63),
SUMIFS(Input!$I:$I,Input!$H:$H,'1.CC Transition risk-Banking b.'!$A38&amp;"*",Input!$T:$T,"SOUR1",Input!$E:$E,'1.CC Transition risk-Banking b.'!$O$63))/SUMIFS(Input!$I:$I,Input!$H:$H,'1.CC Transition risk-Banking b.'!$A38&amp;"*",Input!$E:$E,'1.CC Transition risk-Banking b.'!$O$63),0)</f>
        <v>0</v>
      </c>
      <c r="O38" s="72">
        <f>(ROUND(SUMIFS(Input!$I:$I,Input!$H:$H,'1.CC Transition risk-Banking b.'!$A38&amp;"*",Input!$E:$E,'1.CC Transition risk-Banking b.'!O$63,Input!$G:$G,"&gt;=0",Input!$G:$G,"&lt;=5")
+ SUMIFS(Input!$I:$I,Input!$H:$H,'1.CC Transition risk-Banking b.'!$A38&amp;"*",Input!$E:$E,'1.CC Transition risk-Banking b.'!O$63,Input!$G:$G,"-4")
+ SUMIFS(Input!$I:$I,Input!$H:$H,'1.CC Transition risk-Banking b.'!$A38&amp;"*",Input!$E:$E,'1.CC Transition risk-Banking b.'!O$63,Input!$G:$G,"-1"),0))/1000000</f>
        <v>0</v>
      </c>
      <c r="P38" s="72">
        <f>(ROUND(SUMIFS(Input!$I:$I,Input!$H:$H,'1.CC Transition risk-Banking b.'!$A38&amp;"*",Input!$E:$E,'1.CC Transition risk-Banking b.'!P$63,Input!$G:$G,"&gt;5",Input!$G:$G,"&lt;=10"),0))/1000000</f>
        <v>0</v>
      </c>
      <c r="Q38" s="72">
        <f>(ROUND(SUMIFS(Input!$I:$I,Input!$H:$H,'1.CC Transition risk-Banking b.'!$A38&amp;"*",Input!$E:$E,'1.CC Transition risk-Banking b.'!Q$63,Input!$G:$G,"&gt;10",Input!$G:$G,"&lt;=20"),0))/1000000</f>
        <v>0</v>
      </c>
      <c r="R38" s="72">
        <f>(ROUND(SUMIFS(Input!$I:$I,Input!$H:$H,'1.CC Transition risk-Banking b.'!$A38&amp;"*",Input!$E:$E,'1.CC Transition risk-Banking b.'!R$63,Input!$G:$G,"&gt;20")
+ SUMIFS(Input!$I:$I,Input!$H:$H,'1.CC Transition risk-Banking b.'!$A38&amp;"*",Input!$E:$E,'1.CC Transition risk-Banking b.'!R$63,Input!$G:$G,"-2")
+ SUMIFS(Input!$I:$I,Input!$H:$H,'1.CC Transition risk-Banking b.'!$A38&amp;"*",Input!$E:$E,'1.CC Transition risk-Banking b.'!R$63,Input!$G:$G,"-3"),0))/1000000</f>
        <v>0</v>
      </c>
      <c r="S38" s="73">
        <f>ROUND(IFERROR((SUMIFS(Input!$Q:$Q,Input!$H:$H,'1.CC Transition risk-Banking b.'!$A38&amp;"*",Input!$E:$E,'1.CC Transition risk-Banking b.'!S$63,Input!$G:$G,"&gt;0")/1000000)/'1.CC Transition risk-Banking b.'!$D38,0),0)</f>
        <v>0</v>
      </c>
    </row>
    <row r="39" spans="1:19">
      <c r="A39" s="82" t="s">
        <v>146</v>
      </c>
      <c r="B39" s="53">
        <v>34</v>
      </c>
      <c r="C39" s="55" t="s">
        <v>147</v>
      </c>
      <c r="D39" s="70">
        <f>(ROUND(SUMIFS(Input!$I:$I,Input!$H:$H,'1.CC Transition risk-Banking b.'!$A39&amp;"*",Input!$E:$E,'1.CC Transition risk-Banking b.'!$D$63),0))/1000000</f>
        <v>0</v>
      </c>
      <c r="E39" s="70">
        <f>(ROUND(SUMIFS(Input!$I:$I,Input!$H:$H,'1.CC Transition risk-Banking b.'!$A39&amp;"*",Input!$E:$E,'1.CC Transition risk-Banking b.'!$E$63,Input!$F:$F,'1.CC Transition risk-Banking b.'!$E$64),0))/1000000</f>
        <v>0</v>
      </c>
      <c r="F39" s="70">
        <f>(ROUND(SUMIFS(Input!$P:$P,Input!$H:$H,'1.CC Transition risk-Banking b.'!$A39&amp;"*",Input!$E:$E,'1.CC Transition risk-Banking b.'!$E$63,Input!$O:$O,'1.CC Transition risk-Banking b.'!$F$63),0))/1000000</f>
        <v>0</v>
      </c>
      <c r="G39" s="70">
        <f>(ROUND(SUMIFS(Input!$I:$I,Input!$H:$H,'1.CC Transition risk-Banking b.'!$A39&amp;"*",Input!$E:$E,'1.CC Transition risk-Banking b.'!$G$63,Input!$C:$C,'1.CC Transition risk-Banking b.'!$G$64),0))/1000000</f>
        <v>0</v>
      </c>
      <c r="H39" s="70">
        <f>(ROUND(SUMIFS(Input!$I:$I,Input!$H:$H,'1.CC Transition risk-Banking b.'!$A39&amp;"*",Input!$E:$E,'1.CC Transition risk-Banking b.'!$H$63,Input!$C:$C,'1.CC Transition risk-Banking b.'!$H$64),0))/1000000</f>
        <v>0</v>
      </c>
      <c r="I39" s="70">
        <f>(ROUND(SUMIFS(Input!$I:$I,Input!$H:$H,'1.CC Transition risk-Banking b.'!$A39&amp;"*",Input!$E:$E,'1.CC Transition risk-Banking b.'!$I$63),0))/1000000</f>
        <v>0</v>
      </c>
      <c r="J39" s="70">
        <f>(ROUND(SUMIFS(Input!$I:$I,Input!$H:$H,'1.CC Transition risk-Banking b.'!$A39&amp;"*",Input!$E:$E,'1.CC Transition risk-Banking b.'!$J$63,Input!$C:$C,'1.CC Transition risk-Banking b.'!$J$64),0))/1000000</f>
        <v>0</v>
      </c>
      <c r="K39" s="70">
        <f>(ROUND(SUMIFS(Input!$I:$I,Input!$H:$H,'1.CC Transition risk-Banking b.'!$A39&amp;"*",Input!$E:$E,'1.CC Transition risk-Banking b.'!$K$63,Input!$C:$C,'1.CC Transition risk-Banking b.'!$K$64),0))/1000000</f>
        <v>0</v>
      </c>
      <c r="L39" s="71">
        <f>(ROUND(SUMIFS(Input!$J:$J,Input!$H:$H,'1.CC Transition risk-Banking b.'!$A39&amp;"*")
+ SUMIFS(Input!$L:$L,Input!$H:$H,'1.CC Transition risk-Banking b.'!$A39&amp;"*")
+SUMIFS(Input!$N:$N,Input!$H:$H,'1.CC Transition risk-Banking b.'!$A39&amp;"*"),0))/1</f>
        <v>0</v>
      </c>
      <c r="M39" s="71">
        <f>(ROUND(SUMIFS(Input!$N:$N,Input!$H:$H,'1.CC Transition risk-Banking b.'!$A39&amp;"*"),0))/1</f>
        <v>0</v>
      </c>
      <c r="N39" s="77">
        <f>IFERROR(AVERAGE(SUMIFS(Input!$I:$I,Input!$H:$H,'1.CC Transition risk-Banking b.'!$A39&amp;"*",Input!$R:$R,"SOUR1",Input!$E:$E,'1.CC Transition risk-Banking b.'!$O$63),
SUMIFS(Input!$I:$I,Input!$H:$H,'1.CC Transition risk-Banking b.'!$A39&amp;"*",Input!$S:$S,"SOUR1",Input!$E:$E,'1.CC Transition risk-Banking b.'!$O$63),
SUMIFS(Input!$I:$I,Input!$H:$H,'1.CC Transition risk-Banking b.'!$A39&amp;"*",Input!$T:$T,"SOUR1",Input!$E:$E,'1.CC Transition risk-Banking b.'!$O$63))/SUMIFS(Input!$I:$I,Input!$H:$H,'1.CC Transition risk-Banking b.'!$A39&amp;"*",Input!$E:$E,'1.CC Transition risk-Banking b.'!$O$63),0)</f>
        <v>0</v>
      </c>
      <c r="O39" s="72">
        <f>(ROUND(SUMIFS(Input!$I:$I,Input!$H:$H,'1.CC Transition risk-Banking b.'!$A39&amp;"*",Input!$E:$E,'1.CC Transition risk-Banking b.'!O$63,Input!$G:$G,"&gt;=0",Input!$G:$G,"&lt;=5")
+ SUMIFS(Input!$I:$I,Input!$H:$H,'1.CC Transition risk-Banking b.'!$A39&amp;"*",Input!$E:$E,'1.CC Transition risk-Banking b.'!O$63,Input!$G:$G,"-4")
+ SUMIFS(Input!$I:$I,Input!$H:$H,'1.CC Transition risk-Banking b.'!$A39&amp;"*",Input!$E:$E,'1.CC Transition risk-Banking b.'!O$63,Input!$G:$G,"-1"),0))/1000000</f>
        <v>0</v>
      </c>
      <c r="P39" s="72">
        <f>(ROUND(SUMIFS(Input!$I:$I,Input!$H:$H,'1.CC Transition risk-Banking b.'!$A39&amp;"*",Input!$E:$E,'1.CC Transition risk-Banking b.'!P$63,Input!$G:$G,"&gt;5",Input!$G:$G,"&lt;=10"),0))/1000000</f>
        <v>0</v>
      </c>
      <c r="Q39" s="72">
        <f>(ROUND(SUMIFS(Input!$I:$I,Input!$H:$H,'1.CC Transition risk-Banking b.'!$A39&amp;"*",Input!$E:$E,'1.CC Transition risk-Banking b.'!Q$63,Input!$G:$G,"&gt;10",Input!$G:$G,"&lt;=20"),0))/1000000</f>
        <v>0</v>
      </c>
      <c r="R39" s="72">
        <f>(ROUND(SUMIFS(Input!$I:$I,Input!$H:$H,'1.CC Transition risk-Banking b.'!$A39&amp;"*",Input!$E:$E,'1.CC Transition risk-Banking b.'!R$63,Input!$G:$G,"&gt;20")
+ SUMIFS(Input!$I:$I,Input!$H:$H,'1.CC Transition risk-Banking b.'!$A39&amp;"*",Input!$E:$E,'1.CC Transition risk-Banking b.'!R$63,Input!$G:$G,"-2")
+ SUMIFS(Input!$I:$I,Input!$H:$H,'1.CC Transition risk-Banking b.'!$A39&amp;"*",Input!$E:$E,'1.CC Transition risk-Banking b.'!R$63,Input!$G:$G,"-3"),0))/1000000</f>
        <v>0</v>
      </c>
      <c r="S39" s="73">
        <f>ROUND(IFERROR((SUMIFS(Input!$Q:$Q,Input!$H:$H,'1.CC Transition risk-Banking b.'!$A39&amp;"*",Input!$E:$E,'1.CC Transition risk-Banking b.'!S$63,Input!$G:$G,"&gt;0")/1000000)/'1.CC Transition risk-Banking b.'!$D39,0),0)</f>
        <v>0</v>
      </c>
    </row>
    <row r="40" spans="1:19">
      <c r="A40" s="82" t="s">
        <v>148</v>
      </c>
      <c r="B40" s="53">
        <v>35</v>
      </c>
      <c r="C40" s="57" t="s">
        <v>149</v>
      </c>
      <c r="D40" s="70">
        <f>(ROUND(SUMIFS(Input!$I:$I,Input!$H:$H,'1.CC Transition risk-Banking b.'!$A40&amp;"*",Input!$E:$E,'1.CC Transition risk-Banking b.'!$D$63),0))/1000000</f>
        <v>0</v>
      </c>
      <c r="E40" s="70">
        <f>(ROUND(SUMIFS(Input!$I:$I,Input!$H:$H,'1.CC Transition risk-Banking b.'!$A40&amp;"*",Input!$E:$E,'1.CC Transition risk-Banking b.'!$E$63,Input!$F:$F,'1.CC Transition risk-Banking b.'!$E$64),0))/1000000</f>
        <v>0</v>
      </c>
      <c r="F40" s="70">
        <f>(ROUND(SUMIFS(Input!$P:$P,Input!$H:$H,'1.CC Transition risk-Banking b.'!$A40&amp;"*",Input!$E:$E,'1.CC Transition risk-Banking b.'!$E$63,Input!$O:$O,'1.CC Transition risk-Banking b.'!$F$63),0))/1000000</f>
        <v>0</v>
      </c>
      <c r="G40" s="70">
        <f>(ROUND(SUMIFS(Input!$I:$I,Input!$H:$H,'1.CC Transition risk-Banking b.'!$A40&amp;"*",Input!$E:$E,'1.CC Transition risk-Banking b.'!$G$63,Input!$C:$C,'1.CC Transition risk-Banking b.'!$G$64),0))/1000000</f>
        <v>0</v>
      </c>
      <c r="H40" s="70">
        <f>(ROUND(SUMIFS(Input!$I:$I,Input!$H:$H,'1.CC Transition risk-Banking b.'!$A40&amp;"*",Input!$E:$E,'1.CC Transition risk-Banking b.'!$H$63,Input!$C:$C,'1.CC Transition risk-Banking b.'!$H$64),0))/1000000</f>
        <v>0</v>
      </c>
      <c r="I40" s="70">
        <f>(ROUND(SUMIFS(Input!$I:$I,Input!$H:$H,'1.CC Transition risk-Banking b.'!$A40&amp;"*",Input!$E:$E,'1.CC Transition risk-Banking b.'!$I$63),0))/1000000</f>
        <v>0</v>
      </c>
      <c r="J40" s="70">
        <f>(ROUND(SUMIFS(Input!$I:$I,Input!$H:$H,'1.CC Transition risk-Banking b.'!$A40&amp;"*",Input!$E:$E,'1.CC Transition risk-Banking b.'!$J$63,Input!$C:$C,'1.CC Transition risk-Banking b.'!$J$64),0))/1000000</f>
        <v>0</v>
      </c>
      <c r="K40" s="70">
        <f>(ROUND(SUMIFS(Input!$I:$I,Input!$H:$H,'1.CC Transition risk-Banking b.'!$A40&amp;"*",Input!$E:$E,'1.CC Transition risk-Banking b.'!$K$63,Input!$C:$C,'1.CC Transition risk-Banking b.'!$K$64),0))/1000000</f>
        <v>0</v>
      </c>
      <c r="L40" s="71">
        <f>(ROUND(SUMIFS(Input!$J:$J,Input!$H:$H,'1.CC Transition risk-Banking b.'!$A40&amp;"*")
+ SUMIFS(Input!$L:$L,Input!$H:$H,'1.CC Transition risk-Banking b.'!$A40&amp;"*")
+SUMIFS(Input!$N:$N,Input!$H:$H,'1.CC Transition risk-Banking b.'!$A40&amp;"*"),0))/1</f>
        <v>0</v>
      </c>
      <c r="M40" s="71">
        <f>(ROUND(SUMIFS(Input!$N:$N,Input!$H:$H,'1.CC Transition risk-Banking b.'!$A40&amp;"*"),0))/1</f>
        <v>0</v>
      </c>
      <c r="N40" s="77">
        <f>IFERROR(AVERAGE(SUMIFS(Input!$I:$I,Input!$H:$H,'1.CC Transition risk-Banking b.'!$A40&amp;"*",Input!$R:$R,"SOUR1",Input!$E:$E,'1.CC Transition risk-Banking b.'!$O$63),
SUMIFS(Input!$I:$I,Input!$H:$H,'1.CC Transition risk-Banking b.'!$A40&amp;"*",Input!$S:$S,"SOUR1",Input!$E:$E,'1.CC Transition risk-Banking b.'!$O$63),
SUMIFS(Input!$I:$I,Input!$H:$H,'1.CC Transition risk-Banking b.'!$A40&amp;"*",Input!$T:$T,"SOUR1",Input!$E:$E,'1.CC Transition risk-Banking b.'!$O$63))/SUMIFS(Input!$I:$I,Input!$H:$H,'1.CC Transition risk-Banking b.'!$A40&amp;"*",Input!$E:$E,'1.CC Transition risk-Banking b.'!$O$63),0)</f>
        <v>0</v>
      </c>
      <c r="O40" s="72">
        <f>(ROUND(SUMIFS(Input!$I:$I,Input!$H:$H,'1.CC Transition risk-Banking b.'!$A40&amp;"*",Input!$E:$E,'1.CC Transition risk-Banking b.'!O$63,Input!$G:$G,"&gt;=0",Input!$G:$G,"&lt;=5")
+ SUMIFS(Input!$I:$I,Input!$H:$H,'1.CC Transition risk-Banking b.'!$A40&amp;"*",Input!$E:$E,'1.CC Transition risk-Banking b.'!O$63,Input!$G:$G,"-4")
+ SUMIFS(Input!$I:$I,Input!$H:$H,'1.CC Transition risk-Banking b.'!$A40&amp;"*",Input!$E:$E,'1.CC Transition risk-Banking b.'!O$63,Input!$G:$G,"-1"),0))/1000000</f>
        <v>0</v>
      </c>
      <c r="P40" s="72">
        <f>(ROUND(SUMIFS(Input!$I:$I,Input!$H:$H,'1.CC Transition risk-Banking b.'!$A40&amp;"*",Input!$E:$E,'1.CC Transition risk-Banking b.'!P$63,Input!$G:$G,"&gt;5",Input!$G:$G,"&lt;=10"),0))/1000000</f>
        <v>0</v>
      </c>
      <c r="Q40" s="72">
        <f>(ROUND(SUMIFS(Input!$I:$I,Input!$H:$H,'1.CC Transition risk-Banking b.'!$A40&amp;"*",Input!$E:$E,'1.CC Transition risk-Banking b.'!Q$63,Input!$G:$G,"&gt;10",Input!$G:$G,"&lt;=20"),0))/1000000</f>
        <v>0</v>
      </c>
      <c r="R40" s="72">
        <f>(ROUND(SUMIFS(Input!$I:$I,Input!$H:$H,'1.CC Transition risk-Banking b.'!$A40&amp;"*",Input!$E:$E,'1.CC Transition risk-Banking b.'!R$63,Input!$G:$G,"&gt;20")
+ SUMIFS(Input!$I:$I,Input!$H:$H,'1.CC Transition risk-Banking b.'!$A40&amp;"*",Input!$E:$E,'1.CC Transition risk-Banking b.'!R$63,Input!$G:$G,"-2")
+ SUMIFS(Input!$I:$I,Input!$H:$H,'1.CC Transition risk-Banking b.'!$A40&amp;"*",Input!$E:$E,'1.CC Transition risk-Banking b.'!R$63,Input!$G:$G,"-3"),0))/1000000</f>
        <v>0</v>
      </c>
      <c r="S40" s="73">
        <f>ROUND(IFERROR((SUMIFS(Input!$Q:$Q,Input!$H:$H,'1.CC Transition risk-Banking b.'!$A40&amp;"*",Input!$E:$E,'1.CC Transition risk-Banking b.'!S$63,Input!$G:$G,"&gt;0")/1000000)/'1.CC Transition risk-Banking b.'!$D40,0),0)</f>
        <v>0</v>
      </c>
    </row>
    <row r="41" spans="1:19">
      <c r="A41" s="82" t="s">
        <v>150</v>
      </c>
      <c r="B41" s="53">
        <v>36</v>
      </c>
      <c r="C41" s="57" t="s">
        <v>151</v>
      </c>
      <c r="D41" s="70">
        <f>(ROUND(SUMIFS(Input!$I:$I,Input!$H:$H,'1.CC Transition risk-Banking b.'!$A41&amp;"*",Input!$E:$E,'1.CC Transition risk-Banking b.'!$D$63),0))/1000000</f>
        <v>0</v>
      </c>
      <c r="E41" s="70">
        <f>(ROUND(SUMIFS(Input!$I:$I,Input!$H:$H,'1.CC Transition risk-Banking b.'!$A41&amp;"*",Input!$E:$E,'1.CC Transition risk-Banking b.'!$E$63,Input!$F:$F,'1.CC Transition risk-Banking b.'!$E$64),0))/1000000</f>
        <v>0</v>
      </c>
      <c r="F41" s="70">
        <f>(ROUND(SUMIFS(Input!$P:$P,Input!$H:$H,'1.CC Transition risk-Banking b.'!$A41&amp;"*",Input!$E:$E,'1.CC Transition risk-Banking b.'!$E$63,Input!$O:$O,'1.CC Transition risk-Banking b.'!$F$63),0))/1000000</f>
        <v>0</v>
      </c>
      <c r="G41" s="70">
        <f>(ROUND(SUMIFS(Input!$I:$I,Input!$H:$H,'1.CC Transition risk-Banking b.'!$A41&amp;"*",Input!$E:$E,'1.CC Transition risk-Banking b.'!$G$63,Input!$C:$C,'1.CC Transition risk-Banking b.'!$G$64),0))/1000000</f>
        <v>0</v>
      </c>
      <c r="H41" s="70">
        <f>(ROUND(SUMIFS(Input!$I:$I,Input!$H:$H,'1.CC Transition risk-Banking b.'!$A41&amp;"*",Input!$E:$E,'1.CC Transition risk-Banking b.'!$H$63,Input!$C:$C,'1.CC Transition risk-Banking b.'!$H$64),0))/1000000</f>
        <v>0</v>
      </c>
      <c r="I41" s="70">
        <f>(ROUND(SUMIFS(Input!$I:$I,Input!$H:$H,'1.CC Transition risk-Banking b.'!$A41&amp;"*",Input!$E:$E,'1.CC Transition risk-Banking b.'!$I$63),0))/1000000</f>
        <v>0</v>
      </c>
      <c r="J41" s="70">
        <f>(ROUND(SUMIFS(Input!$I:$I,Input!$H:$H,'1.CC Transition risk-Banking b.'!$A41&amp;"*",Input!$E:$E,'1.CC Transition risk-Banking b.'!$J$63,Input!$C:$C,'1.CC Transition risk-Banking b.'!$J$64),0))/1000000</f>
        <v>0</v>
      </c>
      <c r="K41" s="70">
        <f>(ROUND(SUMIFS(Input!$I:$I,Input!$H:$H,'1.CC Transition risk-Banking b.'!$A41&amp;"*",Input!$E:$E,'1.CC Transition risk-Banking b.'!$K$63,Input!$C:$C,'1.CC Transition risk-Banking b.'!$K$64),0))/1000000</f>
        <v>0</v>
      </c>
      <c r="L41" s="71">
        <f>(ROUND(SUMIFS(Input!$J:$J,Input!$H:$H,'1.CC Transition risk-Banking b.'!$A41&amp;"*")
+ SUMIFS(Input!$L:$L,Input!$H:$H,'1.CC Transition risk-Banking b.'!$A41&amp;"*")
+SUMIFS(Input!$N:$N,Input!$H:$H,'1.CC Transition risk-Banking b.'!$A41&amp;"*"),0))/1</f>
        <v>0</v>
      </c>
      <c r="M41" s="71">
        <f>(ROUND(SUMIFS(Input!$N:$N,Input!$H:$H,'1.CC Transition risk-Banking b.'!$A41&amp;"*"),0))/1</f>
        <v>0</v>
      </c>
      <c r="N41" s="77">
        <f>IFERROR(AVERAGE(SUMIFS(Input!$I:$I,Input!$H:$H,'1.CC Transition risk-Banking b.'!$A41&amp;"*",Input!$R:$R,"SOUR1",Input!$E:$E,'1.CC Transition risk-Banking b.'!$O$63),
SUMIFS(Input!$I:$I,Input!$H:$H,'1.CC Transition risk-Banking b.'!$A41&amp;"*",Input!$S:$S,"SOUR1",Input!$E:$E,'1.CC Transition risk-Banking b.'!$O$63),
SUMIFS(Input!$I:$I,Input!$H:$H,'1.CC Transition risk-Banking b.'!$A41&amp;"*",Input!$T:$T,"SOUR1",Input!$E:$E,'1.CC Transition risk-Banking b.'!$O$63))/SUMIFS(Input!$I:$I,Input!$H:$H,'1.CC Transition risk-Banking b.'!$A41&amp;"*",Input!$E:$E,'1.CC Transition risk-Banking b.'!$O$63),0)</f>
        <v>0</v>
      </c>
      <c r="O41" s="72">
        <f>(ROUND(SUMIFS(Input!$I:$I,Input!$H:$H,'1.CC Transition risk-Banking b.'!$A41&amp;"*",Input!$E:$E,'1.CC Transition risk-Banking b.'!O$63,Input!$G:$G,"&gt;=0",Input!$G:$G,"&lt;=5")
+ SUMIFS(Input!$I:$I,Input!$H:$H,'1.CC Transition risk-Banking b.'!$A41&amp;"*",Input!$E:$E,'1.CC Transition risk-Banking b.'!O$63,Input!$G:$G,"-4")
+ SUMIFS(Input!$I:$I,Input!$H:$H,'1.CC Transition risk-Banking b.'!$A41&amp;"*",Input!$E:$E,'1.CC Transition risk-Banking b.'!O$63,Input!$G:$G,"-1"),0))/1000000</f>
        <v>0</v>
      </c>
      <c r="P41" s="72">
        <f>(ROUND(SUMIFS(Input!$I:$I,Input!$H:$H,'1.CC Transition risk-Banking b.'!$A41&amp;"*",Input!$E:$E,'1.CC Transition risk-Banking b.'!P$63,Input!$G:$G,"&gt;5",Input!$G:$G,"&lt;=10"),0))/1000000</f>
        <v>0</v>
      </c>
      <c r="Q41" s="72">
        <f>(ROUND(SUMIFS(Input!$I:$I,Input!$H:$H,'1.CC Transition risk-Banking b.'!$A41&amp;"*",Input!$E:$E,'1.CC Transition risk-Banking b.'!Q$63,Input!$G:$G,"&gt;10",Input!$G:$G,"&lt;=20"),0))/1000000</f>
        <v>0</v>
      </c>
      <c r="R41" s="72">
        <f>(ROUND(SUMIFS(Input!$I:$I,Input!$H:$H,'1.CC Transition risk-Banking b.'!$A41&amp;"*",Input!$E:$E,'1.CC Transition risk-Banking b.'!R$63,Input!$G:$G,"&gt;20")
+ SUMIFS(Input!$I:$I,Input!$H:$H,'1.CC Transition risk-Banking b.'!$A41&amp;"*",Input!$E:$E,'1.CC Transition risk-Banking b.'!R$63,Input!$G:$G,"-2")
+ SUMIFS(Input!$I:$I,Input!$H:$H,'1.CC Transition risk-Banking b.'!$A41&amp;"*",Input!$E:$E,'1.CC Transition risk-Banking b.'!R$63,Input!$G:$G,"-3"),0))/1000000</f>
        <v>0</v>
      </c>
      <c r="S41" s="73">
        <f>ROUND(IFERROR((SUMIFS(Input!$Q:$Q,Input!$H:$H,'1.CC Transition risk-Banking b.'!$A41&amp;"*",Input!$E:$E,'1.CC Transition risk-Banking b.'!S$63,Input!$G:$G,"&gt;0")/1000000)/'1.CC Transition risk-Banking b.'!$D41,0),0)</f>
        <v>0</v>
      </c>
    </row>
    <row r="42" spans="1:19">
      <c r="A42" s="82" t="s">
        <v>152</v>
      </c>
      <c r="B42" s="53">
        <v>37</v>
      </c>
      <c r="C42" s="57" t="s">
        <v>153</v>
      </c>
      <c r="D42" s="70">
        <f>(ROUND(SUMIFS(Input!$I:$I,Input!$H:$H,'1.CC Transition risk-Banking b.'!$A42&amp;"*",Input!$E:$E,'1.CC Transition risk-Banking b.'!$D$63),0))/1000000</f>
        <v>0</v>
      </c>
      <c r="E42" s="70">
        <f>(ROUND(SUMIFS(Input!$I:$I,Input!$H:$H,'1.CC Transition risk-Banking b.'!$A42&amp;"*",Input!$E:$E,'1.CC Transition risk-Banking b.'!$E$63,Input!$F:$F,'1.CC Transition risk-Banking b.'!$E$64),0))/1000000</f>
        <v>0</v>
      </c>
      <c r="F42" s="70">
        <f>(ROUND(SUMIFS(Input!$P:$P,Input!$H:$H,'1.CC Transition risk-Banking b.'!$A42&amp;"*",Input!$E:$E,'1.CC Transition risk-Banking b.'!$E$63,Input!$O:$O,'1.CC Transition risk-Banking b.'!$F$63),0))/1000000</f>
        <v>0</v>
      </c>
      <c r="G42" s="70">
        <f>(ROUND(SUMIFS(Input!$I:$I,Input!$H:$H,'1.CC Transition risk-Banking b.'!$A42&amp;"*",Input!$E:$E,'1.CC Transition risk-Banking b.'!$G$63,Input!$C:$C,'1.CC Transition risk-Banking b.'!$G$64),0))/1000000</f>
        <v>0</v>
      </c>
      <c r="H42" s="70">
        <f>(ROUND(SUMIFS(Input!$I:$I,Input!$H:$H,'1.CC Transition risk-Banking b.'!$A42&amp;"*",Input!$E:$E,'1.CC Transition risk-Banking b.'!$H$63,Input!$C:$C,'1.CC Transition risk-Banking b.'!$H$64),0))/1000000</f>
        <v>0</v>
      </c>
      <c r="I42" s="70">
        <f>(ROUND(SUMIFS(Input!$I:$I,Input!$H:$H,'1.CC Transition risk-Banking b.'!$A42&amp;"*",Input!$E:$E,'1.CC Transition risk-Banking b.'!$I$63),0))/1000000</f>
        <v>0</v>
      </c>
      <c r="J42" s="70">
        <f>(ROUND(SUMIFS(Input!$I:$I,Input!$H:$H,'1.CC Transition risk-Banking b.'!$A42&amp;"*",Input!$E:$E,'1.CC Transition risk-Banking b.'!$J$63,Input!$C:$C,'1.CC Transition risk-Banking b.'!$J$64),0))/1000000</f>
        <v>0</v>
      </c>
      <c r="K42" s="70">
        <f>(ROUND(SUMIFS(Input!$I:$I,Input!$H:$H,'1.CC Transition risk-Banking b.'!$A42&amp;"*",Input!$E:$E,'1.CC Transition risk-Banking b.'!$K$63,Input!$C:$C,'1.CC Transition risk-Banking b.'!$K$64),0))/1000000</f>
        <v>0</v>
      </c>
      <c r="L42" s="71">
        <f>(ROUND(SUMIFS(Input!$J:$J,Input!$H:$H,'1.CC Transition risk-Banking b.'!$A42&amp;"*")
+ SUMIFS(Input!$L:$L,Input!$H:$H,'1.CC Transition risk-Banking b.'!$A42&amp;"*")
+SUMIFS(Input!$N:$N,Input!$H:$H,'1.CC Transition risk-Banking b.'!$A42&amp;"*"),0))/1</f>
        <v>0</v>
      </c>
      <c r="M42" s="71">
        <f>(ROUND(SUMIFS(Input!$N:$N,Input!$H:$H,'1.CC Transition risk-Banking b.'!$A42&amp;"*"),0))/1</f>
        <v>0</v>
      </c>
      <c r="N42" s="77">
        <f>IFERROR(AVERAGE(SUMIFS(Input!$I:$I,Input!$H:$H,'1.CC Transition risk-Banking b.'!$A42&amp;"*",Input!$R:$R,"SOUR1",Input!$E:$E,'1.CC Transition risk-Banking b.'!$O$63),
SUMIFS(Input!$I:$I,Input!$H:$H,'1.CC Transition risk-Banking b.'!$A42&amp;"*",Input!$S:$S,"SOUR1",Input!$E:$E,'1.CC Transition risk-Banking b.'!$O$63),
SUMIFS(Input!$I:$I,Input!$H:$H,'1.CC Transition risk-Banking b.'!$A42&amp;"*",Input!$T:$T,"SOUR1",Input!$E:$E,'1.CC Transition risk-Banking b.'!$O$63))/SUMIFS(Input!$I:$I,Input!$H:$H,'1.CC Transition risk-Banking b.'!$A42&amp;"*",Input!$E:$E,'1.CC Transition risk-Banking b.'!$O$63),0)</f>
        <v>0</v>
      </c>
      <c r="O42" s="72">
        <f>(ROUND(SUMIFS(Input!$I:$I,Input!$H:$H,'1.CC Transition risk-Banking b.'!$A42&amp;"*",Input!$E:$E,'1.CC Transition risk-Banking b.'!O$63,Input!$G:$G,"&gt;=0",Input!$G:$G,"&lt;=5")
+ SUMIFS(Input!$I:$I,Input!$H:$H,'1.CC Transition risk-Banking b.'!$A42&amp;"*",Input!$E:$E,'1.CC Transition risk-Banking b.'!O$63,Input!$G:$G,"-4")
+ SUMIFS(Input!$I:$I,Input!$H:$H,'1.CC Transition risk-Banking b.'!$A42&amp;"*",Input!$E:$E,'1.CC Transition risk-Banking b.'!O$63,Input!$G:$G,"-1"),0))/1000000</f>
        <v>0</v>
      </c>
      <c r="P42" s="72">
        <f>(ROUND(SUMIFS(Input!$I:$I,Input!$H:$H,'1.CC Transition risk-Banking b.'!$A42&amp;"*",Input!$E:$E,'1.CC Transition risk-Banking b.'!P$63,Input!$G:$G,"&gt;5",Input!$G:$G,"&lt;=10"),0))/1000000</f>
        <v>0</v>
      </c>
      <c r="Q42" s="72">
        <f>(ROUND(SUMIFS(Input!$I:$I,Input!$H:$H,'1.CC Transition risk-Banking b.'!$A42&amp;"*",Input!$E:$E,'1.CC Transition risk-Banking b.'!Q$63,Input!$G:$G,"&gt;10",Input!$G:$G,"&lt;=20"),0))/1000000</f>
        <v>0</v>
      </c>
      <c r="R42" s="72">
        <f>(ROUND(SUMIFS(Input!$I:$I,Input!$H:$H,'1.CC Transition risk-Banking b.'!$A42&amp;"*",Input!$E:$E,'1.CC Transition risk-Banking b.'!R$63,Input!$G:$G,"&gt;20")
+ SUMIFS(Input!$I:$I,Input!$H:$H,'1.CC Transition risk-Banking b.'!$A42&amp;"*",Input!$E:$E,'1.CC Transition risk-Banking b.'!R$63,Input!$G:$G,"-2")
+ SUMIFS(Input!$I:$I,Input!$H:$H,'1.CC Transition risk-Banking b.'!$A42&amp;"*",Input!$E:$E,'1.CC Transition risk-Banking b.'!R$63,Input!$G:$G,"-3"),0))/1000000</f>
        <v>0</v>
      </c>
      <c r="S42" s="73">
        <f>ROUND(IFERROR((SUMIFS(Input!$Q:$Q,Input!$H:$H,'1.CC Transition risk-Banking b.'!$A42&amp;"*",Input!$E:$E,'1.CC Transition risk-Banking b.'!S$63,Input!$G:$G,"&gt;0")/1000000)/'1.CC Transition risk-Banking b.'!$D42,0),0)</f>
        <v>0</v>
      </c>
    </row>
    <row r="43" spans="1:19">
      <c r="A43" s="82" t="s">
        <v>154</v>
      </c>
      <c r="B43" s="53">
        <v>38</v>
      </c>
      <c r="C43" s="57" t="s">
        <v>155</v>
      </c>
      <c r="D43" s="70">
        <f>(ROUND(SUMIFS(Input!$I:$I,Input!$H:$H,'1.CC Transition risk-Banking b.'!$A43&amp;"*",Input!$E:$E,'1.CC Transition risk-Banking b.'!$D$63),0))/1000000</f>
        <v>0</v>
      </c>
      <c r="E43" s="70">
        <f>(ROUND(SUMIFS(Input!$I:$I,Input!$H:$H,'1.CC Transition risk-Banking b.'!$A43&amp;"*",Input!$E:$E,'1.CC Transition risk-Banking b.'!$E$63,Input!$F:$F,'1.CC Transition risk-Banking b.'!$E$64),0))/1000000</f>
        <v>0</v>
      </c>
      <c r="F43" s="70">
        <f>(ROUND(SUMIFS(Input!$P:$P,Input!$H:$H,'1.CC Transition risk-Banking b.'!$A43&amp;"*",Input!$E:$E,'1.CC Transition risk-Banking b.'!$E$63,Input!$O:$O,'1.CC Transition risk-Banking b.'!$F$63),0))/1000000</f>
        <v>0</v>
      </c>
      <c r="G43" s="70">
        <f>(ROUND(SUMIFS(Input!$I:$I,Input!$H:$H,'1.CC Transition risk-Banking b.'!$A43&amp;"*",Input!$E:$E,'1.CC Transition risk-Banking b.'!$G$63,Input!$C:$C,'1.CC Transition risk-Banking b.'!$G$64),0))/1000000</f>
        <v>0</v>
      </c>
      <c r="H43" s="70">
        <f>(ROUND(SUMIFS(Input!$I:$I,Input!$H:$H,'1.CC Transition risk-Banking b.'!$A43&amp;"*",Input!$E:$E,'1.CC Transition risk-Banking b.'!$H$63,Input!$C:$C,'1.CC Transition risk-Banking b.'!$H$64),0))/1000000</f>
        <v>0</v>
      </c>
      <c r="I43" s="70">
        <f>(ROUND(SUMIFS(Input!$I:$I,Input!$H:$H,'1.CC Transition risk-Banking b.'!$A43&amp;"*",Input!$E:$E,'1.CC Transition risk-Banking b.'!$I$63),0))/1000000</f>
        <v>0</v>
      </c>
      <c r="J43" s="70">
        <f>(ROUND(SUMIFS(Input!$I:$I,Input!$H:$H,'1.CC Transition risk-Banking b.'!$A43&amp;"*",Input!$E:$E,'1.CC Transition risk-Banking b.'!$J$63,Input!$C:$C,'1.CC Transition risk-Banking b.'!$J$64),0))/1000000</f>
        <v>0</v>
      </c>
      <c r="K43" s="70">
        <f>(ROUND(SUMIFS(Input!$I:$I,Input!$H:$H,'1.CC Transition risk-Banking b.'!$A43&amp;"*",Input!$E:$E,'1.CC Transition risk-Banking b.'!$K$63,Input!$C:$C,'1.CC Transition risk-Banking b.'!$K$64),0))/1000000</f>
        <v>0</v>
      </c>
      <c r="L43" s="71">
        <f>(ROUND(SUMIFS(Input!$J:$J,Input!$H:$H,'1.CC Transition risk-Banking b.'!$A43&amp;"*")
+ SUMIFS(Input!$L:$L,Input!$H:$H,'1.CC Transition risk-Banking b.'!$A43&amp;"*")
+SUMIFS(Input!$N:$N,Input!$H:$H,'1.CC Transition risk-Banking b.'!$A43&amp;"*"),0))/1</f>
        <v>0</v>
      </c>
      <c r="M43" s="71">
        <f>(ROUND(SUMIFS(Input!$N:$N,Input!$H:$H,'1.CC Transition risk-Banking b.'!$A43&amp;"*"),0))/1</f>
        <v>0</v>
      </c>
      <c r="N43" s="77">
        <f>IFERROR(AVERAGE(SUMIFS(Input!$I:$I,Input!$H:$H,'1.CC Transition risk-Banking b.'!$A43&amp;"*",Input!$R:$R,"SOUR1",Input!$E:$E,'1.CC Transition risk-Banking b.'!$O$63),
SUMIFS(Input!$I:$I,Input!$H:$H,'1.CC Transition risk-Banking b.'!$A43&amp;"*",Input!$S:$S,"SOUR1",Input!$E:$E,'1.CC Transition risk-Banking b.'!$O$63),
SUMIFS(Input!$I:$I,Input!$H:$H,'1.CC Transition risk-Banking b.'!$A43&amp;"*",Input!$T:$T,"SOUR1",Input!$E:$E,'1.CC Transition risk-Banking b.'!$O$63))/SUMIFS(Input!$I:$I,Input!$H:$H,'1.CC Transition risk-Banking b.'!$A43&amp;"*",Input!$E:$E,'1.CC Transition risk-Banking b.'!$O$63),0)</f>
        <v>0</v>
      </c>
      <c r="O43" s="72">
        <f>(ROUND(SUMIFS(Input!$I:$I,Input!$H:$H,'1.CC Transition risk-Banking b.'!$A43&amp;"*",Input!$E:$E,'1.CC Transition risk-Banking b.'!O$63,Input!$G:$G,"&gt;=0",Input!$G:$G,"&lt;=5")
+ SUMIFS(Input!$I:$I,Input!$H:$H,'1.CC Transition risk-Banking b.'!$A43&amp;"*",Input!$E:$E,'1.CC Transition risk-Banking b.'!O$63,Input!$G:$G,"-4")
+ SUMIFS(Input!$I:$I,Input!$H:$H,'1.CC Transition risk-Banking b.'!$A43&amp;"*",Input!$E:$E,'1.CC Transition risk-Banking b.'!O$63,Input!$G:$G,"-1"),0))/1000000</f>
        <v>0</v>
      </c>
      <c r="P43" s="72">
        <f>(ROUND(SUMIFS(Input!$I:$I,Input!$H:$H,'1.CC Transition risk-Banking b.'!$A43&amp;"*",Input!$E:$E,'1.CC Transition risk-Banking b.'!P$63,Input!$G:$G,"&gt;5",Input!$G:$G,"&lt;=10"),0))/1000000</f>
        <v>0</v>
      </c>
      <c r="Q43" s="72">
        <f>(ROUND(SUMIFS(Input!$I:$I,Input!$H:$H,'1.CC Transition risk-Banking b.'!$A43&amp;"*",Input!$E:$E,'1.CC Transition risk-Banking b.'!Q$63,Input!$G:$G,"&gt;10",Input!$G:$G,"&lt;=20"),0))/1000000</f>
        <v>0</v>
      </c>
      <c r="R43" s="72">
        <f>(ROUND(SUMIFS(Input!$I:$I,Input!$H:$H,'1.CC Transition risk-Banking b.'!$A43&amp;"*",Input!$E:$E,'1.CC Transition risk-Banking b.'!R$63,Input!$G:$G,"&gt;20")
+ SUMIFS(Input!$I:$I,Input!$H:$H,'1.CC Transition risk-Banking b.'!$A43&amp;"*",Input!$E:$E,'1.CC Transition risk-Banking b.'!R$63,Input!$G:$G,"-2")
+ SUMIFS(Input!$I:$I,Input!$H:$H,'1.CC Transition risk-Banking b.'!$A43&amp;"*",Input!$E:$E,'1.CC Transition risk-Banking b.'!R$63,Input!$G:$G,"-3"),0))/1000000</f>
        <v>0</v>
      </c>
      <c r="S43" s="73">
        <f>ROUND(IFERROR((SUMIFS(Input!$Q:$Q,Input!$H:$H,'1.CC Transition risk-Banking b.'!$A43&amp;"*",Input!$E:$E,'1.CC Transition risk-Banking b.'!S$63,Input!$G:$G,"&gt;0")/1000000)/'1.CC Transition risk-Banking b.'!$D43,0),0)</f>
        <v>0</v>
      </c>
    </row>
    <row r="44" spans="1:19">
      <c r="A44" s="82" t="s">
        <v>156</v>
      </c>
      <c r="B44" s="53">
        <v>39</v>
      </c>
      <c r="C44" s="55" t="s">
        <v>157</v>
      </c>
      <c r="D44" s="70">
        <f>(ROUND(SUMIFS(Input!$I:$I,Input!$H:$H,'1.CC Transition risk-Banking b.'!$A44&amp;"*",Input!$E:$E,'1.CC Transition risk-Banking b.'!$D$63),0))/1000000</f>
        <v>0</v>
      </c>
      <c r="E44" s="70">
        <f>(ROUND(SUMIFS(Input!$I:$I,Input!$H:$H,'1.CC Transition risk-Banking b.'!$A44&amp;"*",Input!$E:$E,'1.CC Transition risk-Banking b.'!$E$63,Input!$F:$F,'1.CC Transition risk-Banking b.'!$E$64),0))/1000000</f>
        <v>0</v>
      </c>
      <c r="F44" s="70">
        <f>(ROUND(SUMIFS(Input!$P:$P,Input!$H:$H,'1.CC Transition risk-Banking b.'!$A44&amp;"*",Input!$E:$E,'1.CC Transition risk-Banking b.'!$E$63,Input!$O:$O,'1.CC Transition risk-Banking b.'!$F$63),0))/1000000</f>
        <v>0</v>
      </c>
      <c r="G44" s="70">
        <f>(ROUND(SUMIFS(Input!$I:$I,Input!$H:$H,'1.CC Transition risk-Banking b.'!$A44&amp;"*",Input!$E:$E,'1.CC Transition risk-Banking b.'!$G$63,Input!$C:$C,'1.CC Transition risk-Banking b.'!$G$64),0))/1000000</f>
        <v>0</v>
      </c>
      <c r="H44" s="70">
        <f>(ROUND(SUMIFS(Input!$I:$I,Input!$H:$H,'1.CC Transition risk-Banking b.'!$A44&amp;"*",Input!$E:$E,'1.CC Transition risk-Banking b.'!$H$63,Input!$C:$C,'1.CC Transition risk-Banking b.'!$H$64),0))/1000000</f>
        <v>0</v>
      </c>
      <c r="I44" s="70">
        <f>(ROUND(SUMIFS(Input!$I:$I,Input!$H:$H,'1.CC Transition risk-Banking b.'!$A44&amp;"*",Input!$E:$E,'1.CC Transition risk-Banking b.'!$I$63),0))/1000000</f>
        <v>0</v>
      </c>
      <c r="J44" s="70">
        <f>(ROUND(SUMIFS(Input!$I:$I,Input!$H:$H,'1.CC Transition risk-Banking b.'!$A44&amp;"*",Input!$E:$E,'1.CC Transition risk-Banking b.'!$J$63,Input!$C:$C,'1.CC Transition risk-Banking b.'!$J$64),0))/1000000</f>
        <v>0</v>
      </c>
      <c r="K44" s="70">
        <f>(ROUND(SUMIFS(Input!$I:$I,Input!$H:$H,'1.CC Transition risk-Banking b.'!$A44&amp;"*",Input!$E:$E,'1.CC Transition risk-Banking b.'!$K$63,Input!$C:$C,'1.CC Transition risk-Banking b.'!$K$64),0))/1000000</f>
        <v>0</v>
      </c>
      <c r="L44" s="71">
        <f>(ROUND(SUMIFS(Input!$J:$J,Input!$H:$H,'1.CC Transition risk-Banking b.'!$A44&amp;"*")
+ SUMIFS(Input!$L:$L,Input!$H:$H,'1.CC Transition risk-Banking b.'!$A44&amp;"*")
+SUMIFS(Input!$N:$N,Input!$H:$H,'1.CC Transition risk-Banking b.'!$A44&amp;"*"),0))/1</f>
        <v>0</v>
      </c>
      <c r="M44" s="71">
        <f>(ROUND(SUMIFS(Input!$N:$N,Input!$H:$H,'1.CC Transition risk-Banking b.'!$A44&amp;"*"),0))/1</f>
        <v>0</v>
      </c>
      <c r="N44" s="77">
        <f>IFERROR(AVERAGE(SUMIFS(Input!$I:$I,Input!$H:$H,'1.CC Transition risk-Banking b.'!$A44&amp;"*",Input!$R:$R,"SOUR1",Input!$E:$E,'1.CC Transition risk-Banking b.'!$O$63),
SUMIFS(Input!$I:$I,Input!$H:$H,'1.CC Transition risk-Banking b.'!$A44&amp;"*",Input!$S:$S,"SOUR1",Input!$E:$E,'1.CC Transition risk-Banking b.'!$O$63),
SUMIFS(Input!$I:$I,Input!$H:$H,'1.CC Transition risk-Banking b.'!$A44&amp;"*",Input!$T:$T,"SOUR1",Input!$E:$E,'1.CC Transition risk-Banking b.'!$O$63))/SUMIFS(Input!$I:$I,Input!$H:$H,'1.CC Transition risk-Banking b.'!$A44&amp;"*",Input!$E:$E,'1.CC Transition risk-Banking b.'!$O$63),0)</f>
        <v>0</v>
      </c>
      <c r="O44" s="72">
        <f>(ROUND(SUMIFS(Input!$I:$I,Input!$H:$H,'1.CC Transition risk-Banking b.'!$A44&amp;"*",Input!$E:$E,'1.CC Transition risk-Banking b.'!O$63,Input!$G:$G,"&gt;=0",Input!$G:$G,"&lt;=5")
+ SUMIFS(Input!$I:$I,Input!$H:$H,'1.CC Transition risk-Banking b.'!$A44&amp;"*",Input!$E:$E,'1.CC Transition risk-Banking b.'!O$63,Input!$G:$G,"-4")
+ SUMIFS(Input!$I:$I,Input!$H:$H,'1.CC Transition risk-Banking b.'!$A44&amp;"*",Input!$E:$E,'1.CC Transition risk-Banking b.'!O$63,Input!$G:$G,"-1"),0))/1000000</f>
        <v>0</v>
      </c>
      <c r="P44" s="72">
        <f>(ROUND(SUMIFS(Input!$I:$I,Input!$H:$H,'1.CC Transition risk-Banking b.'!$A44&amp;"*",Input!$E:$E,'1.CC Transition risk-Banking b.'!P$63,Input!$G:$G,"&gt;5",Input!$G:$G,"&lt;=10"),0))/1000000</f>
        <v>0</v>
      </c>
      <c r="Q44" s="72">
        <f>(ROUND(SUMIFS(Input!$I:$I,Input!$H:$H,'1.CC Transition risk-Banking b.'!$A44&amp;"*",Input!$E:$E,'1.CC Transition risk-Banking b.'!Q$63,Input!$G:$G,"&gt;10",Input!$G:$G,"&lt;=20"),0))/1000000</f>
        <v>0</v>
      </c>
      <c r="R44" s="72">
        <f>(ROUND(SUMIFS(Input!$I:$I,Input!$H:$H,'1.CC Transition risk-Banking b.'!$A44&amp;"*",Input!$E:$E,'1.CC Transition risk-Banking b.'!R$63,Input!$G:$G,"&gt;20")
+ SUMIFS(Input!$I:$I,Input!$H:$H,'1.CC Transition risk-Banking b.'!$A44&amp;"*",Input!$E:$E,'1.CC Transition risk-Banking b.'!R$63,Input!$G:$G,"-2")
+ SUMIFS(Input!$I:$I,Input!$H:$H,'1.CC Transition risk-Banking b.'!$A44&amp;"*",Input!$E:$E,'1.CC Transition risk-Banking b.'!R$63,Input!$G:$G,"-3"),0))/1000000</f>
        <v>0</v>
      </c>
      <c r="S44" s="73">
        <f>ROUND(IFERROR((SUMIFS(Input!$Q:$Q,Input!$H:$H,'1.CC Transition risk-Banking b.'!$A44&amp;"*",Input!$E:$E,'1.CC Transition risk-Banking b.'!S$63,Input!$G:$G,"&gt;0")/1000000)/'1.CC Transition risk-Banking b.'!$D44,0),0)</f>
        <v>0</v>
      </c>
    </row>
    <row r="45" spans="1:19">
      <c r="A45" s="82" t="s">
        <v>158</v>
      </c>
      <c r="B45" s="53">
        <v>40</v>
      </c>
      <c r="C45" s="55" t="s">
        <v>159</v>
      </c>
      <c r="D45" s="70">
        <f>(ROUND(SUMIFS(Input!$I:$I,Input!$H:$H,'1.CC Transition risk-Banking b.'!$A45&amp;"*",Input!$E:$E,'1.CC Transition risk-Banking b.'!$D$63),0))/1000000</f>
        <v>0</v>
      </c>
      <c r="E45" s="70">
        <f>(ROUND(SUMIFS(Input!$I:$I,Input!$H:$H,'1.CC Transition risk-Banking b.'!$A45&amp;"*",Input!$E:$E,'1.CC Transition risk-Banking b.'!$E$63,Input!$F:$F,'1.CC Transition risk-Banking b.'!$E$64),0))/1000000</f>
        <v>0</v>
      </c>
      <c r="F45" s="70">
        <f>(ROUND(SUMIFS(Input!$P:$P,Input!$H:$H,'1.CC Transition risk-Banking b.'!$A45&amp;"*",Input!$E:$E,'1.CC Transition risk-Banking b.'!$E$63,Input!$O:$O,'1.CC Transition risk-Banking b.'!$F$63),0))/1000000</f>
        <v>0</v>
      </c>
      <c r="G45" s="70">
        <f>(ROUND(SUMIFS(Input!$I:$I,Input!$H:$H,'1.CC Transition risk-Banking b.'!$A45&amp;"*",Input!$E:$E,'1.CC Transition risk-Banking b.'!$G$63,Input!$C:$C,'1.CC Transition risk-Banking b.'!$G$64),0))/1000000</f>
        <v>0</v>
      </c>
      <c r="H45" s="70">
        <f>(ROUND(SUMIFS(Input!$I:$I,Input!$H:$H,'1.CC Transition risk-Banking b.'!$A45&amp;"*",Input!$E:$E,'1.CC Transition risk-Banking b.'!$H$63,Input!$C:$C,'1.CC Transition risk-Banking b.'!$H$64),0))/1000000</f>
        <v>0</v>
      </c>
      <c r="I45" s="70">
        <f>(ROUND(SUMIFS(Input!$I:$I,Input!$H:$H,'1.CC Transition risk-Banking b.'!$A45&amp;"*",Input!$E:$E,'1.CC Transition risk-Banking b.'!$I$63),0))/1000000</f>
        <v>0</v>
      </c>
      <c r="J45" s="70">
        <f>(ROUND(SUMIFS(Input!$I:$I,Input!$H:$H,'1.CC Transition risk-Banking b.'!$A45&amp;"*",Input!$E:$E,'1.CC Transition risk-Banking b.'!$J$63,Input!$C:$C,'1.CC Transition risk-Banking b.'!$J$64),0))/1000000</f>
        <v>0</v>
      </c>
      <c r="K45" s="70">
        <f>(ROUND(SUMIFS(Input!$I:$I,Input!$H:$H,'1.CC Transition risk-Banking b.'!$A45&amp;"*",Input!$E:$E,'1.CC Transition risk-Banking b.'!$K$63,Input!$C:$C,'1.CC Transition risk-Banking b.'!$K$64),0))/1000000</f>
        <v>0</v>
      </c>
      <c r="L45" s="71">
        <f>(ROUND(SUMIFS(Input!$J:$J,Input!$H:$H,'1.CC Transition risk-Banking b.'!$A45&amp;"*")
+ SUMIFS(Input!$L:$L,Input!$H:$H,'1.CC Transition risk-Banking b.'!$A45&amp;"*")
+SUMIFS(Input!$N:$N,Input!$H:$H,'1.CC Transition risk-Banking b.'!$A45&amp;"*"),0))/1</f>
        <v>0</v>
      </c>
      <c r="M45" s="71">
        <f>(ROUND(SUMIFS(Input!$N:$N,Input!$H:$H,'1.CC Transition risk-Banking b.'!$A45&amp;"*"),0))/1</f>
        <v>0</v>
      </c>
      <c r="N45" s="77">
        <f>IFERROR(AVERAGE(SUMIFS(Input!$I:$I,Input!$H:$H,'1.CC Transition risk-Banking b.'!$A45&amp;"*",Input!$R:$R,"SOUR1",Input!$E:$E,'1.CC Transition risk-Banking b.'!$O$63),
SUMIFS(Input!$I:$I,Input!$H:$H,'1.CC Transition risk-Banking b.'!$A45&amp;"*",Input!$S:$S,"SOUR1",Input!$E:$E,'1.CC Transition risk-Banking b.'!$O$63),
SUMIFS(Input!$I:$I,Input!$H:$H,'1.CC Transition risk-Banking b.'!$A45&amp;"*",Input!$T:$T,"SOUR1",Input!$E:$E,'1.CC Transition risk-Banking b.'!$O$63))/SUMIFS(Input!$I:$I,Input!$H:$H,'1.CC Transition risk-Banking b.'!$A45&amp;"*",Input!$E:$E,'1.CC Transition risk-Banking b.'!$O$63),0)</f>
        <v>0</v>
      </c>
      <c r="O45" s="72">
        <f>(ROUND(SUMIFS(Input!$I:$I,Input!$H:$H,'1.CC Transition risk-Banking b.'!$A45&amp;"*",Input!$E:$E,'1.CC Transition risk-Banking b.'!O$63,Input!$G:$G,"&gt;=0",Input!$G:$G,"&lt;=5")
+ SUMIFS(Input!$I:$I,Input!$H:$H,'1.CC Transition risk-Banking b.'!$A45&amp;"*",Input!$E:$E,'1.CC Transition risk-Banking b.'!O$63,Input!$G:$G,"-4")
+ SUMIFS(Input!$I:$I,Input!$H:$H,'1.CC Transition risk-Banking b.'!$A45&amp;"*",Input!$E:$E,'1.CC Transition risk-Banking b.'!O$63,Input!$G:$G,"-1"),0))/1000000</f>
        <v>0</v>
      </c>
      <c r="P45" s="72">
        <f>(ROUND(SUMIFS(Input!$I:$I,Input!$H:$H,'1.CC Transition risk-Banking b.'!$A45&amp;"*",Input!$E:$E,'1.CC Transition risk-Banking b.'!P$63,Input!$G:$G,"&gt;5",Input!$G:$G,"&lt;=10"),0))/1000000</f>
        <v>0</v>
      </c>
      <c r="Q45" s="72">
        <f>(ROUND(SUMIFS(Input!$I:$I,Input!$H:$H,'1.CC Transition risk-Banking b.'!$A45&amp;"*",Input!$E:$E,'1.CC Transition risk-Banking b.'!Q$63,Input!$G:$G,"&gt;10",Input!$G:$G,"&lt;=20"),0))/1000000</f>
        <v>0</v>
      </c>
      <c r="R45" s="72">
        <f>(ROUND(SUMIFS(Input!$I:$I,Input!$H:$H,'1.CC Transition risk-Banking b.'!$A45&amp;"*",Input!$E:$E,'1.CC Transition risk-Banking b.'!R$63,Input!$G:$G,"&gt;20")
+ SUMIFS(Input!$I:$I,Input!$H:$H,'1.CC Transition risk-Banking b.'!$A45&amp;"*",Input!$E:$E,'1.CC Transition risk-Banking b.'!R$63,Input!$G:$G,"-2")
+ SUMIFS(Input!$I:$I,Input!$H:$H,'1.CC Transition risk-Banking b.'!$A45&amp;"*",Input!$E:$E,'1.CC Transition risk-Banking b.'!R$63,Input!$G:$G,"-3"),0))/1000000</f>
        <v>0</v>
      </c>
      <c r="S45" s="73">
        <f>ROUND(IFERROR((SUMIFS(Input!$Q:$Q,Input!$H:$H,'1.CC Transition risk-Banking b.'!$A45&amp;"*",Input!$E:$E,'1.CC Transition risk-Banking b.'!S$63,Input!$G:$G,"&gt;0")/1000000)/'1.CC Transition risk-Banking b.'!$D45,0),0)</f>
        <v>0</v>
      </c>
    </row>
    <row r="46" spans="1:19">
      <c r="A46" s="82" t="s">
        <v>160</v>
      </c>
      <c r="B46" s="53">
        <v>41</v>
      </c>
      <c r="C46" s="57" t="s">
        <v>161</v>
      </c>
      <c r="D46" s="70">
        <f>(ROUND(SUMIFS(Input!$I:$I,Input!$H:$H,'1.CC Transition risk-Banking b.'!$A46&amp;"*",Input!$E:$E,'1.CC Transition risk-Banking b.'!$D$63),0))/1000000</f>
        <v>0</v>
      </c>
      <c r="E46" s="70">
        <f>(ROUND(SUMIFS(Input!$I:$I,Input!$H:$H,'1.CC Transition risk-Banking b.'!$A46&amp;"*",Input!$E:$E,'1.CC Transition risk-Banking b.'!$E$63,Input!$F:$F,'1.CC Transition risk-Banking b.'!$E$64),0))/1000000</f>
        <v>0</v>
      </c>
      <c r="F46" s="70">
        <f>(ROUND(SUMIFS(Input!$P:$P,Input!$H:$H,'1.CC Transition risk-Banking b.'!$A46&amp;"*",Input!$E:$E,'1.CC Transition risk-Banking b.'!$E$63,Input!$O:$O,'1.CC Transition risk-Banking b.'!$F$63),0))/1000000</f>
        <v>0</v>
      </c>
      <c r="G46" s="70">
        <f>(ROUND(SUMIFS(Input!$I:$I,Input!$H:$H,'1.CC Transition risk-Banking b.'!$A46&amp;"*",Input!$E:$E,'1.CC Transition risk-Banking b.'!$G$63,Input!$C:$C,'1.CC Transition risk-Banking b.'!$G$64),0))/1000000</f>
        <v>0</v>
      </c>
      <c r="H46" s="70">
        <f>(ROUND(SUMIFS(Input!$I:$I,Input!$H:$H,'1.CC Transition risk-Banking b.'!$A46&amp;"*",Input!$E:$E,'1.CC Transition risk-Banking b.'!$H$63,Input!$C:$C,'1.CC Transition risk-Banking b.'!$H$64),0))/1000000</f>
        <v>0</v>
      </c>
      <c r="I46" s="70">
        <f>(ROUND(SUMIFS(Input!$I:$I,Input!$H:$H,'1.CC Transition risk-Banking b.'!$A46&amp;"*",Input!$E:$E,'1.CC Transition risk-Banking b.'!$I$63),0))/1000000</f>
        <v>0</v>
      </c>
      <c r="J46" s="70">
        <f>(ROUND(SUMIFS(Input!$I:$I,Input!$H:$H,'1.CC Transition risk-Banking b.'!$A46&amp;"*",Input!$E:$E,'1.CC Transition risk-Banking b.'!$J$63,Input!$C:$C,'1.CC Transition risk-Banking b.'!$J$64),0))/1000000</f>
        <v>0</v>
      </c>
      <c r="K46" s="70">
        <f>(ROUND(SUMIFS(Input!$I:$I,Input!$H:$H,'1.CC Transition risk-Banking b.'!$A46&amp;"*",Input!$E:$E,'1.CC Transition risk-Banking b.'!$K$63,Input!$C:$C,'1.CC Transition risk-Banking b.'!$K$64),0))/1000000</f>
        <v>0</v>
      </c>
      <c r="L46" s="71">
        <f>(ROUND(SUMIFS(Input!$J:$J,Input!$H:$H,'1.CC Transition risk-Banking b.'!$A46&amp;"*")
+ SUMIFS(Input!$L:$L,Input!$H:$H,'1.CC Transition risk-Banking b.'!$A46&amp;"*")
+SUMIFS(Input!$N:$N,Input!$H:$H,'1.CC Transition risk-Banking b.'!$A46&amp;"*"),0))/1</f>
        <v>0</v>
      </c>
      <c r="M46" s="71">
        <f>(ROUND(SUMIFS(Input!$N:$N,Input!$H:$H,'1.CC Transition risk-Banking b.'!$A46&amp;"*"),0))/1</f>
        <v>0</v>
      </c>
      <c r="N46" s="77">
        <f>IFERROR(AVERAGE(SUMIFS(Input!$I:$I,Input!$H:$H,'1.CC Transition risk-Banking b.'!$A46&amp;"*",Input!$R:$R,"SOUR1",Input!$E:$E,'1.CC Transition risk-Banking b.'!$O$63),
SUMIFS(Input!$I:$I,Input!$H:$H,'1.CC Transition risk-Banking b.'!$A46&amp;"*",Input!$S:$S,"SOUR1",Input!$E:$E,'1.CC Transition risk-Banking b.'!$O$63),
SUMIFS(Input!$I:$I,Input!$H:$H,'1.CC Transition risk-Banking b.'!$A46&amp;"*",Input!$T:$T,"SOUR1",Input!$E:$E,'1.CC Transition risk-Banking b.'!$O$63))/SUMIFS(Input!$I:$I,Input!$H:$H,'1.CC Transition risk-Banking b.'!$A46&amp;"*",Input!$E:$E,'1.CC Transition risk-Banking b.'!$O$63),0)</f>
        <v>0</v>
      </c>
      <c r="O46" s="72">
        <f>(ROUND(SUMIFS(Input!$I:$I,Input!$H:$H,'1.CC Transition risk-Banking b.'!$A46&amp;"*",Input!$E:$E,'1.CC Transition risk-Banking b.'!O$63,Input!$G:$G,"&gt;=0",Input!$G:$G,"&lt;=5")
+ SUMIFS(Input!$I:$I,Input!$H:$H,'1.CC Transition risk-Banking b.'!$A46&amp;"*",Input!$E:$E,'1.CC Transition risk-Banking b.'!O$63,Input!$G:$G,"-4")
+ SUMIFS(Input!$I:$I,Input!$H:$H,'1.CC Transition risk-Banking b.'!$A46&amp;"*",Input!$E:$E,'1.CC Transition risk-Banking b.'!O$63,Input!$G:$G,"-1"),0))/1000000</f>
        <v>0</v>
      </c>
      <c r="P46" s="72">
        <f>(ROUND(SUMIFS(Input!$I:$I,Input!$H:$H,'1.CC Transition risk-Banking b.'!$A46&amp;"*",Input!$E:$E,'1.CC Transition risk-Banking b.'!P$63,Input!$G:$G,"&gt;5",Input!$G:$G,"&lt;=10"),0))/1000000</f>
        <v>0</v>
      </c>
      <c r="Q46" s="72">
        <f>(ROUND(SUMIFS(Input!$I:$I,Input!$H:$H,'1.CC Transition risk-Banking b.'!$A46&amp;"*",Input!$E:$E,'1.CC Transition risk-Banking b.'!Q$63,Input!$G:$G,"&gt;10",Input!$G:$G,"&lt;=20"),0))/1000000</f>
        <v>0</v>
      </c>
      <c r="R46" s="72">
        <f>(ROUND(SUMIFS(Input!$I:$I,Input!$H:$H,'1.CC Transition risk-Banking b.'!$A46&amp;"*",Input!$E:$E,'1.CC Transition risk-Banking b.'!R$63,Input!$G:$G,"&gt;20")
+ SUMIFS(Input!$I:$I,Input!$H:$H,'1.CC Transition risk-Banking b.'!$A46&amp;"*",Input!$E:$E,'1.CC Transition risk-Banking b.'!R$63,Input!$G:$G,"-2")
+ SUMIFS(Input!$I:$I,Input!$H:$H,'1.CC Transition risk-Banking b.'!$A46&amp;"*",Input!$E:$E,'1.CC Transition risk-Banking b.'!R$63,Input!$G:$G,"-3"),0))/1000000</f>
        <v>0</v>
      </c>
      <c r="S46" s="73">
        <f>ROUND(IFERROR((SUMIFS(Input!$Q:$Q,Input!$H:$H,'1.CC Transition risk-Banking b.'!$A46&amp;"*",Input!$E:$E,'1.CC Transition risk-Banking b.'!S$63,Input!$G:$G,"&gt;0")/1000000)/'1.CC Transition risk-Banking b.'!$D46,0),0)</f>
        <v>0</v>
      </c>
    </row>
    <row r="47" spans="1:19">
      <c r="A47" s="82" t="s">
        <v>162</v>
      </c>
      <c r="B47" s="53">
        <v>42</v>
      </c>
      <c r="C47" s="57" t="s">
        <v>163</v>
      </c>
      <c r="D47" s="70">
        <f>(ROUND(SUMIFS(Input!$I:$I,Input!$H:$H,'1.CC Transition risk-Banking b.'!$A47&amp;"*",Input!$E:$E,'1.CC Transition risk-Banking b.'!$D$63),0))/1000000</f>
        <v>0</v>
      </c>
      <c r="E47" s="70">
        <f>(ROUND(SUMIFS(Input!$I:$I,Input!$H:$H,'1.CC Transition risk-Banking b.'!$A47&amp;"*",Input!$E:$E,'1.CC Transition risk-Banking b.'!$E$63,Input!$F:$F,'1.CC Transition risk-Banking b.'!$E$64),0))/1000000</f>
        <v>0</v>
      </c>
      <c r="F47" s="70">
        <f>(ROUND(SUMIFS(Input!$P:$P,Input!$H:$H,'1.CC Transition risk-Banking b.'!$A47&amp;"*",Input!$E:$E,'1.CC Transition risk-Banking b.'!$E$63,Input!$O:$O,'1.CC Transition risk-Banking b.'!$F$63),0))/1000000</f>
        <v>0</v>
      </c>
      <c r="G47" s="70">
        <f>(ROUND(SUMIFS(Input!$I:$I,Input!$H:$H,'1.CC Transition risk-Banking b.'!$A47&amp;"*",Input!$E:$E,'1.CC Transition risk-Banking b.'!$G$63,Input!$C:$C,'1.CC Transition risk-Banking b.'!$G$64),0))/1000000</f>
        <v>0</v>
      </c>
      <c r="H47" s="70">
        <f>(ROUND(SUMIFS(Input!$I:$I,Input!$H:$H,'1.CC Transition risk-Banking b.'!$A47&amp;"*",Input!$E:$E,'1.CC Transition risk-Banking b.'!$H$63,Input!$C:$C,'1.CC Transition risk-Banking b.'!$H$64),0))/1000000</f>
        <v>0</v>
      </c>
      <c r="I47" s="70">
        <f>(ROUND(SUMIFS(Input!$I:$I,Input!$H:$H,'1.CC Transition risk-Banking b.'!$A47&amp;"*",Input!$E:$E,'1.CC Transition risk-Banking b.'!$I$63),0))/1000000</f>
        <v>0</v>
      </c>
      <c r="J47" s="70">
        <f>(ROUND(SUMIFS(Input!$I:$I,Input!$H:$H,'1.CC Transition risk-Banking b.'!$A47&amp;"*",Input!$E:$E,'1.CC Transition risk-Banking b.'!$J$63,Input!$C:$C,'1.CC Transition risk-Banking b.'!$J$64),0))/1000000</f>
        <v>0</v>
      </c>
      <c r="K47" s="70">
        <f>(ROUND(SUMIFS(Input!$I:$I,Input!$H:$H,'1.CC Transition risk-Banking b.'!$A47&amp;"*",Input!$E:$E,'1.CC Transition risk-Banking b.'!$K$63,Input!$C:$C,'1.CC Transition risk-Banking b.'!$K$64),0))/1000000</f>
        <v>0</v>
      </c>
      <c r="L47" s="71">
        <f>(ROUND(SUMIFS(Input!$J:$J,Input!$H:$H,'1.CC Transition risk-Banking b.'!$A47&amp;"*")
+ SUMIFS(Input!$L:$L,Input!$H:$H,'1.CC Transition risk-Banking b.'!$A47&amp;"*")
+SUMIFS(Input!$N:$N,Input!$H:$H,'1.CC Transition risk-Banking b.'!$A47&amp;"*"),0))/1</f>
        <v>0</v>
      </c>
      <c r="M47" s="71">
        <f>(ROUND(SUMIFS(Input!$N:$N,Input!$H:$H,'1.CC Transition risk-Banking b.'!$A47&amp;"*"),0))/1</f>
        <v>0</v>
      </c>
      <c r="N47" s="77">
        <f>IFERROR(AVERAGE(SUMIFS(Input!$I:$I,Input!$H:$H,'1.CC Transition risk-Banking b.'!$A47&amp;"*",Input!$R:$R,"SOUR1",Input!$E:$E,'1.CC Transition risk-Banking b.'!$O$63),
SUMIFS(Input!$I:$I,Input!$H:$H,'1.CC Transition risk-Banking b.'!$A47&amp;"*",Input!$S:$S,"SOUR1",Input!$E:$E,'1.CC Transition risk-Banking b.'!$O$63),
SUMIFS(Input!$I:$I,Input!$H:$H,'1.CC Transition risk-Banking b.'!$A47&amp;"*",Input!$T:$T,"SOUR1",Input!$E:$E,'1.CC Transition risk-Banking b.'!$O$63))/SUMIFS(Input!$I:$I,Input!$H:$H,'1.CC Transition risk-Banking b.'!$A47&amp;"*",Input!$E:$E,'1.CC Transition risk-Banking b.'!$O$63),0)</f>
        <v>0</v>
      </c>
      <c r="O47" s="72">
        <f>(ROUND(SUMIFS(Input!$I:$I,Input!$H:$H,'1.CC Transition risk-Banking b.'!$A47&amp;"*",Input!$E:$E,'1.CC Transition risk-Banking b.'!O$63,Input!$G:$G,"&gt;=0",Input!$G:$G,"&lt;=5")
+ SUMIFS(Input!$I:$I,Input!$H:$H,'1.CC Transition risk-Banking b.'!$A47&amp;"*",Input!$E:$E,'1.CC Transition risk-Banking b.'!O$63,Input!$G:$G,"-4")
+ SUMIFS(Input!$I:$I,Input!$H:$H,'1.CC Transition risk-Banking b.'!$A47&amp;"*",Input!$E:$E,'1.CC Transition risk-Banking b.'!O$63,Input!$G:$G,"-1"),0))/1000000</f>
        <v>0</v>
      </c>
      <c r="P47" s="72">
        <f>(ROUND(SUMIFS(Input!$I:$I,Input!$H:$H,'1.CC Transition risk-Banking b.'!$A47&amp;"*",Input!$E:$E,'1.CC Transition risk-Banking b.'!P$63,Input!$G:$G,"&gt;5",Input!$G:$G,"&lt;=10"),0))/1000000</f>
        <v>0</v>
      </c>
      <c r="Q47" s="72">
        <f>(ROUND(SUMIFS(Input!$I:$I,Input!$H:$H,'1.CC Transition risk-Banking b.'!$A47&amp;"*",Input!$E:$E,'1.CC Transition risk-Banking b.'!Q$63,Input!$G:$G,"&gt;10",Input!$G:$G,"&lt;=20"),0))/1000000</f>
        <v>0</v>
      </c>
      <c r="R47" s="72">
        <f>(ROUND(SUMIFS(Input!$I:$I,Input!$H:$H,'1.CC Transition risk-Banking b.'!$A47&amp;"*",Input!$E:$E,'1.CC Transition risk-Banking b.'!R$63,Input!$G:$G,"&gt;20")
+ SUMIFS(Input!$I:$I,Input!$H:$H,'1.CC Transition risk-Banking b.'!$A47&amp;"*",Input!$E:$E,'1.CC Transition risk-Banking b.'!R$63,Input!$G:$G,"-2")
+ SUMIFS(Input!$I:$I,Input!$H:$H,'1.CC Transition risk-Banking b.'!$A47&amp;"*",Input!$E:$E,'1.CC Transition risk-Banking b.'!R$63,Input!$G:$G,"-3"),0))/1000000</f>
        <v>0</v>
      </c>
      <c r="S47" s="73">
        <f>ROUND(IFERROR((SUMIFS(Input!$Q:$Q,Input!$H:$H,'1.CC Transition risk-Banking b.'!$A47&amp;"*",Input!$E:$E,'1.CC Transition risk-Banking b.'!S$63,Input!$G:$G,"&gt;0")/1000000)/'1.CC Transition risk-Banking b.'!$D47,0),0)</f>
        <v>0</v>
      </c>
    </row>
    <row r="48" spans="1:19">
      <c r="A48" s="82" t="s">
        <v>164</v>
      </c>
      <c r="B48" s="53">
        <v>43</v>
      </c>
      <c r="C48" s="57" t="s">
        <v>165</v>
      </c>
      <c r="D48" s="70">
        <f>(ROUND(SUMIFS(Input!$I:$I,Input!$H:$H,'1.CC Transition risk-Banking b.'!$A48&amp;"*",Input!$E:$E,'1.CC Transition risk-Banking b.'!$D$63),0))/1000000</f>
        <v>0</v>
      </c>
      <c r="E48" s="70">
        <f>(ROUND(SUMIFS(Input!$I:$I,Input!$H:$H,'1.CC Transition risk-Banking b.'!$A48&amp;"*",Input!$E:$E,'1.CC Transition risk-Banking b.'!$E$63,Input!$F:$F,'1.CC Transition risk-Banking b.'!$E$64),0))/1000000</f>
        <v>0</v>
      </c>
      <c r="F48" s="70">
        <f>(ROUND(SUMIFS(Input!$P:$P,Input!$H:$H,'1.CC Transition risk-Banking b.'!$A48&amp;"*",Input!$E:$E,'1.CC Transition risk-Banking b.'!$E$63,Input!$O:$O,'1.CC Transition risk-Banking b.'!$F$63),0))/1000000</f>
        <v>0</v>
      </c>
      <c r="G48" s="70">
        <f>(ROUND(SUMIFS(Input!$I:$I,Input!$H:$H,'1.CC Transition risk-Banking b.'!$A48&amp;"*",Input!$E:$E,'1.CC Transition risk-Banking b.'!$G$63,Input!$C:$C,'1.CC Transition risk-Banking b.'!$G$64),0))/1000000</f>
        <v>0</v>
      </c>
      <c r="H48" s="70">
        <f>(ROUND(SUMIFS(Input!$I:$I,Input!$H:$H,'1.CC Transition risk-Banking b.'!$A48&amp;"*",Input!$E:$E,'1.CC Transition risk-Banking b.'!$H$63,Input!$C:$C,'1.CC Transition risk-Banking b.'!$H$64),0))/1000000</f>
        <v>0</v>
      </c>
      <c r="I48" s="70">
        <f>(ROUND(SUMIFS(Input!$I:$I,Input!$H:$H,'1.CC Transition risk-Banking b.'!$A48&amp;"*",Input!$E:$E,'1.CC Transition risk-Banking b.'!$I$63),0))/1000000</f>
        <v>0</v>
      </c>
      <c r="J48" s="70">
        <f>(ROUND(SUMIFS(Input!$I:$I,Input!$H:$H,'1.CC Transition risk-Banking b.'!$A48&amp;"*",Input!$E:$E,'1.CC Transition risk-Banking b.'!$J$63,Input!$C:$C,'1.CC Transition risk-Banking b.'!$J$64),0))/1000000</f>
        <v>0</v>
      </c>
      <c r="K48" s="70">
        <f>(ROUND(SUMIFS(Input!$I:$I,Input!$H:$H,'1.CC Transition risk-Banking b.'!$A48&amp;"*",Input!$E:$E,'1.CC Transition risk-Banking b.'!$K$63,Input!$C:$C,'1.CC Transition risk-Banking b.'!$K$64),0))/1000000</f>
        <v>0</v>
      </c>
      <c r="L48" s="71">
        <f>(ROUND(SUMIFS(Input!$J:$J,Input!$H:$H,'1.CC Transition risk-Banking b.'!$A48&amp;"*")
+ SUMIFS(Input!$L:$L,Input!$H:$H,'1.CC Transition risk-Banking b.'!$A48&amp;"*")
+SUMIFS(Input!$N:$N,Input!$H:$H,'1.CC Transition risk-Banking b.'!$A48&amp;"*"),0))/1</f>
        <v>0</v>
      </c>
      <c r="M48" s="71">
        <f>(ROUND(SUMIFS(Input!$N:$N,Input!$H:$H,'1.CC Transition risk-Banking b.'!$A48&amp;"*"),0))/1</f>
        <v>0</v>
      </c>
      <c r="N48" s="77">
        <f>IFERROR(AVERAGE(SUMIFS(Input!$I:$I,Input!$H:$H,'1.CC Transition risk-Banking b.'!$A48&amp;"*",Input!$R:$R,"SOUR1",Input!$E:$E,'1.CC Transition risk-Banking b.'!$O$63),
SUMIFS(Input!$I:$I,Input!$H:$H,'1.CC Transition risk-Banking b.'!$A48&amp;"*",Input!$S:$S,"SOUR1",Input!$E:$E,'1.CC Transition risk-Banking b.'!$O$63),
SUMIFS(Input!$I:$I,Input!$H:$H,'1.CC Transition risk-Banking b.'!$A48&amp;"*",Input!$T:$T,"SOUR1",Input!$E:$E,'1.CC Transition risk-Banking b.'!$O$63))/SUMIFS(Input!$I:$I,Input!$H:$H,'1.CC Transition risk-Banking b.'!$A48&amp;"*",Input!$E:$E,'1.CC Transition risk-Banking b.'!$O$63),0)</f>
        <v>0</v>
      </c>
      <c r="O48" s="72">
        <f>(ROUND(SUMIFS(Input!$I:$I,Input!$H:$H,'1.CC Transition risk-Banking b.'!$A48&amp;"*",Input!$E:$E,'1.CC Transition risk-Banking b.'!O$63,Input!$G:$G,"&gt;=0",Input!$G:$G,"&lt;=5")
+ SUMIFS(Input!$I:$I,Input!$H:$H,'1.CC Transition risk-Banking b.'!$A48&amp;"*",Input!$E:$E,'1.CC Transition risk-Banking b.'!O$63,Input!$G:$G,"-4")
+ SUMIFS(Input!$I:$I,Input!$H:$H,'1.CC Transition risk-Banking b.'!$A48&amp;"*",Input!$E:$E,'1.CC Transition risk-Banking b.'!O$63,Input!$G:$G,"-1"),0))/1000000</f>
        <v>0</v>
      </c>
      <c r="P48" s="72">
        <f>(ROUND(SUMIFS(Input!$I:$I,Input!$H:$H,'1.CC Transition risk-Banking b.'!$A48&amp;"*",Input!$E:$E,'1.CC Transition risk-Banking b.'!P$63,Input!$G:$G,"&gt;5",Input!$G:$G,"&lt;=10"),0))/1000000</f>
        <v>0</v>
      </c>
      <c r="Q48" s="72">
        <f>(ROUND(SUMIFS(Input!$I:$I,Input!$H:$H,'1.CC Transition risk-Banking b.'!$A48&amp;"*",Input!$E:$E,'1.CC Transition risk-Banking b.'!Q$63,Input!$G:$G,"&gt;10",Input!$G:$G,"&lt;=20"),0))/1000000</f>
        <v>0</v>
      </c>
      <c r="R48" s="72">
        <f>(ROUND(SUMIFS(Input!$I:$I,Input!$H:$H,'1.CC Transition risk-Banking b.'!$A48&amp;"*",Input!$E:$E,'1.CC Transition risk-Banking b.'!R$63,Input!$G:$G,"&gt;20")
+ SUMIFS(Input!$I:$I,Input!$H:$H,'1.CC Transition risk-Banking b.'!$A48&amp;"*",Input!$E:$E,'1.CC Transition risk-Banking b.'!R$63,Input!$G:$G,"-2")
+ SUMIFS(Input!$I:$I,Input!$H:$H,'1.CC Transition risk-Banking b.'!$A48&amp;"*",Input!$E:$E,'1.CC Transition risk-Banking b.'!R$63,Input!$G:$G,"-3"),0))/1000000</f>
        <v>0</v>
      </c>
      <c r="S48" s="73">
        <f>ROUND(IFERROR((SUMIFS(Input!$Q:$Q,Input!$H:$H,'1.CC Transition risk-Banking b.'!$A48&amp;"*",Input!$E:$E,'1.CC Transition risk-Banking b.'!S$63,Input!$G:$G,"&gt;0")/1000000)/'1.CC Transition risk-Banking b.'!$D48,0),0)</f>
        <v>0</v>
      </c>
    </row>
    <row r="49" spans="1:19">
      <c r="A49" s="82" t="s">
        <v>166</v>
      </c>
      <c r="B49" s="53">
        <v>44</v>
      </c>
      <c r="C49" s="55" t="s">
        <v>167</v>
      </c>
      <c r="D49" s="70">
        <f>(ROUND(SUMIFS(Input!$I:$I,Input!$H:$H,'1.CC Transition risk-Banking b.'!$A49&amp;"*",Input!$E:$E,'1.CC Transition risk-Banking b.'!$D$63),0))/1000000</f>
        <v>0</v>
      </c>
      <c r="E49" s="70">
        <f>(ROUND(SUMIFS(Input!$I:$I,Input!$H:$H,'1.CC Transition risk-Banking b.'!$A49&amp;"*",Input!$E:$E,'1.CC Transition risk-Banking b.'!$E$63,Input!$F:$F,'1.CC Transition risk-Banking b.'!$E$64),0))/1000000</f>
        <v>0</v>
      </c>
      <c r="F49" s="70">
        <f>(ROUND(SUMIFS(Input!$P:$P,Input!$H:$H,'1.CC Transition risk-Banking b.'!$A49&amp;"*",Input!$E:$E,'1.CC Transition risk-Banking b.'!$E$63,Input!$O:$O,'1.CC Transition risk-Banking b.'!$F$63),0))/1000000</f>
        <v>0</v>
      </c>
      <c r="G49" s="70">
        <f>(ROUND(SUMIFS(Input!$I:$I,Input!$H:$H,'1.CC Transition risk-Banking b.'!$A49&amp;"*",Input!$E:$E,'1.CC Transition risk-Banking b.'!$G$63,Input!$C:$C,'1.CC Transition risk-Banking b.'!$G$64),0))/1000000</f>
        <v>0</v>
      </c>
      <c r="H49" s="70">
        <f>(ROUND(SUMIFS(Input!$I:$I,Input!$H:$H,'1.CC Transition risk-Banking b.'!$A49&amp;"*",Input!$E:$E,'1.CC Transition risk-Banking b.'!$H$63,Input!$C:$C,'1.CC Transition risk-Banking b.'!$H$64),0))/1000000</f>
        <v>0</v>
      </c>
      <c r="I49" s="70">
        <f>(ROUND(SUMIFS(Input!$I:$I,Input!$H:$H,'1.CC Transition risk-Banking b.'!$A49&amp;"*",Input!$E:$E,'1.CC Transition risk-Banking b.'!$I$63),0))/1000000</f>
        <v>0</v>
      </c>
      <c r="J49" s="70">
        <f>(ROUND(SUMIFS(Input!$I:$I,Input!$H:$H,'1.CC Transition risk-Banking b.'!$A49&amp;"*",Input!$E:$E,'1.CC Transition risk-Banking b.'!$J$63,Input!$C:$C,'1.CC Transition risk-Banking b.'!$J$64),0))/1000000</f>
        <v>0</v>
      </c>
      <c r="K49" s="70">
        <f>(ROUND(SUMIFS(Input!$I:$I,Input!$H:$H,'1.CC Transition risk-Banking b.'!$A49&amp;"*",Input!$E:$E,'1.CC Transition risk-Banking b.'!$K$63,Input!$C:$C,'1.CC Transition risk-Banking b.'!$K$64),0))/1000000</f>
        <v>0</v>
      </c>
      <c r="L49" s="71">
        <f>(ROUND(SUMIFS(Input!$J:$J,Input!$H:$H,'1.CC Transition risk-Banking b.'!$A49&amp;"*")
+ SUMIFS(Input!$L:$L,Input!$H:$H,'1.CC Transition risk-Banking b.'!$A49&amp;"*")
+SUMIFS(Input!$N:$N,Input!$H:$H,'1.CC Transition risk-Banking b.'!$A49&amp;"*"),0))/1</f>
        <v>0</v>
      </c>
      <c r="M49" s="71">
        <f>(ROUND(SUMIFS(Input!$N:$N,Input!$H:$H,'1.CC Transition risk-Banking b.'!$A49&amp;"*"),0))/1</f>
        <v>0</v>
      </c>
      <c r="N49" s="77">
        <f>IFERROR(AVERAGE(SUMIFS(Input!$I:$I,Input!$H:$H,'1.CC Transition risk-Banking b.'!$A49&amp;"*",Input!$R:$R,"SOUR1",Input!$E:$E,'1.CC Transition risk-Banking b.'!$O$63),
SUMIFS(Input!$I:$I,Input!$H:$H,'1.CC Transition risk-Banking b.'!$A49&amp;"*",Input!$S:$S,"SOUR1",Input!$E:$E,'1.CC Transition risk-Banking b.'!$O$63),
SUMIFS(Input!$I:$I,Input!$H:$H,'1.CC Transition risk-Banking b.'!$A49&amp;"*",Input!$T:$T,"SOUR1",Input!$E:$E,'1.CC Transition risk-Banking b.'!$O$63))/SUMIFS(Input!$I:$I,Input!$H:$H,'1.CC Transition risk-Banking b.'!$A49&amp;"*",Input!$E:$E,'1.CC Transition risk-Banking b.'!$O$63),0)</f>
        <v>0</v>
      </c>
      <c r="O49" s="72">
        <f>(ROUND(SUMIFS(Input!$I:$I,Input!$H:$H,'1.CC Transition risk-Banking b.'!$A49&amp;"*",Input!$E:$E,'1.CC Transition risk-Banking b.'!O$63,Input!$G:$G,"&gt;=0",Input!$G:$G,"&lt;=5")
+ SUMIFS(Input!$I:$I,Input!$H:$H,'1.CC Transition risk-Banking b.'!$A49&amp;"*",Input!$E:$E,'1.CC Transition risk-Banking b.'!O$63,Input!$G:$G,"-4")
+ SUMIFS(Input!$I:$I,Input!$H:$H,'1.CC Transition risk-Banking b.'!$A49&amp;"*",Input!$E:$E,'1.CC Transition risk-Banking b.'!O$63,Input!$G:$G,"-1"),0))/1000000</f>
        <v>0</v>
      </c>
      <c r="P49" s="72">
        <f>(ROUND(SUMIFS(Input!$I:$I,Input!$H:$H,'1.CC Transition risk-Banking b.'!$A49&amp;"*",Input!$E:$E,'1.CC Transition risk-Banking b.'!P$63,Input!$G:$G,"&gt;5",Input!$G:$G,"&lt;=10"),0))/1000000</f>
        <v>0</v>
      </c>
      <c r="Q49" s="72">
        <f>(ROUND(SUMIFS(Input!$I:$I,Input!$H:$H,'1.CC Transition risk-Banking b.'!$A49&amp;"*",Input!$E:$E,'1.CC Transition risk-Banking b.'!Q$63,Input!$G:$G,"&gt;10",Input!$G:$G,"&lt;=20"),0))/1000000</f>
        <v>0</v>
      </c>
      <c r="R49" s="72">
        <f>(ROUND(SUMIFS(Input!$I:$I,Input!$H:$H,'1.CC Transition risk-Banking b.'!$A49&amp;"*",Input!$E:$E,'1.CC Transition risk-Banking b.'!R$63,Input!$G:$G,"&gt;20")
+ SUMIFS(Input!$I:$I,Input!$H:$H,'1.CC Transition risk-Banking b.'!$A49&amp;"*",Input!$E:$E,'1.CC Transition risk-Banking b.'!R$63,Input!$G:$G,"-2")
+ SUMIFS(Input!$I:$I,Input!$H:$H,'1.CC Transition risk-Banking b.'!$A49&amp;"*",Input!$E:$E,'1.CC Transition risk-Banking b.'!R$63,Input!$G:$G,"-3"),0))/1000000</f>
        <v>0</v>
      </c>
      <c r="S49" s="73">
        <f>ROUND(IFERROR((SUMIFS(Input!$Q:$Q,Input!$H:$H,'1.CC Transition risk-Banking b.'!$A49&amp;"*",Input!$E:$E,'1.CC Transition risk-Banking b.'!S$63,Input!$G:$G,"&gt;0")/1000000)/'1.CC Transition risk-Banking b.'!$D49,0),0)</f>
        <v>0</v>
      </c>
    </row>
    <row r="50" spans="1:19">
      <c r="A50" s="82" t="s">
        <v>168</v>
      </c>
      <c r="B50" s="53">
        <v>45</v>
      </c>
      <c r="C50" s="55" t="s">
        <v>169</v>
      </c>
      <c r="D50" s="70">
        <f>(ROUND(SUMIFS(Input!$I:$I,Input!$H:$H,'1.CC Transition risk-Banking b.'!$A50&amp;"*",Input!$E:$E,'1.CC Transition risk-Banking b.'!$D$63),0))/1000000</f>
        <v>0</v>
      </c>
      <c r="E50" s="70">
        <f>(ROUND(SUMIFS(Input!$I:$I,Input!$H:$H,'1.CC Transition risk-Banking b.'!$A50&amp;"*",Input!$E:$E,'1.CC Transition risk-Banking b.'!$E$63,Input!$F:$F,'1.CC Transition risk-Banking b.'!$E$64),0))/1000000</f>
        <v>0</v>
      </c>
      <c r="F50" s="70">
        <f>(ROUND(SUMIFS(Input!$P:$P,Input!$H:$H,'1.CC Transition risk-Banking b.'!$A50&amp;"*",Input!$E:$E,'1.CC Transition risk-Banking b.'!$E$63,Input!$O:$O,'1.CC Transition risk-Banking b.'!$F$63),0))/1000000</f>
        <v>0</v>
      </c>
      <c r="G50" s="70">
        <f>(ROUND(SUMIFS(Input!$I:$I,Input!$H:$H,'1.CC Transition risk-Banking b.'!$A50&amp;"*",Input!$E:$E,'1.CC Transition risk-Banking b.'!$G$63,Input!$C:$C,'1.CC Transition risk-Banking b.'!$G$64),0))/1000000</f>
        <v>0</v>
      </c>
      <c r="H50" s="70">
        <f>(ROUND(SUMIFS(Input!$I:$I,Input!$H:$H,'1.CC Transition risk-Banking b.'!$A50&amp;"*",Input!$E:$E,'1.CC Transition risk-Banking b.'!$H$63,Input!$C:$C,'1.CC Transition risk-Banking b.'!$H$64),0))/1000000</f>
        <v>0</v>
      </c>
      <c r="I50" s="70">
        <f>(ROUND(SUMIFS(Input!$I:$I,Input!$H:$H,'1.CC Transition risk-Banking b.'!$A50&amp;"*",Input!$E:$E,'1.CC Transition risk-Banking b.'!$I$63),0))/1000000</f>
        <v>0</v>
      </c>
      <c r="J50" s="70">
        <f>(ROUND(SUMIFS(Input!$I:$I,Input!$H:$H,'1.CC Transition risk-Banking b.'!$A50&amp;"*",Input!$E:$E,'1.CC Transition risk-Banking b.'!$J$63,Input!$C:$C,'1.CC Transition risk-Banking b.'!$J$64),0))/1000000</f>
        <v>0</v>
      </c>
      <c r="K50" s="70">
        <f>(ROUND(SUMIFS(Input!$I:$I,Input!$H:$H,'1.CC Transition risk-Banking b.'!$A50&amp;"*",Input!$E:$E,'1.CC Transition risk-Banking b.'!$K$63,Input!$C:$C,'1.CC Transition risk-Banking b.'!$K$64),0))/1000000</f>
        <v>0</v>
      </c>
      <c r="L50" s="71">
        <f>(ROUND(SUMIFS(Input!$J:$J,Input!$H:$H,'1.CC Transition risk-Banking b.'!$A50&amp;"*")
+ SUMIFS(Input!$L:$L,Input!$H:$H,'1.CC Transition risk-Banking b.'!$A50&amp;"*")
+SUMIFS(Input!$N:$N,Input!$H:$H,'1.CC Transition risk-Banking b.'!$A50&amp;"*"),0))/1</f>
        <v>0</v>
      </c>
      <c r="M50" s="71">
        <f>(ROUND(SUMIFS(Input!$N:$N,Input!$H:$H,'1.CC Transition risk-Banking b.'!$A50&amp;"*"),0))/1</f>
        <v>0</v>
      </c>
      <c r="N50" s="77">
        <f>IFERROR(AVERAGE(SUMIFS(Input!$I:$I,Input!$H:$H,'1.CC Transition risk-Banking b.'!$A50&amp;"*",Input!$R:$R,"SOUR1",Input!$E:$E,'1.CC Transition risk-Banking b.'!$O$63),
SUMIFS(Input!$I:$I,Input!$H:$H,'1.CC Transition risk-Banking b.'!$A50&amp;"*",Input!$S:$S,"SOUR1",Input!$E:$E,'1.CC Transition risk-Banking b.'!$O$63),
SUMIFS(Input!$I:$I,Input!$H:$H,'1.CC Transition risk-Banking b.'!$A50&amp;"*",Input!$T:$T,"SOUR1",Input!$E:$E,'1.CC Transition risk-Banking b.'!$O$63))/SUMIFS(Input!$I:$I,Input!$H:$H,'1.CC Transition risk-Banking b.'!$A50&amp;"*",Input!$E:$E,'1.CC Transition risk-Banking b.'!$O$63),0)</f>
        <v>0</v>
      </c>
      <c r="O50" s="72">
        <f>(ROUND(SUMIFS(Input!$I:$I,Input!$H:$H,'1.CC Transition risk-Banking b.'!$A50&amp;"*",Input!$E:$E,'1.CC Transition risk-Banking b.'!O$63,Input!$G:$G,"&gt;=0",Input!$G:$G,"&lt;=5")
+ SUMIFS(Input!$I:$I,Input!$H:$H,'1.CC Transition risk-Banking b.'!$A50&amp;"*",Input!$E:$E,'1.CC Transition risk-Banking b.'!O$63,Input!$G:$G,"-4")
+ SUMIFS(Input!$I:$I,Input!$H:$H,'1.CC Transition risk-Banking b.'!$A50&amp;"*",Input!$E:$E,'1.CC Transition risk-Banking b.'!O$63,Input!$G:$G,"-1"),0))/1000000</f>
        <v>0</v>
      </c>
      <c r="P50" s="72">
        <f>(ROUND(SUMIFS(Input!$I:$I,Input!$H:$H,'1.CC Transition risk-Banking b.'!$A50&amp;"*",Input!$E:$E,'1.CC Transition risk-Banking b.'!P$63,Input!$G:$G,"&gt;5",Input!$G:$G,"&lt;=10"),0))/1000000</f>
        <v>0</v>
      </c>
      <c r="Q50" s="72">
        <f>(ROUND(SUMIFS(Input!$I:$I,Input!$H:$H,'1.CC Transition risk-Banking b.'!$A50&amp;"*",Input!$E:$E,'1.CC Transition risk-Banking b.'!Q$63,Input!$G:$G,"&gt;10",Input!$G:$G,"&lt;=20"),0))/1000000</f>
        <v>0</v>
      </c>
      <c r="R50" s="72">
        <f>(ROUND(SUMIFS(Input!$I:$I,Input!$H:$H,'1.CC Transition risk-Banking b.'!$A50&amp;"*",Input!$E:$E,'1.CC Transition risk-Banking b.'!R$63,Input!$G:$G,"&gt;20")
+ SUMIFS(Input!$I:$I,Input!$H:$H,'1.CC Transition risk-Banking b.'!$A50&amp;"*",Input!$E:$E,'1.CC Transition risk-Banking b.'!R$63,Input!$G:$G,"-2")
+ SUMIFS(Input!$I:$I,Input!$H:$H,'1.CC Transition risk-Banking b.'!$A50&amp;"*",Input!$E:$E,'1.CC Transition risk-Banking b.'!R$63,Input!$G:$G,"-3"),0))/1000000</f>
        <v>0</v>
      </c>
      <c r="S50" s="73">
        <f>ROUND(IFERROR((SUMIFS(Input!$Q:$Q,Input!$H:$H,'1.CC Transition risk-Banking b.'!$A50&amp;"*",Input!$E:$E,'1.CC Transition risk-Banking b.'!S$63,Input!$G:$G,"&gt;0")/1000000)/'1.CC Transition risk-Banking b.'!$D50,0),0)</f>
        <v>0</v>
      </c>
    </row>
    <row r="51" spans="1:19">
      <c r="A51" s="82" t="s">
        <v>170</v>
      </c>
      <c r="B51" s="53">
        <v>46</v>
      </c>
      <c r="C51" s="57" t="s">
        <v>171</v>
      </c>
      <c r="D51" s="70">
        <f>(ROUND(SUMIFS(Input!$I:$I,Input!$H:$H,'1.CC Transition risk-Banking b.'!$A51&amp;"*",Input!$E:$E,'1.CC Transition risk-Banking b.'!$D$63),0))/1000000</f>
        <v>0</v>
      </c>
      <c r="E51" s="70">
        <f>(ROUND(SUMIFS(Input!$I:$I,Input!$H:$H,'1.CC Transition risk-Banking b.'!$A51&amp;"*",Input!$E:$E,'1.CC Transition risk-Banking b.'!$E$63,Input!$F:$F,'1.CC Transition risk-Banking b.'!$E$64),0))/1000000</f>
        <v>0</v>
      </c>
      <c r="F51" s="70">
        <f>(ROUND(SUMIFS(Input!$P:$P,Input!$H:$H,'1.CC Transition risk-Banking b.'!$A51&amp;"*",Input!$E:$E,'1.CC Transition risk-Banking b.'!$E$63,Input!$O:$O,'1.CC Transition risk-Banking b.'!$F$63),0))/1000000</f>
        <v>0</v>
      </c>
      <c r="G51" s="70">
        <f>(ROUND(SUMIFS(Input!$I:$I,Input!$H:$H,'1.CC Transition risk-Banking b.'!$A51&amp;"*",Input!$E:$E,'1.CC Transition risk-Banking b.'!$G$63,Input!$C:$C,'1.CC Transition risk-Banking b.'!$G$64),0))/1000000</f>
        <v>0</v>
      </c>
      <c r="H51" s="70">
        <f>(ROUND(SUMIFS(Input!$I:$I,Input!$H:$H,'1.CC Transition risk-Banking b.'!$A51&amp;"*",Input!$E:$E,'1.CC Transition risk-Banking b.'!$H$63,Input!$C:$C,'1.CC Transition risk-Banking b.'!$H$64),0))/1000000</f>
        <v>0</v>
      </c>
      <c r="I51" s="70">
        <f>(ROUND(SUMIFS(Input!$I:$I,Input!$H:$H,'1.CC Transition risk-Banking b.'!$A51&amp;"*",Input!$E:$E,'1.CC Transition risk-Banking b.'!$I$63),0))/1000000</f>
        <v>0</v>
      </c>
      <c r="J51" s="70">
        <f>(ROUND(SUMIFS(Input!$I:$I,Input!$H:$H,'1.CC Transition risk-Banking b.'!$A51&amp;"*",Input!$E:$E,'1.CC Transition risk-Banking b.'!$J$63,Input!$C:$C,'1.CC Transition risk-Banking b.'!$J$64),0))/1000000</f>
        <v>0</v>
      </c>
      <c r="K51" s="70">
        <f>(ROUND(SUMIFS(Input!$I:$I,Input!$H:$H,'1.CC Transition risk-Banking b.'!$A51&amp;"*",Input!$E:$E,'1.CC Transition risk-Banking b.'!$K$63,Input!$C:$C,'1.CC Transition risk-Banking b.'!$K$64),0))/1000000</f>
        <v>0</v>
      </c>
      <c r="L51" s="71">
        <f>(ROUND(SUMIFS(Input!$J:$J,Input!$H:$H,'1.CC Transition risk-Banking b.'!$A51&amp;"*")
+ SUMIFS(Input!$L:$L,Input!$H:$H,'1.CC Transition risk-Banking b.'!$A51&amp;"*")
+SUMIFS(Input!$N:$N,Input!$H:$H,'1.CC Transition risk-Banking b.'!$A51&amp;"*"),0))/1</f>
        <v>0</v>
      </c>
      <c r="M51" s="71">
        <f>(ROUND(SUMIFS(Input!$N:$N,Input!$H:$H,'1.CC Transition risk-Banking b.'!$A51&amp;"*"),0))/1</f>
        <v>0</v>
      </c>
      <c r="N51" s="77">
        <f>IFERROR(AVERAGE(SUMIFS(Input!$I:$I,Input!$H:$H,'1.CC Transition risk-Banking b.'!$A51&amp;"*",Input!$R:$R,"SOUR1",Input!$E:$E,'1.CC Transition risk-Banking b.'!$O$63),
SUMIFS(Input!$I:$I,Input!$H:$H,'1.CC Transition risk-Banking b.'!$A51&amp;"*",Input!$S:$S,"SOUR1",Input!$E:$E,'1.CC Transition risk-Banking b.'!$O$63),
SUMIFS(Input!$I:$I,Input!$H:$H,'1.CC Transition risk-Banking b.'!$A51&amp;"*",Input!$T:$T,"SOUR1",Input!$E:$E,'1.CC Transition risk-Banking b.'!$O$63))/SUMIFS(Input!$I:$I,Input!$H:$H,'1.CC Transition risk-Banking b.'!$A51&amp;"*",Input!$E:$E,'1.CC Transition risk-Banking b.'!$O$63),0)</f>
        <v>0</v>
      </c>
      <c r="O51" s="72">
        <f>(ROUND(SUMIFS(Input!$I:$I,Input!$H:$H,'1.CC Transition risk-Banking b.'!$A51&amp;"*",Input!$E:$E,'1.CC Transition risk-Banking b.'!O$63,Input!$G:$G,"&gt;=0",Input!$G:$G,"&lt;=5")
+ SUMIFS(Input!$I:$I,Input!$H:$H,'1.CC Transition risk-Banking b.'!$A51&amp;"*",Input!$E:$E,'1.CC Transition risk-Banking b.'!O$63,Input!$G:$G,"-4")
+ SUMIFS(Input!$I:$I,Input!$H:$H,'1.CC Transition risk-Banking b.'!$A51&amp;"*",Input!$E:$E,'1.CC Transition risk-Banking b.'!O$63,Input!$G:$G,"-1"),0))/1000000</f>
        <v>0</v>
      </c>
      <c r="P51" s="72">
        <f>(ROUND(SUMIFS(Input!$I:$I,Input!$H:$H,'1.CC Transition risk-Banking b.'!$A51&amp;"*",Input!$E:$E,'1.CC Transition risk-Banking b.'!P$63,Input!$G:$G,"&gt;5",Input!$G:$G,"&lt;=10"),0))/1000000</f>
        <v>0</v>
      </c>
      <c r="Q51" s="72">
        <f>(ROUND(SUMIFS(Input!$I:$I,Input!$H:$H,'1.CC Transition risk-Banking b.'!$A51&amp;"*",Input!$E:$E,'1.CC Transition risk-Banking b.'!Q$63,Input!$G:$G,"&gt;10",Input!$G:$G,"&lt;=20"),0))/1000000</f>
        <v>0</v>
      </c>
      <c r="R51" s="72">
        <f>(ROUND(SUMIFS(Input!$I:$I,Input!$H:$H,'1.CC Transition risk-Banking b.'!$A51&amp;"*",Input!$E:$E,'1.CC Transition risk-Banking b.'!R$63,Input!$G:$G,"&gt;20")
+ SUMIFS(Input!$I:$I,Input!$H:$H,'1.CC Transition risk-Banking b.'!$A51&amp;"*",Input!$E:$E,'1.CC Transition risk-Banking b.'!R$63,Input!$G:$G,"-2")
+ SUMIFS(Input!$I:$I,Input!$H:$H,'1.CC Transition risk-Banking b.'!$A51&amp;"*",Input!$E:$E,'1.CC Transition risk-Banking b.'!R$63,Input!$G:$G,"-3"),0))/1000000</f>
        <v>0</v>
      </c>
      <c r="S51" s="73">
        <f>ROUND(IFERROR((SUMIFS(Input!$Q:$Q,Input!$H:$H,'1.CC Transition risk-Banking b.'!$A51&amp;"*",Input!$E:$E,'1.CC Transition risk-Banking b.'!S$63,Input!$G:$G,"&gt;0")/1000000)/'1.CC Transition risk-Banking b.'!$D51,0),0)</f>
        <v>0</v>
      </c>
    </row>
    <row r="52" spans="1:19">
      <c r="A52" s="82" t="s">
        <v>172</v>
      </c>
      <c r="B52" s="53">
        <v>47</v>
      </c>
      <c r="C52" s="57" t="s">
        <v>173</v>
      </c>
      <c r="D52" s="70">
        <f>(ROUND(SUMIFS(Input!$I:$I,Input!$H:$H,'1.CC Transition risk-Banking b.'!$A52&amp;"*",Input!$E:$E,'1.CC Transition risk-Banking b.'!$D$63),0))/1000000</f>
        <v>0</v>
      </c>
      <c r="E52" s="70">
        <f>(ROUND(SUMIFS(Input!$I:$I,Input!$H:$H,'1.CC Transition risk-Banking b.'!$A52&amp;"*",Input!$E:$E,'1.CC Transition risk-Banking b.'!$E$63,Input!$F:$F,'1.CC Transition risk-Banking b.'!$E$64),0))/1000000</f>
        <v>0</v>
      </c>
      <c r="F52" s="70">
        <f>(ROUND(SUMIFS(Input!$P:$P,Input!$H:$H,'1.CC Transition risk-Banking b.'!$A52&amp;"*",Input!$E:$E,'1.CC Transition risk-Banking b.'!$E$63,Input!$O:$O,'1.CC Transition risk-Banking b.'!$F$63),0))/1000000</f>
        <v>0</v>
      </c>
      <c r="G52" s="70">
        <f>(ROUND(SUMIFS(Input!$I:$I,Input!$H:$H,'1.CC Transition risk-Banking b.'!$A52&amp;"*",Input!$E:$E,'1.CC Transition risk-Banking b.'!$G$63,Input!$C:$C,'1.CC Transition risk-Banking b.'!$G$64),0))/1000000</f>
        <v>0</v>
      </c>
      <c r="H52" s="70">
        <f>(ROUND(SUMIFS(Input!$I:$I,Input!$H:$H,'1.CC Transition risk-Banking b.'!$A52&amp;"*",Input!$E:$E,'1.CC Transition risk-Banking b.'!$H$63,Input!$C:$C,'1.CC Transition risk-Banking b.'!$H$64),0))/1000000</f>
        <v>0</v>
      </c>
      <c r="I52" s="70">
        <f>(ROUND(SUMIFS(Input!$I:$I,Input!$H:$H,'1.CC Transition risk-Banking b.'!$A52&amp;"*",Input!$E:$E,'1.CC Transition risk-Banking b.'!$I$63),0))/1000000</f>
        <v>0</v>
      </c>
      <c r="J52" s="70">
        <f>(ROUND(SUMIFS(Input!$I:$I,Input!$H:$H,'1.CC Transition risk-Banking b.'!$A52&amp;"*",Input!$E:$E,'1.CC Transition risk-Banking b.'!$J$63,Input!$C:$C,'1.CC Transition risk-Banking b.'!$J$64),0))/1000000</f>
        <v>0</v>
      </c>
      <c r="K52" s="70">
        <f>(ROUND(SUMIFS(Input!$I:$I,Input!$H:$H,'1.CC Transition risk-Banking b.'!$A52&amp;"*",Input!$E:$E,'1.CC Transition risk-Banking b.'!$K$63,Input!$C:$C,'1.CC Transition risk-Banking b.'!$K$64),0))/1000000</f>
        <v>0</v>
      </c>
      <c r="L52" s="71">
        <f>(ROUND(SUMIFS(Input!$J:$J,Input!$H:$H,'1.CC Transition risk-Banking b.'!$A52&amp;"*")
+ SUMIFS(Input!$L:$L,Input!$H:$H,'1.CC Transition risk-Banking b.'!$A52&amp;"*")
+SUMIFS(Input!$N:$N,Input!$H:$H,'1.CC Transition risk-Banking b.'!$A52&amp;"*"),0))/1</f>
        <v>0</v>
      </c>
      <c r="M52" s="71">
        <f>(ROUND(SUMIFS(Input!$N:$N,Input!$H:$H,'1.CC Transition risk-Banking b.'!$A52&amp;"*"),0))/1</f>
        <v>0</v>
      </c>
      <c r="N52" s="77">
        <f>IFERROR(AVERAGE(SUMIFS(Input!$I:$I,Input!$H:$H,'1.CC Transition risk-Banking b.'!$A52&amp;"*",Input!$R:$R,"SOUR1",Input!$E:$E,'1.CC Transition risk-Banking b.'!$O$63),
SUMIFS(Input!$I:$I,Input!$H:$H,'1.CC Transition risk-Banking b.'!$A52&amp;"*",Input!$S:$S,"SOUR1",Input!$E:$E,'1.CC Transition risk-Banking b.'!$O$63),
SUMIFS(Input!$I:$I,Input!$H:$H,'1.CC Transition risk-Banking b.'!$A52&amp;"*",Input!$T:$T,"SOUR1",Input!$E:$E,'1.CC Transition risk-Banking b.'!$O$63))/SUMIFS(Input!$I:$I,Input!$H:$H,'1.CC Transition risk-Banking b.'!$A52&amp;"*",Input!$E:$E,'1.CC Transition risk-Banking b.'!$O$63),0)</f>
        <v>0</v>
      </c>
      <c r="O52" s="72">
        <f>(ROUND(SUMIFS(Input!$I:$I,Input!$H:$H,'1.CC Transition risk-Banking b.'!$A52&amp;"*",Input!$E:$E,'1.CC Transition risk-Banking b.'!O$63,Input!$G:$G,"&gt;=0",Input!$G:$G,"&lt;=5")
+ SUMIFS(Input!$I:$I,Input!$H:$H,'1.CC Transition risk-Banking b.'!$A52&amp;"*",Input!$E:$E,'1.CC Transition risk-Banking b.'!O$63,Input!$G:$G,"-4")
+ SUMIFS(Input!$I:$I,Input!$H:$H,'1.CC Transition risk-Banking b.'!$A52&amp;"*",Input!$E:$E,'1.CC Transition risk-Banking b.'!O$63,Input!$G:$G,"-1"),0))/1000000</f>
        <v>0</v>
      </c>
      <c r="P52" s="72">
        <f>(ROUND(SUMIFS(Input!$I:$I,Input!$H:$H,'1.CC Transition risk-Banking b.'!$A52&amp;"*",Input!$E:$E,'1.CC Transition risk-Banking b.'!P$63,Input!$G:$G,"&gt;5",Input!$G:$G,"&lt;=10"),0))/1000000</f>
        <v>0</v>
      </c>
      <c r="Q52" s="72">
        <f>(ROUND(SUMIFS(Input!$I:$I,Input!$H:$H,'1.CC Transition risk-Banking b.'!$A52&amp;"*",Input!$E:$E,'1.CC Transition risk-Banking b.'!Q$63,Input!$G:$G,"&gt;10",Input!$G:$G,"&lt;=20"),0))/1000000</f>
        <v>0</v>
      </c>
      <c r="R52" s="72">
        <f>(ROUND(SUMIFS(Input!$I:$I,Input!$H:$H,'1.CC Transition risk-Banking b.'!$A52&amp;"*",Input!$E:$E,'1.CC Transition risk-Banking b.'!R$63,Input!$G:$G,"&gt;20")
+ SUMIFS(Input!$I:$I,Input!$H:$H,'1.CC Transition risk-Banking b.'!$A52&amp;"*",Input!$E:$E,'1.CC Transition risk-Banking b.'!R$63,Input!$G:$G,"-2")
+ SUMIFS(Input!$I:$I,Input!$H:$H,'1.CC Transition risk-Banking b.'!$A52&amp;"*",Input!$E:$E,'1.CC Transition risk-Banking b.'!R$63,Input!$G:$G,"-3"),0))/1000000</f>
        <v>0</v>
      </c>
      <c r="S52" s="73">
        <f>ROUND(IFERROR((SUMIFS(Input!$Q:$Q,Input!$H:$H,'1.CC Transition risk-Banking b.'!$A52&amp;"*",Input!$E:$E,'1.CC Transition risk-Banking b.'!S$63,Input!$G:$G,"&gt;0")/1000000)/'1.CC Transition risk-Banking b.'!$D52,0),0)</f>
        <v>0</v>
      </c>
    </row>
    <row r="53" spans="1:19">
      <c r="A53" s="82" t="s">
        <v>174</v>
      </c>
      <c r="B53" s="53">
        <v>48</v>
      </c>
      <c r="C53" s="57" t="s">
        <v>175</v>
      </c>
      <c r="D53" s="70">
        <f>(ROUND(SUMIFS(Input!$I:$I,Input!$H:$H,'1.CC Transition risk-Banking b.'!$A53&amp;"*",Input!$E:$E,'1.CC Transition risk-Banking b.'!$D$63),0))/1000000</f>
        <v>0</v>
      </c>
      <c r="E53" s="70">
        <f>(ROUND(SUMIFS(Input!$I:$I,Input!$H:$H,'1.CC Transition risk-Banking b.'!$A53&amp;"*",Input!$E:$E,'1.CC Transition risk-Banking b.'!$E$63,Input!$F:$F,'1.CC Transition risk-Banking b.'!$E$64),0))/1000000</f>
        <v>0</v>
      </c>
      <c r="F53" s="70">
        <f>(ROUND(SUMIFS(Input!$P:$P,Input!$H:$H,'1.CC Transition risk-Banking b.'!$A53&amp;"*",Input!$E:$E,'1.CC Transition risk-Banking b.'!$E$63,Input!$O:$O,'1.CC Transition risk-Banking b.'!$F$63),0))/1000000</f>
        <v>0</v>
      </c>
      <c r="G53" s="70">
        <f>(ROUND(SUMIFS(Input!$I:$I,Input!$H:$H,'1.CC Transition risk-Banking b.'!$A53&amp;"*",Input!$E:$E,'1.CC Transition risk-Banking b.'!$G$63,Input!$C:$C,'1.CC Transition risk-Banking b.'!$G$64),0))/1000000</f>
        <v>0</v>
      </c>
      <c r="H53" s="70">
        <f>(ROUND(SUMIFS(Input!$I:$I,Input!$H:$H,'1.CC Transition risk-Banking b.'!$A53&amp;"*",Input!$E:$E,'1.CC Transition risk-Banking b.'!$H$63,Input!$C:$C,'1.CC Transition risk-Banking b.'!$H$64),0))/1000000</f>
        <v>0</v>
      </c>
      <c r="I53" s="70">
        <f>(ROUND(SUMIFS(Input!$I:$I,Input!$H:$H,'1.CC Transition risk-Banking b.'!$A53&amp;"*",Input!$E:$E,'1.CC Transition risk-Banking b.'!$I$63),0))/1000000</f>
        <v>0</v>
      </c>
      <c r="J53" s="70">
        <f>(ROUND(SUMIFS(Input!$I:$I,Input!$H:$H,'1.CC Transition risk-Banking b.'!$A53&amp;"*",Input!$E:$E,'1.CC Transition risk-Banking b.'!$J$63,Input!$C:$C,'1.CC Transition risk-Banking b.'!$J$64),0))/1000000</f>
        <v>0</v>
      </c>
      <c r="K53" s="70">
        <f>(ROUND(SUMIFS(Input!$I:$I,Input!$H:$H,'1.CC Transition risk-Banking b.'!$A53&amp;"*",Input!$E:$E,'1.CC Transition risk-Banking b.'!$K$63,Input!$C:$C,'1.CC Transition risk-Banking b.'!$K$64),0))/1000000</f>
        <v>0</v>
      </c>
      <c r="L53" s="71">
        <f>(ROUND(SUMIFS(Input!$J:$J,Input!$H:$H,'1.CC Transition risk-Banking b.'!$A53&amp;"*")
+ SUMIFS(Input!$L:$L,Input!$H:$H,'1.CC Transition risk-Banking b.'!$A53&amp;"*")
+SUMIFS(Input!$N:$N,Input!$H:$H,'1.CC Transition risk-Banking b.'!$A53&amp;"*"),0))/1</f>
        <v>0</v>
      </c>
      <c r="M53" s="71">
        <f>(ROUND(SUMIFS(Input!$N:$N,Input!$H:$H,'1.CC Transition risk-Banking b.'!$A53&amp;"*"),0))/1</f>
        <v>0</v>
      </c>
      <c r="N53" s="77">
        <f>IFERROR(AVERAGE(SUMIFS(Input!$I:$I,Input!$H:$H,'1.CC Transition risk-Banking b.'!$A53&amp;"*",Input!$R:$R,"SOUR1",Input!$E:$E,'1.CC Transition risk-Banking b.'!$O$63),
SUMIFS(Input!$I:$I,Input!$H:$H,'1.CC Transition risk-Banking b.'!$A53&amp;"*",Input!$S:$S,"SOUR1",Input!$E:$E,'1.CC Transition risk-Banking b.'!$O$63),
SUMIFS(Input!$I:$I,Input!$H:$H,'1.CC Transition risk-Banking b.'!$A53&amp;"*",Input!$T:$T,"SOUR1",Input!$E:$E,'1.CC Transition risk-Banking b.'!$O$63))/SUMIFS(Input!$I:$I,Input!$H:$H,'1.CC Transition risk-Banking b.'!$A53&amp;"*",Input!$E:$E,'1.CC Transition risk-Banking b.'!$O$63),0)</f>
        <v>0</v>
      </c>
      <c r="O53" s="72">
        <f>(ROUND(SUMIFS(Input!$I:$I,Input!$H:$H,'1.CC Transition risk-Banking b.'!$A53&amp;"*",Input!$E:$E,'1.CC Transition risk-Banking b.'!O$63,Input!$G:$G,"&gt;=0",Input!$G:$G,"&lt;=5")
+ SUMIFS(Input!$I:$I,Input!$H:$H,'1.CC Transition risk-Banking b.'!$A53&amp;"*",Input!$E:$E,'1.CC Transition risk-Banking b.'!O$63,Input!$G:$G,"-4")
+ SUMIFS(Input!$I:$I,Input!$H:$H,'1.CC Transition risk-Banking b.'!$A53&amp;"*",Input!$E:$E,'1.CC Transition risk-Banking b.'!O$63,Input!$G:$G,"-1"),0))/1000000</f>
        <v>0</v>
      </c>
      <c r="P53" s="72">
        <f>(ROUND(SUMIFS(Input!$I:$I,Input!$H:$H,'1.CC Transition risk-Banking b.'!$A53&amp;"*",Input!$E:$E,'1.CC Transition risk-Banking b.'!P$63,Input!$G:$G,"&gt;5",Input!$G:$G,"&lt;=10"),0))/1000000</f>
        <v>0</v>
      </c>
      <c r="Q53" s="72">
        <f>(ROUND(SUMIFS(Input!$I:$I,Input!$H:$H,'1.CC Transition risk-Banking b.'!$A53&amp;"*",Input!$E:$E,'1.CC Transition risk-Banking b.'!Q$63,Input!$G:$G,"&gt;10",Input!$G:$G,"&lt;=20"),0))/1000000</f>
        <v>0</v>
      </c>
      <c r="R53" s="72">
        <f>(ROUND(SUMIFS(Input!$I:$I,Input!$H:$H,'1.CC Transition risk-Banking b.'!$A53&amp;"*",Input!$E:$E,'1.CC Transition risk-Banking b.'!R$63,Input!$G:$G,"&gt;20")
+ SUMIFS(Input!$I:$I,Input!$H:$H,'1.CC Transition risk-Banking b.'!$A53&amp;"*",Input!$E:$E,'1.CC Transition risk-Banking b.'!R$63,Input!$G:$G,"-2")
+ SUMIFS(Input!$I:$I,Input!$H:$H,'1.CC Transition risk-Banking b.'!$A53&amp;"*",Input!$E:$E,'1.CC Transition risk-Banking b.'!R$63,Input!$G:$G,"-3"),0))/1000000</f>
        <v>0</v>
      </c>
      <c r="S53" s="73">
        <f>ROUND(IFERROR((SUMIFS(Input!$Q:$Q,Input!$H:$H,'1.CC Transition risk-Banking b.'!$A53&amp;"*",Input!$E:$E,'1.CC Transition risk-Banking b.'!S$63,Input!$G:$G,"&gt;0")/1000000)/'1.CC Transition risk-Banking b.'!$D53,0),0)</f>
        <v>0</v>
      </c>
    </row>
    <row r="54" spans="1:19">
      <c r="A54" s="82" t="s">
        <v>176</v>
      </c>
      <c r="B54" s="53">
        <v>49</v>
      </c>
      <c r="C54" s="57" t="s">
        <v>177</v>
      </c>
      <c r="D54" s="70">
        <f>(ROUND(SUMIFS(Input!$I:$I,Input!$H:$H,'1.CC Transition risk-Banking b.'!$A54&amp;"*",Input!$E:$E,'1.CC Transition risk-Banking b.'!$D$63),0))/1000000</f>
        <v>0</v>
      </c>
      <c r="E54" s="70">
        <f>(ROUND(SUMIFS(Input!$I:$I,Input!$H:$H,'1.CC Transition risk-Banking b.'!$A54&amp;"*",Input!$E:$E,'1.CC Transition risk-Banking b.'!$E$63,Input!$F:$F,'1.CC Transition risk-Banking b.'!$E$64),0))/1000000</f>
        <v>0</v>
      </c>
      <c r="F54" s="70">
        <f>(ROUND(SUMIFS(Input!$P:$P,Input!$H:$H,'1.CC Transition risk-Banking b.'!$A54&amp;"*",Input!$E:$E,'1.CC Transition risk-Banking b.'!$E$63,Input!$O:$O,'1.CC Transition risk-Banking b.'!$F$63),0))/1000000</f>
        <v>0</v>
      </c>
      <c r="G54" s="70">
        <f>(ROUND(SUMIFS(Input!$I:$I,Input!$H:$H,'1.CC Transition risk-Banking b.'!$A54&amp;"*",Input!$E:$E,'1.CC Transition risk-Banking b.'!$G$63,Input!$C:$C,'1.CC Transition risk-Banking b.'!$G$64),0))/1000000</f>
        <v>0</v>
      </c>
      <c r="H54" s="70">
        <f>(ROUND(SUMIFS(Input!$I:$I,Input!$H:$H,'1.CC Transition risk-Banking b.'!$A54&amp;"*",Input!$E:$E,'1.CC Transition risk-Banking b.'!$H$63,Input!$C:$C,'1.CC Transition risk-Banking b.'!$H$64),0))/1000000</f>
        <v>0</v>
      </c>
      <c r="I54" s="70">
        <f>(ROUND(SUMIFS(Input!$I:$I,Input!$H:$H,'1.CC Transition risk-Banking b.'!$A54&amp;"*",Input!$E:$E,'1.CC Transition risk-Banking b.'!$I$63),0))/1000000</f>
        <v>0</v>
      </c>
      <c r="J54" s="70">
        <f>(ROUND(SUMIFS(Input!$I:$I,Input!$H:$H,'1.CC Transition risk-Banking b.'!$A54&amp;"*",Input!$E:$E,'1.CC Transition risk-Banking b.'!$J$63,Input!$C:$C,'1.CC Transition risk-Banking b.'!$J$64),0))/1000000</f>
        <v>0</v>
      </c>
      <c r="K54" s="70">
        <f>(ROUND(SUMIFS(Input!$I:$I,Input!$H:$H,'1.CC Transition risk-Banking b.'!$A54&amp;"*",Input!$E:$E,'1.CC Transition risk-Banking b.'!$K$63,Input!$C:$C,'1.CC Transition risk-Banking b.'!$K$64),0))/1000000</f>
        <v>0</v>
      </c>
      <c r="L54" s="71">
        <f>(ROUND(SUMIFS(Input!$J:$J,Input!$H:$H,'1.CC Transition risk-Banking b.'!$A54&amp;"*")
+ SUMIFS(Input!$L:$L,Input!$H:$H,'1.CC Transition risk-Banking b.'!$A54&amp;"*")
+SUMIFS(Input!$N:$N,Input!$H:$H,'1.CC Transition risk-Banking b.'!$A54&amp;"*"),0))/1</f>
        <v>0</v>
      </c>
      <c r="M54" s="71">
        <f>(ROUND(SUMIFS(Input!$N:$N,Input!$H:$H,'1.CC Transition risk-Banking b.'!$A54&amp;"*"),0))/1</f>
        <v>0</v>
      </c>
      <c r="N54" s="77">
        <f>IFERROR(AVERAGE(SUMIFS(Input!$I:$I,Input!$H:$H,'1.CC Transition risk-Banking b.'!$A54&amp;"*",Input!$R:$R,"SOUR1",Input!$E:$E,'1.CC Transition risk-Banking b.'!$O$63),
SUMIFS(Input!$I:$I,Input!$H:$H,'1.CC Transition risk-Banking b.'!$A54&amp;"*",Input!$S:$S,"SOUR1",Input!$E:$E,'1.CC Transition risk-Banking b.'!$O$63),
SUMIFS(Input!$I:$I,Input!$H:$H,'1.CC Transition risk-Banking b.'!$A54&amp;"*",Input!$T:$T,"SOUR1",Input!$E:$E,'1.CC Transition risk-Banking b.'!$O$63))/SUMIFS(Input!$I:$I,Input!$H:$H,'1.CC Transition risk-Banking b.'!$A54&amp;"*",Input!$E:$E,'1.CC Transition risk-Banking b.'!$O$63),0)</f>
        <v>0</v>
      </c>
      <c r="O54" s="72">
        <f>(ROUND(SUMIFS(Input!$I:$I,Input!$H:$H,'1.CC Transition risk-Banking b.'!$A54&amp;"*",Input!$E:$E,'1.CC Transition risk-Banking b.'!O$63,Input!$G:$G,"&gt;=0",Input!$G:$G,"&lt;=5")
+ SUMIFS(Input!$I:$I,Input!$H:$H,'1.CC Transition risk-Banking b.'!$A54&amp;"*",Input!$E:$E,'1.CC Transition risk-Banking b.'!O$63,Input!$G:$G,"-4")
+ SUMIFS(Input!$I:$I,Input!$H:$H,'1.CC Transition risk-Banking b.'!$A54&amp;"*",Input!$E:$E,'1.CC Transition risk-Banking b.'!O$63,Input!$G:$G,"-1"),0))/1000000</f>
        <v>0</v>
      </c>
      <c r="P54" s="72">
        <f>(ROUND(SUMIFS(Input!$I:$I,Input!$H:$H,'1.CC Transition risk-Banking b.'!$A54&amp;"*",Input!$E:$E,'1.CC Transition risk-Banking b.'!P$63,Input!$G:$G,"&gt;5",Input!$G:$G,"&lt;=10"),0))/1000000</f>
        <v>0</v>
      </c>
      <c r="Q54" s="72">
        <f>(ROUND(SUMIFS(Input!$I:$I,Input!$H:$H,'1.CC Transition risk-Banking b.'!$A54&amp;"*",Input!$E:$E,'1.CC Transition risk-Banking b.'!Q$63,Input!$G:$G,"&gt;10",Input!$G:$G,"&lt;=20"),0))/1000000</f>
        <v>0</v>
      </c>
      <c r="R54" s="72">
        <f>(ROUND(SUMIFS(Input!$I:$I,Input!$H:$H,'1.CC Transition risk-Banking b.'!$A54&amp;"*",Input!$E:$E,'1.CC Transition risk-Banking b.'!R$63,Input!$G:$G,"&gt;20")
+ SUMIFS(Input!$I:$I,Input!$H:$H,'1.CC Transition risk-Banking b.'!$A54&amp;"*",Input!$E:$E,'1.CC Transition risk-Banking b.'!R$63,Input!$G:$G,"-2")
+ SUMIFS(Input!$I:$I,Input!$H:$H,'1.CC Transition risk-Banking b.'!$A54&amp;"*",Input!$E:$E,'1.CC Transition risk-Banking b.'!R$63,Input!$G:$G,"-3"),0))/1000000</f>
        <v>0</v>
      </c>
      <c r="S54" s="73">
        <f>ROUND(IFERROR((SUMIFS(Input!$Q:$Q,Input!$H:$H,'1.CC Transition risk-Banking b.'!$A54&amp;"*",Input!$E:$E,'1.CC Transition risk-Banking b.'!S$63,Input!$G:$G,"&gt;0")/1000000)/'1.CC Transition risk-Banking b.'!$D54,0),0)</f>
        <v>0</v>
      </c>
    </row>
    <row r="55" spans="1:19">
      <c r="A55" s="82" t="s">
        <v>178</v>
      </c>
      <c r="B55" s="53">
        <v>50</v>
      </c>
      <c r="C55" s="57" t="s">
        <v>179</v>
      </c>
      <c r="D55" s="70">
        <f>(ROUND(SUMIFS(Input!$I:$I,Input!$H:$H,'1.CC Transition risk-Banking b.'!$A55&amp;"*",Input!$E:$E,'1.CC Transition risk-Banking b.'!$D$63),0))/1000000</f>
        <v>0</v>
      </c>
      <c r="E55" s="70">
        <f>(ROUND(SUMIFS(Input!$I:$I,Input!$H:$H,'1.CC Transition risk-Banking b.'!$A55&amp;"*",Input!$E:$E,'1.CC Transition risk-Banking b.'!$E$63,Input!$F:$F,'1.CC Transition risk-Banking b.'!$E$64),0))/1000000</f>
        <v>0</v>
      </c>
      <c r="F55" s="70">
        <f>(ROUND(SUMIFS(Input!$P:$P,Input!$H:$H,'1.CC Transition risk-Banking b.'!$A55&amp;"*",Input!$E:$E,'1.CC Transition risk-Banking b.'!$E$63,Input!$O:$O,'1.CC Transition risk-Banking b.'!$F$63),0))/1000000</f>
        <v>0</v>
      </c>
      <c r="G55" s="70">
        <f>(ROUND(SUMIFS(Input!$I:$I,Input!$H:$H,'1.CC Transition risk-Banking b.'!$A55&amp;"*",Input!$E:$E,'1.CC Transition risk-Banking b.'!$G$63,Input!$C:$C,'1.CC Transition risk-Banking b.'!$G$64),0))/1000000</f>
        <v>0</v>
      </c>
      <c r="H55" s="70">
        <f>(ROUND(SUMIFS(Input!$I:$I,Input!$H:$H,'1.CC Transition risk-Banking b.'!$A55&amp;"*",Input!$E:$E,'1.CC Transition risk-Banking b.'!$H$63,Input!$C:$C,'1.CC Transition risk-Banking b.'!$H$64),0))/1000000</f>
        <v>0</v>
      </c>
      <c r="I55" s="70">
        <f>(ROUND(SUMIFS(Input!$I:$I,Input!$H:$H,'1.CC Transition risk-Banking b.'!$A55&amp;"*",Input!$E:$E,'1.CC Transition risk-Banking b.'!$I$63),0))/1000000</f>
        <v>0</v>
      </c>
      <c r="J55" s="70">
        <f>(ROUND(SUMIFS(Input!$I:$I,Input!$H:$H,'1.CC Transition risk-Banking b.'!$A55&amp;"*",Input!$E:$E,'1.CC Transition risk-Banking b.'!$J$63,Input!$C:$C,'1.CC Transition risk-Banking b.'!$J$64),0))/1000000</f>
        <v>0</v>
      </c>
      <c r="K55" s="70">
        <f>(ROUND(SUMIFS(Input!$I:$I,Input!$H:$H,'1.CC Transition risk-Banking b.'!$A55&amp;"*",Input!$E:$E,'1.CC Transition risk-Banking b.'!$K$63,Input!$C:$C,'1.CC Transition risk-Banking b.'!$K$64),0))/1000000</f>
        <v>0</v>
      </c>
      <c r="L55" s="71">
        <f>(ROUND(SUMIFS(Input!$J:$J,Input!$H:$H,'1.CC Transition risk-Banking b.'!$A55&amp;"*")
+ SUMIFS(Input!$L:$L,Input!$H:$H,'1.CC Transition risk-Banking b.'!$A55&amp;"*")
+SUMIFS(Input!$N:$N,Input!$H:$H,'1.CC Transition risk-Banking b.'!$A55&amp;"*"),0))/1</f>
        <v>0</v>
      </c>
      <c r="M55" s="71">
        <f>(ROUND(SUMIFS(Input!$N:$N,Input!$H:$H,'1.CC Transition risk-Banking b.'!$A55&amp;"*"),0))/1</f>
        <v>0</v>
      </c>
      <c r="N55" s="77">
        <f>IFERROR(AVERAGE(SUMIFS(Input!$I:$I,Input!$H:$H,'1.CC Transition risk-Banking b.'!$A55&amp;"*",Input!$R:$R,"SOUR1",Input!$E:$E,'1.CC Transition risk-Banking b.'!$O$63),
SUMIFS(Input!$I:$I,Input!$H:$H,'1.CC Transition risk-Banking b.'!$A55&amp;"*",Input!$S:$S,"SOUR1",Input!$E:$E,'1.CC Transition risk-Banking b.'!$O$63),
SUMIFS(Input!$I:$I,Input!$H:$H,'1.CC Transition risk-Banking b.'!$A55&amp;"*",Input!$T:$T,"SOUR1",Input!$E:$E,'1.CC Transition risk-Banking b.'!$O$63))/SUMIFS(Input!$I:$I,Input!$H:$H,'1.CC Transition risk-Banking b.'!$A55&amp;"*",Input!$E:$E,'1.CC Transition risk-Banking b.'!$O$63),0)</f>
        <v>0</v>
      </c>
      <c r="O55" s="72">
        <f>(ROUND(SUMIFS(Input!$I:$I,Input!$H:$H,'1.CC Transition risk-Banking b.'!$A55&amp;"*",Input!$E:$E,'1.CC Transition risk-Banking b.'!O$63,Input!$G:$G,"&gt;=0",Input!$G:$G,"&lt;=5")
+ SUMIFS(Input!$I:$I,Input!$H:$H,'1.CC Transition risk-Banking b.'!$A55&amp;"*",Input!$E:$E,'1.CC Transition risk-Banking b.'!O$63,Input!$G:$G,"-4")
+ SUMIFS(Input!$I:$I,Input!$H:$H,'1.CC Transition risk-Banking b.'!$A55&amp;"*",Input!$E:$E,'1.CC Transition risk-Banking b.'!O$63,Input!$G:$G,"-1"),0))/1000000</f>
        <v>0</v>
      </c>
      <c r="P55" s="72">
        <f>(ROUND(SUMIFS(Input!$I:$I,Input!$H:$H,'1.CC Transition risk-Banking b.'!$A55&amp;"*",Input!$E:$E,'1.CC Transition risk-Banking b.'!P$63,Input!$G:$G,"&gt;5",Input!$G:$G,"&lt;=10"),0))/1000000</f>
        <v>0</v>
      </c>
      <c r="Q55" s="72">
        <f>(ROUND(SUMIFS(Input!$I:$I,Input!$H:$H,'1.CC Transition risk-Banking b.'!$A55&amp;"*",Input!$E:$E,'1.CC Transition risk-Banking b.'!Q$63,Input!$G:$G,"&gt;10",Input!$G:$G,"&lt;=20"),0))/1000000</f>
        <v>0</v>
      </c>
      <c r="R55" s="72">
        <f>(ROUND(SUMIFS(Input!$I:$I,Input!$H:$H,'1.CC Transition risk-Banking b.'!$A55&amp;"*",Input!$E:$E,'1.CC Transition risk-Banking b.'!R$63,Input!$G:$G,"&gt;20")
+ SUMIFS(Input!$I:$I,Input!$H:$H,'1.CC Transition risk-Banking b.'!$A55&amp;"*",Input!$E:$E,'1.CC Transition risk-Banking b.'!R$63,Input!$G:$G,"-2")
+ SUMIFS(Input!$I:$I,Input!$H:$H,'1.CC Transition risk-Banking b.'!$A55&amp;"*",Input!$E:$E,'1.CC Transition risk-Banking b.'!R$63,Input!$G:$G,"-3"),0))/1000000</f>
        <v>0</v>
      </c>
      <c r="S55" s="73">
        <f>ROUND(IFERROR((SUMIFS(Input!$Q:$Q,Input!$H:$H,'1.CC Transition risk-Banking b.'!$A55&amp;"*",Input!$E:$E,'1.CC Transition risk-Banking b.'!S$63,Input!$G:$G,"&gt;0")/1000000)/'1.CC Transition risk-Banking b.'!$D55,0),0)</f>
        <v>0</v>
      </c>
    </row>
    <row r="56" spans="1:19" s="59" customFormat="1">
      <c r="A56" s="82" t="s">
        <v>180</v>
      </c>
      <c r="B56" s="53">
        <v>51</v>
      </c>
      <c r="C56" s="58" t="s">
        <v>181</v>
      </c>
      <c r="D56" s="70">
        <f>(ROUND(SUMIFS(Input!$I:$I,Input!$H:$H,'1.CC Transition risk-Banking b.'!$A56&amp;"*",Input!$E:$E,'1.CC Transition risk-Banking b.'!$D$63),0))/1000000</f>
        <v>0</v>
      </c>
      <c r="E56" s="70">
        <f>(ROUND(SUMIFS(Input!$I:$I,Input!$H:$H,'1.CC Transition risk-Banking b.'!$A56&amp;"*",Input!$E:$E,'1.CC Transition risk-Banking b.'!$E$63,Input!$F:$F,'1.CC Transition risk-Banking b.'!$E$64),0))/1000000</f>
        <v>0</v>
      </c>
      <c r="F56" s="70">
        <f>(ROUND(SUMIFS(Input!$P:$P,Input!$H:$H,'1.CC Transition risk-Banking b.'!$A56&amp;"*",Input!$E:$E,'1.CC Transition risk-Banking b.'!$E$63,Input!$O:$O,'1.CC Transition risk-Banking b.'!$F$63),0))/1000000</f>
        <v>0</v>
      </c>
      <c r="G56" s="70">
        <f>(ROUND(SUMIFS(Input!$I:$I,Input!$H:$H,'1.CC Transition risk-Banking b.'!$A56&amp;"*",Input!$E:$E,'1.CC Transition risk-Banking b.'!$G$63,Input!$C:$C,'1.CC Transition risk-Banking b.'!$G$64),0))/1000000</f>
        <v>0</v>
      </c>
      <c r="H56" s="70">
        <f>(ROUND(SUMIFS(Input!$I:$I,Input!$H:$H,'1.CC Transition risk-Banking b.'!$A56&amp;"*",Input!$E:$E,'1.CC Transition risk-Banking b.'!$H$63,Input!$C:$C,'1.CC Transition risk-Banking b.'!$H$64),0))/1000000</f>
        <v>0</v>
      </c>
      <c r="I56" s="70">
        <f>(ROUND(SUMIFS(Input!$I:$I,Input!$H:$H,'1.CC Transition risk-Banking b.'!$A56&amp;"*",Input!$E:$E,'1.CC Transition risk-Banking b.'!$I$63),0))/1000000</f>
        <v>0</v>
      </c>
      <c r="J56" s="70">
        <f>(ROUND(SUMIFS(Input!$I:$I,Input!$H:$H,'1.CC Transition risk-Banking b.'!$A56&amp;"*",Input!$E:$E,'1.CC Transition risk-Banking b.'!$J$63,Input!$C:$C,'1.CC Transition risk-Banking b.'!$J$64),0))/1000000</f>
        <v>0</v>
      </c>
      <c r="K56" s="70">
        <f>(ROUND(SUMIFS(Input!$I:$I,Input!$H:$H,'1.CC Transition risk-Banking b.'!$A56&amp;"*",Input!$E:$E,'1.CC Transition risk-Banking b.'!$K$63,Input!$C:$C,'1.CC Transition risk-Banking b.'!$K$64),0))/1000000</f>
        <v>0</v>
      </c>
      <c r="L56" s="71">
        <f>(ROUND(SUMIFS(Input!$J:$J,Input!$H:$H,'1.CC Transition risk-Banking b.'!$A56&amp;"*")
+ SUMIFS(Input!$L:$L,Input!$H:$H,'1.CC Transition risk-Banking b.'!$A56&amp;"*")
+SUMIFS(Input!$N:$N,Input!$H:$H,'1.CC Transition risk-Banking b.'!$A56&amp;"*"),0))/1</f>
        <v>0</v>
      </c>
      <c r="M56" s="71">
        <f>(ROUND(SUMIFS(Input!$N:$N,Input!$H:$H,'1.CC Transition risk-Banking b.'!$A56&amp;"*"),0))/1</f>
        <v>0</v>
      </c>
      <c r="N56" s="77">
        <f>IFERROR(AVERAGE(SUMIFS(Input!$I:$I,Input!$H:$H,'1.CC Transition risk-Banking b.'!$A56&amp;"*",Input!$R:$R,"SOUR1",Input!$E:$E,'1.CC Transition risk-Banking b.'!$O$63),
SUMIFS(Input!$I:$I,Input!$H:$H,'1.CC Transition risk-Banking b.'!$A56&amp;"*",Input!$S:$S,"SOUR1",Input!$E:$E,'1.CC Transition risk-Banking b.'!$O$63),
SUMIFS(Input!$I:$I,Input!$H:$H,'1.CC Transition risk-Banking b.'!$A56&amp;"*",Input!$T:$T,"SOUR1",Input!$E:$E,'1.CC Transition risk-Banking b.'!$O$63))/SUMIFS(Input!$I:$I,Input!$H:$H,'1.CC Transition risk-Banking b.'!$A56&amp;"*",Input!$E:$E,'1.CC Transition risk-Banking b.'!$O$63),0)</f>
        <v>0</v>
      </c>
      <c r="O56" s="72">
        <f>(ROUND(SUMIFS(Input!$I:$I,Input!$H:$H,'1.CC Transition risk-Banking b.'!$A56&amp;"*",Input!$E:$E,'1.CC Transition risk-Banking b.'!O$63,Input!$G:$G,"&gt;=0",Input!$G:$G,"&lt;=5")
+ SUMIFS(Input!$I:$I,Input!$H:$H,'1.CC Transition risk-Banking b.'!$A56&amp;"*",Input!$E:$E,'1.CC Transition risk-Banking b.'!O$63,Input!$G:$G,"-4")
+ SUMIFS(Input!$I:$I,Input!$H:$H,'1.CC Transition risk-Banking b.'!$A56&amp;"*",Input!$E:$E,'1.CC Transition risk-Banking b.'!O$63,Input!$G:$G,"-1"),0))/1000000</f>
        <v>0</v>
      </c>
      <c r="P56" s="72">
        <f>(ROUND(SUMIFS(Input!$I:$I,Input!$H:$H,'1.CC Transition risk-Banking b.'!$A56&amp;"*",Input!$E:$E,'1.CC Transition risk-Banking b.'!P$63,Input!$G:$G,"&gt;5",Input!$G:$G,"&lt;=10"),0))/1000000</f>
        <v>0</v>
      </c>
      <c r="Q56" s="72">
        <f>(ROUND(SUMIFS(Input!$I:$I,Input!$H:$H,'1.CC Transition risk-Banking b.'!$A56&amp;"*",Input!$E:$E,'1.CC Transition risk-Banking b.'!Q$63,Input!$G:$G,"&gt;10",Input!$G:$G,"&lt;=20"),0))/1000000</f>
        <v>0</v>
      </c>
      <c r="R56" s="72">
        <f>(ROUND(SUMIFS(Input!$I:$I,Input!$H:$H,'1.CC Transition risk-Banking b.'!$A56&amp;"*",Input!$E:$E,'1.CC Transition risk-Banking b.'!R$63,Input!$G:$G,"&gt;20")
+ SUMIFS(Input!$I:$I,Input!$H:$H,'1.CC Transition risk-Banking b.'!$A56&amp;"*",Input!$E:$E,'1.CC Transition risk-Banking b.'!R$63,Input!$G:$G,"-2")
+ SUMIFS(Input!$I:$I,Input!$H:$H,'1.CC Transition risk-Banking b.'!$A56&amp;"*",Input!$E:$E,'1.CC Transition risk-Banking b.'!R$63,Input!$G:$G,"-3"),0))/1000000</f>
        <v>0</v>
      </c>
      <c r="S56" s="73">
        <f>ROUND(IFERROR((SUMIFS(Input!$Q:$Q,Input!$H:$H,'1.CC Transition risk-Banking b.'!$A56&amp;"*",Input!$E:$E,'1.CC Transition risk-Banking b.'!S$63,Input!$G:$G,"&gt;0")/1000000)/'1.CC Transition risk-Banking b.'!$D56,0),0)</f>
        <v>0</v>
      </c>
    </row>
    <row r="57" spans="1:19">
      <c r="A57" s="82" t="s">
        <v>182</v>
      </c>
      <c r="B57" s="53">
        <v>52</v>
      </c>
      <c r="C57" s="55" t="s">
        <v>183</v>
      </c>
      <c r="D57" s="70">
        <f>(ROUND(SUMIFS(Input!$I:$I,Input!$H:$H,'1.CC Transition risk-Banking b.'!$A57&amp;"*",Input!$E:$E,'1.CC Transition risk-Banking b.'!$D$63),0))/1000000</f>
        <v>0</v>
      </c>
      <c r="E57" s="70">
        <f>(ROUND(SUMIFS(Input!$I:$I,Input!$H:$H,'1.CC Transition risk-Banking b.'!$A57&amp;"*",Input!$E:$E,'1.CC Transition risk-Banking b.'!$E$63,Input!$F:$F,'1.CC Transition risk-Banking b.'!$E$64),0))/1000000</f>
        <v>0</v>
      </c>
      <c r="F57" s="70">
        <f>(ROUND(SUMIFS(Input!$P:$P,Input!$H:$H,'1.CC Transition risk-Banking b.'!$A57&amp;"*",Input!$E:$E,'1.CC Transition risk-Banking b.'!$E$63,Input!$O:$O,'1.CC Transition risk-Banking b.'!$F$63),0))/1000000</f>
        <v>0</v>
      </c>
      <c r="G57" s="70">
        <f>(ROUND(SUMIFS(Input!$I:$I,Input!$H:$H,'1.CC Transition risk-Banking b.'!$A57&amp;"*",Input!$E:$E,'1.CC Transition risk-Banking b.'!$G$63,Input!$C:$C,'1.CC Transition risk-Banking b.'!$G$64),0))/1000000</f>
        <v>0</v>
      </c>
      <c r="H57" s="70">
        <f>(ROUND(SUMIFS(Input!$I:$I,Input!$H:$H,'1.CC Transition risk-Banking b.'!$A57&amp;"*",Input!$E:$E,'1.CC Transition risk-Banking b.'!$H$63,Input!$C:$C,'1.CC Transition risk-Banking b.'!$H$64),0))/1000000</f>
        <v>0</v>
      </c>
      <c r="I57" s="70">
        <f>(ROUND(SUMIFS(Input!$I:$I,Input!$H:$H,'1.CC Transition risk-Banking b.'!$A57&amp;"*",Input!$E:$E,'1.CC Transition risk-Banking b.'!$I$63),0))/1000000</f>
        <v>0</v>
      </c>
      <c r="J57" s="70">
        <f>(ROUND(SUMIFS(Input!$I:$I,Input!$H:$H,'1.CC Transition risk-Banking b.'!$A57&amp;"*",Input!$E:$E,'1.CC Transition risk-Banking b.'!$J$63,Input!$C:$C,'1.CC Transition risk-Banking b.'!$J$64),0))/1000000</f>
        <v>0</v>
      </c>
      <c r="K57" s="70">
        <f>(ROUND(SUMIFS(Input!$I:$I,Input!$H:$H,'1.CC Transition risk-Banking b.'!$A57&amp;"*",Input!$E:$E,'1.CC Transition risk-Banking b.'!$K$63,Input!$C:$C,'1.CC Transition risk-Banking b.'!$K$64),0))/1000000</f>
        <v>0</v>
      </c>
      <c r="L57" s="71">
        <f>(ROUND(SUMIFS(Input!$J:$J,Input!$H:$H,'1.CC Transition risk-Banking b.'!$A57&amp;"*")
+ SUMIFS(Input!$L:$L,Input!$H:$H,'1.CC Transition risk-Banking b.'!$A57&amp;"*")
+SUMIFS(Input!$N:$N,Input!$H:$H,'1.CC Transition risk-Banking b.'!$A57&amp;"*"),0))/1</f>
        <v>0</v>
      </c>
      <c r="M57" s="71">
        <f>(ROUND(SUMIFS(Input!$N:$N,Input!$H:$H,'1.CC Transition risk-Banking b.'!$A57&amp;"*"),0))/1</f>
        <v>0</v>
      </c>
      <c r="N57" s="77">
        <f>IFERROR(AVERAGE(SUMIFS(Input!$I:$I,Input!$H:$H,'1.CC Transition risk-Banking b.'!$A57&amp;"*",Input!$R:$R,"SOUR1",Input!$E:$E,'1.CC Transition risk-Banking b.'!$O$63),
SUMIFS(Input!$I:$I,Input!$H:$H,'1.CC Transition risk-Banking b.'!$A57&amp;"*",Input!$S:$S,"SOUR1",Input!$E:$E,'1.CC Transition risk-Banking b.'!$O$63),
SUMIFS(Input!$I:$I,Input!$H:$H,'1.CC Transition risk-Banking b.'!$A57&amp;"*",Input!$T:$T,"SOUR1",Input!$E:$E,'1.CC Transition risk-Banking b.'!$O$63))/SUMIFS(Input!$I:$I,Input!$H:$H,'1.CC Transition risk-Banking b.'!$A57&amp;"*",Input!$E:$E,'1.CC Transition risk-Banking b.'!$O$63),0)</f>
        <v>0</v>
      </c>
      <c r="O57" s="72">
        <f>(ROUND(SUMIFS(Input!$I:$I,Input!$H:$H,'1.CC Transition risk-Banking b.'!$A57&amp;"*",Input!$E:$E,'1.CC Transition risk-Banking b.'!O$63,Input!$G:$G,"&gt;=0",Input!$G:$G,"&lt;=5")
+ SUMIFS(Input!$I:$I,Input!$H:$H,'1.CC Transition risk-Banking b.'!$A57&amp;"*",Input!$E:$E,'1.CC Transition risk-Banking b.'!O$63,Input!$G:$G,"-4")
+ SUMIFS(Input!$I:$I,Input!$H:$H,'1.CC Transition risk-Banking b.'!$A57&amp;"*",Input!$E:$E,'1.CC Transition risk-Banking b.'!O$63,Input!$G:$G,"-1"),0))/1000000</f>
        <v>0</v>
      </c>
      <c r="P57" s="72">
        <f>(ROUND(SUMIFS(Input!$I:$I,Input!$H:$H,'1.CC Transition risk-Banking b.'!$A57&amp;"*",Input!$E:$E,'1.CC Transition risk-Banking b.'!P$63,Input!$G:$G,"&gt;5",Input!$G:$G,"&lt;=10"),0))/1000000</f>
        <v>0</v>
      </c>
      <c r="Q57" s="72">
        <f>(ROUND(SUMIFS(Input!$I:$I,Input!$H:$H,'1.CC Transition risk-Banking b.'!$A57&amp;"*",Input!$E:$E,'1.CC Transition risk-Banking b.'!Q$63,Input!$G:$G,"&gt;10",Input!$G:$G,"&lt;=20"),0))/1000000</f>
        <v>0</v>
      </c>
      <c r="R57" s="72">
        <f>(ROUND(SUMIFS(Input!$I:$I,Input!$H:$H,'1.CC Transition risk-Banking b.'!$A57&amp;"*",Input!$E:$E,'1.CC Transition risk-Banking b.'!R$63,Input!$G:$G,"&gt;20")
+ SUMIFS(Input!$I:$I,Input!$H:$H,'1.CC Transition risk-Banking b.'!$A57&amp;"*",Input!$E:$E,'1.CC Transition risk-Banking b.'!R$63,Input!$G:$G,"-2")
+ SUMIFS(Input!$I:$I,Input!$H:$H,'1.CC Transition risk-Banking b.'!$A57&amp;"*",Input!$E:$E,'1.CC Transition risk-Banking b.'!R$63,Input!$G:$G,"-3"),0))/1000000</f>
        <v>0</v>
      </c>
      <c r="S57" s="73">
        <f>ROUND(IFERROR((SUMIFS(Input!$Q:$Q,Input!$H:$H,'1.CC Transition risk-Banking b.'!$A57&amp;"*",Input!$E:$E,'1.CC Transition risk-Banking b.'!S$63,Input!$G:$G,"&gt;0")/1000000)/'1.CC Transition risk-Banking b.'!$D57,0),0)</f>
        <v>0</v>
      </c>
    </row>
    <row r="58" spans="1:19" s="59" customFormat="1">
      <c r="A58" s="82"/>
      <c r="B58" s="53">
        <v>53</v>
      </c>
      <c r="C58" s="60" t="s">
        <v>184</v>
      </c>
      <c r="D58" s="68">
        <f>D59+D60</f>
        <v>0</v>
      </c>
      <c r="E58" s="68">
        <f>E59+E60</f>
        <v>0</v>
      </c>
      <c r="F58" s="68">
        <f>F59+F60</f>
        <v>0</v>
      </c>
      <c r="G58" s="68">
        <f t="shared" ref="G58:R58" si="1">G59+G60</f>
        <v>0</v>
      </c>
      <c r="H58" s="68">
        <f t="shared" si="1"/>
        <v>0</v>
      </c>
      <c r="I58" s="68">
        <f t="shared" si="1"/>
        <v>0</v>
      </c>
      <c r="J58" s="68">
        <f t="shared" si="1"/>
        <v>0</v>
      </c>
      <c r="K58" s="68">
        <f t="shared" si="1"/>
        <v>0</v>
      </c>
      <c r="L58" s="68">
        <f t="shared" si="1"/>
        <v>0</v>
      </c>
      <c r="M58" s="68">
        <f t="shared" si="1"/>
        <v>0</v>
      </c>
      <c r="N58" s="78" t="e">
        <f>(AVERAGE(SUM(SUMIFS(Input!$I:$I,Input!$H:$H,"J*",Input!$R:$R,"SOUR1",Input!$E:$E,'1.CC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b.'!$O$63)))/1000000)/$D$58</f>
        <v>#DIV/0!</v>
      </c>
      <c r="O58" s="68">
        <f t="shared" si="1"/>
        <v>0</v>
      </c>
      <c r="P58" s="68">
        <f t="shared" si="1"/>
        <v>0</v>
      </c>
      <c r="Q58" s="68">
        <f t="shared" si="1"/>
        <v>0</v>
      </c>
      <c r="R58" s="68">
        <f t="shared" si="1"/>
        <v>0</v>
      </c>
      <c r="S58" s="85" t="e">
        <f>ROUND(((SUMIFS(Input!$Q:$Q,Input!$H:$H,"K*",Input!$E:$E,'1.CC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b.'!D58,0)</f>
        <v>#DIV/0!</v>
      </c>
    </row>
    <row r="59" spans="1:19" s="59" customFormat="1">
      <c r="A59" s="82" t="s">
        <v>185</v>
      </c>
      <c r="B59" s="53">
        <v>54</v>
      </c>
      <c r="C59" s="58" t="s">
        <v>186</v>
      </c>
      <c r="D59" s="70">
        <f>(ROUND(SUMIFS(Input!$I:$I,Input!$H:$H,'1.CC Transition risk-Banking b.'!$A59&amp;"*",Input!$E:$E,'1.CC Transition risk-Banking b.'!$D$63),0))/1000000</f>
        <v>0</v>
      </c>
      <c r="E59" s="70">
        <f>(ROUND(SUMIFS(Input!$I:$I,Input!$H:$H,'1.CC Transition risk-Banking b.'!$A59&amp;"*",Input!$E:$E,'1.CC Transition risk-Banking b.'!$E$63,Input!$F:$F,'1.CC Transition risk-Banking b.'!$E$64),0))/1000000</f>
        <v>0</v>
      </c>
      <c r="F59" s="70">
        <f>(ROUND(SUMIFS(Input!$P:$P,Input!$H:$H,'1.CC Transition risk-Banking b.'!$A59&amp;"*",Input!$E:$E,'1.CC Transition risk-Banking b.'!$E$63,Input!$O:$O,'1.CC Transition risk-Banking b.'!$F$63),0))/1000000</f>
        <v>0</v>
      </c>
      <c r="G59" s="70">
        <f>(ROUND(SUMIFS(Input!$I:$I,Input!$H:$H,'1.CC Transition risk-Banking b.'!$A59&amp;"*",Input!$E:$E,'1.CC Transition risk-Banking b.'!$G$63,Input!$C:$C,'1.CC Transition risk-Banking b.'!$G$64),0))/1000000</f>
        <v>0</v>
      </c>
      <c r="H59" s="70">
        <f>(ROUND(SUMIFS(Input!$I:$I,Input!$H:$H,'1.CC Transition risk-Banking b.'!$A59&amp;"*",Input!$E:$E,'1.CC Transition risk-Banking b.'!$H$63,Input!$C:$C,'1.CC Transition risk-Banking b.'!$H$64),0))/1000000</f>
        <v>0</v>
      </c>
      <c r="I59" s="70">
        <f>(ROUND(SUMIFS(Input!$I:$I,Input!$H:$H,'1.CC Transition risk-Banking b.'!$A59&amp;"*",Input!$E:$E,'1.CC Transition risk-Banking b.'!$I$63),0))/1000000</f>
        <v>0</v>
      </c>
      <c r="J59" s="70">
        <f>(ROUND(SUMIFS(Input!$I:$I,Input!$H:$H,'1.CC Transition risk-Banking b.'!$A59&amp;"*",Input!$E:$E,'1.CC Transition risk-Banking b.'!$J$63,Input!$C:$C,'1.CC Transition risk-Banking b.'!$J$64),0))/1000000</f>
        <v>0</v>
      </c>
      <c r="K59" s="70">
        <f>(ROUND(SUMIFS(Input!$I:$I,Input!$H:$H,'1.CC Transition risk-Banking b.'!$A59&amp;"*",Input!$E:$E,'1.CC Transition risk-Banking b.'!$K$63,Input!$C:$C,'1.CC Transition risk-Banking b.'!$K$64),0))/1000000</f>
        <v>0</v>
      </c>
      <c r="L59" s="71">
        <f>(ROUND(SUMIFS(Input!$J:$J,Input!$H:$H,'1.CC Transition risk-Banking b.'!$A59&amp;"*")
+ SUMIFS(Input!$L:$L,Input!$H:$H,'1.CC Transition risk-Banking b.'!$A59&amp;"*")
+SUMIFS(Input!$N:$N,Input!$H:$H,'1.CC Transition risk-Banking b.'!$A59&amp;"*"),0))/1</f>
        <v>0</v>
      </c>
      <c r="M59" s="71">
        <f>(ROUND(SUMIFS(Input!$N:$N,Input!$H:$H,'1.CC Transition risk-Banking b.'!$A59&amp;"*"),0))/1</f>
        <v>0</v>
      </c>
      <c r="N59" s="77">
        <f>IFERROR(AVERAGE(SUMIFS(Input!$I:$I,Input!$H:$H,'1.CC Transition risk-Banking b.'!$A59&amp;"*",Input!$R:$R,"SOUR1",Input!$E:$E,'1.CC Transition risk-Banking b.'!$O$63),
SUMIFS(Input!$I:$I,Input!$H:$H,'1.CC Transition risk-Banking b.'!$A59&amp;"*",Input!$S:$S,"SOUR1",Input!$E:$E,'1.CC Transition risk-Banking b.'!$O$63),
SUMIFS(Input!$I:$I,Input!$H:$H,'1.CC Transition risk-Banking b.'!$A59&amp;"*",Input!$T:$T,"SOUR1",Input!$E:$E,'1.CC Transition risk-Banking b.'!$O$63))/SUMIFS(Input!$I:$I,Input!$H:$H,'1.CC Transition risk-Banking b.'!$A59&amp;"*",Input!$E:$E,'1.CC Transition risk-Banking b.'!$O$63),0)</f>
        <v>0</v>
      </c>
      <c r="O59" s="72">
        <f>(ROUND(SUMIFS(Input!$I:$I,Input!$H:$H,'1.CC Transition risk-Banking b.'!$A59&amp;"*",Input!$E:$E,'1.CC Transition risk-Banking b.'!O$63,Input!$G:$G,"&gt;=0",Input!$G:$G,"&lt;=5")
+ SUMIFS(Input!$I:$I,Input!$H:$H,'1.CC Transition risk-Banking b.'!$A59&amp;"*",Input!$E:$E,'1.CC Transition risk-Banking b.'!O$63,Input!$G:$G,"-4")
+ SUMIFS(Input!$I:$I,Input!$H:$H,'1.CC Transition risk-Banking b.'!$A59&amp;"*",Input!$E:$E,'1.CC Transition risk-Banking b.'!O$63,Input!$G:$G,"-1"),0))/1000000</f>
        <v>0</v>
      </c>
      <c r="P59" s="72">
        <f>(ROUND(SUMIFS(Input!$I:$I,Input!$H:$H,'1.CC Transition risk-Banking b.'!$A59&amp;"*",Input!$E:$E,'1.CC Transition risk-Banking b.'!P$63,Input!$G:$G,"&gt;5",Input!$G:$G,"&lt;=10"),0))/1000000</f>
        <v>0</v>
      </c>
      <c r="Q59" s="72">
        <f>(ROUND(SUMIFS(Input!$I:$I,Input!$H:$H,'1.CC Transition risk-Banking b.'!$A59&amp;"*",Input!$E:$E,'1.CC Transition risk-Banking b.'!Q$63,Input!$G:$G,"&gt;10",Input!$G:$G,"&lt;=20"),0))/1000000</f>
        <v>0</v>
      </c>
      <c r="R59" s="72">
        <f>(ROUND(SUMIFS(Input!$I:$I,Input!$H:$H,'1.CC Transition risk-Banking b.'!$A59&amp;"*",Input!$E:$E,'1.CC Transition risk-Banking b.'!R$63,Input!$G:$G,"&gt;20")
+ SUMIFS(Input!$I:$I,Input!$H:$H,'1.CC Transition risk-Banking b.'!$A59&amp;"*",Input!$E:$E,'1.CC Transition risk-Banking b.'!R$63,Input!$G:$G,"-2")
+ SUMIFS(Input!$I:$I,Input!$H:$H,'1.CC Transition risk-Banking b.'!$A59&amp;"*",Input!$E:$E,'1.CC Transition risk-Banking b.'!R$63,Input!$G:$G,"-3"),0))/1000000</f>
        <v>0</v>
      </c>
      <c r="S59" s="73">
        <f>ROUND(IFERROR((SUMIFS(Input!$Q:$Q,Input!$H:$H,'1.CC Transition risk-Banking b.'!$A59&amp;"*",Input!$E:$E,'1.CC Transition risk-Banking b.'!S$63,Input!$G:$G,"&gt;0")/1000000)/'1.CC Transition risk-Banking b.'!$D59,0),0)</f>
        <v>0</v>
      </c>
    </row>
    <row r="60" spans="1:19" s="59" customFormat="1" ht="14.45">
      <c r="A60" s="82" t="s">
        <v>187</v>
      </c>
      <c r="B60" s="53">
        <v>55</v>
      </c>
      <c r="C60" s="61" t="s">
        <v>188</v>
      </c>
      <c r="D60" s="70">
        <f>(ROUND(SUMIFS(Input!$I:$I,Input!$H:$H,"J*",Input!$E:$E,'1.CC Transition risk-Banking b.'!$D$63)
+ SUMIFS(Input!$I:$I,Input!$H:$H,"M*",Input!$E:$E,'1.CC Transition risk-Banking b.'!$D$63)
+ SUMIFS(Input!$I:$I,Input!$H:$H,"N*",Input!$E:$E,'1.CC Transition risk-Banking b.'!$D$63)
+ SUMIFS(Input!$I:$I,Input!$H:$H,"O*",Input!$E:$E,'1.CC Transition risk-Banking b.'!$D$63)
+ SUMIFS(Input!$I:$I,Input!$H:$H,"P*",Input!$E:$E,'1.CC Transition risk-Banking b.'!$D$63)
+ SUMIFS(Input!$I:$I,Input!$H:$H,"Q*",Input!$E:$E,'1.CC Transition risk-Banking b.'!$D$63)
+ SUMIFS(Input!$I:$I,Input!$H:$H,"R*",Input!$E:$E,'1.CC Transition risk-Banking b.'!$D$63)
+ SUMIFS(Input!$I:$I,Input!$H:$H,"S*",Input!$E:$E,'1.CC Transition risk-Banking b.'!$D$63)
+ SUMIFS(Input!$I:$I,Input!$H:$H,"T*",Input!$E:$E,'1.CC Transition risk-Banking b.'!$D$63)
+ SUMIFS(Input!$I:$I,Input!$H:$H,"U*",Input!$E:$E,'1.CC Transition risk-Banking b.'!$D$63),0))/1000000</f>
        <v>0</v>
      </c>
      <c r="E60" s="70">
        <f>(ROUND(SUMIFS(Input!$I:$I,Input!$H:$H,"J*",Input!$E:$E,'1.CC Transition risk-Banking b.'!$D$63,Input!$F:$F,'1.CC Transition risk-Banking b.'!$E$64)
+ SUMIFS(Input!$I:$I,Input!$H:$H,"M*",Input!$E:$E,'1.CC Transition risk-Banking b.'!$D$63,Input!$F:$F,'1.CC Transition risk-Banking b.'!$E$64)
+ SUMIFS(Input!$I:$I,Input!$H:$H,"N*",Input!$E:$E,'1.CC Transition risk-Banking b.'!$D$63,Input!$F:$F,'1.CC Transition risk-Banking b.'!$E$64)
+ SUMIFS(Input!$I:$I,Input!$H:$H,"O*",Input!$E:$E,'1.CC Transition risk-Banking b.'!$D$63,Input!$F:$F,'1.CC Transition risk-Banking b.'!$E$64)
+ SUMIFS(Input!$I:$I,Input!$H:$H,"P*",Input!$E:$E,'1.CC Transition risk-Banking b.'!$D$63,Input!$F:$F,'1.CC Transition risk-Banking b.'!$E$64)
+ SUMIFS(Input!$I:$I,Input!$H:$H,"Q*",Input!$E:$E,'1.CC Transition risk-Banking b.'!$D$63,Input!$F:$F,'1.CC Transition risk-Banking b.'!$E$64)
+ SUMIFS(Input!$I:$I,Input!$H:$H,"R*",Input!$E:$E,'1.CC Transition risk-Banking b.'!$D$63,Input!$F:$F,'1.CC Transition risk-Banking b.'!$E$64)
+ SUMIFS(Input!$I:$I,Input!$H:$H,"S*",Input!$E:$E,'1.CC Transition risk-Banking b.'!$D$63,Input!$F:$F,'1.CC Transition risk-Banking b.'!$E$64)
+ SUMIFS(Input!$I:$I,Input!$H:$H,"T*",Input!$E:$E,'1.CC Transition risk-Banking b.'!$D$63,Input!$F:$F,'1.CC Transition risk-Banking b.'!$E$64)
+ SUMIFS(Input!$I:$I,Input!$H:$H,"U*",Input!$E:$E,'1.CC Transition risk-Banking b.'!$D$63,Input!$F:$F,'1.CC Transition risk-Banking b.'!$E$64),0))/1000000</f>
        <v>0</v>
      </c>
      <c r="F60" s="70">
        <f>(ROUND(SUMIFS(Input!$P:$P,Input!$H:$H,"J*",Input!$E:$E,'1.CC Transition risk-Banking b.'!$D$63,Input!$O:$O,'1.CC Transition risk-Banking b.'!$F$63)
+ SUMIFS(Input!$P:$P,Input!$H:$H,"M*",Input!$E:$E,'1.CC Transition risk-Banking b.'!$D$63,Input!$O:$O,'1.CC Transition risk-Banking b.'!$F$63)
+ SUMIFS(Input!$P:$P,Input!$H:$H,"N*",Input!$E:$E,'1.CC Transition risk-Banking b.'!$D$63,Input!$O:$O,'1.CC Transition risk-Banking b.'!$F$63)
+ SUMIFS(Input!$P:$P,Input!$H:$H,"O*",Input!$E:$E,'1.CC Transition risk-Banking b.'!$D$63,Input!$O:$O,'1.CC Transition risk-Banking b.'!$F$63)
+ SUMIFS(Input!$P:$P,Input!$H:$H,"P*",Input!$E:$E,'1.CC Transition risk-Banking b.'!$D$63,Input!$O:$O,'1.CC Transition risk-Banking b.'!$F$63)
+ SUMIFS(Input!$P:$P,Input!$H:$H,"Q*",Input!$E:$E,'1.CC Transition risk-Banking b.'!$D$63,Input!$O:$O,'1.CC Transition risk-Banking b.'!$F$63)
+ SUMIFS(Input!$P:$P,Input!$H:$H,"R*",Input!$E:$E,'1.CC Transition risk-Banking b.'!$D$63,Input!$O:$O,'1.CC Transition risk-Banking b.'!$F$63)
+ SUMIFS(Input!$P:$P,Input!$H:$H,"S*",Input!$E:$E,'1.CC Transition risk-Banking b.'!$D$63,Input!$O:$O,'1.CC Transition risk-Banking b.'!$F$63)
+ SUMIFS(Input!$P:$P,Input!$H:$H,"T*",Input!$E:$E,'1.CC Transition risk-Banking b.'!$D$63,Input!$O:$O,'1.CC Transition risk-Banking b.'!$F$63)
+ SUMIFS(Input!$P:$P,Input!$H:$H,"U*",Input!$E:$E,'1.CC Transition risk-Banking b.'!$D$63,Input!$O:$O,'1.CC Transition risk-Banking b.'!$F$63),0))/1000000</f>
        <v>0</v>
      </c>
      <c r="G60" s="70">
        <f>(ROUND(SUMIFS(Input!$I:$I,Input!$H:$H,"J*",Input!$E:$E,'1.CC Transition risk-Banking b.'!$D$63,Input!$C:$C,'1.CC Transition risk-Banking b.'!$G$64)
+ SUMIFS(Input!$I:$I,Input!$H:$H,"M*",Input!$E:$E,'1.CC Transition risk-Banking b.'!$D$63,Input!$C:$C,'1.CC Transition risk-Banking b.'!$G$64)
+ SUMIFS(Input!$I:$I,Input!$H:$H,"N*",Input!$E:$E,'1.CC Transition risk-Banking b.'!$D$63,Input!$C:$C,'1.CC Transition risk-Banking b.'!$G$64)
+ SUMIFS(Input!$I:$I,Input!$H:$H,"O*",Input!$E:$E,'1.CC Transition risk-Banking b.'!$D$63,Input!$C:$C,'1.CC Transition risk-Banking b.'!$G$64)
+ SUMIFS(Input!$I:$I,Input!$H:$H,"P*",Input!$E:$E,'1.CC Transition risk-Banking b.'!$D$63,Input!$C:$C,'1.CC Transition risk-Banking b.'!$G$64)
+ SUMIFS(Input!$I:$I,Input!$H:$H,"Q*",Input!$E:$E,'1.CC Transition risk-Banking b.'!$D$63,Input!$C:$C,'1.CC Transition risk-Banking b.'!$G$64)
+ SUMIFS(Input!$I:$I,Input!$H:$H,"R*",Input!$E:$E,'1.CC Transition risk-Banking b.'!$D$63,Input!$C:$C,'1.CC Transition risk-Banking b.'!$G$64)
+ SUMIFS(Input!$I:$I,Input!$H:$H,"S*",Input!$E:$E,'1.CC Transition risk-Banking b.'!$D$63,Input!$C:$C,'1.CC Transition risk-Banking b.'!$G$64)
+ SUMIFS(Input!$I:$I,Input!$H:$H,"T*",Input!$E:$E,'1.CC Transition risk-Banking b.'!$D$63,Input!$C:$C,'1.CC Transition risk-Banking b.'!$G$64)
+ SUMIFS(Input!$I:$I,Input!$H:$H,"U*",Input!$E:$E,'1.CC Transition risk-Banking b.'!$D$63,Input!$C:$C,'1.CC Transition risk-Banking b.'!$G$64),0))/1000000</f>
        <v>0</v>
      </c>
      <c r="H60" s="70">
        <f>(ROUND(SUMIFS(Input!$I:$I,Input!$H:$H,"J*",Input!$E:$E,'1.CC Transition risk-Banking b.'!$D$63,Input!$C:$C,'1.CC Transition risk-Banking b.'!$H$64)
+ SUMIFS(Input!$I:$I,Input!$H:$H,"M*",Input!$E:$E,'1.CC Transition risk-Banking b.'!$D$63,Input!$C:$C,'1.CC Transition risk-Banking b.'!$H$64)
+ SUMIFS(Input!$I:$I,Input!$H:$H,"N*",Input!$E:$E,'1.CC Transition risk-Banking b.'!$D$63,Input!$C:$C,'1.CC Transition risk-Banking b.'!$H$64)
+ SUMIFS(Input!$I:$I,Input!$H:$H,"O*",Input!$E:$E,'1.CC Transition risk-Banking b.'!$D$63,Input!$C:$C,'1.CC Transition risk-Banking b.'!$H$64)
+ SUMIFS(Input!$I:$I,Input!$H:$H,"P*",Input!$E:$E,'1.CC Transition risk-Banking b.'!$D$63,Input!$C:$C,'1.CC Transition risk-Banking b.'!$H$64)
+ SUMIFS(Input!$I:$I,Input!$H:$H,"Q*",Input!$E:$E,'1.CC Transition risk-Banking b.'!$D$63,Input!$C:$C,'1.CC Transition risk-Banking b.'!$H$64)
+ SUMIFS(Input!$I:$I,Input!$H:$H,"R*",Input!$E:$E,'1.CC Transition risk-Banking b.'!$D$63,Input!$C:$C,'1.CC Transition risk-Banking b.'!$H$64)
+ SUMIFS(Input!$I:$I,Input!$H:$H,"S*",Input!$E:$E,'1.CC Transition risk-Banking b.'!$D$63,Input!$C:$C,'1.CC Transition risk-Banking b.'!$H$64)
+ SUMIFS(Input!$I:$I,Input!$H:$H,"T*",Input!$E:$E,'1.CC Transition risk-Banking b.'!$D$63,Input!$C:$C,'1.CC Transition risk-Banking b.'!$H$64)
+ SUMIFS(Input!$I:$I,Input!$H:$H,"U*",Input!$E:$E,'1.CC Transition risk-Banking b.'!$D$63,Input!$C:$C,'1.CC Transition risk-Banking b.'!$H$64),0))/1000000</f>
        <v>0</v>
      </c>
      <c r="I60" s="70">
        <f>(ROUND(SUMIFS(Input!$I:$I,Input!$H:$H,"J*",Input!$E:$E,'1.CC Transition risk-Banking b.'!I$63)
+ SUMIFS(Input!$I:$I,Input!$H:$H,"M*",Input!$E:$E,'1.CC Transition risk-Banking b.'!I$63)
+ SUMIFS(Input!$I:$I,Input!$H:$H,"N*",Input!$E:$E,'1.CC Transition risk-Banking b.'!I$63)
+ SUMIFS(Input!$I:$I,Input!$H:$H,"O*",Input!$E:$E,'1.CC Transition risk-Banking b.'!I$63)
+ SUMIFS(Input!$I:$I,Input!$H:$H,"P*",Input!$E:$E,'1.CC Transition risk-Banking b.'!I$63)
+ SUMIFS(Input!$I:$I,Input!$H:$H,"Q*",Input!$E:$E,'1.CC Transition risk-Banking b.'!I$63)
+ SUMIFS(Input!$I:$I,Input!$H:$H,"R*",Input!$E:$E,'1.CC Transition risk-Banking b.'!I$63)
+ SUMIFS(Input!$I:$I,Input!$H:$H,"S*",Input!$E:$E,'1.CC Transition risk-Banking b.'!I$63)
+ SUMIFS(Input!$I:$I,Input!$H:$H,"T*",Input!$E:$E,'1.CC Transition risk-Banking b.'!I$63)
+ SUMIFS(Input!$I:$I,Input!$H:$H,"U*",Input!$E:$E,'1.CC Transition risk-Banking b.'!I$63),0))/1000000</f>
        <v>0</v>
      </c>
      <c r="J60" s="70">
        <f>(ROUND(SUMIFS(Input!$I:$I,Input!$H:$H,"J*",Input!$E:$E,'1.CC Transition risk-Banking b.'!$J$63,Input!$C:$C,'1.CC Transition risk-Banking b.'!$J$64)
+ SUMIFS(Input!$I:$I,Input!$H:$H,"M*",Input!$E:$E,'1.CC Transition risk-Banking b.'!$J$63,Input!$C:$C,'1.CC Transition risk-Banking b.'!$J$64)
+ SUMIFS(Input!$I:$I,Input!$H:$H,"N*",Input!$E:$E,'1.CC Transition risk-Banking b.'!$J$63,Input!$C:$C,'1.CC Transition risk-Banking b.'!$J$64)
+ SUMIFS(Input!$I:$I,Input!$H:$H,"O*",Input!$E:$E,'1.CC Transition risk-Banking b.'!$J$63,Input!$C:$C,'1.CC Transition risk-Banking b.'!$J$64)
+ SUMIFS(Input!$I:$I,Input!$H:$H,"P*",Input!$E:$E,'1.CC Transition risk-Banking b.'!$J$63,Input!$C:$C,'1.CC Transition risk-Banking b.'!$J$64)
+ SUMIFS(Input!$I:$I,Input!$H:$H,"Q*",Input!$E:$E,'1.CC Transition risk-Banking b.'!$J$63,Input!$C:$C,'1.CC Transition risk-Banking b.'!$J$64)
+ SUMIFS(Input!$I:$I,Input!$H:$H,"R*",Input!$E:$E,'1.CC Transition risk-Banking b.'!$J$63,Input!$C:$C,'1.CC Transition risk-Banking b.'!$J$64)
+ SUMIFS(Input!$I:$I,Input!$H:$H,"S*",Input!$E:$E,'1.CC Transition risk-Banking b.'!$J$63,Input!$C:$C,'1.CC Transition risk-Banking b.'!$J$64)
+ SUMIFS(Input!$I:$I,Input!$H:$H,"T*",Input!$E:$E,'1.CC Transition risk-Banking b.'!$J$63,Input!$C:$C,'1.CC Transition risk-Banking b.'!$J$64)
+ SUMIFS(Input!$I:$I,Input!$H:$H,"U*",Input!$E:$E,'1.CC Transition risk-Banking b.'!$J$63,Input!$C:$C,'1.CC Transition risk-Banking b.'!$J$64),0))/1000000</f>
        <v>0</v>
      </c>
      <c r="K60" s="70">
        <f>(ROUND(SUMIFS(Input!$I:$I,Input!$H:$H,"J*",Input!$E:$E,'1.CC Transition risk-Banking b.'!$K$63,Input!$C:$C,'1.CC Transition risk-Banking b.'!$K$64)
+ SUMIFS(Input!$I:$I,Input!$H:$H,"M*",Input!$E:$E,'1.CC Transition risk-Banking b.'!$K$63,Input!$C:$C,'1.CC Transition risk-Banking b.'!$K$64)
+ SUMIFS(Input!$I:$I,Input!$H:$H,"N*",Input!$E:$E,'1.CC Transition risk-Banking b.'!$K$63,Input!$C:$C,'1.CC Transition risk-Banking b.'!$K$64)
+ SUMIFS(Input!$I:$I,Input!$H:$H,"O*",Input!$E:$E,'1.CC Transition risk-Banking b.'!$K$63,Input!$C:$C,'1.CC Transition risk-Banking b.'!$K$64)
+ SUMIFS(Input!$I:$I,Input!$H:$H,"P*",Input!$E:$E,'1.CC Transition risk-Banking b.'!$K$63,Input!$C:$C,'1.CC Transition risk-Banking b.'!$K$64)
+ SUMIFS(Input!$I:$I,Input!$H:$H,"Q*",Input!$E:$E,'1.CC Transition risk-Banking b.'!$K$63,Input!$C:$C,'1.CC Transition risk-Banking b.'!$K$64)
+ SUMIFS(Input!$I:$I,Input!$H:$H,"R*",Input!$E:$E,'1.CC Transition risk-Banking b.'!$K$63,Input!$C:$C,'1.CC Transition risk-Banking b.'!$K$64)
+ SUMIFS(Input!$I:$I,Input!$H:$H,"S*",Input!$E:$E,'1.CC Transition risk-Banking b.'!$K$63,Input!$C:$C,'1.CC Transition risk-Banking b.'!$K$64)
+ SUMIFS(Input!$I:$I,Input!$H:$H,"T*",Input!$E:$E,'1.CC Transition risk-Banking b.'!$K$63,Input!$C:$C,'1.CC Transition risk-Banking b.'!$K$64)
+ SUMIFS(Input!$I:$I,Input!$H:$H,"U*",Input!$E:$E,'1.CC Transition risk-Banking b.'!$K$63,Input!$C:$C,'1.CC Transition risk-Banking b.'!$K$64),0))/1000000</f>
        <v>0</v>
      </c>
      <c r="L60" s="75">
        <f>(ROUND(SUM(SUMIFS(Input!$J:$J,Input!$H:$H,{"J*";"M*";"N*";"O*";"P*";"Q*";"R*";"S*";"T*";"U*"}))
+ SUM(SUMIFS(Input!$L:$L,Input!$H:$H,{"J*";"M*";"N*";"O*";"P*";"Q*";"R*";"S*";"T*";"U*"}))
+ SUM(SUMIFS(Input!$N:$N,Input!$H:$H,{"J*";"M*";"N*";"O*";"P*";"Q*";"R*";"S*";"T*";"U*"})),0))/1</f>
        <v>0</v>
      </c>
      <c r="M60" s="86">
        <f>(ROUND(SUM(SUMIFS(Input!$N:$N,Input!$H:$H,{"J*";"M*";"N*";"O*";"P*";"Q*";"R*";"S*";"T*";"U*"})),0))/1</f>
        <v>0</v>
      </c>
      <c r="N60" s="79" t="e">
        <f>(AVERAGE(SUM(SUMIFS(Input!$I:$I,Input!$H:$H,"J*",Input!$R:$R,"SOUR1",Input!$E:$E,'1.CC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b.'!$O$63)))/1000000)/$D$60</f>
        <v>#DIV/0!</v>
      </c>
      <c r="O60" s="73">
        <f>(ROUND(SUMIFS(Input!$I:$I,Input!$H:$H,"J*",Input!$E:$E,'1.CC Transition risk-Banking b.'!O$63,Input!$G:$G,"&gt;=0",Input!$G:$G,"&lt;=5")
+ SUMIFS(Input!$I:$I,Input!$H:$H,"J*",Input!$E:$E,'1.CC Transition risk-Banking b.'!O$63,Input!$G:$G,"-4")
+ SUMIFS(Input!$I:$I,Input!$H:$H,"J*",Input!$E:$E,'1.CC Transition risk-Banking b.'!O$63,Input!$G:$G,"-1") +
SUMIFS(Input!$I:$I,Input!$H:$H,"M*",Input!$E:$E,'1.CC Transition risk-Banking b.'!O$63,Input!$G:$G,"&gt;=0",Input!$G:$G,"&lt;=5")
+ SUMIFS(Input!$I:$I,Input!$H:$H,"M*",Input!$E:$E,'1.CC Transition risk-Banking b.'!O$63,Input!$G:$G,"-4")
+ SUMIFS(Input!$I:$I,Input!$H:$H,"M*",Input!$E:$E,'1.CC Transition risk-Banking b.'!O$63,Input!$G:$G,"-1") +
SUMIFS(Input!$I:$I,Input!$H:$H,"N*",Input!$E:$E,'1.CC Transition risk-Banking b.'!O$63,Input!$G:$G,"&gt;=0",Input!$G:$G,"&lt;=5")
+ SUMIFS(Input!$I:$I,Input!$H:$H,"N*",Input!$E:$E,'1.CC Transition risk-Banking b.'!O$63,Input!$G:$G,"-4")
+ SUMIFS(Input!$I:$I,Input!$H:$H,"N*",Input!$E:$E,'1.CC Transition risk-Banking b.'!O$63,Input!$G:$G,"-1") +
SUMIFS(Input!$I:$I,Input!$H:$H,"O*",Input!$E:$E,'1.CC Transition risk-Banking b.'!O$63,Input!$G:$G,"&gt;=0",Input!$G:$G,"&lt;=5")
+ SUMIFS(Input!$I:$I,Input!$H:$H,"O*",Input!$E:$E,'1.CC Transition risk-Banking b.'!O$63,Input!$G:$G,"-4")
+ SUMIFS(Input!$I:$I,Input!$H:$H,"O*",Input!$E:$E,'1.CC Transition risk-Banking b.'!O$63,Input!$G:$G,"-1") +
SUMIFS(Input!$I:$I,Input!$H:$H,"P*",Input!$E:$E,'1.CC Transition risk-Banking b.'!O$63,Input!$G:$G,"&gt;=0",Input!$G:$G,"&lt;=5")
+ SUMIFS(Input!$I:$I,Input!$H:$H,"P*",Input!$E:$E,'1.CC Transition risk-Banking b.'!O$63,Input!$G:$G,"-4")
+ SUMIFS(Input!$I:$I,Input!$H:$H,"P*",Input!$E:$E,'1.CC Transition risk-Banking b.'!O$63,Input!$G:$G,"-1") +
SUMIFS(Input!$I:$I,Input!$H:$H,"Q*",Input!$E:$E,'1.CC Transition risk-Banking b.'!O$63,Input!$G:$G,"&gt;=0",Input!$G:$G,"&lt;=5")
+ SUMIFS(Input!$I:$I,Input!$H:$H,"Q*",Input!$E:$E,'1.CC Transition risk-Banking b.'!O$63,Input!$G:$G,"-4")
+ SUMIFS(Input!$I:$I,Input!$H:$H,"Q*",Input!$E:$E,'1.CC Transition risk-Banking b.'!O$63,Input!$G:$G,"-1") +
SUMIFS(Input!$I:$I,Input!$H:$H,"R*",Input!$E:$E,'1.CC Transition risk-Banking b.'!O$63,Input!$G:$G,"&gt;=0",Input!$G:$G,"&lt;=5")
+ SUMIFS(Input!$I:$I,Input!$H:$H,"R*",Input!$E:$E,'1.CC Transition risk-Banking b.'!O$63,Input!$G:$G,"-4")
+ SUMIFS(Input!$I:$I,Input!$H:$H,"R*",Input!$E:$E,'1.CC Transition risk-Banking b.'!O$63,Input!$G:$G,"-1") +
SUMIFS(Input!$I:$I,Input!$H:$H,"S*",Input!$E:$E,'1.CC Transition risk-Banking b.'!O$63,Input!$G:$G,"&gt;=0",Input!$G:$G,"&lt;=5")
+ SUMIFS(Input!$I:$I,Input!$H:$H,"S*",Input!$E:$E,'1.CC Transition risk-Banking b.'!O$63,Input!$G:$G,"-4")
+ SUMIFS(Input!$I:$I,Input!$H:$H,"S*",Input!$E:$E,'1.CC Transition risk-Banking b.'!O$63,Input!$G:$G,"-1") +
SUMIFS(Input!$I:$I,Input!$H:$H,"T*",Input!$E:$E,'1.CC Transition risk-Banking b.'!O$63,Input!$G:$G,"&gt;=0",Input!$G:$G,"&lt;=5")
+ SUMIFS(Input!$I:$I,Input!$H:$H,"T*",Input!$E:$E,'1.CC Transition risk-Banking b.'!O$63,Input!$G:$G,"-4")
+ SUMIFS(Input!$I:$I,Input!$H:$H,"T*",Input!$E:$E,'1.CC Transition risk-Banking b.'!O$63,Input!$G:$G,"-1") +
SUMIFS(Input!$I:$I,Input!$H:$H,"U*",Input!$E:$E,'1.CC Transition risk-Banking b.'!O$63,Input!$G:$G,"&gt;=0",Input!$G:$G,"&lt;=5")
+ SUMIFS(Input!$I:$I,Input!$H:$H,"U*",Input!$E:$E,'1.CC Transition risk-Banking b.'!O$63,Input!$G:$G,"-4")
+ SUMIFS(Input!$I:$I,Input!$H:$H,"U*",Input!$E:$E,'1.CC Transition risk-Banking b.'!O$63,Input!$G:$G,"-1"),0))/1000000</f>
        <v>0</v>
      </c>
      <c r="P60" s="73">
        <f>(ROUND(SUMIFS(Input!$I:$I,Input!$H:$H,"J*",Input!$E:$E,'1.CC Transition risk-Banking b.'!O$63,Input!$G:$G,"&gt;5",Input!$G:$G,"&lt;=10")
+ SUMIFS(Input!$I:$I,Input!$H:$H,"M*",Input!$E:$E,'1.CC Transition risk-Banking b.'!O$63,Input!$G:$G,"&gt;5",Input!$G:$G,"&lt;=10")
+ SUMIFS(Input!$I:$I,Input!$H:$H,"N*",Input!$E:$E,'1.CC Transition risk-Banking b.'!O$63,Input!$G:$G,"&gt;5",Input!$G:$G,"&lt;=10")
+ SUMIFS(Input!$I:$I,Input!$H:$H,"O*",Input!$E:$E,'1.CC Transition risk-Banking b.'!O$63,Input!$G:$G,"&gt;5",Input!$G:$G,"&lt;=10")
+ SUMIFS(Input!$I:$I,Input!$H:$H,"P*",Input!$E:$E,'1.CC Transition risk-Banking b.'!O$63,Input!$G:$G,"&gt;5",Input!$G:$G,"&lt;=10")
+ SUMIFS(Input!$I:$I,Input!$H:$H,"Q*",Input!$E:$E,'1.CC Transition risk-Banking b.'!O$63,Input!$G:$G,"&gt;5",Input!$G:$G,"&lt;=10")
+ SUMIFS(Input!$I:$I,Input!$H:$H,"R*",Input!$E:$E,'1.CC Transition risk-Banking b.'!O$63,Input!$G:$G,"&gt;5",Input!$G:$G,"&lt;=10")
+ SUMIFS(Input!$I:$I,Input!$H:$H,"S*",Input!$E:$E,'1.CC Transition risk-Banking b.'!O$63,Input!$G:$G,"&gt;5",Input!$G:$G,"&lt;=10")
+ SUMIFS(Input!$I:$I,Input!$H:$H,"T*",Input!$E:$E,'1.CC Transition risk-Banking b.'!O$63,Input!$G:$G,"&gt;5",Input!$G:$G,"&lt;=10")
+ SUMIFS(Input!$I:$I,Input!$H:$H,"U*",Input!$E:$E,'1.CC Transition risk-Banking b.'!O$63,Input!$G:$G,"&gt;5",Input!$G:$G,"&lt;=10"),0))/1000000</f>
        <v>0</v>
      </c>
      <c r="Q60" s="73">
        <f>(ROUND(SUMIFS(Input!$I:$I,Input!$H:$H,"J*",Input!$E:$E,'1.CC Transition risk-Banking b.'!P$63,Input!$G:$G,"&gt;10",Input!$G:$G,"&lt;=20")
+ SUMIFS(Input!$I:$I,Input!$H:$H,"M*",Input!$E:$E,'1.CC Transition risk-Banking b.'!P$63,Input!$G:$G,"&gt;10",Input!$G:$G,"&lt;=20")
+ SUMIFS(Input!$I:$I,Input!$H:$H,"N*",Input!$E:$E,'1.CC Transition risk-Banking b.'!P$63,Input!$G:$G,"&gt;10",Input!$G:$G,"&lt;=20")
+ SUMIFS(Input!$I:$I,Input!$H:$H,"O*",Input!$E:$E,'1.CC Transition risk-Banking b.'!P$63,Input!$G:$G,"&gt;10",Input!$G:$G,"&lt;=20")
+ SUMIFS(Input!$I:$I,Input!$H:$H,"P*",Input!$E:$E,'1.CC Transition risk-Banking b.'!P$63,Input!$G:$G,"&gt;10",Input!$G:$G,"&lt;=20")
+ SUMIFS(Input!$I:$I,Input!$H:$H,"Q*",Input!$E:$E,'1.CC Transition risk-Banking b.'!P$63,Input!$G:$G,"&gt;10",Input!$G:$G,"&lt;=20")
+ SUMIFS(Input!$I:$I,Input!$H:$H,"R*",Input!$E:$E,'1.CC Transition risk-Banking b.'!P$63,Input!$G:$G,"&gt;10",Input!$G:$G,"&lt;=20")
+ SUMIFS(Input!$I:$I,Input!$H:$H,"S*",Input!$E:$E,'1.CC Transition risk-Banking b.'!P$63,Input!$G:$G,"&gt;10",Input!$G:$G,"&lt;=20")
+ SUMIFS(Input!$I:$I,Input!$H:$H,"T*",Input!$E:$E,'1.CC Transition risk-Banking b.'!P$63,Input!$G:$G,"&gt;10",Input!$G:$G,"&lt;=20")
+ SUMIFS(Input!$I:$I,Input!$H:$H,"U*",Input!$E:$E,'1.CC Transition risk-Banking b.'!P$63,Input!$G:$G,"&gt;10",Input!$G:$G,"&lt;=20"),0))/1000000</f>
        <v>0</v>
      </c>
      <c r="R60" s="73">
        <f>(ROUND(SUMIFS(Input!$I:$I,Input!$H:$H,"J*",Input!$E:$E,'1.CC Transition risk-Banking b.'!R$63,Input!$G:$G,"&gt;20")
+ SUMIFS(Input!$I:$I,Input!$H:$H,"J*",Input!$E:$E,'1.CC Transition risk-Banking b.'!R$63,Input!$G:$G,"-2")
+ SUMIFS(Input!$I:$I,Input!$H:$H,"J*",Input!$E:$E,'1.CC Transition risk-Banking b.'!R$63,Input!$G:$G,"-3")
+ SUMIFS(Input!$I:$I,Input!$H:$H,"M*",Input!$E:$E,'1.CC Transition risk-Banking b.'!R$63,Input!$G:$G,"&gt;20")
+ SUMIFS(Input!$I:$I,Input!$H:$H,"M*",Input!$E:$E,'1.CC Transition risk-Banking b.'!R$63,Input!$G:$G,"-2")
+ SUMIFS(Input!$I:$I,Input!$H:$H,"M*",Input!$E:$E,'1.CC Transition risk-Banking b.'!R$63,Input!$G:$G,"-3")
+ SUMIFS(Input!$I:$I,Input!$H:$H,"N*",Input!$E:$E,'1.CC Transition risk-Banking b.'!R$63,Input!$G:$G,"&gt;20")
+ SUMIFS(Input!$I:$I,Input!$H:$H,"N*",Input!$E:$E,'1.CC Transition risk-Banking b.'!R$63,Input!$G:$G,"-2")
+ SUMIFS(Input!$I:$I,Input!$H:$H,"N*",Input!$E:$E,'1.CC Transition risk-Banking b.'!R$63,Input!$G:$G,"-3")
+ SUMIFS(Input!$I:$I,Input!$H:$H,"O*",Input!$E:$E,'1.CC Transition risk-Banking b.'!R$63,Input!$G:$G,"&gt;20")
+ SUMIFS(Input!$I:$I,Input!$H:$H,"O*",Input!$E:$E,'1.CC Transition risk-Banking b.'!R$63,Input!$G:$G,"-2")
+ SUMIFS(Input!$I:$I,Input!$H:$H,"O*",Input!$E:$E,'1.CC Transition risk-Banking b.'!R$63,Input!$G:$G,"-3")
+ SUMIFS(Input!$I:$I,Input!$H:$H,"P*",Input!$E:$E,'1.CC Transition risk-Banking b.'!R$63,Input!$G:$G,"&gt;20")
+ SUMIFS(Input!$I:$I,Input!$H:$H,"P*",Input!$E:$E,'1.CC Transition risk-Banking b.'!R$63,Input!$G:$G,"-2") +
+ SUMIFS(Input!$I:$I,Input!$H:$H,"P*",Input!$E:$E,'1.CC Transition risk-Banking b.'!R$63,Input!$G:$G,"-3")
+ SUMIFS(Input!$I:$I,Input!$H:$H,"Q*",Input!$E:$E,'1.CC Transition risk-Banking b.'!R$63,Input!$G:$G,"&gt;20")
+ SUMIFS(Input!$I:$I,Input!$H:$H,"Q*",Input!$E:$E,'1.CC Transition risk-Banking b.'!R$63,Input!$G:$G,"-2") +
+ SUMIFS(Input!$I:$I,Input!$H:$H,"Q*",Input!$E:$E,'1.CC Transition risk-Banking b.'!R$63,Input!$G:$G,"-3") +
+ SUMIFS(Input!$I:$I,Input!$H:$H,"R*",Input!$E:$E,'1.CC Transition risk-Banking b.'!R$63,Input!$G:$G,"&gt;20")
+ SUMIFS(Input!$I:$I,Input!$H:$H,"R*",Input!$E:$E,'1.CC Transition risk-Banking b.'!R$63,Input!$G:$G,"-2")
+ SUMIFS(Input!$I:$I,Input!$H:$H,"R*",Input!$E:$E,'1.CC Transition risk-Banking b.'!R$63,Input!$G:$G,"-3")
+ SUMIFS(Input!$I:$I,Input!$H:$H,"S*",Input!$E:$E,'1.CC Transition risk-Banking b.'!R$63,Input!$G:$G,"&gt;20")
+ SUMIFS(Input!$I:$I,Input!$H:$H,"S*",Input!$E:$E,'1.CC Transition risk-Banking b.'!R$63,Input!$G:$G,"-2")
+ SUMIFS(Input!$I:$I,Input!$H:$H,"S*",Input!$E:$E,'1.CC Transition risk-Banking b.'!R$63,Input!$G:$G,"-3")
+ SUMIFS(Input!$I:$I,Input!$H:$H,"T*",Input!$E:$E,'1.CC Transition risk-Banking b.'!R$63,Input!$G:$G,"&gt;20")
+ SUMIFS(Input!$I:$I,Input!$H:$H,"T*",Input!$E:$E,'1.CC Transition risk-Banking b.'!R$63,Input!$G:$G,"-2")
+ SUMIFS(Input!$I:$I,Input!$H:$H,"T*",Input!$E:$E,'1.CC Transition risk-Banking b.'!R$63,Input!$G:$G,"-3")
+ SUMIFS(Input!$I:$I,Input!$H:$H,"U*",Input!$E:$E,'1.CC Transition risk-Banking b.'!R$63,Input!$G:$G,"&gt;20")
+ SUMIFS(Input!$I:$I,Input!$H:$H,"U*",Input!$E:$E,'1.CC Transition risk-Banking b.'!R$63,Input!$G:$G,"-2")
+ SUMIFS(Input!$I:$I,Input!$H:$H,"U*",Input!$E:$E,'1.CC Transition risk-Banking b.'!R$63,Input!$G:$G,"-3"),0))/1000000</f>
        <v>0</v>
      </c>
      <c r="S60" s="74" t="e">
        <f>ROUND(((SUMIFS(Input!$Q:$Q,Input!$H:$H,"J*",Input!$E:$E,'1.CC Transition risk-Banking b.'!S$63,Input!$G:$G,"&gt;0")
+ SUMIFS(Input!$Q:$Q,Input!$H:$H,"M*",Input!$E:$E,'1.CC Transition risk-Banking b.'!S$63,Input!$G:$G,"&gt;0")
+ SUMIFS(Input!$Q:$Q,Input!$H:$H,"N*",Input!$E:$E,'1.CC Transition risk-Banking b.'!S$63,Input!$G:$G,"&gt;0")
+ SUMIFS(Input!$Q:$Q,Input!$H:$H,"O*",Input!$E:$E,'1.CC Transition risk-Banking b.'!S$63,Input!$G:$G,"&gt;0")
+ SUMIFS(Input!$Q:$Q,Input!$H:$H,"P*",Input!$E:$E,'1.CC Transition risk-Banking b.'!S$63,Input!$G:$G,"&gt;0")
+ SUMIFS(Input!$Q:$Q,Input!$H:$H,"Q*",Input!$E:$E,'1.CC Transition risk-Banking b.'!S$63,Input!$G:$G,"&gt;0")
+ SUMIFS(Input!$Q:$Q,Input!$H:$H,"R*",Input!$E:$E,'1.CC Transition risk-Banking b.'!S$63,Input!$G:$G,"&gt;0")
+ SUMIFS(Input!$Q:$Q,Input!$H:$H,"S*",Input!$E:$E,'1.CC Transition risk-Banking b.'!S$63,Input!$G:$G,"&gt;0")
+ SUMIFS(Input!$Q:$Q,Input!$H:$H,"T*",Input!$E:$E,'1.CC Transition risk-Banking b.'!S$63,Input!$G:$G,"&gt;0")
+ SUMIFS(Input!$Q:$Q,Input!$H:$H,"U*",Input!$E:$E,'1.CC Transition risk-Banking b.'!S$63,Input!$G:$G,"&gt;0"))/1000000)/'1.CC Transition risk-Banking b.'!D60,0)</f>
        <v>#DIV/0!</v>
      </c>
    </row>
    <row r="61" spans="1:19">
      <c r="A61" s="82" t="s">
        <v>189</v>
      </c>
      <c r="B61" s="53">
        <v>56</v>
      </c>
      <c r="C61" s="62" t="s">
        <v>189</v>
      </c>
      <c r="D61" s="70">
        <f>D6+D58</f>
        <v>0</v>
      </c>
      <c r="E61" s="70">
        <f>E6+E58</f>
        <v>0</v>
      </c>
      <c r="F61" s="70">
        <f>F6+F58</f>
        <v>0</v>
      </c>
      <c r="G61" s="70">
        <f t="shared" ref="G61:R61" si="2">G6+G58</f>
        <v>0</v>
      </c>
      <c r="H61" s="70">
        <f t="shared" si="2"/>
        <v>0</v>
      </c>
      <c r="I61" s="70">
        <f t="shared" si="2"/>
        <v>0</v>
      </c>
      <c r="J61" s="70">
        <f t="shared" si="2"/>
        <v>0</v>
      </c>
      <c r="K61" s="70">
        <f t="shared" si="2"/>
        <v>0</v>
      </c>
      <c r="L61" s="70">
        <f t="shared" si="2"/>
        <v>0</v>
      </c>
      <c r="M61" s="70">
        <f t="shared" si="2"/>
        <v>0</v>
      </c>
      <c r="N61" s="80" t="e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 +
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 +
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 +
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b.'!$O$63)))/1000000)/$D$61</f>
        <v>#DIV/0!</v>
      </c>
      <c r="O61" s="70">
        <f t="shared" si="2"/>
        <v>0</v>
      </c>
      <c r="P61" s="70">
        <f t="shared" si="2"/>
        <v>0</v>
      </c>
      <c r="Q61" s="70">
        <f t="shared" si="2"/>
        <v>0</v>
      </c>
      <c r="R61" s="70">
        <f t="shared" si="2"/>
        <v>0</v>
      </c>
      <c r="S61" s="70" t="e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
+SUMIFS(Input!$Q:$Q,Input!$H:$H,"K*",Input!$E:$E,'1.CC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b.'!D61,0)</f>
        <v>#DIV/0!</v>
      </c>
    </row>
    <row r="62" spans="1:19">
      <c r="C62" s="63" t="s">
        <v>190</v>
      </c>
      <c r="D62" s="64"/>
      <c r="E62" s="64"/>
      <c r="F62" s="64"/>
      <c r="G62" s="64"/>
      <c r="H62" s="64"/>
      <c r="I62" s="64"/>
      <c r="J62" s="64"/>
      <c r="K62" s="64"/>
    </row>
    <row r="63" spans="1:19">
      <c r="C63" s="65"/>
      <c r="D63" s="81" t="s">
        <v>191</v>
      </c>
      <c r="E63" s="81" t="s">
        <v>191</v>
      </c>
      <c r="F63" s="81">
        <v>1</v>
      </c>
      <c r="G63" s="81" t="s">
        <v>191</v>
      </c>
      <c r="H63" s="81" t="s">
        <v>191</v>
      </c>
      <c r="I63" s="81" t="s">
        <v>192</v>
      </c>
      <c r="J63" s="81" t="s">
        <v>192</v>
      </c>
      <c r="K63" s="81" t="s">
        <v>192</v>
      </c>
      <c r="L63" s="82"/>
      <c r="M63" s="82"/>
      <c r="N63" s="82"/>
      <c r="O63" s="83" t="s">
        <v>191</v>
      </c>
      <c r="P63" s="83" t="s">
        <v>191</v>
      </c>
      <c r="Q63" s="83" t="s">
        <v>191</v>
      </c>
      <c r="R63" s="83" t="s">
        <v>191</v>
      </c>
      <c r="S63" s="83" t="s">
        <v>191</v>
      </c>
    </row>
    <row r="64" spans="1:19" ht="11.65" customHeight="1">
      <c r="D64" s="84"/>
      <c r="E64" s="84" t="s">
        <v>193</v>
      </c>
      <c r="F64" s="84"/>
      <c r="G64" s="84" t="s">
        <v>194</v>
      </c>
      <c r="H64" s="84" t="s">
        <v>195</v>
      </c>
      <c r="I64" s="84"/>
      <c r="J64" s="84" t="s">
        <v>194</v>
      </c>
      <c r="K64" s="84" t="s">
        <v>195</v>
      </c>
      <c r="L64" s="82"/>
      <c r="M64" s="82"/>
      <c r="N64" s="82"/>
      <c r="O64" s="83">
        <v>-4</v>
      </c>
      <c r="P64" s="83" t="s">
        <v>196</v>
      </c>
      <c r="Q64" s="83" t="s">
        <v>197</v>
      </c>
      <c r="R64" s="83" t="s">
        <v>198</v>
      </c>
      <c r="S64" s="83">
        <v>-1</v>
      </c>
    </row>
    <row r="65" spans="3:19"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3"/>
      <c r="P65" s="83" t="s">
        <v>199</v>
      </c>
      <c r="Q65" s="83" t="s">
        <v>200</v>
      </c>
      <c r="R65" s="83">
        <v>-3</v>
      </c>
      <c r="S65" s="83">
        <v>-2</v>
      </c>
    </row>
    <row r="66" spans="3:19"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3">
        <v>-2</v>
      </c>
      <c r="S66" s="82"/>
    </row>
    <row r="67" spans="3:19">
      <c r="C67" s="66"/>
    </row>
    <row r="69" spans="3:19">
      <c r="D69" s="66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  <pageSetup paperSize="9" orientation="portrait" r:id="rId1"/>
  <ignoredErrors>
    <ignoredError sqref="N61 N58 N6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307D328052CE49BABEAF1D5BD19CE8" ma:contentTypeVersion="6" ma:contentTypeDescription="Create a new document." ma:contentTypeScope="" ma:versionID="a34b9015bd3a4ba1c3327d546d60c2a3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0ca2338c847543c287980cde65e607fc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9D9D941-653F-4C84-BDC6-D17161F5D399}"/>
</file>

<file path=customXml/itemProps2.xml><?xml version="1.0" encoding="utf-8"?>
<ds:datastoreItem xmlns:ds="http://schemas.openxmlformats.org/officeDocument/2006/customXml" ds:itemID="{CFAA08FF-BA12-4D0A-8953-9C151DD9864F}"/>
</file>

<file path=customXml/itemProps3.xml><?xml version="1.0" encoding="utf-8"?>
<ds:datastoreItem xmlns:ds="http://schemas.openxmlformats.org/officeDocument/2006/customXml" ds:itemID="{C93E2E48-391C-467E-8021-E602EC5117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 Erbilgic</dc:creator>
  <cp:keywords/>
  <dc:description/>
  <cp:lastModifiedBy>Rodrigo Alexandre Marchão Félix</cp:lastModifiedBy>
  <cp:revision/>
  <dcterms:created xsi:type="dcterms:W3CDTF">2021-09-06T12:20:44Z</dcterms:created>
  <dcterms:modified xsi:type="dcterms:W3CDTF">2026-01-29T15:44:29Z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