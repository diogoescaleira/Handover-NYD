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3. Template 2/"/>
    </mc:Choice>
  </mc:AlternateContent>
  <xr:revisionPtr revIDLastSave="3945" documentId="13_ncr:1_{5189984A-ABC2-4380-B4AD-46A1EADB7F99}" xr6:coauthVersionLast="47" xr6:coauthVersionMax="47" xr10:uidLastSave="{6F92B745-F263-4F7C-86A9-58F3CD1EE961}"/>
  <bookViews>
    <workbookView xWindow="-110" yWindow="-110" windowWidth="19420" windowHeight="10300" activeTab="3" xr2:uid="{00000000-000D-0000-FFFF-FFFF00000000}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Input!$C$6:$I$51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6" l="1"/>
  <c r="S17" i="6" s="1"/>
  <c r="R12" i="6"/>
  <c r="S12" i="6" s="1"/>
  <c r="R16" i="6"/>
  <c r="R15" i="6"/>
  <c r="R14" i="6"/>
  <c r="R11" i="6"/>
  <c r="R10" i="6"/>
  <c r="R9" i="6"/>
  <c r="Q16" i="6"/>
  <c r="Q15" i="6"/>
  <c r="Q14" i="6"/>
  <c r="Q11" i="6"/>
  <c r="Q10" i="6"/>
  <c r="Q9" i="6"/>
  <c r="P16" i="6"/>
  <c r="P15" i="6"/>
  <c r="P14" i="6"/>
  <c r="P11" i="6"/>
  <c r="P10" i="6"/>
  <c r="P9" i="6"/>
  <c r="O16" i="6"/>
  <c r="O15" i="6"/>
  <c r="O14" i="6"/>
  <c r="O11" i="6"/>
  <c r="O10" i="6"/>
  <c r="O9" i="6"/>
  <c r="N16" i="6"/>
  <c r="N15" i="6"/>
  <c r="N14" i="6"/>
  <c r="N11" i="6"/>
  <c r="N10" i="6"/>
  <c r="N9" i="6"/>
  <c r="M16" i="6"/>
  <c r="M15" i="6"/>
  <c r="M14" i="6"/>
  <c r="M11" i="6"/>
  <c r="M10" i="6"/>
  <c r="M9" i="6"/>
  <c r="L16" i="6"/>
  <c r="L15" i="6"/>
  <c r="L14" i="6"/>
  <c r="L11" i="6"/>
  <c r="L10" i="6"/>
  <c r="L9" i="6"/>
  <c r="K16" i="6"/>
  <c r="K15" i="6"/>
  <c r="K14" i="6"/>
  <c r="K11" i="6"/>
  <c r="K10" i="6"/>
  <c r="K9" i="6"/>
  <c r="J17" i="6"/>
  <c r="I17" i="6"/>
  <c r="H17" i="6"/>
  <c r="G17" i="6"/>
  <c r="F17" i="6"/>
  <c r="E17" i="6"/>
  <c r="D17" i="6"/>
  <c r="J12" i="6"/>
  <c r="I12" i="6"/>
  <c r="H12" i="6"/>
  <c r="G12" i="6"/>
  <c r="F12" i="6"/>
  <c r="E12" i="6"/>
  <c r="D12" i="6"/>
  <c r="D9" i="6" l="1"/>
  <c r="E9" i="6"/>
  <c r="F9" i="6"/>
  <c r="F10" i="29" l="1"/>
  <c r="S15" i="6" l="1"/>
  <c r="S16" i="6"/>
  <c r="S14" i="6"/>
  <c r="S10" i="6"/>
  <c r="S11" i="6"/>
  <c r="S9" i="6"/>
  <c r="F11" i="6"/>
  <c r="G11" i="6"/>
  <c r="H11" i="6"/>
  <c r="I11" i="6"/>
  <c r="J11" i="6"/>
  <c r="F10" i="6"/>
  <c r="G10" i="6"/>
  <c r="H10" i="6"/>
  <c r="I10" i="6"/>
  <c r="J10" i="6"/>
  <c r="G9" i="6"/>
  <c r="H9" i="6"/>
  <c r="I9" i="6"/>
  <c r="J9" i="6"/>
  <c r="E10" i="6"/>
  <c r="E11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5" i="6"/>
  <c r="D16" i="6"/>
  <c r="D14" i="6"/>
  <c r="D11" i="6"/>
  <c r="D10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sharedStrings.xml><?xml version="1.0" encoding="utf-8"?>
<sst xmlns="http://schemas.openxmlformats.org/spreadsheetml/2006/main" count="391" uniqueCount="103">
  <si>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</si>
  <si>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</si>
  <si>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Template 2 Granular_v1.0.sql" e </t>
    </r>
    <r>
      <rPr>
        <i/>
        <sz val="9"/>
        <color theme="1"/>
        <rFont val="Calibri"/>
        <family val="2"/>
        <scheme val="minor"/>
      </rPr>
      <t>"BS_Geracao Template Template 2 Agregado_v1.0.sql".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</si>
  <si>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</si>
  <si>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</si>
  <si>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</si>
  <si>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</si>
  <si>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</si>
  <si>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</si>
  <si>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</si>
  <si>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</si>
  <si>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</si>
  <si>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</si>
  <si>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</si>
  <si>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</si>
  <si>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</si>
  <si>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</si>
  <si>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</si>
  <si>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</si>
  <si>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</si>
  <si>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</si>
  <si>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</si>
  <si>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</si>
  <si>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</si>
  <si>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</si>
  <si>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</si>
  <si>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</si>
  <si>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</si>
  <si>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</si>
  <si>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</si>
  <si>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tipo_colateral</t>
  </si>
  <si>
    <t>epc_label</t>
  </si>
  <si>
    <t>ep_score</t>
  </si>
  <si>
    <t>european_union</t>
  </si>
  <si>
    <t>amount</t>
  </si>
  <si>
    <t>quality_score</t>
  </si>
  <si>
    <t>source_code</t>
  </si>
  <si>
    <t>Garantia Comercial</t>
  </si>
  <si>
    <t>D</t>
  </si>
  <si>
    <t>menor_200</t>
  </si>
  <si>
    <t>EU-area</t>
  </si>
  <si>
    <t>1-REAL</t>
  </si>
  <si>
    <t>E</t>
  </si>
  <si>
    <t>menor_300</t>
  </si>
  <si>
    <t>4-MEDIA</t>
  </si>
  <si>
    <t>ESTIMADO</t>
  </si>
  <si>
    <t>Garantia Residencial</t>
  </si>
  <si>
    <t>B</t>
  </si>
  <si>
    <t>menor_100</t>
  </si>
  <si>
    <t>Non EU-area</t>
  </si>
  <si>
    <t>C</t>
  </si>
  <si>
    <t>A</t>
  </si>
  <si>
    <t>3-ALTA</t>
  </si>
  <si>
    <t>Stock</t>
  </si>
  <si>
    <t>2-MUY ALTA</t>
  </si>
  <si>
    <t>F</t>
  </si>
  <si>
    <t>5-MEDIA BAJA</t>
  </si>
  <si>
    <t>A+</t>
  </si>
  <si>
    <t>menor_400</t>
  </si>
  <si>
    <t>G</t>
  </si>
  <si>
    <t>B-</t>
  </si>
  <si>
    <t>maior_500</t>
  </si>
  <si>
    <t>6-BAJA</t>
  </si>
  <si>
    <t>Sem dados</t>
  </si>
  <si>
    <t>7-SIN DATO</t>
  </si>
  <si>
    <t>NULO</t>
  </si>
  <si>
    <t>menor_500</t>
  </si>
  <si>
    <t>Template 2: Banking book - Climate change transition risk: Loans collateralised by immovable property - Energy efficiency of the collateral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</si>
  <si>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</si>
  <si>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</si>
  <si>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</si>
  <si>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</si>
  <si>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</si>
  <si>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</si>
  <si>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</si>
  <si>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</si>
  <si>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</si>
  <si>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</si>
  <si>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</si>
  <si>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</si>
  <si>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</si>
  <si>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</si>
  <si>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</si>
  <si>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</si>
  <si>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Counterparty sector</t>
  </si>
  <si>
    <t>Total gross carrying amount amount (in MEUR)</t>
  </si>
  <si>
    <t>Level of energy efficiency (EP score in kWh/m² of collateral)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</si>
  <si>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</si>
  <si>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</si>
  <si>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</si>
  <si>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</si>
  <si>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</si>
  <si>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</si>
  <si>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</si>
  <si>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</si>
  <si>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Of which level of energy efficiency (EP score in kWh/m² of collateral) estimated</t>
  </si>
  <si>
    <t>Total EU area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</si>
  <si>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</si>
  <si>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</si>
  <si>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</si>
  <si>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Of which Level of energy efficiency (EP score in kWh/m² of collateral) estimated</t>
  </si>
  <si>
    <t>Total non-EU area</t>
  </si>
  <si>
    <t>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</si>
</sst>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9" fillId="4" borderId="0" xfId="0" applyFont="1" applyFill="1"/>
    <xf numFmtId="0" fontId="9" fillId="4" borderId="11" xfId="0" applyFont="1" applyFill="1" applyBorder="1"/>
    <xf numFmtId="0" fontId="9" fillId="0" borderId="0" xfId="0" applyFont="1"/>
    <xf numFmtId="0" fontId="17" fillId="3" borderId="0" xfId="0" applyFont="1" applyFill="1"/>
    <xf numFmtId="0" fontId="8" fillId="3" borderId="0" xfId="0" applyFont="1" applyFill="1"/>
    <xf numFmtId="0" fontId="8" fillId="0" borderId="0" xfId="0" applyFont="1"/>
    <xf numFmtId="0" fontId="8" fillId="2" borderId="0" xfId="0" applyFont="1" applyFill="1"/>
    <xf numFmtId="3" fontId="18" fillId="0" borderId="8" xfId="0" applyNumberFormat="1" applyFont="1" applyBorder="1" applyAlignment="1">
      <alignment horizontal="center" vertical="center" wrapText="1"/>
    </xf>
    <xf numFmtId="9" fontId="18" fillId="0" borderId="8" xfId="1" applyFont="1" applyFill="1" applyBorder="1" applyAlignment="1">
      <alignment horizontal="center" vertical="center" wrapText="1"/>
    </xf>
    <xf numFmtId="3" fontId="18" fillId="0" borderId="2" xfId="0" applyNumberFormat="1" applyFont="1" applyBorder="1" applyAlignment="1">
      <alignment horizontal="center" vertical="center" wrapText="1"/>
    </xf>
    <xf numFmtId="0" fontId="20" fillId="0" borderId="0" xfId="0" applyFont="1"/>
    <xf numFmtId="0" fontId="19" fillId="0" borderId="0" xfId="0" applyFont="1"/>
    <xf numFmtId="0" fontId="7" fillId="0" borderId="0" xfId="0" applyFont="1" applyAlignment="1">
      <alignment vertical="center"/>
    </xf>
    <xf numFmtId="0" fontId="22" fillId="7" borderId="0" xfId="0" applyFont="1" applyFill="1" applyAlignment="1">
      <alignment horizontal="center" vertical="center" wrapText="1"/>
    </xf>
    <xf numFmtId="0" fontId="10" fillId="4" borderId="0" xfId="0" applyFont="1" applyFill="1"/>
    <xf numFmtId="0" fontId="10" fillId="0" borderId="0" xfId="0" applyFont="1"/>
    <xf numFmtId="0" fontId="10" fillId="0" borderId="0" xfId="0" applyFont="1" applyAlignment="1">
      <alignment horizontal="left" indent="1"/>
    </xf>
    <xf numFmtId="0" fontId="10" fillId="4" borderId="0" xfId="0" quotePrefix="1" applyFont="1" applyFill="1" applyAlignment="1">
      <alignment horizontal="left" indent="1"/>
    </xf>
    <xf numFmtId="0" fontId="25" fillId="6" borderId="24" xfId="0" applyFont="1" applyFill="1" applyBorder="1" applyAlignment="1">
      <alignment vertical="center"/>
    </xf>
    <xf numFmtId="0" fontId="8" fillId="6" borderId="24" xfId="0" applyFont="1" applyFill="1" applyBorder="1"/>
    <xf numFmtId="0" fontId="26" fillId="6" borderId="24" xfId="0" applyFont="1" applyFill="1" applyBorder="1"/>
    <xf numFmtId="0" fontId="14" fillId="4" borderId="0" xfId="0" applyFont="1" applyFill="1"/>
    <xf numFmtId="0" fontId="0" fillId="4" borderId="0" xfId="0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11" xfId="0" applyFont="1" applyFill="1" applyBorder="1" applyProtection="1">
      <protection locked="0"/>
    </xf>
    <xf numFmtId="0" fontId="9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12" xfId="0" applyFont="1" applyBorder="1" applyProtection="1">
      <protection locked="0"/>
    </xf>
    <xf numFmtId="0" fontId="10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2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0" fillId="4" borderId="13" xfId="0" applyFont="1" applyFill="1" applyBorder="1" applyProtection="1">
      <protection locked="0"/>
    </xf>
    <xf numFmtId="0" fontId="10" fillId="4" borderId="14" xfId="0" applyFont="1" applyFill="1" applyBorder="1" applyProtection="1">
      <protection locked="0"/>
    </xf>
    <xf numFmtId="0" fontId="10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3" fillId="4" borderId="0" xfId="0" applyFont="1" applyFill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Continuous"/>
      <protection locked="0"/>
    </xf>
    <xf numFmtId="14" fontId="13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6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4" fontId="8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10" fontId="3" fillId="9" borderId="2" xfId="0" applyNumberFormat="1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indent="1"/>
    </xf>
    <xf numFmtId="0" fontId="17" fillId="6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 refreshError="1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75" customHeight="1" zeroHeight="1" x14ac:dyDescent="0.35"/>
  <cols>
    <col min="1" max="2" width="3.6328125" customWidth="1"/>
    <col min="3" max="4" width="7.6328125" customWidth="1"/>
    <col min="5" max="5" width="0.453125" customWidth="1"/>
    <col min="6" max="6" width="7.6328125" customWidth="1"/>
    <col min="7" max="7" width="0.453125" customWidth="1"/>
    <col min="8" max="20" width="10.6328125" customWidth="1"/>
    <col min="21" max="21" width="8.6328125" customWidth="1"/>
    <col min="22" max="22" width="3.6328125" customWidth="1"/>
  </cols>
  <sheetData>
    <row r="1" spans="1:22" ht="14.5" x14ac:dyDescent="0.3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ht="14.5" x14ac:dyDescent="0.3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2" ht="14.5" x14ac:dyDescent="0.3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</row>
    <row r="4" spans="1:22" ht="15" thickBot="1" x14ac:dyDescent="0.4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19"/>
    </row>
    <row r="5" spans="1:22" s="31" customFormat="1" ht="15" thickTop="1" x14ac:dyDescent="0.3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2" ht="15" customHeight="1" x14ac:dyDescent="0.35">
      <c r="A6" s="22"/>
      <c r="B6" s="38" t="s">
        <v>0</v>
      </c>
      <c r="C6" s="39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22"/>
    </row>
    <row r="7" spans="1:22" ht="8" customHeight="1" x14ac:dyDescent="0.35">
      <c r="A7" s="22"/>
      <c r="B7" s="3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2" s="31" customFormat="1" ht="14.5" x14ac:dyDescent="0.3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2" ht="14.5" x14ac:dyDescent="0.35"/>
    <row r="10" spans="1:22" ht="14.5" x14ac:dyDescent="0.35"/>
    <row r="11" spans="1:22" ht="14.5" x14ac:dyDescent="0.35"/>
    <row r="12" spans="1:22" ht="14.5" x14ac:dyDescent="0.35"/>
    <row r="13" spans="1:22" ht="14.5" x14ac:dyDescent="0.35"/>
    <row r="14" spans="1:22" ht="14.5" x14ac:dyDescent="0.35"/>
    <row r="15" spans="1:22" ht="14.5" x14ac:dyDescent="0.35"/>
    <row r="16" spans="1:22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25" customHeight="1" x14ac:dyDescent="0.35">
      <c r="B24" s="73" t="s">
        <v>1</v>
      </c>
      <c r="C24" s="73"/>
      <c r="D24" s="73"/>
      <c r="E24" s="33"/>
      <c r="F24" s="74" t="s">
        <v>2</v>
      </c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34"/>
      <c r="R24" s="34"/>
      <c r="S24" s="34"/>
      <c r="T24" s="34"/>
    </row>
    <row r="25" spans="2:20" ht="13.25" customHeight="1" x14ac:dyDescent="0.35">
      <c r="B25" s="73"/>
      <c r="C25" s="73"/>
      <c r="D25" s="73"/>
      <c r="E25" s="33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34"/>
      <c r="R25" s="34"/>
      <c r="S25" s="34"/>
      <c r="T25" s="34"/>
    </row>
    <row r="26" spans="2:20" ht="8" customHeight="1" x14ac:dyDescent="0.35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2:20" ht="12" customHeight="1" x14ac:dyDescent="0.35">
      <c r="B27" s="35"/>
      <c r="C27" s="71" t="s">
        <v>3</v>
      </c>
      <c r="D27" s="71"/>
      <c r="E27" s="71"/>
      <c r="F27" s="71"/>
      <c r="G27" s="33"/>
      <c r="H27" s="72" t="s">
        <v>4</v>
      </c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</row>
    <row r="28" spans="2:20" ht="12" customHeight="1" x14ac:dyDescent="0.35">
      <c r="B28" s="35"/>
      <c r="C28" s="71"/>
      <c r="D28" s="71"/>
      <c r="E28" s="71"/>
      <c r="F28" s="71"/>
      <c r="G28" s="33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</row>
    <row r="29" spans="2:20" ht="3" customHeight="1" x14ac:dyDescent="0.35">
      <c r="B29" s="35"/>
      <c r="C29" s="36"/>
      <c r="D29" s="36"/>
      <c r="E29" s="36"/>
      <c r="F29" s="36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</row>
    <row r="30" spans="2:20" ht="12" customHeight="1" x14ac:dyDescent="0.35">
      <c r="B30" s="35"/>
      <c r="C30" s="71" t="s">
        <v>5</v>
      </c>
      <c r="D30" s="71"/>
      <c r="E30" s="71"/>
      <c r="F30" s="71"/>
      <c r="G30" s="33"/>
      <c r="H30" s="37" t="s">
        <v>6</v>
      </c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" customHeight="1" x14ac:dyDescent="0.35">
      <c r="B31" s="35"/>
      <c r="C31" s="71"/>
      <c r="D31" s="71"/>
      <c r="E31" s="71"/>
      <c r="F31" s="71"/>
      <c r="G31" s="33"/>
      <c r="H31" s="37" t="s">
        <v>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" customHeight="1" x14ac:dyDescent="0.35">
      <c r="B32" s="35"/>
      <c r="C32" s="71"/>
      <c r="D32" s="71"/>
      <c r="E32" s="71"/>
      <c r="F32" s="71"/>
      <c r="G32" s="33"/>
      <c r="H32" s="37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" customHeight="1" x14ac:dyDescent="0.35">
      <c r="B33" s="35"/>
      <c r="C33" s="71"/>
      <c r="D33" s="71"/>
      <c r="E33" s="71"/>
      <c r="F33" s="71"/>
      <c r="G33" s="33"/>
      <c r="H33" s="37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" customHeight="1" x14ac:dyDescent="0.35">
      <c r="B34" s="35"/>
      <c r="C34" s="71"/>
      <c r="D34" s="71"/>
      <c r="E34" s="71"/>
      <c r="F34" s="71"/>
      <c r="G34" s="33"/>
      <c r="H34" s="37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" customHeight="1" x14ac:dyDescent="0.35">
      <c r="B35" s="35"/>
      <c r="C35" s="71"/>
      <c r="D35" s="71"/>
      <c r="E35" s="71"/>
      <c r="F35" s="71"/>
      <c r="G35" s="33"/>
      <c r="H35" s="37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" customHeight="1" x14ac:dyDescent="0.35">
      <c r="B36" s="35"/>
      <c r="C36" s="71"/>
      <c r="D36" s="71"/>
      <c r="E36" s="71"/>
      <c r="F36" s="71"/>
      <c r="G36" s="33"/>
      <c r="H36" s="37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3" customHeight="1" x14ac:dyDescent="0.35"/>
    <row r="38" spans="2:20" ht="12" customHeight="1" x14ac:dyDescent="0.35">
      <c r="B38" s="35"/>
      <c r="C38" s="71" t="s">
        <v>8</v>
      </c>
      <c r="D38" s="71"/>
      <c r="E38" s="71"/>
      <c r="F38" s="71"/>
      <c r="G38" s="33"/>
      <c r="H38" s="37" t="s">
        <v>9</v>
      </c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" customHeight="1" x14ac:dyDescent="0.35">
      <c r="B39" s="35"/>
      <c r="C39" s="71"/>
      <c r="D39" s="71"/>
      <c r="E39" s="71"/>
      <c r="F39" s="71"/>
      <c r="G39" s="33"/>
      <c r="H39" s="37" t="s">
        <v>10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3" customHeight="1" x14ac:dyDescent="0.35"/>
    <row r="41" spans="2:20" ht="12" customHeight="1" x14ac:dyDescent="0.35">
      <c r="B41" s="35"/>
      <c r="C41" s="71" t="s">
        <v>11</v>
      </c>
      <c r="D41" s="71"/>
      <c r="E41" s="71"/>
      <c r="F41" s="71"/>
      <c r="G41" s="33"/>
      <c r="H41" s="37" t="s">
        <v>12</v>
      </c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" customHeight="1" x14ac:dyDescent="0.35">
      <c r="B42" s="35"/>
      <c r="C42" s="71"/>
      <c r="D42" s="71"/>
      <c r="E42" s="71"/>
      <c r="F42" s="71"/>
      <c r="G42" s="33"/>
      <c r="H42" s="37" t="s">
        <v>13</v>
      </c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0.25" customHeight="1" x14ac:dyDescent="0.35"/>
    <row r="44" spans="2:20" ht="13.25" customHeight="1" x14ac:dyDescent="0.35">
      <c r="B44" s="73" t="s">
        <v>14</v>
      </c>
      <c r="C44" s="73"/>
      <c r="D44" s="73"/>
      <c r="E44" s="33"/>
      <c r="F44" s="74" t="s">
        <v>15</v>
      </c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34"/>
      <c r="R44" s="34"/>
      <c r="S44" s="34"/>
      <c r="T44" s="34"/>
    </row>
    <row r="45" spans="2:20" ht="13.25" customHeight="1" x14ac:dyDescent="0.35">
      <c r="B45" s="73"/>
      <c r="C45" s="73"/>
      <c r="D45" s="73"/>
      <c r="E45" s="33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34"/>
      <c r="R45" s="34"/>
      <c r="S45" s="34"/>
      <c r="T45" s="34"/>
    </row>
    <row r="46" spans="2:20" ht="8" customHeight="1" x14ac:dyDescent="0.35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2:20" ht="12" customHeight="1" x14ac:dyDescent="0.35">
      <c r="B47" s="35"/>
      <c r="C47" s="71" t="s">
        <v>16</v>
      </c>
      <c r="D47" s="71"/>
      <c r="E47" s="71"/>
      <c r="F47" s="71"/>
      <c r="G47" s="33"/>
      <c r="H47" s="72" t="s">
        <v>17</v>
      </c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</row>
    <row r="48" spans="2:20" ht="12" customHeight="1" x14ac:dyDescent="0.35">
      <c r="B48" s="35"/>
      <c r="C48" s="71"/>
      <c r="D48" s="71"/>
      <c r="E48" s="71"/>
      <c r="F48" s="71"/>
      <c r="G48" s="33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</row>
    <row r="49" spans="2:20" ht="3" customHeight="1" x14ac:dyDescent="0.35"/>
    <row r="50" spans="2:20" ht="12" customHeight="1" x14ac:dyDescent="0.35">
      <c r="B50" s="35"/>
      <c r="C50" s="71" t="s">
        <v>18</v>
      </c>
      <c r="D50" s="71"/>
      <c r="E50" s="71"/>
      <c r="F50" s="71"/>
      <c r="G50" s="33"/>
      <c r="H50" s="72" t="s">
        <v>19</v>
      </c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</row>
    <row r="51" spans="2:20" ht="12" customHeight="1" x14ac:dyDescent="0.35">
      <c r="B51" s="35"/>
      <c r="C51" s="71"/>
      <c r="D51" s="71"/>
      <c r="E51" s="71"/>
      <c r="F51" s="71"/>
      <c r="G51" s="33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</row>
    <row r="52" spans="2:20" ht="3" customHeight="1" x14ac:dyDescent="0.35"/>
    <row r="53" spans="2:20" ht="12" customHeight="1" x14ac:dyDescent="0.35">
      <c r="B53" s="35"/>
      <c r="C53" s="71" t="s">
        <v>20</v>
      </c>
      <c r="D53" s="71"/>
      <c r="E53" s="71"/>
      <c r="F53" s="71"/>
      <c r="G53" s="33"/>
      <c r="H53" s="72" t="s">
        <v>21</v>
      </c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</row>
    <row r="54" spans="2:20" ht="12" customHeight="1" x14ac:dyDescent="0.35">
      <c r="B54" s="35"/>
      <c r="C54" s="71"/>
      <c r="D54" s="71"/>
      <c r="E54" s="71"/>
      <c r="F54" s="71"/>
      <c r="G54" s="33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</row>
    <row r="55" spans="2:20" ht="3" customHeight="1" x14ac:dyDescent="0.35"/>
    <row r="56" spans="2:20" ht="12" customHeight="1" x14ac:dyDescent="0.35">
      <c r="B56" s="35"/>
      <c r="C56" s="71" t="s">
        <v>22</v>
      </c>
      <c r="D56" s="71"/>
      <c r="E56" s="71"/>
      <c r="F56" s="71"/>
      <c r="G56" s="33"/>
      <c r="H56" s="72" t="s">
        <v>23</v>
      </c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</row>
    <row r="57" spans="2:20" ht="12" customHeight="1" x14ac:dyDescent="0.35">
      <c r="B57" s="35"/>
      <c r="C57" s="71"/>
      <c r="D57" s="71"/>
      <c r="E57" s="71"/>
      <c r="F57" s="71"/>
      <c r="G57" s="33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</row>
    <row r="58" spans="2:20" ht="10.25" customHeight="1" x14ac:dyDescent="0.35"/>
    <row r="59" spans="2:20" ht="13.25" customHeight="1" x14ac:dyDescent="0.35">
      <c r="B59" s="73" t="s">
        <v>24</v>
      </c>
      <c r="C59" s="73"/>
      <c r="D59" s="73"/>
      <c r="E59" s="33"/>
      <c r="F59" s="74" t="s">
        <v>25</v>
      </c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34"/>
      <c r="R59" s="34"/>
      <c r="S59" s="34"/>
      <c r="T59" s="34"/>
    </row>
    <row r="60" spans="2:20" ht="13.25" customHeight="1" x14ac:dyDescent="0.35">
      <c r="B60" s="73"/>
      <c r="C60" s="73"/>
      <c r="D60" s="73"/>
      <c r="E60" s="33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34"/>
      <c r="R60" s="34"/>
      <c r="S60" s="34"/>
      <c r="T60" s="34"/>
    </row>
    <row r="61" spans="2:20" ht="14.5" x14ac:dyDescent="0.35"/>
    <row r="62" spans="2:20" ht="14.5" hidden="1" x14ac:dyDescent="0.3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6" activePane="bottomLeft" state="frozen"/>
      <selection pane="bottomLeft" activeCell="F9" sqref="F9"/>
    </sheetView>
  </sheetViews>
  <sheetFormatPr defaultColWidth="0" defaultRowHeight="0" customHeight="1" zeroHeight="1" x14ac:dyDescent="0.35"/>
  <cols>
    <col min="1" max="2" width="3.6328125" style="49" customWidth="1"/>
    <col min="3" max="4" width="10.6328125" style="49" customWidth="1"/>
    <col min="5" max="5" width="5.6328125" style="49" customWidth="1"/>
    <col min="6" max="6" width="10.6328125" style="49" customWidth="1"/>
    <col min="7" max="7" width="8.6328125" style="49" customWidth="1"/>
    <col min="8" max="8" width="3.6328125" style="49" customWidth="1"/>
    <col min="9" max="13" width="10.6328125" style="49" hidden="1" customWidth="1"/>
    <col min="14" max="16384" width="8.6328125" style="49" hidden="1"/>
  </cols>
  <sheetData>
    <row r="1" spans="1:8" s="42" customFormat="1" ht="14.5" x14ac:dyDescent="0.35"/>
    <row r="2" spans="1:8" s="42" customFormat="1" ht="5" customHeight="1" x14ac:dyDescent="0.35"/>
    <row r="3" spans="1:8" s="42" customFormat="1" ht="14.5" x14ac:dyDescent="0.35"/>
    <row r="4" spans="1:8" s="42" customFormat="1" ht="5" customHeight="1" thickBot="1" x14ac:dyDescent="0.4">
      <c r="A4" s="43"/>
      <c r="B4" s="44"/>
      <c r="C4" s="44"/>
      <c r="D4" s="44"/>
      <c r="E4" s="44"/>
      <c r="F4" s="44"/>
      <c r="G4" s="44"/>
    </row>
    <row r="5" spans="1:8" s="42" customFormat="1" ht="8" customHeight="1" thickTop="1" x14ac:dyDescent="0.35">
      <c r="A5" s="45"/>
      <c r="B5" s="45"/>
      <c r="C5" s="45"/>
      <c r="D5" s="45"/>
      <c r="E5" s="45"/>
      <c r="F5" s="45"/>
      <c r="G5" s="45"/>
      <c r="H5" s="45"/>
    </row>
    <row r="6" spans="1:8" s="50" customFormat="1" ht="14.5" x14ac:dyDescent="0.35">
      <c r="A6" s="46"/>
      <c r="B6" s="47" t="s">
        <v>26</v>
      </c>
      <c r="C6" s="48"/>
      <c r="D6" s="48"/>
      <c r="E6" s="48"/>
      <c r="F6" s="48"/>
      <c r="G6" s="48"/>
      <c r="H6" s="49"/>
    </row>
    <row r="7" spans="1:8" s="50" customFormat="1" ht="4.25" customHeight="1" x14ac:dyDescent="0.35">
      <c r="A7" s="46"/>
      <c r="B7" s="51"/>
      <c r="C7" s="46"/>
      <c r="D7" s="46"/>
      <c r="E7" s="46"/>
      <c r="F7" s="46"/>
      <c r="G7" s="46"/>
      <c r="H7" s="49"/>
    </row>
    <row r="8" spans="1:8" s="50" customFormat="1" ht="8" customHeight="1" x14ac:dyDescent="0.35">
      <c r="A8" s="46"/>
      <c r="B8" s="52"/>
      <c r="C8" s="53"/>
      <c r="D8" s="53"/>
      <c r="E8" s="53"/>
      <c r="F8" s="53"/>
      <c r="G8" s="54"/>
      <c r="H8" s="49"/>
    </row>
    <row r="9" spans="1:8" s="50" customFormat="1" ht="14.5" x14ac:dyDescent="0.35">
      <c r="A9" s="49"/>
      <c r="B9" s="55"/>
      <c r="C9" s="56" t="s">
        <v>27</v>
      </c>
      <c r="D9" s="56"/>
      <c r="E9" s="57"/>
      <c r="F9" s="58">
        <v>45930</v>
      </c>
      <c r="G9" s="59"/>
      <c r="H9" s="49"/>
    </row>
    <row r="10" spans="1:8" s="50" customFormat="1" ht="8" customHeight="1" x14ac:dyDescent="0.35">
      <c r="A10" s="49"/>
      <c r="B10" s="55"/>
      <c r="C10" s="60"/>
      <c r="D10" s="60"/>
      <c r="E10" s="19"/>
      <c r="F10" s="41" t="str">
        <f>YEAR(F9)&amp;"-"&amp;TEXT(MONTH(F9),"00")&amp;"-"&amp;TEXT(DAY(F9),"00")</f>
        <v>2025-09-30</v>
      </c>
      <c r="G10" s="65"/>
      <c r="H10" s="49"/>
    </row>
    <row r="11" spans="1:8" s="50" customFormat="1" ht="8" customHeight="1" x14ac:dyDescent="0.35">
      <c r="A11" s="49"/>
      <c r="B11" s="55"/>
      <c r="C11" s="42"/>
      <c r="D11" s="42"/>
      <c r="E11" s="42"/>
      <c r="F11" s="42"/>
      <c r="G11" s="59"/>
      <c r="H11" s="49"/>
    </row>
    <row r="12" spans="1:8" s="50" customFormat="1" ht="14.5" x14ac:dyDescent="0.35">
      <c r="A12" s="49"/>
      <c r="B12" s="55"/>
      <c r="C12" s="56" t="s">
        <v>28</v>
      </c>
      <c r="D12" s="56"/>
      <c r="E12" s="57"/>
      <c r="F12" s="57"/>
      <c r="G12" s="59"/>
      <c r="H12" s="49"/>
    </row>
    <row r="13" spans="1:8" s="50" customFormat="1" ht="8" customHeight="1" x14ac:dyDescent="0.35">
      <c r="A13" s="49"/>
      <c r="B13" s="55"/>
      <c r="C13" s="42"/>
      <c r="D13" s="42"/>
      <c r="E13" s="42"/>
      <c r="F13" s="42"/>
      <c r="G13" s="59"/>
      <c r="H13" s="49"/>
    </row>
    <row r="14" spans="1:8" s="50" customFormat="1" ht="8" customHeight="1" x14ac:dyDescent="0.35">
      <c r="A14" s="49"/>
      <c r="B14" s="55"/>
      <c r="C14" s="42"/>
      <c r="D14" s="42"/>
      <c r="E14" s="42"/>
      <c r="F14" s="42"/>
      <c r="G14" s="59"/>
      <c r="H14" s="49"/>
    </row>
    <row r="15" spans="1:8" s="50" customFormat="1" ht="14.5" x14ac:dyDescent="0.35">
      <c r="A15" s="49"/>
      <c r="B15" s="55"/>
      <c r="C15" s="56" t="s">
        <v>29</v>
      </c>
      <c r="D15" s="56"/>
      <c r="E15" s="57"/>
      <c r="F15" s="57"/>
      <c r="G15" s="59"/>
      <c r="H15" s="49"/>
    </row>
    <row r="16" spans="1:8" s="50" customFormat="1" ht="8" customHeight="1" x14ac:dyDescent="0.35">
      <c r="A16" s="49"/>
      <c r="B16" s="55"/>
      <c r="C16" s="42"/>
      <c r="D16" s="42"/>
      <c r="E16" s="42"/>
      <c r="F16" s="42"/>
      <c r="G16" s="59"/>
      <c r="H16" s="49"/>
    </row>
    <row r="17" spans="1:8" s="50" customFormat="1" ht="8" customHeight="1" x14ac:dyDescent="0.35">
      <c r="A17" s="49"/>
      <c r="B17" s="61"/>
      <c r="C17" s="62"/>
      <c r="D17" s="62"/>
      <c r="E17" s="62"/>
      <c r="F17" s="62"/>
      <c r="G17" s="63"/>
      <c r="H17" s="49"/>
    </row>
    <row r="18" spans="1:8" s="50" customFormat="1" ht="14.5" x14ac:dyDescent="0.35">
      <c r="A18" s="49"/>
      <c r="B18" s="49"/>
      <c r="C18" s="49"/>
      <c r="D18" s="49"/>
      <c r="E18" s="49"/>
      <c r="F18" s="49"/>
      <c r="G18" s="49"/>
      <c r="H18" s="49"/>
    </row>
    <row r="19" spans="1:8" ht="14.5" hidden="1" x14ac:dyDescent="0.35"/>
    <row r="20" spans="1:8" ht="14.5" hidden="1" x14ac:dyDescent="0.35"/>
    <row r="21" spans="1:8" ht="14.5" hidden="1" x14ac:dyDescent="0.35"/>
    <row r="22" spans="1:8" ht="14.5" hidden="1" x14ac:dyDescent="0.35">
      <c r="F22" s="64"/>
      <c r="G22" s="64"/>
    </row>
    <row r="23" spans="1:8" ht="14.5" hidden="1" x14ac:dyDescent="0.35"/>
    <row r="24" spans="1:8" ht="14.5" hidden="1" x14ac:dyDescent="0.35"/>
    <row r="25" spans="1:8" ht="14.5" hidden="1" x14ac:dyDescent="0.35"/>
    <row r="26" spans="1:8" ht="14.5" hidden="1" x14ac:dyDescent="0.35"/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452"/>
  <sheetViews>
    <sheetView showGridLines="0" workbookViewId="0">
      <pane ySplit="4" topLeftCell="A6" activePane="bottomLeft" state="frozen"/>
      <selection pane="bottomLeft" activeCell="C6" sqref="C6"/>
    </sheetView>
  </sheetViews>
  <sheetFormatPr defaultColWidth="0" defaultRowHeight="14.5" zeroHeight="1" x14ac:dyDescent="0.35"/>
  <cols>
    <col min="1" max="2" width="3.6328125" customWidth="1"/>
    <col min="3" max="3" width="17.90625" customWidth="1"/>
    <col min="4" max="4" width="9.90625" customWidth="1"/>
    <col min="5" max="5" width="10.36328125" customWidth="1"/>
    <col min="6" max="6" width="14.6328125" customWidth="1"/>
    <col min="7" max="7" width="15.54296875" bestFit="1" customWidth="1"/>
    <col min="8" max="8" width="12.6328125" customWidth="1"/>
    <col min="9" max="9" width="11.453125" bestFit="1" customWidth="1"/>
    <col min="10" max="10" width="3.6328125" customWidth="1"/>
    <col min="11" max="18" width="0" hidden="1" customWidth="1"/>
    <col min="19" max="16384" width="8.6328125" hidden="1"/>
  </cols>
  <sheetData>
    <row r="1" spans="1:10" x14ac:dyDescent="0.35">
      <c r="A1" s="19"/>
      <c r="B1" s="19"/>
      <c r="C1" s="19"/>
      <c r="D1" s="19"/>
      <c r="E1" s="19"/>
      <c r="F1" s="19"/>
      <c r="G1" s="19"/>
      <c r="H1" s="19"/>
      <c r="I1" s="19"/>
      <c r="J1" s="19"/>
    </row>
    <row r="2" spans="1:10" x14ac:dyDescent="0.35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 x14ac:dyDescent="0.35">
      <c r="A3" s="19"/>
      <c r="B3" s="19"/>
      <c r="C3" s="19"/>
      <c r="D3" s="19"/>
      <c r="E3" s="19"/>
      <c r="F3" s="19"/>
      <c r="G3" s="19"/>
      <c r="H3" s="19"/>
      <c r="I3" s="19"/>
      <c r="J3" s="19"/>
    </row>
    <row r="4" spans="1:10" ht="15" thickBot="1" x14ac:dyDescent="0.4">
      <c r="A4" s="20"/>
      <c r="B4" s="21"/>
      <c r="C4" s="21"/>
      <c r="D4" s="21"/>
      <c r="E4" s="21"/>
      <c r="F4" s="21"/>
      <c r="G4" s="21"/>
      <c r="H4" s="21"/>
      <c r="I4" s="21"/>
      <c r="J4" s="19"/>
    </row>
    <row r="5" spans="1:10" ht="15" thickTop="1" x14ac:dyDescent="0.35">
      <c r="A5" s="22"/>
      <c r="B5" s="22"/>
      <c r="C5" s="22"/>
      <c r="D5" s="22"/>
      <c r="E5" s="22"/>
      <c r="F5" s="22"/>
      <c r="G5" s="22"/>
      <c r="H5" s="22"/>
      <c r="I5" s="22"/>
    </row>
    <row r="6" spans="1:10" x14ac:dyDescent="0.35">
      <c r="C6" s="66" t="s">
        <v>30</v>
      </c>
      <c r="D6" s="67" t="s">
        <v>31</v>
      </c>
      <c r="E6" s="66" t="s">
        <v>32</v>
      </c>
      <c r="F6" s="67" t="s">
        <v>33</v>
      </c>
      <c r="G6" s="68" t="s">
        <v>34</v>
      </c>
      <c r="H6" s="67" t="s">
        <v>35</v>
      </c>
      <c r="I6" s="67" t="s">
        <v>36</v>
      </c>
    </row>
    <row r="7" spans="1:10" x14ac:dyDescent="0.35">
      <c r="C7" t="s">
        <v>53</v>
      </c>
      <c r="D7" t="s">
        <v>47</v>
      </c>
      <c r="E7" t="s">
        <v>39</v>
      </c>
      <c r="F7" t="s">
        <v>40</v>
      </c>
      <c r="G7" s="69">
        <v>320234</v>
      </c>
      <c r="H7" t="s">
        <v>56</v>
      </c>
      <c r="I7" t="s">
        <v>45</v>
      </c>
    </row>
    <row r="8" spans="1:10" x14ac:dyDescent="0.35">
      <c r="C8" t="s">
        <v>53</v>
      </c>
      <c r="D8" t="s">
        <v>55</v>
      </c>
      <c r="E8" t="s">
        <v>43</v>
      </c>
      <c r="F8" t="s">
        <v>40</v>
      </c>
      <c r="G8" s="69">
        <v>166115</v>
      </c>
      <c r="H8" t="s">
        <v>52</v>
      </c>
      <c r="I8" t="s">
        <v>45</v>
      </c>
    </row>
    <row r="9" spans="1:10" x14ac:dyDescent="0.35">
      <c r="C9" t="s">
        <v>53</v>
      </c>
      <c r="D9" t="s">
        <v>50</v>
      </c>
      <c r="E9" t="s">
        <v>39</v>
      </c>
      <c r="F9" t="s">
        <v>40</v>
      </c>
      <c r="G9" s="69">
        <v>19453</v>
      </c>
      <c r="H9" t="s">
        <v>54</v>
      </c>
      <c r="I9" t="s">
        <v>45</v>
      </c>
    </row>
    <row r="10" spans="1:10" x14ac:dyDescent="0.35">
      <c r="C10" t="s">
        <v>53</v>
      </c>
      <c r="D10" t="s">
        <v>55</v>
      </c>
      <c r="E10" t="s">
        <v>58</v>
      </c>
      <c r="F10" t="s">
        <v>40</v>
      </c>
      <c r="G10" s="69">
        <v>31058</v>
      </c>
      <c r="H10" t="s">
        <v>41</v>
      </c>
      <c r="I10" t="s">
        <v>45</v>
      </c>
    </row>
    <row r="11" spans="1:10" x14ac:dyDescent="0.35">
      <c r="C11" t="s">
        <v>53</v>
      </c>
      <c r="D11" t="s">
        <v>60</v>
      </c>
      <c r="E11" t="s">
        <v>39</v>
      </c>
      <c r="F11" t="s">
        <v>40</v>
      </c>
      <c r="G11" s="69">
        <v>77249</v>
      </c>
      <c r="H11" t="s">
        <v>41</v>
      </c>
      <c r="I11" t="s">
        <v>45</v>
      </c>
    </row>
    <row r="12" spans="1:10" x14ac:dyDescent="0.35">
      <c r="C12" t="s">
        <v>53</v>
      </c>
      <c r="D12" t="s">
        <v>50</v>
      </c>
      <c r="E12" t="s">
        <v>48</v>
      </c>
      <c r="F12" t="s">
        <v>40</v>
      </c>
      <c r="G12" s="69">
        <v>55000</v>
      </c>
      <c r="H12" t="s">
        <v>62</v>
      </c>
      <c r="I12" t="s">
        <v>45</v>
      </c>
    </row>
    <row r="13" spans="1:10" x14ac:dyDescent="0.35">
      <c r="C13" t="s">
        <v>53</v>
      </c>
      <c r="D13" t="s">
        <v>60</v>
      </c>
      <c r="E13" t="s">
        <v>39</v>
      </c>
      <c r="F13" t="s">
        <v>40</v>
      </c>
      <c r="G13" s="69">
        <v>518591</v>
      </c>
      <c r="H13" t="s">
        <v>44</v>
      </c>
      <c r="I13" t="s">
        <v>45</v>
      </c>
    </row>
    <row r="14" spans="1:10" x14ac:dyDescent="0.35">
      <c r="C14" t="s">
        <v>53</v>
      </c>
      <c r="D14" t="s">
        <v>42</v>
      </c>
      <c r="E14" t="s">
        <v>39</v>
      </c>
      <c r="F14" t="s">
        <v>40</v>
      </c>
      <c r="G14" s="69">
        <v>76227</v>
      </c>
      <c r="H14" t="s">
        <v>56</v>
      </c>
      <c r="I14" t="s">
        <v>45</v>
      </c>
    </row>
    <row r="15" spans="1:10" x14ac:dyDescent="0.35">
      <c r="C15" t="s">
        <v>53</v>
      </c>
      <c r="D15" t="s">
        <v>50</v>
      </c>
      <c r="E15" t="s">
        <v>39</v>
      </c>
      <c r="F15" t="s">
        <v>40</v>
      </c>
      <c r="G15" s="69">
        <v>67568</v>
      </c>
      <c r="H15" t="s">
        <v>56</v>
      </c>
      <c r="I15" t="s">
        <v>45</v>
      </c>
    </row>
    <row r="16" spans="1:10" x14ac:dyDescent="0.35">
      <c r="C16" t="s">
        <v>53</v>
      </c>
      <c r="D16" t="s">
        <v>42</v>
      </c>
      <c r="E16" t="s">
        <v>43</v>
      </c>
      <c r="F16" t="s">
        <v>40</v>
      </c>
      <c r="G16" s="69">
        <v>101679</v>
      </c>
      <c r="H16" t="s">
        <v>41</v>
      </c>
      <c r="I16" t="s">
        <v>45</v>
      </c>
    </row>
    <row r="17" spans="3:9" x14ac:dyDescent="0.35">
      <c r="C17" t="s">
        <v>53</v>
      </c>
      <c r="D17" t="s">
        <v>60</v>
      </c>
      <c r="E17" t="s">
        <v>48</v>
      </c>
      <c r="F17" t="s">
        <v>40</v>
      </c>
      <c r="G17" s="69">
        <v>81218</v>
      </c>
      <c r="H17" t="s">
        <v>52</v>
      </c>
      <c r="I17" t="s">
        <v>45</v>
      </c>
    </row>
    <row r="18" spans="3:9" x14ac:dyDescent="0.35">
      <c r="C18" t="s">
        <v>53</v>
      </c>
      <c r="D18" t="s">
        <v>38</v>
      </c>
      <c r="E18" t="s">
        <v>39</v>
      </c>
      <c r="F18" t="s">
        <v>40</v>
      </c>
      <c r="G18" s="69">
        <v>20703</v>
      </c>
      <c r="H18" t="s">
        <v>62</v>
      </c>
      <c r="I18" t="s">
        <v>45</v>
      </c>
    </row>
    <row r="19" spans="3:9" x14ac:dyDescent="0.35">
      <c r="C19" t="s">
        <v>53</v>
      </c>
      <c r="D19" t="s">
        <v>55</v>
      </c>
      <c r="E19" t="s">
        <v>43</v>
      </c>
      <c r="F19" t="s">
        <v>40</v>
      </c>
      <c r="G19" s="69">
        <v>309551</v>
      </c>
      <c r="H19" t="s">
        <v>41</v>
      </c>
      <c r="I19" t="s">
        <v>45</v>
      </c>
    </row>
    <row r="20" spans="3:9" x14ac:dyDescent="0.35">
      <c r="C20" t="s">
        <v>53</v>
      </c>
      <c r="D20" t="s">
        <v>42</v>
      </c>
      <c r="E20" t="s">
        <v>39</v>
      </c>
      <c r="F20" t="s">
        <v>40</v>
      </c>
      <c r="G20" s="69">
        <v>1391804</v>
      </c>
      <c r="H20" t="s">
        <v>44</v>
      </c>
      <c r="I20" t="s">
        <v>45</v>
      </c>
    </row>
    <row r="21" spans="3:9" x14ac:dyDescent="0.35">
      <c r="C21" t="s">
        <v>53</v>
      </c>
      <c r="D21" t="s">
        <v>42</v>
      </c>
      <c r="E21" t="s">
        <v>43</v>
      </c>
      <c r="F21" t="s">
        <v>40</v>
      </c>
      <c r="G21" s="69">
        <v>703082</v>
      </c>
      <c r="H21" t="s">
        <v>44</v>
      </c>
      <c r="I21" t="s">
        <v>45</v>
      </c>
    </row>
    <row r="22" spans="3:9" x14ac:dyDescent="0.35">
      <c r="C22" t="s">
        <v>53</v>
      </c>
      <c r="D22" t="s">
        <v>42</v>
      </c>
      <c r="E22" t="s">
        <v>43</v>
      </c>
      <c r="F22" t="s">
        <v>40</v>
      </c>
      <c r="G22" s="69">
        <v>63814</v>
      </c>
      <c r="H22" t="s">
        <v>54</v>
      </c>
      <c r="I22" t="s">
        <v>45</v>
      </c>
    </row>
    <row r="23" spans="3:9" x14ac:dyDescent="0.35">
      <c r="C23" t="s">
        <v>53</v>
      </c>
      <c r="D23" t="s">
        <v>47</v>
      </c>
      <c r="E23" t="s">
        <v>39</v>
      </c>
      <c r="F23" t="s">
        <v>40</v>
      </c>
      <c r="G23" s="69">
        <v>71091</v>
      </c>
      <c r="H23" t="s">
        <v>44</v>
      </c>
      <c r="I23" t="s">
        <v>45</v>
      </c>
    </row>
    <row r="24" spans="3:9" x14ac:dyDescent="0.35">
      <c r="C24" t="s">
        <v>53</v>
      </c>
      <c r="D24" t="s">
        <v>38</v>
      </c>
      <c r="E24" t="s">
        <v>39</v>
      </c>
      <c r="F24" t="s">
        <v>40</v>
      </c>
      <c r="G24" s="69">
        <v>15623</v>
      </c>
      <c r="H24" t="s">
        <v>54</v>
      </c>
      <c r="I24" t="s">
        <v>45</v>
      </c>
    </row>
    <row r="25" spans="3:9" x14ac:dyDescent="0.35">
      <c r="C25" t="s">
        <v>53</v>
      </c>
      <c r="D25" t="s">
        <v>42</v>
      </c>
      <c r="E25" t="s">
        <v>39</v>
      </c>
      <c r="F25" t="s">
        <v>40</v>
      </c>
      <c r="G25" s="69">
        <v>107161</v>
      </c>
      <c r="H25" t="s">
        <v>54</v>
      </c>
      <c r="I25" t="s">
        <v>45</v>
      </c>
    </row>
    <row r="26" spans="3:9" x14ac:dyDescent="0.35">
      <c r="C26" t="s">
        <v>53</v>
      </c>
      <c r="D26" t="s">
        <v>50</v>
      </c>
      <c r="E26" t="s">
        <v>43</v>
      </c>
      <c r="F26" t="s">
        <v>40</v>
      </c>
      <c r="G26" s="69">
        <v>79622</v>
      </c>
      <c r="H26" t="s">
        <v>41</v>
      </c>
      <c r="I26" t="s">
        <v>45</v>
      </c>
    </row>
    <row r="27" spans="3:9" x14ac:dyDescent="0.35">
      <c r="C27" t="s">
        <v>53</v>
      </c>
      <c r="D27" t="s">
        <v>63</v>
      </c>
      <c r="E27" t="s">
        <v>63</v>
      </c>
      <c r="F27" t="s">
        <v>40</v>
      </c>
      <c r="G27" s="69">
        <v>935969</v>
      </c>
      <c r="H27" t="s">
        <v>65</v>
      </c>
    </row>
    <row r="28" spans="3:9" x14ac:dyDescent="0.35">
      <c r="C28" t="s">
        <v>53</v>
      </c>
      <c r="D28" t="s">
        <v>38</v>
      </c>
      <c r="E28" t="s">
        <v>48</v>
      </c>
      <c r="F28" t="s">
        <v>40</v>
      </c>
      <c r="G28" s="69">
        <v>505914</v>
      </c>
      <c r="H28" t="s">
        <v>56</v>
      </c>
      <c r="I28" t="s">
        <v>45</v>
      </c>
    </row>
    <row r="29" spans="3:9" x14ac:dyDescent="0.35">
      <c r="C29" t="s">
        <v>53</v>
      </c>
      <c r="D29" t="s">
        <v>50</v>
      </c>
      <c r="E29" t="s">
        <v>48</v>
      </c>
      <c r="F29" t="s">
        <v>40</v>
      </c>
      <c r="G29" s="69">
        <v>7711165</v>
      </c>
      <c r="H29" t="s">
        <v>44</v>
      </c>
      <c r="I29" t="s">
        <v>45</v>
      </c>
    </row>
    <row r="30" spans="3:9" x14ac:dyDescent="0.35">
      <c r="C30" t="s">
        <v>53</v>
      </c>
      <c r="D30" t="s">
        <v>50</v>
      </c>
      <c r="E30" t="s">
        <v>48</v>
      </c>
      <c r="F30" t="s">
        <v>40</v>
      </c>
      <c r="G30" s="69">
        <v>126083</v>
      </c>
      <c r="H30" t="s">
        <v>52</v>
      </c>
      <c r="I30" t="s">
        <v>45</v>
      </c>
    </row>
    <row r="31" spans="3:9" x14ac:dyDescent="0.35">
      <c r="C31" t="s">
        <v>53</v>
      </c>
      <c r="D31" t="s">
        <v>38</v>
      </c>
      <c r="E31" t="s">
        <v>39</v>
      </c>
      <c r="F31" t="s">
        <v>40</v>
      </c>
      <c r="G31" s="69">
        <v>11739647</v>
      </c>
      <c r="H31" t="s">
        <v>44</v>
      </c>
      <c r="I31" t="s">
        <v>45</v>
      </c>
    </row>
    <row r="32" spans="3:9" x14ac:dyDescent="0.35">
      <c r="C32" t="s">
        <v>53</v>
      </c>
      <c r="D32" t="s">
        <v>63</v>
      </c>
      <c r="E32" t="s">
        <v>63</v>
      </c>
      <c r="F32" t="s">
        <v>40</v>
      </c>
      <c r="G32" s="69">
        <v>2811456</v>
      </c>
      <c r="H32" t="s">
        <v>64</v>
      </c>
    </row>
    <row r="33" spans="3:9" x14ac:dyDescent="0.35">
      <c r="C33" t="s">
        <v>53</v>
      </c>
      <c r="D33" t="s">
        <v>55</v>
      </c>
      <c r="E33" t="s">
        <v>58</v>
      </c>
      <c r="F33" t="s">
        <v>40</v>
      </c>
      <c r="G33" s="69">
        <v>180424</v>
      </c>
      <c r="H33" t="s">
        <v>44</v>
      </c>
      <c r="I33" t="s">
        <v>45</v>
      </c>
    </row>
    <row r="34" spans="3:9" x14ac:dyDescent="0.35">
      <c r="C34" t="s">
        <v>53</v>
      </c>
      <c r="D34" t="s">
        <v>38</v>
      </c>
      <c r="E34" t="s">
        <v>39</v>
      </c>
      <c r="F34" t="s">
        <v>40</v>
      </c>
      <c r="G34" s="69">
        <v>429584</v>
      </c>
      <c r="H34" t="s">
        <v>52</v>
      </c>
      <c r="I34" t="s">
        <v>45</v>
      </c>
    </row>
    <row r="35" spans="3:9" x14ac:dyDescent="0.35">
      <c r="C35" t="s">
        <v>53</v>
      </c>
      <c r="D35" t="s">
        <v>50</v>
      </c>
      <c r="E35" t="s">
        <v>39</v>
      </c>
      <c r="F35" t="s">
        <v>40</v>
      </c>
      <c r="G35" s="69">
        <v>161707</v>
      </c>
      <c r="H35" t="s">
        <v>41</v>
      </c>
      <c r="I35" t="s">
        <v>45</v>
      </c>
    </row>
    <row r="36" spans="3:9" x14ac:dyDescent="0.35">
      <c r="C36" t="s">
        <v>53</v>
      </c>
      <c r="D36" t="s">
        <v>50</v>
      </c>
      <c r="E36" t="s">
        <v>39</v>
      </c>
      <c r="F36" t="s">
        <v>40</v>
      </c>
      <c r="G36" s="69">
        <v>6495469</v>
      </c>
      <c r="H36" t="s">
        <v>44</v>
      </c>
      <c r="I36" t="s">
        <v>45</v>
      </c>
    </row>
    <row r="37" spans="3:9" x14ac:dyDescent="0.35">
      <c r="C37" t="s">
        <v>53</v>
      </c>
      <c r="D37" t="s">
        <v>55</v>
      </c>
      <c r="E37" t="s">
        <v>39</v>
      </c>
      <c r="F37" t="s">
        <v>40</v>
      </c>
      <c r="G37" s="69">
        <v>238812</v>
      </c>
      <c r="H37" t="s">
        <v>41</v>
      </c>
      <c r="I37" t="s">
        <v>45</v>
      </c>
    </row>
    <row r="38" spans="3:9" x14ac:dyDescent="0.35">
      <c r="C38" t="s">
        <v>53</v>
      </c>
      <c r="D38" t="s">
        <v>50</v>
      </c>
      <c r="E38" t="s">
        <v>48</v>
      </c>
      <c r="F38" t="s">
        <v>40</v>
      </c>
      <c r="G38" s="69">
        <v>132469</v>
      </c>
      <c r="H38" t="s">
        <v>54</v>
      </c>
      <c r="I38" t="s">
        <v>45</v>
      </c>
    </row>
    <row r="39" spans="3:9" x14ac:dyDescent="0.35">
      <c r="C39" t="s">
        <v>53</v>
      </c>
      <c r="D39" t="s">
        <v>50</v>
      </c>
      <c r="E39" t="s">
        <v>48</v>
      </c>
      <c r="F39" t="s">
        <v>40</v>
      </c>
      <c r="G39" s="69">
        <v>148621</v>
      </c>
      <c r="H39" t="s">
        <v>41</v>
      </c>
      <c r="I39" t="s">
        <v>45</v>
      </c>
    </row>
    <row r="40" spans="3:9" x14ac:dyDescent="0.35">
      <c r="C40" t="s">
        <v>53</v>
      </c>
      <c r="D40" t="s">
        <v>55</v>
      </c>
      <c r="E40" t="s">
        <v>43</v>
      </c>
      <c r="F40" t="s">
        <v>40</v>
      </c>
      <c r="G40" s="69">
        <v>459341</v>
      </c>
      <c r="H40" t="s">
        <v>44</v>
      </c>
      <c r="I40" t="s">
        <v>45</v>
      </c>
    </row>
    <row r="41" spans="3:9" x14ac:dyDescent="0.35">
      <c r="C41" t="s">
        <v>53</v>
      </c>
      <c r="D41" t="s">
        <v>38</v>
      </c>
      <c r="E41" t="s">
        <v>39</v>
      </c>
      <c r="F41" t="s">
        <v>40</v>
      </c>
      <c r="G41" s="69">
        <v>188881</v>
      </c>
      <c r="H41" t="s">
        <v>41</v>
      </c>
      <c r="I41" t="s">
        <v>45</v>
      </c>
    </row>
    <row r="42" spans="3:9" x14ac:dyDescent="0.35">
      <c r="C42" t="s">
        <v>53</v>
      </c>
      <c r="D42" t="s">
        <v>57</v>
      </c>
      <c r="E42" t="s">
        <v>48</v>
      </c>
      <c r="F42" t="s">
        <v>40</v>
      </c>
      <c r="G42" s="69">
        <v>21900</v>
      </c>
      <c r="H42" t="s">
        <v>44</v>
      </c>
      <c r="I42" t="s">
        <v>45</v>
      </c>
    </row>
    <row r="43" spans="3:9" x14ac:dyDescent="0.35">
      <c r="C43" t="s">
        <v>53</v>
      </c>
      <c r="D43" t="s">
        <v>57</v>
      </c>
      <c r="E43" t="s">
        <v>48</v>
      </c>
      <c r="F43" t="s">
        <v>40</v>
      </c>
      <c r="G43" s="69">
        <v>129819</v>
      </c>
      <c r="H43" t="s">
        <v>56</v>
      </c>
      <c r="I43" t="s">
        <v>45</v>
      </c>
    </row>
    <row r="44" spans="3:9" x14ac:dyDescent="0.35">
      <c r="C44" t="s">
        <v>53</v>
      </c>
      <c r="D44" t="s">
        <v>50</v>
      </c>
      <c r="E44" t="s">
        <v>39</v>
      </c>
      <c r="F44" t="s">
        <v>40</v>
      </c>
      <c r="G44" s="69">
        <v>16930</v>
      </c>
      <c r="H44" t="s">
        <v>52</v>
      </c>
      <c r="I44" t="s">
        <v>45</v>
      </c>
    </row>
    <row r="45" spans="3:9" x14ac:dyDescent="0.35">
      <c r="C45" t="s">
        <v>53</v>
      </c>
      <c r="D45" t="s">
        <v>47</v>
      </c>
      <c r="E45" t="s">
        <v>48</v>
      </c>
      <c r="F45" t="s">
        <v>40</v>
      </c>
      <c r="G45" s="69">
        <v>360475</v>
      </c>
      <c r="H45" t="s">
        <v>44</v>
      </c>
      <c r="I45" t="s">
        <v>45</v>
      </c>
    </row>
    <row r="46" spans="3:9" x14ac:dyDescent="0.35">
      <c r="C46" t="s">
        <v>53</v>
      </c>
      <c r="D46" t="s">
        <v>51</v>
      </c>
      <c r="E46" t="s">
        <v>48</v>
      </c>
      <c r="F46" t="s">
        <v>40</v>
      </c>
      <c r="G46" s="69">
        <v>1163883</v>
      </c>
      <c r="H46" t="s">
        <v>44</v>
      </c>
      <c r="I46" t="s">
        <v>45</v>
      </c>
    </row>
    <row r="47" spans="3:9" x14ac:dyDescent="0.35">
      <c r="C47" t="s">
        <v>53</v>
      </c>
      <c r="D47" t="s">
        <v>60</v>
      </c>
      <c r="E47" t="s">
        <v>48</v>
      </c>
      <c r="F47" t="s">
        <v>40</v>
      </c>
      <c r="G47" s="69">
        <v>3361416</v>
      </c>
      <c r="H47" t="s">
        <v>56</v>
      </c>
      <c r="I47" t="s">
        <v>45</v>
      </c>
    </row>
    <row r="48" spans="3:9" x14ac:dyDescent="0.35">
      <c r="C48" t="s">
        <v>53</v>
      </c>
      <c r="D48" t="s">
        <v>51</v>
      </c>
      <c r="E48" t="s">
        <v>48</v>
      </c>
      <c r="F48" t="s">
        <v>40</v>
      </c>
      <c r="G48" s="69">
        <v>139586</v>
      </c>
      <c r="H48" t="s">
        <v>56</v>
      </c>
      <c r="I48" t="s">
        <v>45</v>
      </c>
    </row>
    <row r="49" spans="3:9" x14ac:dyDescent="0.35">
      <c r="C49" t="s">
        <v>53</v>
      </c>
      <c r="D49" t="s">
        <v>38</v>
      </c>
      <c r="E49" t="s">
        <v>39</v>
      </c>
      <c r="F49" t="s">
        <v>40</v>
      </c>
      <c r="G49" s="69">
        <v>487993</v>
      </c>
      <c r="H49" t="s">
        <v>56</v>
      </c>
      <c r="I49" t="s">
        <v>45</v>
      </c>
    </row>
    <row r="50" spans="3:9" x14ac:dyDescent="0.35">
      <c r="C50" t="s">
        <v>53</v>
      </c>
      <c r="D50" t="s">
        <v>50</v>
      </c>
      <c r="E50" t="s">
        <v>48</v>
      </c>
      <c r="F50" t="s">
        <v>40</v>
      </c>
      <c r="G50" s="69">
        <v>866013</v>
      </c>
      <c r="H50" t="s">
        <v>56</v>
      </c>
      <c r="I50" t="s">
        <v>45</v>
      </c>
    </row>
    <row r="51" spans="3:9" x14ac:dyDescent="0.35">
      <c r="C51" t="s">
        <v>53</v>
      </c>
      <c r="D51" t="s">
        <v>60</v>
      </c>
      <c r="E51" t="s">
        <v>48</v>
      </c>
      <c r="F51" t="s">
        <v>40</v>
      </c>
      <c r="G51" s="69">
        <v>106313</v>
      </c>
      <c r="H51" t="s">
        <v>41</v>
      </c>
      <c r="I51" t="s">
        <v>45</v>
      </c>
    </row>
    <row r="52" spans="3:9" x14ac:dyDescent="0.35">
      <c r="G52" s="69"/>
    </row>
    <row r="53" spans="3:9" hidden="1" x14ac:dyDescent="0.35">
      <c r="G53" s="69"/>
    </row>
    <row r="54" spans="3:9" hidden="1" x14ac:dyDescent="0.35">
      <c r="G54" s="69"/>
    </row>
    <row r="55" spans="3:9" hidden="1" x14ac:dyDescent="0.35">
      <c r="G55" s="69"/>
    </row>
    <row r="56" spans="3:9" hidden="1" x14ac:dyDescent="0.35">
      <c r="G56" s="69"/>
    </row>
    <row r="57" spans="3:9" hidden="1" x14ac:dyDescent="0.35">
      <c r="G57" s="69"/>
    </row>
    <row r="58" spans="3:9" hidden="1" x14ac:dyDescent="0.35">
      <c r="G58" s="69"/>
    </row>
    <row r="59" spans="3:9" hidden="1" x14ac:dyDescent="0.35">
      <c r="G59" s="69"/>
    </row>
    <row r="60" spans="3:9" hidden="1" x14ac:dyDescent="0.35">
      <c r="G60" s="69"/>
    </row>
    <row r="61" spans="3:9" hidden="1" x14ac:dyDescent="0.35">
      <c r="G61" s="69"/>
    </row>
    <row r="62" spans="3:9" hidden="1" x14ac:dyDescent="0.35">
      <c r="G62" s="69"/>
    </row>
    <row r="63" spans="3:9" hidden="1" x14ac:dyDescent="0.35">
      <c r="G63" s="69"/>
    </row>
    <row r="64" spans="3:9" hidden="1" x14ac:dyDescent="0.35">
      <c r="G64" s="69"/>
    </row>
    <row r="65" spans="7:7" hidden="1" x14ac:dyDescent="0.35">
      <c r="G65" s="69"/>
    </row>
    <row r="66" spans="7:7" hidden="1" x14ac:dyDescent="0.35">
      <c r="G66" s="69"/>
    </row>
    <row r="67" spans="7:7" hidden="1" x14ac:dyDescent="0.35">
      <c r="G67" s="69"/>
    </row>
    <row r="68" spans="7:7" hidden="1" x14ac:dyDescent="0.35">
      <c r="G68" s="69"/>
    </row>
    <row r="69" spans="7:7" hidden="1" x14ac:dyDescent="0.35">
      <c r="G69" s="69"/>
    </row>
    <row r="70" spans="7:7" hidden="1" x14ac:dyDescent="0.35">
      <c r="G70" s="69"/>
    </row>
    <row r="71" spans="7:7" hidden="1" x14ac:dyDescent="0.35">
      <c r="G71" s="69"/>
    </row>
    <row r="72" spans="7:7" hidden="1" x14ac:dyDescent="0.35">
      <c r="G72" s="69"/>
    </row>
    <row r="73" spans="7:7" hidden="1" x14ac:dyDescent="0.35">
      <c r="G73" s="69"/>
    </row>
    <row r="74" spans="7:7" hidden="1" x14ac:dyDescent="0.35">
      <c r="G74" s="69"/>
    </row>
    <row r="75" spans="7:7" hidden="1" x14ac:dyDescent="0.35">
      <c r="G75" s="69"/>
    </row>
    <row r="76" spans="7:7" hidden="1" x14ac:dyDescent="0.35">
      <c r="G76" s="69"/>
    </row>
    <row r="77" spans="7:7" hidden="1" x14ac:dyDescent="0.35">
      <c r="G77" s="69"/>
    </row>
    <row r="78" spans="7:7" hidden="1" x14ac:dyDescent="0.35">
      <c r="G78" s="69"/>
    </row>
    <row r="79" spans="7:7" hidden="1" x14ac:dyDescent="0.35">
      <c r="G79" s="69"/>
    </row>
    <row r="80" spans="7:7" hidden="1" x14ac:dyDescent="0.35">
      <c r="G80" s="69"/>
    </row>
    <row r="81" spans="7:7" hidden="1" x14ac:dyDescent="0.35">
      <c r="G81" s="69"/>
    </row>
    <row r="82" spans="7:7" hidden="1" x14ac:dyDescent="0.35">
      <c r="G82" s="69"/>
    </row>
    <row r="83" spans="7:7" hidden="1" x14ac:dyDescent="0.35">
      <c r="G83" s="69"/>
    </row>
    <row r="84" spans="7:7" hidden="1" x14ac:dyDescent="0.35">
      <c r="G84" s="69"/>
    </row>
    <row r="85" spans="7:7" hidden="1" x14ac:dyDescent="0.35">
      <c r="G85" s="69"/>
    </row>
    <row r="86" spans="7:7" hidden="1" x14ac:dyDescent="0.35">
      <c r="G86" s="69"/>
    </row>
    <row r="87" spans="7:7" hidden="1" x14ac:dyDescent="0.35">
      <c r="G87" s="69"/>
    </row>
    <row r="88" spans="7:7" hidden="1" x14ac:dyDescent="0.35">
      <c r="G88" s="69"/>
    </row>
    <row r="89" spans="7:7" hidden="1" x14ac:dyDescent="0.35">
      <c r="G89" s="69"/>
    </row>
    <row r="90" spans="7:7" hidden="1" x14ac:dyDescent="0.35">
      <c r="G90" s="69"/>
    </row>
    <row r="91" spans="7:7" hidden="1" x14ac:dyDescent="0.35">
      <c r="G91" s="69"/>
    </row>
    <row r="92" spans="7:7" hidden="1" x14ac:dyDescent="0.35">
      <c r="G92" s="69"/>
    </row>
    <row r="93" spans="7:7" hidden="1" x14ac:dyDescent="0.35">
      <c r="G93" s="69"/>
    </row>
    <row r="94" spans="7:7" hidden="1" x14ac:dyDescent="0.35">
      <c r="G94" s="69"/>
    </row>
    <row r="95" spans="7:7" hidden="1" x14ac:dyDescent="0.35">
      <c r="G95" s="69"/>
    </row>
    <row r="96" spans="7:7" hidden="1" x14ac:dyDescent="0.35">
      <c r="G96" s="69"/>
    </row>
    <row r="97" spans="7:7" hidden="1" x14ac:dyDescent="0.35">
      <c r="G97" s="69"/>
    </row>
    <row r="98" spans="7:7" hidden="1" x14ac:dyDescent="0.35">
      <c r="G98" s="69"/>
    </row>
    <row r="99" spans="7:7" hidden="1" x14ac:dyDescent="0.35">
      <c r="G99" s="69"/>
    </row>
    <row r="100" spans="7:7" hidden="1" x14ac:dyDescent="0.35">
      <c r="G100" s="69"/>
    </row>
    <row r="101" spans="7:7" hidden="1" x14ac:dyDescent="0.35">
      <c r="G101" s="69"/>
    </row>
    <row r="102" spans="7:7" hidden="1" x14ac:dyDescent="0.35">
      <c r="G102" s="69"/>
    </row>
    <row r="103" spans="7:7" hidden="1" x14ac:dyDescent="0.35">
      <c r="G103" s="69"/>
    </row>
    <row r="104" spans="7:7" hidden="1" x14ac:dyDescent="0.35">
      <c r="G104" s="69"/>
    </row>
    <row r="105" spans="7:7" hidden="1" x14ac:dyDescent="0.35">
      <c r="G105" s="69"/>
    </row>
    <row r="106" spans="7:7" hidden="1" x14ac:dyDescent="0.35">
      <c r="G106" s="69"/>
    </row>
    <row r="107" spans="7:7" hidden="1" x14ac:dyDescent="0.35">
      <c r="G107" s="69"/>
    </row>
    <row r="108" spans="7:7" hidden="1" x14ac:dyDescent="0.35">
      <c r="G108" s="69"/>
    </row>
    <row r="109" spans="7:7" hidden="1" x14ac:dyDescent="0.35">
      <c r="G109" s="69"/>
    </row>
    <row r="110" spans="7:7" hidden="1" x14ac:dyDescent="0.35">
      <c r="G110" s="69"/>
    </row>
    <row r="111" spans="7:7" hidden="1" x14ac:dyDescent="0.35">
      <c r="G111" s="69"/>
    </row>
    <row r="112" spans="7:7" hidden="1" x14ac:dyDescent="0.35">
      <c r="G112" s="69"/>
    </row>
    <row r="113" spans="7:7" hidden="1" x14ac:dyDescent="0.35">
      <c r="G113" s="69"/>
    </row>
    <row r="114" spans="7:7" hidden="1" x14ac:dyDescent="0.35">
      <c r="G114" s="69"/>
    </row>
    <row r="115" spans="7:7" hidden="1" x14ac:dyDescent="0.35">
      <c r="G115" s="69"/>
    </row>
    <row r="116" spans="7:7" hidden="1" x14ac:dyDescent="0.35">
      <c r="G116" s="69"/>
    </row>
    <row r="117" spans="7:7" hidden="1" x14ac:dyDescent="0.35">
      <c r="G117" s="69"/>
    </row>
    <row r="118" spans="7:7" hidden="1" x14ac:dyDescent="0.35">
      <c r="G118" s="69"/>
    </row>
    <row r="119" spans="7:7" hidden="1" x14ac:dyDescent="0.35">
      <c r="G119" s="69"/>
    </row>
    <row r="120" spans="7:7" hidden="1" x14ac:dyDescent="0.35">
      <c r="G120" s="69"/>
    </row>
    <row r="121" spans="7:7" hidden="1" x14ac:dyDescent="0.35">
      <c r="G121" s="69"/>
    </row>
    <row r="122" spans="7:7" hidden="1" x14ac:dyDescent="0.35">
      <c r="G122" s="69"/>
    </row>
    <row r="123" spans="7:7" hidden="1" x14ac:dyDescent="0.35">
      <c r="G123" s="69"/>
    </row>
    <row r="124" spans="7:7" hidden="1" x14ac:dyDescent="0.35">
      <c r="G124" s="69"/>
    </row>
    <row r="125" spans="7:7" hidden="1" x14ac:dyDescent="0.35">
      <c r="G125" s="69"/>
    </row>
    <row r="126" spans="7:7" hidden="1" x14ac:dyDescent="0.35">
      <c r="G126" s="69"/>
    </row>
    <row r="127" spans="7:7" hidden="1" x14ac:dyDescent="0.35">
      <c r="G127" s="69"/>
    </row>
    <row r="128" spans="7:7" hidden="1" x14ac:dyDescent="0.35">
      <c r="G128" s="69"/>
    </row>
    <row r="129" spans="7:7" hidden="1" x14ac:dyDescent="0.35">
      <c r="G129" s="69"/>
    </row>
    <row r="130" spans="7:7" hidden="1" x14ac:dyDescent="0.35">
      <c r="G130" s="69"/>
    </row>
    <row r="131" spans="7:7" hidden="1" x14ac:dyDescent="0.35">
      <c r="G131" s="69"/>
    </row>
    <row r="132" spans="7:7" hidden="1" x14ac:dyDescent="0.35">
      <c r="G132" s="69"/>
    </row>
    <row r="133" spans="7:7" hidden="1" x14ac:dyDescent="0.35">
      <c r="G133" s="69"/>
    </row>
    <row r="134" spans="7:7" hidden="1" x14ac:dyDescent="0.35">
      <c r="G134" s="69"/>
    </row>
    <row r="135" spans="7:7" hidden="1" x14ac:dyDescent="0.35">
      <c r="G135" s="69"/>
    </row>
    <row r="136" spans="7:7" hidden="1" x14ac:dyDescent="0.35">
      <c r="G136" s="69"/>
    </row>
    <row r="137" spans="7:7" hidden="1" x14ac:dyDescent="0.35">
      <c r="G137" s="69"/>
    </row>
    <row r="138" spans="7:7" hidden="1" x14ac:dyDescent="0.35">
      <c r="G138" s="69"/>
    </row>
    <row r="139" spans="7:7" hidden="1" x14ac:dyDescent="0.35">
      <c r="G139" s="69"/>
    </row>
    <row r="140" spans="7:7" hidden="1" x14ac:dyDescent="0.35">
      <c r="G140" s="69"/>
    </row>
    <row r="141" spans="7:7" hidden="1" x14ac:dyDescent="0.35">
      <c r="G141" s="69"/>
    </row>
    <row r="142" spans="7:7" hidden="1" x14ac:dyDescent="0.35">
      <c r="G142" s="69"/>
    </row>
    <row r="143" spans="7:7" hidden="1" x14ac:dyDescent="0.35">
      <c r="G143" s="69"/>
    </row>
    <row r="144" spans="7:7" hidden="1" x14ac:dyDescent="0.35">
      <c r="G144" s="69"/>
    </row>
    <row r="145" spans="7:7" hidden="1" x14ac:dyDescent="0.35">
      <c r="G145" s="69"/>
    </row>
    <row r="146" spans="7:7" hidden="1" x14ac:dyDescent="0.35">
      <c r="G146" s="69"/>
    </row>
    <row r="147" spans="7:7" hidden="1" x14ac:dyDescent="0.35">
      <c r="G147" s="69"/>
    </row>
    <row r="148" spans="7:7" hidden="1" x14ac:dyDescent="0.35">
      <c r="G148" s="69"/>
    </row>
    <row r="149" spans="7:7" hidden="1" x14ac:dyDescent="0.35">
      <c r="G149" s="69"/>
    </row>
    <row r="150" spans="7:7" hidden="1" x14ac:dyDescent="0.35">
      <c r="G150" s="69"/>
    </row>
    <row r="151" spans="7:7" hidden="1" x14ac:dyDescent="0.35">
      <c r="G151" s="69"/>
    </row>
    <row r="152" spans="7:7" hidden="1" x14ac:dyDescent="0.35">
      <c r="G152" s="69"/>
    </row>
    <row r="153" spans="7:7" hidden="1" x14ac:dyDescent="0.35">
      <c r="G153" s="69"/>
    </row>
    <row r="154" spans="7:7" hidden="1" x14ac:dyDescent="0.35">
      <c r="G154" s="69"/>
    </row>
    <row r="155" spans="7:7" hidden="1" x14ac:dyDescent="0.35">
      <c r="G155" s="69"/>
    </row>
    <row r="156" spans="7:7" hidden="1" x14ac:dyDescent="0.35">
      <c r="G156" s="69"/>
    </row>
    <row r="157" spans="7:7" hidden="1" x14ac:dyDescent="0.35">
      <c r="G157" s="69"/>
    </row>
    <row r="158" spans="7:7" hidden="1" x14ac:dyDescent="0.35">
      <c r="G158" s="69"/>
    </row>
    <row r="159" spans="7:7" hidden="1" x14ac:dyDescent="0.35">
      <c r="G159" s="69"/>
    </row>
    <row r="160" spans="7:7" hidden="1" x14ac:dyDescent="0.35">
      <c r="G160" s="69"/>
    </row>
    <row r="161" spans="7:7" hidden="1" x14ac:dyDescent="0.35">
      <c r="G161" s="69"/>
    </row>
    <row r="162" spans="7:7" hidden="1" x14ac:dyDescent="0.35">
      <c r="G162" s="69"/>
    </row>
    <row r="163" spans="7:7" hidden="1" x14ac:dyDescent="0.35">
      <c r="G163" s="69"/>
    </row>
    <row r="164" spans="7:7" hidden="1" x14ac:dyDescent="0.35">
      <c r="G164" s="69"/>
    </row>
    <row r="165" spans="7:7" hidden="1" x14ac:dyDescent="0.35">
      <c r="G165" s="69"/>
    </row>
    <row r="166" spans="7:7" hidden="1" x14ac:dyDescent="0.35">
      <c r="G166" s="69"/>
    </row>
    <row r="167" spans="7:7" hidden="1" x14ac:dyDescent="0.35">
      <c r="G167" s="69"/>
    </row>
    <row r="168" spans="7:7" hidden="1" x14ac:dyDescent="0.35">
      <c r="G168" s="69"/>
    </row>
    <row r="169" spans="7:7" hidden="1" x14ac:dyDescent="0.35">
      <c r="G169" s="69"/>
    </row>
    <row r="170" spans="7:7" hidden="1" x14ac:dyDescent="0.35">
      <c r="G170" s="69"/>
    </row>
    <row r="171" spans="7:7" hidden="1" x14ac:dyDescent="0.35">
      <c r="G171" s="69"/>
    </row>
    <row r="172" spans="7:7" hidden="1" x14ac:dyDescent="0.35">
      <c r="G172" s="69"/>
    </row>
    <row r="173" spans="7:7" hidden="1" x14ac:dyDescent="0.35">
      <c r="G173" s="69"/>
    </row>
    <row r="174" spans="7:7" hidden="1" x14ac:dyDescent="0.35">
      <c r="G174" s="69"/>
    </row>
    <row r="175" spans="7:7" hidden="1" x14ac:dyDescent="0.35">
      <c r="G175" s="69"/>
    </row>
    <row r="176" spans="7:7" hidden="1" x14ac:dyDescent="0.35">
      <c r="G176" s="69"/>
    </row>
    <row r="177" spans="7:7" hidden="1" x14ac:dyDescent="0.35">
      <c r="G177" s="69"/>
    </row>
    <row r="178" spans="7:7" hidden="1" x14ac:dyDescent="0.35">
      <c r="G178" s="69"/>
    </row>
    <row r="179" spans="7:7" hidden="1" x14ac:dyDescent="0.35">
      <c r="G179" s="69"/>
    </row>
    <row r="180" spans="7:7" hidden="1" x14ac:dyDescent="0.35">
      <c r="G180" s="69"/>
    </row>
    <row r="181" spans="7:7" hidden="1" x14ac:dyDescent="0.35">
      <c r="G181" s="69"/>
    </row>
    <row r="182" spans="7:7" hidden="1" x14ac:dyDescent="0.35">
      <c r="G182" s="69"/>
    </row>
    <row r="183" spans="7:7" hidden="1" x14ac:dyDescent="0.35">
      <c r="G183" s="69"/>
    </row>
    <row r="184" spans="7:7" hidden="1" x14ac:dyDescent="0.35">
      <c r="G184" s="69"/>
    </row>
    <row r="185" spans="7:7" hidden="1" x14ac:dyDescent="0.35">
      <c r="G185" s="69"/>
    </row>
    <row r="186" spans="7:7" hidden="1" x14ac:dyDescent="0.35">
      <c r="G186" s="69"/>
    </row>
    <row r="187" spans="7:7" hidden="1" x14ac:dyDescent="0.35">
      <c r="G187" s="69"/>
    </row>
    <row r="188" spans="7:7" hidden="1" x14ac:dyDescent="0.35">
      <c r="G188" s="69"/>
    </row>
    <row r="189" spans="7:7" hidden="1" x14ac:dyDescent="0.35">
      <c r="G189" s="69"/>
    </row>
    <row r="190" spans="7:7" hidden="1" x14ac:dyDescent="0.35">
      <c r="G190" s="69"/>
    </row>
    <row r="191" spans="7:7" hidden="1" x14ac:dyDescent="0.35">
      <c r="G191" s="69"/>
    </row>
    <row r="192" spans="7:7" hidden="1" x14ac:dyDescent="0.35">
      <c r="G192" s="69"/>
    </row>
    <row r="193" spans="7:7" hidden="1" x14ac:dyDescent="0.35">
      <c r="G193" s="69"/>
    </row>
    <row r="194" spans="7:7" hidden="1" x14ac:dyDescent="0.35">
      <c r="G194" s="69"/>
    </row>
    <row r="195" spans="7:7" hidden="1" x14ac:dyDescent="0.35">
      <c r="G195" s="69"/>
    </row>
    <row r="196" spans="7:7" hidden="1" x14ac:dyDescent="0.35">
      <c r="G196" s="69"/>
    </row>
    <row r="197" spans="7:7" hidden="1" x14ac:dyDescent="0.35">
      <c r="G197" s="69"/>
    </row>
    <row r="198" spans="7:7" hidden="1" x14ac:dyDescent="0.35">
      <c r="G198" s="69"/>
    </row>
    <row r="199" spans="7:7" hidden="1" x14ac:dyDescent="0.35">
      <c r="G199" s="69"/>
    </row>
    <row r="200" spans="7:7" hidden="1" x14ac:dyDescent="0.35">
      <c r="G200" s="69"/>
    </row>
    <row r="201" spans="7:7" hidden="1" x14ac:dyDescent="0.35">
      <c r="G201" s="69"/>
    </row>
    <row r="202" spans="7:7" hidden="1" x14ac:dyDescent="0.35">
      <c r="G202" s="69"/>
    </row>
    <row r="203" spans="7:7" hidden="1" x14ac:dyDescent="0.35">
      <c r="G203" s="69"/>
    </row>
    <row r="204" spans="7:7" hidden="1" x14ac:dyDescent="0.35">
      <c r="G204" s="69"/>
    </row>
    <row r="205" spans="7:7" hidden="1" x14ac:dyDescent="0.35">
      <c r="G205" s="69"/>
    </row>
    <row r="206" spans="7:7" hidden="1" x14ac:dyDescent="0.35">
      <c r="G206" s="69"/>
    </row>
    <row r="207" spans="7:7" hidden="1" x14ac:dyDescent="0.35">
      <c r="G207" s="69"/>
    </row>
    <row r="208" spans="7:7" hidden="1" x14ac:dyDescent="0.35">
      <c r="G208" s="69"/>
    </row>
    <row r="209" spans="7:7" hidden="1" x14ac:dyDescent="0.35">
      <c r="G209" s="69"/>
    </row>
    <row r="210" spans="7:7" hidden="1" x14ac:dyDescent="0.35">
      <c r="G210" s="69"/>
    </row>
    <row r="211" spans="7:7" hidden="1" x14ac:dyDescent="0.35">
      <c r="G211" s="69"/>
    </row>
    <row r="212" spans="7:7" hidden="1" x14ac:dyDescent="0.35">
      <c r="G212" s="69"/>
    </row>
    <row r="213" spans="7:7" hidden="1" x14ac:dyDescent="0.35">
      <c r="G213" s="69"/>
    </row>
    <row r="214" spans="7:7" hidden="1" x14ac:dyDescent="0.35">
      <c r="G214" s="69"/>
    </row>
    <row r="215" spans="7:7" hidden="1" x14ac:dyDescent="0.35">
      <c r="G215" s="69"/>
    </row>
    <row r="216" spans="7:7" hidden="1" x14ac:dyDescent="0.35">
      <c r="G216" s="69"/>
    </row>
    <row r="217" spans="7:7" hidden="1" x14ac:dyDescent="0.35">
      <c r="G217" s="69"/>
    </row>
    <row r="218" spans="7:7" hidden="1" x14ac:dyDescent="0.35">
      <c r="G218" s="69"/>
    </row>
    <row r="219" spans="7:7" hidden="1" x14ac:dyDescent="0.35">
      <c r="G219" s="69"/>
    </row>
    <row r="220" spans="7:7" hidden="1" x14ac:dyDescent="0.35">
      <c r="G220" s="69"/>
    </row>
    <row r="221" spans="7:7" hidden="1" x14ac:dyDescent="0.35">
      <c r="G221" s="69"/>
    </row>
    <row r="222" spans="7:7" hidden="1" x14ac:dyDescent="0.35">
      <c r="G222" s="69"/>
    </row>
    <row r="223" spans="7:7" hidden="1" x14ac:dyDescent="0.35">
      <c r="G223" s="69"/>
    </row>
    <row r="224" spans="7:7" hidden="1" x14ac:dyDescent="0.35">
      <c r="G224" s="69"/>
    </row>
    <row r="225" spans="7:7" hidden="1" x14ac:dyDescent="0.35">
      <c r="G225" s="69"/>
    </row>
    <row r="226" spans="7:7" hidden="1" x14ac:dyDescent="0.35">
      <c r="G226" s="69"/>
    </row>
    <row r="227" spans="7:7" hidden="1" x14ac:dyDescent="0.35">
      <c r="G227" s="69"/>
    </row>
    <row r="228" spans="7:7" hidden="1" x14ac:dyDescent="0.35">
      <c r="G228" s="69"/>
    </row>
    <row r="229" spans="7:7" hidden="1" x14ac:dyDescent="0.35">
      <c r="G229" s="69"/>
    </row>
    <row r="230" spans="7:7" hidden="1" x14ac:dyDescent="0.35">
      <c r="G230" s="69"/>
    </row>
    <row r="231" spans="7:7" hidden="1" x14ac:dyDescent="0.35">
      <c r="G231" s="69"/>
    </row>
    <row r="232" spans="7:7" hidden="1" x14ac:dyDescent="0.35">
      <c r="G232" s="69"/>
    </row>
    <row r="233" spans="7:7" hidden="1" x14ac:dyDescent="0.35">
      <c r="G233" s="69"/>
    </row>
    <row r="234" spans="7:7" hidden="1" x14ac:dyDescent="0.35">
      <c r="G234" s="69"/>
    </row>
    <row r="235" spans="7:7" hidden="1" x14ac:dyDescent="0.35">
      <c r="G235" s="69"/>
    </row>
    <row r="236" spans="7:7" hidden="1" x14ac:dyDescent="0.35">
      <c r="G236" s="69"/>
    </row>
    <row r="237" spans="7:7" hidden="1" x14ac:dyDescent="0.35">
      <c r="G237" s="69"/>
    </row>
    <row r="238" spans="7:7" hidden="1" x14ac:dyDescent="0.35">
      <c r="G238" s="69"/>
    </row>
    <row r="239" spans="7:7" hidden="1" x14ac:dyDescent="0.35">
      <c r="G239" s="69"/>
    </row>
    <row r="240" spans="7:7" hidden="1" x14ac:dyDescent="0.35">
      <c r="G240" s="69"/>
    </row>
    <row r="241" spans="7:7" hidden="1" x14ac:dyDescent="0.35">
      <c r="G241" s="69"/>
    </row>
    <row r="242" spans="7:7" hidden="1" x14ac:dyDescent="0.35">
      <c r="G242" s="69"/>
    </row>
    <row r="243" spans="7:7" hidden="1" x14ac:dyDescent="0.35">
      <c r="G243" s="69"/>
    </row>
    <row r="244" spans="7:7" hidden="1" x14ac:dyDescent="0.35">
      <c r="G244" s="69"/>
    </row>
    <row r="245" spans="7:7" hidden="1" x14ac:dyDescent="0.35">
      <c r="G245" s="69"/>
    </row>
    <row r="246" spans="7:7" hidden="1" x14ac:dyDescent="0.35">
      <c r="G246" s="69"/>
    </row>
    <row r="247" spans="7:7" hidden="1" x14ac:dyDescent="0.35">
      <c r="G247" s="69"/>
    </row>
    <row r="248" spans="7:7" hidden="1" x14ac:dyDescent="0.35">
      <c r="G248" s="69"/>
    </row>
    <row r="249" spans="7:7" hidden="1" x14ac:dyDescent="0.35">
      <c r="G249" s="69"/>
    </row>
    <row r="250" spans="7:7" hidden="1" x14ac:dyDescent="0.35">
      <c r="G250" s="69"/>
    </row>
    <row r="251" spans="7:7" hidden="1" x14ac:dyDescent="0.35">
      <c r="G251" s="69"/>
    </row>
    <row r="252" spans="7:7" hidden="1" x14ac:dyDescent="0.35">
      <c r="G252" s="69"/>
    </row>
    <row r="253" spans="7:7" hidden="1" x14ac:dyDescent="0.35">
      <c r="G253" s="69"/>
    </row>
    <row r="254" spans="7:7" hidden="1" x14ac:dyDescent="0.35">
      <c r="G254" s="69"/>
    </row>
    <row r="255" spans="7:7" hidden="1" x14ac:dyDescent="0.35">
      <c r="G255" s="69"/>
    </row>
    <row r="256" spans="7:7" hidden="1" x14ac:dyDescent="0.35">
      <c r="G256" s="69"/>
    </row>
    <row r="257" spans="7:7" hidden="1" x14ac:dyDescent="0.35">
      <c r="G257" s="69"/>
    </row>
    <row r="258" spans="7:7" hidden="1" x14ac:dyDescent="0.35">
      <c r="G258" s="69"/>
    </row>
    <row r="259" spans="7:7" hidden="1" x14ac:dyDescent="0.35">
      <c r="G259" s="69"/>
    </row>
    <row r="260" spans="7:7" hidden="1" x14ac:dyDescent="0.35">
      <c r="G260" s="69"/>
    </row>
    <row r="261" spans="7:7" hidden="1" x14ac:dyDescent="0.35">
      <c r="G261" s="69"/>
    </row>
    <row r="262" spans="7:7" hidden="1" x14ac:dyDescent="0.35">
      <c r="G262" s="69"/>
    </row>
    <row r="263" spans="7:7" hidden="1" x14ac:dyDescent="0.35">
      <c r="G263" s="69"/>
    </row>
    <row r="264" spans="7:7" hidden="1" x14ac:dyDescent="0.35">
      <c r="G264" s="69"/>
    </row>
    <row r="265" spans="7:7" hidden="1" x14ac:dyDescent="0.35">
      <c r="G265" s="69"/>
    </row>
    <row r="266" spans="7:7" hidden="1" x14ac:dyDescent="0.35">
      <c r="G266" s="69"/>
    </row>
    <row r="267" spans="7:7" hidden="1" x14ac:dyDescent="0.35">
      <c r="G267" s="69"/>
    </row>
    <row r="268" spans="7:7" hidden="1" x14ac:dyDescent="0.35">
      <c r="G268" s="69"/>
    </row>
    <row r="269" spans="7:7" hidden="1" x14ac:dyDescent="0.35">
      <c r="G269" s="69"/>
    </row>
    <row r="270" spans="7:7" hidden="1" x14ac:dyDescent="0.35">
      <c r="G270" s="69"/>
    </row>
    <row r="271" spans="7:7" hidden="1" x14ac:dyDescent="0.35">
      <c r="G271" s="69"/>
    </row>
    <row r="272" spans="7:7" hidden="1" x14ac:dyDescent="0.35">
      <c r="G272" s="69"/>
    </row>
    <row r="273" spans="7:7" hidden="1" x14ac:dyDescent="0.35">
      <c r="G273" s="69"/>
    </row>
    <row r="274" spans="7:7" hidden="1" x14ac:dyDescent="0.35">
      <c r="G274" s="69"/>
    </row>
    <row r="275" spans="7:7" hidden="1" x14ac:dyDescent="0.35">
      <c r="G275" s="69"/>
    </row>
    <row r="276" spans="7:7" hidden="1" x14ac:dyDescent="0.35">
      <c r="G276" s="69"/>
    </row>
    <row r="277" spans="7:7" hidden="1" x14ac:dyDescent="0.35">
      <c r="G277" s="69"/>
    </row>
    <row r="278" spans="7:7" hidden="1" x14ac:dyDescent="0.35">
      <c r="G278" s="69"/>
    </row>
    <row r="279" spans="7:7" hidden="1" x14ac:dyDescent="0.35">
      <c r="G279" s="69"/>
    </row>
    <row r="280" spans="7:7" hidden="1" x14ac:dyDescent="0.35">
      <c r="G280" s="69"/>
    </row>
    <row r="281" spans="7:7" hidden="1" x14ac:dyDescent="0.35">
      <c r="G281" s="69"/>
    </row>
    <row r="282" spans="7:7" hidden="1" x14ac:dyDescent="0.35">
      <c r="G282" s="69"/>
    </row>
    <row r="283" spans="7:7" hidden="1" x14ac:dyDescent="0.35">
      <c r="G283" s="69"/>
    </row>
    <row r="284" spans="7:7" hidden="1" x14ac:dyDescent="0.35">
      <c r="G284" s="69"/>
    </row>
    <row r="285" spans="7:7" hidden="1" x14ac:dyDescent="0.35">
      <c r="G285" s="69"/>
    </row>
    <row r="286" spans="7:7" hidden="1" x14ac:dyDescent="0.35">
      <c r="G286" s="69"/>
    </row>
    <row r="287" spans="7:7" hidden="1" x14ac:dyDescent="0.35">
      <c r="G287" s="69"/>
    </row>
    <row r="288" spans="7:7" hidden="1" x14ac:dyDescent="0.35">
      <c r="G288" s="69"/>
    </row>
    <row r="289" spans="7:7" hidden="1" x14ac:dyDescent="0.35">
      <c r="G289" s="69"/>
    </row>
    <row r="290" spans="7:7" hidden="1" x14ac:dyDescent="0.35">
      <c r="G290" s="69"/>
    </row>
    <row r="291" spans="7:7" hidden="1" x14ac:dyDescent="0.35">
      <c r="G291" s="69"/>
    </row>
    <row r="292" spans="7:7" hidden="1" x14ac:dyDescent="0.35">
      <c r="G292" s="69"/>
    </row>
    <row r="293" spans="7:7" hidden="1" x14ac:dyDescent="0.35">
      <c r="G293" s="69"/>
    </row>
    <row r="294" spans="7:7" hidden="1" x14ac:dyDescent="0.35">
      <c r="G294" s="69"/>
    </row>
    <row r="295" spans="7:7" hidden="1" x14ac:dyDescent="0.35">
      <c r="G295" s="69"/>
    </row>
    <row r="296" spans="7:7" hidden="1" x14ac:dyDescent="0.35">
      <c r="G296" s="69"/>
    </row>
    <row r="297" spans="7:7" hidden="1" x14ac:dyDescent="0.35">
      <c r="G297" s="69"/>
    </row>
    <row r="298" spans="7:7" hidden="1" x14ac:dyDescent="0.35">
      <c r="G298" s="69"/>
    </row>
    <row r="299" spans="7:7" hidden="1" x14ac:dyDescent="0.35">
      <c r="G299" s="69"/>
    </row>
    <row r="300" spans="7:7" hidden="1" x14ac:dyDescent="0.35">
      <c r="G300" s="69"/>
    </row>
    <row r="301" spans="7:7" hidden="1" x14ac:dyDescent="0.35">
      <c r="G301" s="69"/>
    </row>
    <row r="302" spans="7:7" hidden="1" x14ac:dyDescent="0.35">
      <c r="G302" s="69"/>
    </row>
    <row r="303" spans="7:7" hidden="1" x14ac:dyDescent="0.35">
      <c r="G303" s="69"/>
    </row>
    <row r="304" spans="7:7" hidden="1" x14ac:dyDescent="0.35">
      <c r="G304" s="69"/>
    </row>
    <row r="305" spans="7:7" hidden="1" x14ac:dyDescent="0.35">
      <c r="G305" s="69"/>
    </row>
    <row r="306" spans="7:7" hidden="1" x14ac:dyDescent="0.35">
      <c r="G306" s="69"/>
    </row>
    <row r="307" spans="7:7" hidden="1" x14ac:dyDescent="0.35">
      <c r="G307" s="69"/>
    </row>
    <row r="308" spans="7:7" hidden="1" x14ac:dyDescent="0.35">
      <c r="G308" s="69"/>
    </row>
    <row r="309" spans="7:7" hidden="1" x14ac:dyDescent="0.35">
      <c r="G309" s="69"/>
    </row>
    <row r="310" spans="7:7" hidden="1" x14ac:dyDescent="0.35">
      <c r="G310" s="69"/>
    </row>
    <row r="311" spans="7:7" hidden="1" x14ac:dyDescent="0.35">
      <c r="G311" s="69"/>
    </row>
    <row r="312" spans="7:7" hidden="1" x14ac:dyDescent="0.35">
      <c r="G312" s="69"/>
    </row>
    <row r="313" spans="7:7" hidden="1" x14ac:dyDescent="0.35">
      <c r="G313" s="69"/>
    </row>
    <row r="314" spans="7:7" hidden="1" x14ac:dyDescent="0.35">
      <c r="G314" s="69"/>
    </row>
    <row r="315" spans="7:7" hidden="1" x14ac:dyDescent="0.35">
      <c r="G315" s="69"/>
    </row>
    <row r="316" spans="7:7" hidden="1" x14ac:dyDescent="0.35">
      <c r="G316" s="69"/>
    </row>
    <row r="317" spans="7:7" hidden="1" x14ac:dyDescent="0.35">
      <c r="G317" s="69"/>
    </row>
    <row r="318" spans="7:7" hidden="1" x14ac:dyDescent="0.35">
      <c r="G318" s="69"/>
    </row>
    <row r="319" spans="7:7" hidden="1" x14ac:dyDescent="0.35">
      <c r="G319" s="69"/>
    </row>
    <row r="320" spans="7:7" hidden="1" x14ac:dyDescent="0.35">
      <c r="G320" s="69"/>
    </row>
    <row r="321" spans="7:7" hidden="1" x14ac:dyDescent="0.35">
      <c r="G321" s="69"/>
    </row>
    <row r="322" spans="7:7" hidden="1" x14ac:dyDescent="0.35">
      <c r="G322" s="69"/>
    </row>
    <row r="323" spans="7:7" hidden="1" x14ac:dyDescent="0.35">
      <c r="G323" s="69"/>
    </row>
    <row r="324" spans="7:7" hidden="1" x14ac:dyDescent="0.35">
      <c r="G324" s="69"/>
    </row>
    <row r="325" spans="7:7" hidden="1" x14ac:dyDescent="0.35">
      <c r="G325" s="69"/>
    </row>
    <row r="326" spans="7:7" hidden="1" x14ac:dyDescent="0.35">
      <c r="G326" s="69"/>
    </row>
    <row r="327" spans="7:7" hidden="1" x14ac:dyDescent="0.35">
      <c r="G327" s="69"/>
    </row>
    <row r="328" spans="7:7" hidden="1" x14ac:dyDescent="0.35">
      <c r="G328" s="69"/>
    </row>
    <row r="329" spans="7:7" hidden="1" x14ac:dyDescent="0.35">
      <c r="G329" s="69"/>
    </row>
    <row r="330" spans="7:7" hidden="1" x14ac:dyDescent="0.35">
      <c r="G330" s="69"/>
    </row>
    <row r="331" spans="7:7" hidden="1" x14ac:dyDescent="0.35">
      <c r="G331" s="69"/>
    </row>
    <row r="332" spans="7:7" hidden="1" x14ac:dyDescent="0.35">
      <c r="G332" s="69"/>
    </row>
    <row r="333" spans="7:7" hidden="1" x14ac:dyDescent="0.35">
      <c r="G333" s="69"/>
    </row>
    <row r="334" spans="7:7" hidden="1" x14ac:dyDescent="0.35">
      <c r="G334" s="69"/>
    </row>
    <row r="335" spans="7:7" hidden="1" x14ac:dyDescent="0.35">
      <c r="G335" s="69"/>
    </row>
    <row r="336" spans="7:7" hidden="1" x14ac:dyDescent="0.35">
      <c r="G336" s="69"/>
    </row>
    <row r="337" spans="7:7" hidden="1" x14ac:dyDescent="0.35">
      <c r="G337" s="69"/>
    </row>
    <row r="338" spans="7:7" hidden="1" x14ac:dyDescent="0.35">
      <c r="G338" s="69"/>
    </row>
    <row r="339" spans="7:7" hidden="1" x14ac:dyDescent="0.35">
      <c r="G339" s="69"/>
    </row>
    <row r="340" spans="7:7" hidden="1" x14ac:dyDescent="0.35">
      <c r="G340" s="69"/>
    </row>
    <row r="341" spans="7:7" hidden="1" x14ac:dyDescent="0.35">
      <c r="G341" s="69"/>
    </row>
    <row r="342" spans="7:7" hidden="1" x14ac:dyDescent="0.35">
      <c r="G342" s="69"/>
    </row>
    <row r="343" spans="7:7" hidden="1" x14ac:dyDescent="0.35">
      <c r="G343" s="69"/>
    </row>
    <row r="344" spans="7:7" hidden="1" x14ac:dyDescent="0.35">
      <c r="G344" s="69"/>
    </row>
    <row r="345" spans="7:7" hidden="1" x14ac:dyDescent="0.35">
      <c r="G345" s="69"/>
    </row>
    <row r="346" spans="7:7" hidden="1" x14ac:dyDescent="0.35">
      <c r="G346" s="69"/>
    </row>
    <row r="347" spans="7:7" hidden="1" x14ac:dyDescent="0.35">
      <c r="G347" s="69"/>
    </row>
    <row r="348" spans="7:7" hidden="1" x14ac:dyDescent="0.35">
      <c r="G348" s="69"/>
    </row>
    <row r="349" spans="7:7" hidden="1" x14ac:dyDescent="0.35">
      <c r="G349" s="69"/>
    </row>
    <row r="350" spans="7:7" hidden="1" x14ac:dyDescent="0.35">
      <c r="G350" s="69"/>
    </row>
    <row r="351" spans="7:7" hidden="1" x14ac:dyDescent="0.35">
      <c r="G351" s="69"/>
    </row>
    <row r="352" spans="7:7" hidden="1" x14ac:dyDescent="0.35">
      <c r="G352" s="69"/>
    </row>
    <row r="353" spans="7:7" hidden="1" x14ac:dyDescent="0.35">
      <c r="G353" s="69"/>
    </row>
    <row r="354" spans="7:7" hidden="1" x14ac:dyDescent="0.35">
      <c r="G354" s="69"/>
    </row>
    <row r="355" spans="7:7" hidden="1" x14ac:dyDescent="0.35">
      <c r="G355" s="69"/>
    </row>
    <row r="356" spans="7:7" hidden="1" x14ac:dyDescent="0.35">
      <c r="G356" s="69"/>
    </row>
    <row r="357" spans="7:7" hidden="1" x14ac:dyDescent="0.35">
      <c r="G357" s="69"/>
    </row>
    <row r="358" spans="7:7" hidden="1" x14ac:dyDescent="0.35">
      <c r="G358" s="69"/>
    </row>
    <row r="359" spans="7:7" hidden="1" x14ac:dyDescent="0.35">
      <c r="G359" s="69"/>
    </row>
    <row r="360" spans="7:7" hidden="1" x14ac:dyDescent="0.35">
      <c r="G360" s="69"/>
    </row>
    <row r="361" spans="7:7" hidden="1" x14ac:dyDescent="0.35">
      <c r="G361" s="69"/>
    </row>
    <row r="362" spans="7:7" hidden="1" x14ac:dyDescent="0.35">
      <c r="G362" s="69"/>
    </row>
    <row r="363" spans="7:7" hidden="1" x14ac:dyDescent="0.35">
      <c r="G363" s="69"/>
    </row>
    <row r="364" spans="7:7" hidden="1" x14ac:dyDescent="0.35">
      <c r="G364" s="69"/>
    </row>
    <row r="365" spans="7:7" hidden="1" x14ac:dyDescent="0.35">
      <c r="G365" s="69"/>
    </row>
    <row r="366" spans="7:7" hidden="1" x14ac:dyDescent="0.35">
      <c r="G366" s="69"/>
    </row>
    <row r="367" spans="7:7" hidden="1" x14ac:dyDescent="0.35">
      <c r="G367" s="69"/>
    </row>
    <row r="368" spans="7:7" hidden="1" x14ac:dyDescent="0.35">
      <c r="G368" s="69"/>
    </row>
    <row r="369" spans="7:7" hidden="1" x14ac:dyDescent="0.35">
      <c r="G369" s="69"/>
    </row>
    <row r="370" spans="7:7" hidden="1" x14ac:dyDescent="0.35">
      <c r="G370" s="69"/>
    </row>
    <row r="371" spans="7:7" hidden="1" x14ac:dyDescent="0.35">
      <c r="G371" s="69"/>
    </row>
    <row r="372" spans="7:7" hidden="1" x14ac:dyDescent="0.35">
      <c r="G372" s="69"/>
    </row>
    <row r="373" spans="7:7" hidden="1" x14ac:dyDescent="0.35">
      <c r="G373" s="69"/>
    </row>
    <row r="374" spans="7:7" hidden="1" x14ac:dyDescent="0.35">
      <c r="G374" s="69"/>
    </row>
    <row r="375" spans="7:7" hidden="1" x14ac:dyDescent="0.35">
      <c r="G375" s="69"/>
    </row>
    <row r="376" spans="7:7" hidden="1" x14ac:dyDescent="0.35">
      <c r="G376" s="69"/>
    </row>
    <row r="377" spans="7:7" hidden="1" x14ac:dyDescent="0.35">
      <c r="G377" s="69"/>
    </row>
    <row r="378" spans="7:7" hidden="1" x14ac:dyDescent="0.35">
      <c r="G378" s="69"/>
    </row>
    <row r="379" spans="7:7" hidden="1" x14ac:dyDescent="0.35">
      <c r="G379" s="69"/>
    </row>
    <row r="380" spans="7:7" hidden="1" x14ac:dyDescent="0.35">
      <c r="G380" s="69"/>
    </row>
    <row r="381" spans="7:7" hidden="1" x14ac:dyDescent="0.35">
      <c r="G381" s="69"/>
    </row>
    <row r="382" spans="7:7" hidden="1" x14ac:dyDescent="0.35">
      <c r="G382" s="69"/>
    </row>
    <row r="383" spans="7:7" hidden="1" x14ac:dyDescent="0.35">
      <c r="G383" s="69"/>
    </row>
    <row r="384" spans="7:7" hidden="1" x14ac:dyDescent="0.35">
      <c r="G384" s="69"/>
    </row>
    <row r="385" spans="7:7" hidden="1" x14ac:dyDescent="0.35">
      <c r="G385" s="69"/>
    </row>
    <row r="386" spans="7:7" hidden="1" x14ac:dyDescent="0.35">
      <c r="G386" s="69"/>
    </row>
    <row r="387" spans="7:7" hidden="1" x14ac:dyDescent="0.35">
      <c r="G387" s="69"/>
    </row>
    <row r="388" spans="7:7" hidden="1" x14ac:dyDescent="0.35">
      <c r="G388" s="69"/>
    </row>
    <row r="389" spans="7:7" hidden="1" x14ac:dyDescent="0.35">
      <c r="G389" s="69"/>
    </row>
    <row r="390" spans="7:7" hidden="1" x14ac:dyDescent="0.35">
      <c r="G390" s="69"/>
    </row>
    <row r="391" spans="7:7" hidden="1" x14ac:dyDescent="0.35">
      <c r="G391" s="69"/>
    </row>
    <row r="392" spans="7:7" hidden="1" x14ac:dyDescent="0.35">
      <c r="G392" s="69"/>
    </row>
    <row r="393" spans="7:7" hidden="1" x14ac:dyDescent="0.35">
      <c r="G393" s="69"/>
    </row>
    <row r="394" spans="7:7" hidden="1" x14ac:dyDescent="0.35">
      <c r="G394" s="69"/>
    </row>
    <row r="395" spans="7:7" hidden="1" x14ac:dyDescent="0.35">
      <c r="G395" s="69"/>
    </row>
    <row r="396" spans="7:7" hidden="1" x14ac:dyDescent="0.35">
      <c r="G396" s="69"/>
    </row>
    <row r="397" spans="7:7" hidden="1" x14ac:dyDescent="0.35">
      <c r="G397" s="69"/>
    </row>
    <row r="398" spans="7:7" hidden="1" x14ac:dyDescent="0.35">
      <c r="G398" s="69"/>
    </row>
    <row r="399" spans="7:7" hidden="1" x14ac:dyDescent="0.35">
      <c r="G399" s="69"/>
    </row>
    <row r="400" spans="7:7" hidden="1" x14ac:dyDescent="0.35">
      <c r="G400" s="69"/>
    </row>
    <row r="401" spans="7:7" hidden="1" x14ac:dyDescent="0.35">
      <c r="G401" s="69"/>
    </row>
    <row r="402" spans="7:7" hidden="1" x14ac:dyDescent="0.35">
      <c r="G402" s="69"/>
    </row>
    <row r="403" spans="7:7" hidden="1" x14ac:dyDescent="0.35">
      <c r="G403" s="69"/>
    </row>
    <row r="404" spans="7:7" hidden="1" x14ac:dyDescent="0.35">
      <c r="G404" s="69"/>
    </row>
    <row r="405" spans="7:7" hidden="1" x14ac:dyDescent="0.35">
      <c r="G405" s="69"/>
    </row>
    <row r="406" spans="7:7" hidden="1" x14ac:dyDescent="0.35">
      <c r="G406" s="69"/>
    </row>
    <row r="407" spans="7:7" hidden="1" x14ac:dyDescent="0.35">
      <c r="G407" s="69"/>
    </row>
    <row r="408" spans="7:7" hidden="1" x14ac:dyDescent="0.35">
      <c r="G408" s="69"/>
    </row>
    <row r="409" spans="7:7" hidden="1" x14ac:dyDescent="0.35">
      <c r="G409" s="69"/>
    </row>
    <row r="410" spans="7:7" hidden="1" x14ac:dyDescent="0.35">
      <c r="G410" s="69"/>
    </row>
    <row r="411" spans="7:7" hidden="1" x14ac:dyDescent="0.35">
      <c r="G411" s="69"/>
    </row>
    <row r="412" spans="7:7" hidden="1" x14ac:dyDescent="0.35">
      <c r="G412" s="69"/>
    </row>
    <row r="413" spans="7:7" hidden="1" x14ac:dyDescent="0.35">
      <c r="G413" s="69"/>
    </row>
    <row r="414" spans="7:7" hidden="1" x14ac:dyDescent="0.35">
      <c r="G414" s="69"/>
    </row>
    <row r="415" spans="7:7" hidden="1" x14ac:dyDescent="0.35">
      <c r="G415" s="69"/>
    </row>
    <row r="416" spans="7:7" hidden="1" x14ac:dyDescent="0.35">
      <c r="G416" s="69"/>
    </row>
    <row r="417" spans="7:7" hidden="1" x14ac:dyDescent="0.35">
      <c r="G417" s="69"/>
    </row>
    <row r="418" spans="7:7" hidden="1" x14ac:dyDescent="0.35">
      <c r="G418" s="69"/>
    </row>
    <row r="419" spans="7:7" hidden="1" x14ac:dyDescent="0.35">
      <c r="G419" s="69"/>
    </row>
    <row r="420" spans="7:7" hidden="1" x14ac:dyDescent="0.35">
      <c r="G420" s="69"/>
    </row>
    <row r="421" spans="7:7" hidden="1" x14ac:dyDescent="0.35">
      <c r="G421" s="69"/>
    </row>
    <row r="422" spans="7:7" hidden="1" x14ac:dyDescent="0.35">
      <c r="G422" s="69"/>
    </row>
    <row r="423" spans="7:7" hidden="1" x14ac:dyDescent="0.35">
      <c r="G423" s="69"/>
    </row>
    <row r="424" spans="7:7" hidden="1" x14ac:dyDescent="0.35">
      <c r="G424" s="69"/>
    </row>
    <row r="425" spans="7:7" hidden="1" x14ac:dyDescent="0.35">
      <c r="G425" s="69"/>
    </row>
    <row r="426" spans="7:7" hidden="1" x14ac:dyDescent="0.35">
      <c r="G426" s="69"/>
    </row>
    <row r="427" spans="7:7" hidden="1" x14ac:dyDescent="0.35">
      <c r="G427" s="69"/>
    </row>
    <row r="428" spans="7:7" hidden="1" x14ac:dyDescent="0.35">
      <c r="G428" s="69"/>
    </row>
    <row r="429" spans="7:7" hidden="1" x14ac:dyDescent="0.35">
      <c r="G429" s="69"/>
    </row>
    <row r="430" spans="7:7" hidden="1" x14ac:dyDescent="0.35">
      <c r="G430" s="69"/>
    </row>
    <row r="431" spans="7:7" hidden="1" x14ac:dyDescent="0.35">
      <c r="G431" s="69"/>
    </row>
    <row r="432" spans="7:7" hidden="1" x14ac:dyDescent="0.35">
      <c r="G432" s="69"/>
    </row>
    <row r="433" spans="7:7" hidden="1" x14ac:dyDescent="0.35">
      <c r="G433" s="69"/>
    </row>
    <row r="434" spans="7:7" hidden="1" x14ac:dyDescent="0.35">
      <c r="G434" s="69"/>
    </row>
    <row r="435" spans="7:7" hidden="1" x14ac:dyDescent="0.35">
      <c r="G435" s="69"/>
    </row>
    <row r="436" spans="7:7" hidden="1" x14ac:dyDescent="0.35">
      <c r="G436" s="69"/>
    </row>
    <row r="437" spans="7:7" hidden="1" x14ac:dyDescent="0.35">
      <c r="G437" s="69"/>
    </row>
    <row r="438" spans="7:7" hidden="1" x14ac:dyDescent="0.35">
      <c r="G438" s="69"/>
    </row>
    <row r="439" spans="7:7" hidden="1" x14ac:dyDescent="0.35">
      <c r="G439" s="69"/>
    </row>
    <row r="440" spans="7:7" hidden="1" x14ac:dyDescent="0.35">
      <c r="G440" s="69"/>
    </row>
    <row r="441" spans="7:7" hidden="1" x14ac:dyDescent="0.35">
      <c r="G441" s="69"/>
    </row>
    <row r="442" spans="7:7" hidden="1" x14ac:dyDescent="0.35">
      <c r="G442" s="69"/>
    </row>
    <row r="443" spans="7:7" hidden="1" x14ac:dyDescent="0.35">
      <c r="G443" s="69"/>
    </row>
    <row r="444" spans="7:7" hidden="1" x14ac:dyDescent="0.35">
      <c r="G444" s="69"/>
    </row>
    <row r="445" spans="7:7" hidden="1" x14ac:dyDescent="0.35">
      <c r="G445" s="69"/>
    </row>
    <row r="446" spans="7:7" hidden="1" x14ac:dyDescent="0.35">
      <c r="G446" s="69"/>
    </row>
    <row r="447" spans="7:7" hidden="1" x14ac:dyDescent="0.35">
      <c r="G447" s="69"/>
    </row>
    <row r="448" spans="7:7" hidden="1" x14ac:dyDescent="0.35">
      <c r="G448" s="69"/>
    </row>
    <row r="449" spans="7:7" hidden="1" x14ac:dyDescent="0.35">
      <c r="G449" s="69"/>
    </row>
    <row r="450" spans="7:7" hidden="1" x14ac:dyDescent="0.35">
      <c r="G450" s="69"/>
    </row>
    <row r="451" spans="7:7" hidden="1" x14ac:dyDescent="0.35">
      <c r="G451" s="69"/>
    </row>
    <row r="452" spans="7:7" hidden="1" x14ac:dyDescent="0.35">
      <c r="G452" s="69"/>
    </row>
  </sheetData>
  <autoFilter ref="C6:I51" xr:uid="{00000000-0001-0000-0200-000000000000}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X20"/>
  <sheetViews>
    <sheetView tabSelected="1" zoomScale="90" zoomScaleNormal="90" workbookViewId="0"/>
  </sheetViews>
  <sheetFormatPr defaultColWidth="8.90625" defaultRowHeight="14.5" x14ac:dyDescent="0.35"/>
  <cols>
    <col min="1" max="1" width="3.6328125" style="8" customWidth="1"/>
    <col min="2" max="2" width="3" style="8" bestFit="1" customWidth="1"/>
    <col min="3" max="3" width="84.36328125" style="8" bestFit="1" customWidth="1"/>
    <col min="4" max="6" width="13.453125" style="8" bestFit="1" customWidth="1"/>
    <col min="7" max="7" width="12.36328125" style="8" bestFit="1" customWidth="1"/>
    <col min="8" max="8" width="11.54296875" style="8" bestFit="1" customWidth="1"/>
    <col min="9" max="9" width="11.08984375" style="8" bestFit="1" customWidth="1"/>
    <col min="10" max="10" width="10.453125" style="8" bestFit="1" customWidth="1"/>
    <col min="11" max="11" width="13.453125" style="8" bestFit="1" customWidth="1"/>
    <col min="12" max="15" width="12.36328125" style="8" bestFit="1" customWidth="1"/>
    <col min="16" max="16" width="11.36328125" style="8" customWidth="1"/>
    <col min="17" max="17" width="11.54296875" style="8" customWidth="1"/>
    <col min="18" max="18" width="13.453125" style="8" bestFit="1" customWidth="1"/>
    <col min="19" max="19" width="27.453125" style="8" bestFit="1" customWidth="1"/>
    <col min="20" max="16384" width="8.90625" style="8"/>
  </cols>
  <sheetData>
    <row r="1" spans="1:24" s="1" customFormat="1" ht="13" x14ac:dyDescent="0.3">
      <c r="D1" s="6"/>
      <c r="E1" s="6"/>
    </row>
    <row r="2" spans="1:24" s="1" customFormat="1" x14ac:dyDescent="0.35">
      <c r="C2" s="2" t="s">
        <v>67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" x14ac:dyDescent="0.3"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  <c r="L4" s="3" t="s">
        <v>76</v>
      </c>
      <c r="M4" s="3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</row>
    <row r="5" spans="1:24" s="1" customFormat="1" ht="24" customHeight="1" x14ac:dyDescent="0.3">
      <c r="C5" s="4" t="s">
        <v>84</v>
      </c>
      <c r="D5" s="78" t="s">
        <v>85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80"/>
      <c r="T5" s="9"/>
    </row>
    <row r="6" spans="1:24" s="1" customFormat="1" ht="24" customHeight="1" x14ac:dyDescent="0.3">
      <c r="C6" s="10"/>
      <c r="D6" s="11"/>
      <c r="E6" s="75" t="s">
        <v>86</v>
      </c>
      <c r="F6" s="76"/>
      <c r="G6" s="76"/>
      <c r="H6" s="76"/>
      <c r="I6" s="76"/>
      <c r="J6" s="76"/>
      <c r="K6" s="75" t="s">
        <v>87</v>
      </c>
      <c r="L6" s="76"/>
      <c r="M6" s="76"/>
      <c r="N6" s="76"/>
      <c r="O6" s="76"/>
      <c r="P6" s="76"/>
      <c r="Q6" s="77"/>
      <c r="R6" s="78" t="s">
        <v>88</v>
      </c>
      <c r="S6" s="80"/>
      <c r="T6" s="9"/>
    </row>
    <row r="7" spans="1:24" s="1" customFormat="1" ht="43.65" customHeight="1" x14ac:dyDescent="0.3">
      <c r="C7" s="5"/>
      <c r="D7" s="12"/>
      <c r="E7" s="13" t="s">
        <v>89</v>
      </c>
      <c r="F7" s="13" t="s">
        <v>90</v>
      </c>
      <c r="G7" s="13" t="s">
        <v>91</v>
      </c>
      <c r="H7" s="13" t="s">
        <v>92</v>
      </c>
      <c r="I7" s="13" t="s">
        <v>93</v>
      </c>
      <c r="J7" s="13" t="s">
        <v>94</v>
      </c>
      <c r="K7" s="12" t="s">
        <v>51</v>
      </c>
      <c r="L7" s="12" t="s">
        <v>47</v>
      </c>
      <c r="M7" s="12" t="s">
        <v>50</v>
      </c>
      <c r="N7" s="12" t="s">
        <v>38</v>
      </c>
      <c r="O7" s="12" t="s">
        <v>42</v>
      </c>
      <c r="P7" s="12" t="s">
        <v>55</v>
      </c>
      <c r="Q7" s="12" t="s">
        <v>59</v>
      </c>
      <c r="R7" s="14"/>
      <c r="S7" s="18" t="s">
        <v>95</v>
      </c>
      <c r="T7" s="9"/>
    </row>
    <row r="8" spans="1:24" s="1" customFormat="1" ht="13" x14ac:dyDescent="0.3">
      <c r="B8" s="3">
        <v>1</v>
      </c>
      <c r="C8" s="15" t="s">
        <v>96</v>
      </c>
      <c r="D8" s="27">
        <f>SUM(D9:D11)</f>
        <v>43.196713000000003</v>
      </c>
      <c r="E8" s="29">
        <f>+SUM(E9:E11)</f>
        <v>14.909875</v>
      </c>
      <c r="F8" s="29">
        <f>+SUM(F9:F11)</f>
        <v>22.444727</v>
      </c>
      <c r="G8" s="29">
        <f>+SUM(G9:G11)</f>
        <v>1.8832040000000001</v>
      </c>
      <c r="H8" s="29">
        <f>+SUM(H9:H11)</f>
        <v>0.211482</v>
      </c>
      <c r="I8" s="29">
        <f t="shared" ref="I8:J8" si="0">+SUM(I9:I11)</f>
        <v>0</v>
      </c>
      <c r="J8" s="29">
        <f t="shared" si="0"/>
        <v>0</v>
      </c>
      <c r="K8" s="27">
        <f>+SUM(K9:K11)</f>
        <v>0</v>
      </c>
      <c r="L8" s="27">
        <f t="shared" ref="L8:Q8" si="1">+SUM(L9:L11)</f>
        <v>0.183562</v>
      </c>
      <c r="M8" s="27">
        <f t="shared" si="1"/>
        <v>0.38995000000000002</v>
      </c>
      <c r="N8" s="27">
        <f t="shared" si="1"/>
        <v>0.18888099999999999</v>
      </c>
      <c r="O8" s="27">
        <f t="shared" si="1"/>
        <v>0.10167900000000001</v>
      </c>
      <c r="P8" s="27">
        <f t="shared" si="1"/>
        <v>0.57942099999999996</v>
      </c>
      <c r="Q8" s="27">
        <f t="shared" si="1"/>
        <v>0</v>
      </c>
      <c r="R8" s="27">
        <f>SUM(R9:R11)</f>
        <v>41.753219999999999</v>
      </c>
      <c r="S8" s="28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0.91024823953697465</v>
      </c>
      <c r="T8" s="9"/>
    </row>
    <row r="9" spans="1:24" s="1" customFormat="1" x14ac:dyDescent="0.35">
      <c r="A9" s="26" t="s">
        <v>37</v>
      </c>
      <c r="B9" s="3">
        <v>2</v>
      </c>
      <c r="C9" s="16" t="s">
        <v>97</v>
      </c>
      <c r="D9" s="27">
        <f>IFERROR(SUMIFS(Input!$G:$G,Input!$C:$C,'2.CC Trans-BB.RE collateral'!$A9,Input!$F:$F,'2.CC Trans-BB.RE collateral'!$D$18)/1000000,0)</f>
        <v>0</v>
      </c>
      <c r="E9" s="29">
        <f>IFERROR(SUMIFS(Input!$G:$G,Input!$C:$C,'2.CC Trans-BB.RE collateral'!$A9,Input!$E:$E,'2.CC Trans-BB.RE collateral'!E$18,Input!$F:$F,'2.CC Trans-BB.RE collateral'!$D$18)/1000000,0)</f>
        <v>0</v>
      </c>
      <c r="F9" s="29">
        <f>IFERROR(SUMIFS(Input!$G:$G,Input!$C:$C,'2.CC Trans-BB.RE collateral'!$A9,Input!$E:$E,'2.CC Trans-BB.RE collateral'!F$18,Input!$F:$F,'2.CC Trans-BB.RE collateral'!$D$18)/1000000,0)</f>
        <v>0</v>
      </c>
      <c r="G9" s="29">
        <f>IFERROR(SUMIFS(Input!$G:$G,Input!$C:$C,'2.CC Trans-BB.RE collateral'!$A9,Input!$E:$E,'2.CC Trans-BB.RE collateral'!G$18,Input!$F:$F,'2.CC Trans-BB.RE collateral'!$D$18)/1000000,0)</f>
        <v>0</v>
      </c>
      <c r="H9" s="29">
        <f>IFERROR(SUMIFS(Input!$G:$G,Input!$C:$C,'2.CC Trans-BB.RE collateral'!$A9,Input!$E:$E,'2.CC Trans-BB.RE collateral'!H$18,Input!$F:$F,'2.CC Trans-BB.RE collateral'!$D$18)/1000000,0)</f>
        <v>0</v>
      </c>
      <c r="I9" s="29">
        <f>IFERROR(SUMIFS(Input!$G:$G,Input!$C:$C,'2.CC Trans-BB.RE collateral'!$A9,Input!$E:$E,'2.CC Trans-BB.RE collateral'!I$18,Input!$F:$F,'2.CC Trans-BB.RE collateral'!$D$18)/1000000,0)</f>
        <v>0</v>
      </c>
      <c r="J9" s="29">
        <f>IFERROR(SUMIFS(Input!$G:$G,Input!$C:$C,'2.CC Trans-BB.RE collateral'!$A9,Input!$E:$E,'2.CC Trans-BB.RE collateral'!J$18,Input!$F:$F,'2.CC Trans-BB.RE collateral'!$D$18)/1000000,0)</f>
        <v>0</v>
      </c>
      <c r="K9" s="27">
        <f>IFERROR(SUM(SUMIFS(Input!$G:$G,Input!$C:$C,'2.CC Trans-BB.RE collateral'!$A9,Input!$D:$D,'2.CC Trans-BB.RE collateral'!K$7&amp;"*",Input!$H:$H,{"1-REAL";"SANTANDER"},Input!$F:$F,'2.CC Trans-BB.RE collateral'!$D$18))/1000000,0)</f>
        <v>0</v>
      </c>
      <c r="L9" s="27">
        <f>IFERROR(SUM(SUMIFS(Input!$G:$G,Input!$C:$C,'2.CC Trans-BB.RE collateral'!$A9,Input!$D:$D,'2.CC Trans-BB.RE collateral'!L$7&amp;"*",Input!$H:$H,{"1-REAL";"SANTANDER"},Input!$F:$F,'2.CC Trans-BB.RE collateral'!$D$18))/1000000,0)</f>
        <v>0</v>
      </c>
      <c r="M9" s="27">
        <f>IFERROR(SUM(SUMIFS(Input!$G:$G,Input!$C:$C,'2.CC Trans-BB.RE collateral'!$A9,Input!$D:$D,'2.CC Trans-BB.RE collateral'!M$7,Input!$H:$H,{"1-REAL";"SANTANDER"},Input!$F:$F,'2.CC Trans-BB.RE collateral'!$D$18))/1000000,0)</f>
        <v>0</v>
      </c>
      <c r="N9" s="27">
        <f>IFERROR(SUM(SUMIFS(Input!$G:$G,Input!$C:$C,'2.CC Trans-BB.RE collateral'!$A9,Input!$D:$D,'2.CC Trans-BB.RE collateral'!N$7,Input!$H:$H,{"1-REAL";"SANTANDER"},Input!$F:$F,'2.CC Trans-BB.RE collateral'!$D$18))/1000000,0)</f>
        <v>0</v>
      </c>
      <c r="O9" s="27">
        <f>IFERROR(SUM(SUMIFS(Input!$G:$G,Input!$C:$C,'2.CC Trans-BB.RE collateral'!$A9,Input!$D:$D,'2.CC Trans-BB.RE collateral'!O$7,Input!$H:$H,{"1-REAL";"SANTANDER"},Input!$F:$F,'2.CC Trans-BB.RE collateral'!$D$18))/1000000,0)</f>
        <v>0</v>
      </c>
      <c r="P9" s="27">
        <f>IFERROR(SUM(SUMIFS(Input!$G:$G,Input!$C:$C,'2.CC Trans-BB.RE collateral'!$A9,Input!$D:$D,'2.CC Trans-BB.RE collateral'!P$7,Input!$H:$H,{"1-REAL";"SANTANDER"},Input!$F:$F,'2.CC Trans-BB.RE collateral'!$D$18))/1000000,0)</f>
        <v>0</v>
      </c>
      <c r="Q9" s="27">
        <f>IFERROR(SUM(SUMIFS(Input!$G:$G,Input!$C:$C,'2.CC Trans-BB.RE collateral'!$A9,Input!$D:$D,'2.CC Trans-BB.RE collateral'!Q$7,Input!$H:$H,{"1-REAL";"SANTANDER"},Input!$F:$F,'2.CC Trans-BB.RE collateral'!$D$18))/1000000,0)</f>
        <v>0</v>
      </c>
      <c r="R9" s="27">
        <f>IFERROR(SUMIFS(Input!$G:$G,Input!$C:$C,'2.CC Trans-BB.RE collateral'!A9,Input!$H:$H,"&lt;&gt;"&amp;K$18,Input!$H:$H,"&lt;&gt;"&amp;K$19,Input!$F:$F,'2.CC Trans-BB.RE collateral'!$D$18)/1000000,0)</f>
        <v>0</v>
      </c>
      <c r="S9" s="28" t="e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#DIV/0!</v>
      </c>
      <c r="T9" s="9"/>
    </row>
    <row r="10" spans="1:24" s="1" customFormat="1" x14ac:dyDescent="0.35">
      <c r="A10" s="26" t="s">
        <v>46</v>
      </c>
      <c r="B10" s="3">
        <v>3</v>
      </c>
      <c r="C10" s="16" t="s">
        <v>98</v>
      </c>
      <c r="D10" s="27">
        <f>IFERROR(SUMIFS(Input!$G:$G,Input!$C:$C,'2.CC Trans-BB.RE collateral'!$A10,Input!$F:$F,'2.CC Trans-BB.RE collateral'!$D$18)/1000000,0)</f>
        <v>0</v>
      </c>
      <c r="E10" s="29">
        <f>IFERROR(SUMIFS(Input!$G:$G,Input!$C:$C,'2.CC Trans-BB.RE collateral'!$A10,Input!$E:$E,'2.CC Trans-BB.RE collateral'!E$18,Input!$F:$F,'2.CC Trans-BB.RE collateral'!$D$18)/1000000,0)</f>
        <v>0</v>
      </c>
      <c r="F10" s="29">
        <f>IFERROR(SUMIFS(Input!$G:$G,Input!$C:$C,'2.CC Trans-BB.RE collateral'!$A10,Input!$E:$E,'2.CC Trans-BB.RE collateral'!F$18,Input!$F:$F,'2.CC Trans-BB.RE collateral'!$D$18)/1000000,0)</f>
        <v>0</v>
      </c>
      <c r="G10" s="29">
        <f>IFERROR(SUMIFS(Input!$G:$G,Input!$C:$C,'2.CC Trans-BB.RE collateral'!$A10,Input!$E:$E,'2.CC Trans-BB.RE collateral'!G$18,Input!$F:$F,'2.CC Trans-BB.RE collateral'!$D$18)/1000000,0)</f>
        <v>0</v>
      </c>
      <c r="H10" s="29">
        <f>IFERROR(SUMIFS(Input!$G:$G,Input!$C:$C,'2.CC Trans-BB.RE collateral'!$A10,Input!$E:$E,'2.CC Trans-BB.RE collateral'!H$18,Input!$F:$F,'2.CC Trans-BB.RE collateral'!$D$18)/1000000,0)</f>
        <v>0</v>
      </c>
      <c r="I10" s="29">
        <f>IFERROR(SUMIFS(Input!$G:$G,Input!$C:$C,'2.CC Trans-BB.RE collateral'!$A10,Input!$E:$E,'2.CC Trans-BB.RE collateral'!I$18,Input!$F:$F,'2.CC Trans-BB.RE collateral'!$D$18)/1000000,0)</f>
        <v>0</v>
      </c>
      <c r="J10" s="29">
        <f>IFERROR(SUMIFS(Input!$G:$G,Input!$C:$C,'2.CC Trans-BB.RE collateral'!$A10,Input!$E:$E,'2.CC Trans-BB.RE collateral'!J$18,Input!$F:$F,'2.CC Trans-BB.RE collateral'!$D$18)/1000000,0)</f>
        <v>0</v>
      </c>
      <c r="K10" s="27">
        <f>IFERROR(SUM(SUMIFS(Input!$G:$G,Input!$C:$C,'2.CC Trans-BB.RE collateral'!$A10,Input!$D:$D,'2.CC Trans-BB.RE collateral'!K$7&amp;"*",Input!$H:$H,{"1-REAL";"SANTANDER"},Input!$F:$F,'2.CC Trans-BB.RE collateral'!$D$18))/1000000,0)</f>
        <v>0</v>
      </c>
      <c r="L10" s="27">
        <f>IFERROR(SUM(SUMIFS(Input!$G:$G,Input!$C:$C,'2.CC Trans-BB.RE collateral'!$A10,Input!$D:$D,'2.CC Trans-BB.RE collateral'!L$7&amp;"*",Input!$H:$H,{"1-REAL";"SANTANDER"},Input!$F:$F,'2.CC Trans-BB.RE collateral'!$D$18))/1000000,0)</f>
        <v>0</v>
      </c>
      <c r="M10" s="27">
        <f>IFERROR(SUM(SUMIFS(Input!$G:$G,Input!$C:$C,'2.CC Trans-BB.RE collateral'!$A10,Input!$D:$D,'2.CC Trans-BB.RE collateral'!M$7,Input!$H:$H,{"1-REAL";"SANTANDER"},Input!$F:$F,'2.CC Trans-BB.RE collateral'!$D$18))/1000000,0)</f>
        <v>0</v>
      </c>
      <c r="N10" s="27">
        <f>IFERROR(SUM(SUMIFS(Input!$G:$G,Input!$C:$C,'2.CC Trans-BB.RE collateral'!$A10,Input!$D:$D,'2.CC Trans-BB.RE collateral'!N$7,Input!$H:$H,{"1-REAL";"SANTANDER"},Input!$F:$F,'2.CC Trans-BB.RE collateral'!$D$18))/1000000,0)</f>
        <v>0</v>
      </c>
      <c r="O10" s="27">
        <f>IFERROR(SUM(SUMIFS(Input!$G:$G,Input!$C:$C,'2.CC Trans-BB.RE collateral'!$A10,Input!$D:$D,'2.CC Trans-BB.RE collateral'!O$7,Input!$H:$H,{"1-REAL";"SANTANDER"},Input!$F:$F,'2.CC Trans-BB.RE collateral'!$D$18))/1000000,0)</f>
        <v>0</v>
      </c>
      <c r="P10" s="27">
        <f>IFERROR(SUM(SUMIFS(Input!$G:$G,Input!$C:$C,'2.CC Trans-BB.RE collateral'!$A10,Input!$D:$D,'2.CC Trans-BB.RE collateral'!P$7,Input!$H:$H,{"1-REAL";"SANTANDER"},Input!$F:$F,'2.CC Trans-BB.RE collateral'!$D$18))/1000000,0)</f>
        <v>0</v>
      </c>
      <c r="Q10" s="27">
        <f>IFERROR(SUM(SUMIFS(Input!$G:$G,Input!$C:$C,'2.CC Trans-BB.RE collateral'!$A10,Input!$D:$D,'2.CC Trans-BB.RE collateral'!Q$7,Input!$H:$H,{"1-REAL";"SANTANDER"},Input!$F:$F,'2.CC Trans-BB.RE collateral'!$D$18))/1000000,0)</f>
        <v>0</v>
      </c>
      <c r="R10" s="27">
        <f>IFERROR(SUMIFS(Input!$G:$G,Input!$C:$C,'2.CC Trans-BB.RE collateral'!A10,Input!$H:$H,"&lt;&gt;"&amp;K$18,Input!$H:$H,"&lt;&gt;"&amp;K$19,Input!$F:$F,'2.CC Trans-BB.RE collateral'!$D$18)/1000000,0)</f>
        <v>0</v>
      </c>
      <c r="S10" s="28" t="e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#DIV/0!</v>
      </c>
      <c r="T10" s="9"/>
    </row>
    <row r="11" spans="1:24" s="1" customFormat="1" x14ac:dyDescent="0.35">
      <c r="A11" s="26" t="s">
        <v>53</v>
      </c>
      <c r="B11" s="3">
        <v>4</v>
      </c>
      <c r="C11" s="16" t="s">
        <v>99</v>
      </c>
      <c r="D11" s="27">
        <f>IFERROR(SUMIFS(Input!$G:$G,Input!$C:$C,'2.CC Trans-BB.RE collateral'!$A11,Input!$F:$F,'2.CC Trans-BB.RE collateral'!$D$18)/1000000,0)</f>
        <v>43.196713000000003</v>
      </c>
      <c r="E11" s="29">
        <f>IFERROR(SUMIFS(Input!$G:$G,Input!$C:$C,'2.CC Trans-BB.RE collateral'!$A11,Input!$E:$E,'2.CC Trans-BB.RE collateral'!E$18,Input!$F:$F,'2.CC Trans-BB.RE collateral'!$D$18)/1000000,0)</f>
        <v>14.909875</v>
      </c>
      <c r="F11" s="29">
        <f>IFERROR(SUMIFS(Input!$G:$G,Input!$C:$C,'2.CC Trans-BB.RE collateral'!$A11,Input!$E:$E,'2.CC Trans-BB.RE collateral'!F$18,Input!$F:$F,'2.CC Trans-BB.RE collateral'!$D$18)/1000000,0)</f>
        <v>22.444727</v>
      </c>
      <c r="G11" s="29">
        <f>IFERROR(SUMIFS(Input!$G:$G,Input!$C:$C,'2.CC Trans-BB.RE collateral'!$A11,Input!$E:$E,'2.CC Trans-BB.RE collateral'!G$18,Input!$F:$F,'2.CC Trans-BB.RE collateral'!$D$18)/1000000,0)</f>
        <v>1.8832040000000001</v>
      </c>
      <c r="H11" s="29">
        <f>IFERROR(SUMIFS(Input!$G:$G,Input!$C:$C,'2.CC Trans-BB.RE collateral'!$A11,Input!$E:$E,'2.CC Trans-BB.RE collateral'!H$18,Input!$F:$F,'2.CC Trans-BB.RE collateral'!$D$18)/1000000,0)</f>
        <v>0.211482</v>
      </c>
      <c r="I11" s="29">
        <f>IFERROR(SUMIFS(Input!$G:$G,Input!$C:$C,'2.CC Trans-BB.RE collateral'!$A11,Input!$E:$E,'2.CC Trans-BB.RE collateral'!I$18,Input!$F:$F,'2.CC Trans-BB.RE collateral'!$D$18)/1000000,0)</f>
        <v>0</v>
      </c>
      <c r="J11" s="29">
        <f>IFERROR(SUMIFS(Input!$G:$G,Input!$C:$C,'2.CC Trans-BB.RE collateral'!$A11,Input!$E:$E,'2.CC Trans-BB.RE collateral'!J$18,Input!$F:$F,'2.CC Trans-BB.RE collateral'!$D$18)/1000000,0)</f>
        <v>0</v>
      </c>
      <c r="K11" s="27">
        <f>IFERROR(SUM(SUMIFS(Input!$G:$G,Input!$C:$C,'2.CC Trans-BB.RE collateral'!$A11,Input!$D:$D,'2.CC Trans-BB.RE collateral'!K$7&amp;"*",Input!$H:$H,{"1-REAL";"SANTANDER"},Input!$F:$F,'2.CC Trans-BB.RE collateral'!$D$18))/1000000,0)</f>
        <v>0</v>
      </c>
      <c r="L11" s="27">
        <f>IFERROR(SUM(SUMIFS(Input!$G:$G,Input!$C:$C,'2.CC Trans-BB.RE collateral'!$A11,Input!$D:$D,'2.CC Trans-BB.RE collateral'!L$7&amp;"*",Input!$H:$H,{"1-REAL";"SANTANDER"},Input!$F:$F,'2.CC Trans-BB.RE collateral'!$D$18))/1000000,0)</f>
        <v>0.183562</v>
      </c>
      <c r="M11" s="27">
        <f>IFERROR(SUM(SUMIFS(Input!$G:$G,Input!$C:$C,'2.CC Trans-BB.RE collateral'!$A11,Input!$D:$D,'2.CC Trans-BB.RE collateral'!M$7,Input!$H:$H,{"1-REAL";"SANTANDER"},Input!$F:$F,'2.CC Trans-BB.RE collateral'!$D$18))/1000000,0)</f>
        <v>0.38995000000000002</v>
      </c>
      <c r="N11" s="27">
        <f>IFERROR(SUM(SUMIFS(Input!$G:$G,Input!$C:$C,'2.CC Trans-BB.RE collateral'!$A11,Input!$D:$D,'2.CC Trans-BB.RE collateral'!N$7,Input!$H:$H,{"1-REAL";"SANTANDER"},Input!$F:$F,'2.CC Trans-BB.RE collateral'!$D$18))/1000000,0)</f>
        <v>0.18888099999999999</v>
      </c>
      <c r="O11" s="27">
        <f>IFERROR(SUM(SUMIFS(Input!$G:$G,Input!$C:$C,'2.CC Trans-BB.RE collateral'!$A11,Input!$D:$D,'2.CC Trans-BB.RE collateral'!O$7,Input!$H:$H,{"1-REAL";"SANTANDER"},Input!$F:$F,'2.CC Trans-BB.RE collateral'!$D$18))/1000000,0)</f>
        <v>0.10167900000000001</v>
      </c>
      <c r="P11" s="27">
        <f>IFERROR(SUM(SUMIFS(Input!$G:$G,Input!$C:$C,'2.CC Trans-BB.RE collateral'!$A11,Input!$D:$D,'2.CC Trans-BB.RE collateral'!P$7,Input!$H:$H,{"1-REAL";"SANTANDER"},Input!$F:$F,'2.CC Trans-BB.RE collateral'!$D$18))/1000000,0)</f>
        <v>0.57942099999999996</v>
      </c>
      <c r="Q11" s="27">
        <f>IFERROR(SUM(SUMIFS(Input!$G:$G,Input!$C:$C,'2.CC Trans-BB.RE collateral'!$A11,Input!$D:$D,'2.CC Trans-BB.RE collateral'!Q$7,Input!$H:$H,{"1-REAL";"SANTANDER"},Input!$F:$F,'2.CC Trans-BB.RE collateral'!$D$18))/1000000,0)</f>
        <v>0</v>
      </c>
      <c r="R11" s="27">
        <f>IFERROR(SUMIFS(Input!$G:$G,Input!$C:$C,'2.CC Trans-BB.RE collateral'!A11,Input!$H:$H,"&lt;&gt;"&amp;K$18,Input!$H:$H,"&lt;&gt;"&amp;K$19,Input!$F:$F,'2.CC Trans-BB.RE collateral'!$D$18)/1000000,0)</f>
        <v>41.753219999999999</v>
      </c>
      <c r="S11" s="28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0.91024823953697465</v>
      </c>
      <c r="T11" s="9"/>
    </row>
    <row r="12" spans="1:24" s="1" customFormat="1" x14ac:dyDescent="0.35">
      <c r="A12" s="26" t="s">
        <v>63</v>
      </c>
      <c r="B12" s="3">
        <v>5</v>
      </c>
      <c r="C12" s="17" t="s">
        <v>100</v>
      </c>
      <c r="D12" s="27">
        <f>IFERROR(SUM(SUMIFS(Input!G:G,Input!C:C,{"Garantia Comercial";"Garantia Residencial";"Stock"},Input!$I:$I,$E$19,Input!E:E,"&lt;&gt;"&amp;'2.CC Trans-BB.RE collateral'!$A12,Input!$F:$F,'2.CC Trans-BB.RE collateral'!$D$18))/1000000,0)</f>
        <v>39.449288000000003</v>
      </c>
      <c r="E12" s="29">
        <f>IFERROR(SUM(SUMIFS(Input!$G:$G,Input!$C:$C,{"Garantia Comercial";"Garantia Residencial";"Stock"},Input!$I:$I,$E$19,Input!$E:$E,"&lt;&gt;"&amp;$A$12,Input!$E:$E,E$18,Input!$F:$F,'2.CC Trans-BB.RE collateral'!$D$18))/1000000,0)</f>
        <v>14.909875</v>
      </c>
      <c r="F12" s="29">
        <f>IFERROR(SUM(SUMIFS(Input!$G:$G,Input!$C:$C,{"Garantia Comercial";"Garantia Residencial";"Stock"},Input!$I:$I,$E$19,Input!$E:$E,"&lt;&gt;"&amp;$A$12,Input!$E:$E,F$18,Input!$F:$F,'2.CC Trans-BB.RE collateral'!$D$18))/1000000,0)</f>
        <v>22.444727</v>
      </c>
      <c r="G12" s="29">
        <f>IFERROR(SUM(SUMIFS(Input!$G:$G,Input!$C:$C,{"Garantia Comercial";"Garantia Residencial";"Stock"},Input!$I:$I,$E$19,Input!$E:$E,"&lt;&gt;"&amp;$A$12,Input!$E:$E,G$18,Input!$F:$F,'2.CC Trans-BB.RE collateral'!$D$18))/1000000,0)</f>
        <v>1.8832040000000001</v>
      </c>
      <c r="H12" s="29">
        <f>IFERROR(SUM(SUMIFS(Input!$G:$G,Input!$C:$C,{"Garantia Comercial";"Garantia Residencial";"Stock"},Input!$I:$I,$E$19,Input!$E:$E,"&lt;&gt;"&amp;$A$12,Input!$E:$E,H$18,Input!$F:$F,'2.CC Trans-BB.RE collateral'!$D$18))/1000000,0)</f>
        <v>0.211482</v>
      </c>
      <c r="I12" s="29">
        <f>IFERROR(SUM(SUMIFS(Input!$G:$G,Input!$C:$C,{"Garantia Comercial";"Garantia Residencial";"Stock"},Input!$I:$I,$E$19,Input!$E:$E,"&lt;&gt;"&amp;$A$12,Input!$E:$E,I$18,Input!$F:$F,'2.CC Trans-BB.RE collateral'!$D$18))/1000000,0)</f>
        <v>0</v>
      </c>
      <c r="J12" s="29">
        <f>IFERROR(SUM(SUMIFS(Input!$G:$G,Input!$C:$C,{"Garantia Comercial";"Garantia Residencial";"Stock"},Input!$I:$I,$E$19,Input!$E:$E,"&lt;&gt;"&amp;$A$12,Input!$E:$E,J$18,Input!$F:$F,'2.CC Trans-BB.RE collateral'!$D$18))/1000000,0)</f>
        <v>0</v>
      </c>
      <c r="K12" s="70"/>
      <c r="L12" s="70"/>
      <c r="M12" s="70"/>
      <c r="N12" s="70"/>
      <c r="O12" s="70"/>
      <c r="P12" s="70"/>
      <c r="Q12" s="70"/>
      <c r="R12" s="27">
        <f>IFERROR(SUM(SUMIFS(Input!$G:$G,Input!$C:$C,{"Garantia Comercial";"Garantia Residencial";"Stock"},Input!$I:$I,$E$19,Input!$H:$H,"&lt;&gt;"&amp;M$18,Input!$H:$H,"&lt;&gt;"&amp;$M$19,Input!$E:$E,"&lt;&gt;"&amp;$A$12,Input!$F:$F,'2.CC Trans-BB.RE collateral'!$D$18))/1000000,0)</f>
        <v>38.005794999999999</v>
      </c>
      <c r="S12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Residencial";"Stock"},Input!$I:$I,$E$19,Input!$H:$H,"&lt;&gt;"&amp;M$18,Input!$H:$H,"&lt;&gt;",Input!$H:$H,"&lt;&gt;"&amp;S$18,Input!$H:$H,"&lt;&gt;"&amp;$M$19,Input!$H:$H,"&lt;&gt;"&amp;$M$20,Input!$F:$F,'2.CC Trans-BB.RE collateral'!$D$18))/1000000)/R12</f>
        <v>1</v>
      </c>
      <c r="T12" s="9"/>
    </row>
    <row r="13" spans="1:24" s="1" customFormat="1" x14ac:dyDescent="0.35">
      <c r="A13" s="26"/>
      <c r="B13" s="3">
        <v>6</v>
      </c>
      <c r="C13" s="15" t="s">
        <v>101</v>
      </c>
      <c r="D13" s="27">
        <f>SUM(D14:D16)</f>
        <v>0</v>
      </c>
      <c r="E13" s="27">
        <f>+SUM(E14:E16)</f>
        <v>0</v>
      </c>
      <c r="F13" s="27">
        <f>+SUM(F14:F16)</f>
        <v>0</v>
      </c>
      <c r="G13" s="27">
        <f>+SUM(G14:G16)</f>
        <v>0</v>
      </c>
      <c r="H13" s="27">
        <f>+SUM(H14:H16)</f>
        <v>0</v>
      </c>
      <c r="I13" s="27">
        <f t="shared" ref="I13:J13" si="2">+SUM(I14:I16)</f>
        <v>0</v>
      </c>
      <c r="J13" s="27">
        <f t="shared" si="2"/>
        <v>0</v>
      </c>
      <c r="K13" s="27">
        <f>+SUM(K14:K16)</f>
        <v>0</v>
      </c>
      <c r="L13" s="27">
        <f t="shared" ref="L13:Q13" si="3">+SUM(L14:L16)</f>
        <v>0</v>
      </c>
      <c r="M13" s="27">
        <f t="shared" si="3"/>
        <v>0</v>
      </c>
      <c r="N13" s="27">
        <f t="shared" si="3"/>
        <v>0</v>
      </c>
      <c r="O13" s="27">
        <f t="shared" si="3"/>
        <v>0</v>
      </c>
      <c r="P13" s="27">
        <f t="shared" si="3"/>
        <v>0</v>
      </c>
      <c r="Q13" s="27">
        <f t="shared" si="3"/>
        <v>0</v>
      </c>
      <c r="R13" s="27">
        <f>SUM(R14:R16)</f>
        <v>0</v>
      </c>
      <c r="S13" s="28" t="e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#DIV/0!</v>
      </c>
    </row>
    <row r="14" spans="1:24" x14ac:dyDescent="0.35">
      <c r="A14" s="26" t="s">
        <v>37</v>
      </c>
      <c r="B14" s="3">
        <v>7</v>
      </c>
      <c r="C14" s="16" t="s">
        <v>97</v>
      </c>
      <c r="D14" s="27">
        <f>IFERROR(SUMIFS(Input!$G:$G,Input!$C:$C,'2.CC Trans-BB.RE collateral'!$A14,Input!$F:$F,'2.CC Trans-BB.RE collateral'!$D$19)/1000000,0)</f>
        <v>0</v>
      </c>
      <c r="E14" s="29">
        <f>IFERROR(SUMIFS(Input!$G:$G,Input!$C:$C,'2.CC Trans-BB.RE collateral'!$A14,Input!$E:$E,'2.CC Trans-BB.RE collateral'!E$18,Input!$F:$F,'2.CC Trans-BB.RE collateral'!$D$19)/1000000,0)</f>
        <v>0</v>
      </c>
      <c r="F14" s="29">
        <f>IFERROR(SUMIFS(Input!$G:$G,Input!$C:$C,'2.CC Trans-BB.RE collateral'!$A14,Input!$E:$E,'2.CC Trans-BB.RE collateral'!F$18,Input!$F:$F,'2.CC Trans-BB.RE collateral'!$D$19)/1000000,0)</f>
        <v>0</v>
      </c>
      <c r="G14" s="29">
        <f>IFERROR(SUMIFS(Input!$G:$G,Input!$C:$C,'2.CC Trans-BB.RE collateral'!$A14,Input!$E:$E,'2.CC Trans-BB.RE collateral'!G$18,Input!$F:$F,'2.CC Trans-BB.RE collateral'!$D$19)/1000000,0)</f>
        <v>0</v>
      </c>
      <c r="H14" s="29">
        <f>IFERROR(SUMIFS(Input!$G:$G,Input!$C:$C,'2.CC Trans-BB.RE collateral'!$A14,Input!$E:$E,'2.CC Trans-BB.RE collateral'!H$18,Input!$F:$F,'2.CC Trans-BB.RE collateral'!$D$19)/1000000,0)</f>
        <v>0</v>
      </c>
      <c r="I14" s="29">
        <f>IFERROR(SUMIFS(Input!$G:$G,Input!$C:$C,'2.CC Trans-BB.RE collateral'!$A14,Input!$E:$E,'2.CC Trans-BB.RE collateral'!I$18,Input!$F:$F,'2.CC Trans-BB.RE collateral'!$D$19)/1000000,0)</f>
        <v>0</v>
      </c>
      <c r="J14" s="29">
        <f>IFERROR(SUMIFS(Input!$G:$G,Input!$C:$C,'2.CC Trans-BB.RE collateral'!$A14,Input!$E:$E,'2.CC Trans-BB.RE collateral'!J$18,Input!$F:$F,'2.CC Trans-BB.RE collateral'!$D$19)/1000000,0)</f>
        <v>0</v>
      </c>
      <c r="K14" s="27">
        <f>IFERROR(SUM(SUMIFS(Input!$G:$G,Input!$C:$C,'2.CC Trans-BB.RE collateral'!$A14,Input!$D:$D,'2.CC Trans-BB.RE collateral'!K$7&amp;"*",Input!$H:$H,{"1-REAL";"SANTANDER"},Input!$F:$F,'2.CC Trans-BB.RE collateral'!$D$19))/1000000,0)</f>
        <v>0</v>
      </c>
      <c r="L14" s="27">
        <f>IFERROR(SUM(SUMIFS(Input!$G:$G,Input!$C:$C,'2.CC Trans-BB.RE collateral'!$A14,Input!$D:$D,'2.CC Trans-BB.RE collateral'!L$7&amp;"*",Input!$H:$H,{"1-REAL";"SANTANDER"},Input!$F:$F,'2.CC Trans-BB.RE collateral'!$D$19))/1000000,0)</f>
        <v>0</v>
      </c>
      <c r="M14" s="27">
        <f>IFERROR(SUM(SUMIFS(Input!$G:$G,Input!$C:$C,'2.CC Trans-BB.RE collateral'!$A14,Input!$D:$D,'2.CC Trans-BB.RE collateral'!M$7,Input!$H:$H,{"1-REAL";"SANTANDER"},Input!$F:$F,'2.CC Trans-BB.RE collateral'!$D$19))/1000000,0)</f>
        <v>0</v>
      </c>
      <c r="N14" s="27">
        <f>IFERROR(SUM(SUMIFS(Input!$G:$G,Input!$C:$C,'2.CC Trans-BB.RE collateral'!$A14,Input!$D:$D,'2.CC Trans-BB.RE collateral'!N$7,Input!$H:$H,{"1-REAL";"SANTANDER"},Input!$F:$F,'2.CC Trans-BB.RE collateral'!$D$19))/1000000,0)</f>
        <v>0</v>
      </c>
      <c r="O14" s="27">
        <f>IFERROR(SUM(SUMIFS(Input!$G:$G,Input!$C:$C,'2.CC Trans-BB.RE collateral'!$A14,Input!$D:$D,'2.CC Trans-BB.RE collateral'!O$7,Input!$H:$H,{"1-REAL";"SANTANDER"},Input!$F:$F,'2.CC Trans-BB.RE collateral'!$D$19))/1000000,0)</f>
        <v>0</v>
      </c>
      <c r="P14" s="27">
        <f>IFERROR(SUM(SUMIFS(Input!$G:$G,Input!$C:$C,'2.CC Trans-BB.RE collateral'!$A14,Input!$D:$D,'2.CC Trans-BB.RE collateral'!P$7,Input!$H:$H,{"1-REAL";"SANTANDER"},Input!$F:$F,'2.CC Trans-BB.RE collateral'!$D$19))/1000000,0)</f>
        <v>0</v>
      </c>
      <c r="Q14" s="27">
        <f>IFERROR(SUM(SUMIFS(Input!$G:$G,Input!$C:$C,'2.CC Trans-BB.RE collateral'!$A14,Input!$D:$D,'2.CC Trans-BB.RE collateral'!Q$7,Input!$H:$H,{"1-REAL";"SANTANDER"},Input!$F:$F,'2.CC Trans-BB.RE collateral'!$D$19))/1000000,0)</f>
        <v>0</v>
      </c>
      <c r="R14" s="27">
        <f>IFERROR(SUMIFS(Input!$G:$G,Input!$C:$C,'2.CC Trans-BB.RE collateral'!A14,Input!$H:$H,"&lt;&gt;"&amp;K$18,Input!$H:$H,"&lt;&gt;"&amp;K$19,Input!$F:$F,'2.CC Trans-BB.RE collateral'!$D$19)/1000000,0)</f>
        <v>0</v>
      </c>
      <c r="S14" s="28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5">
      <c r="A15" s="26" t="s">
        <v>46</v>
      </c>
      <c r="B15" s="3">
        <v>8</v>
      </c>
      <c r="C15" s="16" t="s">
        <v>98</v>
      </c>
      <c r="D15" s="27">
        <f>IFERROR(SUMIFS(Input!$G:$G,Input!$C:$C,'2.CC Trans-BB.RE collateral'!$A15,Input!$F:$F,'2.CC Trans-BB.RE collateral'!$D$19)/1000000,0)</f>
        <v>0</v>
      </c>
      <c r="E15" s="29">
        <f>IFERROR(SUMIFS(Input!$G:$G,Input!$C:$C,'2.CC Trans-BB.RE collateral'!$A15,Input!$E:$E,'2.CC Trans-BB.RE collateral'!E$18,Input!$F:$F,'2.CC Trans-BB.RE collateral'!$D$19)/1000000,0)</f>
        <v>0</v>
      </c>
      <c r="F15" s="29">
        <f>IFERROR(SUMIFS(Input!$G:$G,Input!$C:$C,'2.CC Trans-BB.RE collateral'!$A15,Input!$E:$E,'2.CC Trans-BB.RE collateral'!F$18,Input!$F:$F,'2.CC Trans-BB.RE collateral'!$D$19)/1000000,0)</f>
        <v>0</v>
      </c>
      <c r="G15" s="29">
        <f>IFERROR(SUMIFS(Input!$G:$G,Input!$C:$C,'2.CC Trans-BB.RE collateral'!$A15,Input!$E:$E,'2.CC Trans-BB.RE collateral'!G$18,Input!$F:$F,'2.CC Trans-BB.RE collateral'!$D$19)/1000000,0)</f>
        <v>0</v>
      </c>
      <c r="H15" s="29">
        <f>IFERROR(SUMIFS(Input!$G:$G,Input!$C:$C,'2.CC Trans-BB.RE collateral'!$A15,Input!$E:$E,'2.CC Trans-BB.RE collateral'!H$18,Input!$F:$F,'2.CC Trans-BB.RE collateral'!$D$19)/1000000,0)</f>
        <v>0</v>
      </c>
      <c r="I15" s="29">
        <f>IFERROR(SUMIFS(Input!$G:$G,Input!$C:$C,'2.CC Trans-BB.RE collateral'!$A15,Input!$E:$E,'2.CC Trans-BB.RE collateral'!I$18,Input!$F:$F,'2.CC Trans-BB.RE collateral'!$D$19)/1000000,0)</f>
        <v>0</v>
      </c>
      <c r="J15" s="29">
        <f>IFERROR(SUMIFS(Input!$G:$G,Input!$C:$C,'2.CC Trans-BB.RE collateral'!$A15,Input!$E:$E,'2.CC Trans-BB.RE collateral'!J$18,Input!$F:$F,'2.CC Trans-BB.RE collateral'!$D$19)/1000000,0)</f>
        <v>0</v>
      </c>
      <c r="K15" s="27">
        <f>IFERROR(SUM(SUMIFS(Input!$G:$G,Input!$C:$C,'2.CC Trans-BB.RE collateral'!$A15,Input!$D:$D,'2.CC Trans-BB.RE collateral'!K$7&amp;"*",Input!$H:$H,{"1-REAL";"SANTANDER"},Input!$F:$F,'2.CC Trans-BB.RE collateral'!$D$19))/1000000,0)</f>
        <v>0</v>
      </c>
      <c r="L15" s="27">
        <f>IFERROR(SUM(SUMIFS(Input!$G:$G,Input!$C:$C,'2.CC Trans-BB.RE collateral'!$A15,Input!$D:$D,'2.CC Trans-BB.RE collateral'!L$7&amp;"*",Input!$H:$H,{"1-REAL";"SANTANDER"},Input!$F:$F,'2.CC Trans-BB.RE collateral'!$D$19))/1000000,0)</f>
        <v>0</v>
      </c>
      <c r="M15" s="27">
        <f>IFERROR(SUM(SUMIFS(Input!$G:$G,Input!$C:$C,'2.CC Trans-BB.RE collateral'!$A15,Input!$D:$D,'2.CC Trans-BB.RE collateral'!M$7,Input!$H:$H,{"1-REAL";"SANTANDER"},Input!$F:$F,'2.CC Trans-BB.RE collateral'!$D$19))/1000000,0)</f>
        <v>0</v>
      </c>
      <c r="N15" s="27">
        <f>IFERROR(SUM(SUMIFS(Input!$G:$G,Input!$C:$C,'2.CC Trans-BB.RE collateral'!$A15,Input!$D:$D,'2.CC Trans-BB.RE collateral'!N$7,Input!$H:$H,{"1-REAL";"SANTANDER"},Input!$F:$F,'2.CC Trans-BB.RE collateral'!$D$19))/1000000,0)</f>
        <v>0</v>
      </c>
      <c r="O15" s="27">
        <f>IFERROR(SUM(SUMIFS(Input!$G:$G,Input!$C:$C,'2.CC Trans-BB.RE collateral'!$A15,Input!$D:$D,'2.CC Trans-BB.RE collateral'!O$7,Input!$H:$H,{"1-REAL";"SANTANDER"},Input!$F:$F,'2.CC Trans-BB.RE collateral'!$D$19))/1000000,0)</f>
        <v>0</v>
      </c>
      <c r="P15" s="27">
        <f>IFERROR(SUM(SUMIFS(Input!$G:$G,Input!$C:$C,'2.CC Trans-BB.RE collateral'!$A15,Input!$D:$D,'2.CC Trans-BB.RE collateral'!P$7,Input!$H:$H,{"1-REAL";"SANTANDER"},Input!$F:$F,'2.CC Trans-BB.RE collateral'!$D$19))/1000000,0)</f>
        <v>0</v>
      </c>
      <c r="Q15" s="27">
        <f>IFERROR(SUM(SUMIFS(Input!$G:$G,Input!$C:$C,'2.CC Trans-BB.RE collateral'!$A15,Input!$D:$D,'2.CC Trans-BB.RE collateral'!Q$7,Input!$H:$H,{"1-REAL";"SANTANDER"},Input!$F:$F,'2.CC Trans-BB.RE collateral'!$D$19))/1000000,0)</f>
        <v>0</v>
      </c>
      <c r="R15" s="27">
        <f>IFERROR(SUMIFS(Input!$G:$G,Input!$C:$C,'2.CC Trans-BB.RE collateral'!A15,Input!$H:$H,"&lt;&gt;"&amp;K$18,Input!$H:$H,"&lt;&gt;"&amp;K$19,Input!$F:$F,'2.CC Trans-BB.RE collateral'!$D$19)/1000000,0)</f>
        <v>0</v>
      </c>
      <c r="S15" s="28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</v>
      </c>
    </row>
    <row r="16" spans="1:24" s="1" customFormat="1" ht="13" x14ac:dyDescent="0.3">
      <c r="A16" s="23" t="s">
        <v>53</v>
      </c>
      <c r="B16" s="3">
        <v>9</v>
      </c>
      <c r="C16" s="16" t="s">
        <v>99</v>
      </c>
      <c r="D16" s="27">
        <f>IFERROR(SUMIFS(Input!$G:$G,Input!$C:$C,'2.CC Trans-BB.RE collateral'!$A16,Input!$F:$F,'2.CC Trans-BB.RE collateral'!$D$19)/1000000,0)</f>
        <v>0</v>
      </c>
      <c r="E16" s="29">
        <f>IFERROR(SUMIFS(Input!$G:$G,Input!$C:$C,'2.CC Trans-BB.RE collateral'!$A16,Input!$E:$E,'2.CC Trans-BB.RE collateral'!E$18,Input!$F:$F,'2.CC Trans-BB.RE collateral'!$D$19)/1000000,0)</f>
        <v>0</v>
      </c>
      <c r="F16" s="29">
        <f>IFERROR(SUMIFS(Input!$G:$G,Input!$C:$C,'2.CC Trans-BB.RE collateral'!$A16,Input!$E:$E,'2.CC Trans-BB.RE collateral'!F$18,Input!$F:$F,'2.CC Trans-BB.RE collateral'!$D$19)/1000000,0)</f>
        <v>0</v>
      </c>
      <c r="G16" s="29">
        <f>IFERROR(SUMIFS(Input!$G:$G,Input!$C:$C,'2.CC Trans-BB.RE collateral'!$A16,Input!$E:$E,'2.CC Trans-BB.RE collateral'!G$18,Input!$F:$F,'2.CC Trans-BB.RE collateral'!$D$19)/1000000,0)</f>
        <v>0</v>
      </c>
      <c r="H16" s="29">
        <f>IFERROR(SUMIFS(Input!$G:$G,Input!$C:$C,'2.CC Trans-BB.RE collateral'!$A16,Input!$E:$E,'2.CC Trans-BB.RE collateral'!H$18,Input!$F:$F,'2.CC Trans-BB.RE collateral'!$D$19)/1000000,0)</f>
        <v>0</v>
      </c>
      <c r="I16" s="29">
        <f>IFERROR(SUMIFS(Input!$G:$G,Input!$C:$C,'2.CC Trans-BB.RE collateral'!$A16,Input!$E:$E,'2.CC Trans-BB.RE collateral'!I$18,Input!$F:$F,'2.CC Trans-BB.RE collateral'!$D$19)/1000000,0)</f>
        <v>0</v>
      </c>
      <c r="J16" s="29">
        <f>IFERROR(SUMIFS(Input!$G:$G,Input!$C:$C,'2.CC Trans-BB.RE collateral'!$A16,Input!$E:$E,'2.CC Trans-BB.RE collateral'!J$18,Input!$F:$F,'2.CC Trans-BB.RE collateral'!$D$19)/1000000,0)</f>
        <v>0</v>
      </c>
      <c r="K16" s="27">
        <f>IFERROR(SUM(SUMIFS(Input!$G:$G,Input!$C:$C,'2.CC Trans-BB.RE collateral'!$A16,Input!$D:$D,'2.CC Trans-BB.RE collateral'!K$7&amp;"*",Input!$H:$H,{"1-REAL";"SANTANDER"},Input!$F:$F,'2.CC Trans-BB.RE collateral'!$D$19))/1000000,0)</f>
        <v>0</v>
      </c>
      <c r="L16" s="27">
        <f>IFERROR(SUM(SUMIFS(Input!$G:$G,Input!$C:$C,'2.CC Trans-BB.RE collateral'!$A16,Input!$D:$D,'2.CC Trans-BB.RE collateral'!L$7&amp;"*",Input!$H:$H,{"1-REAL";"SANTANDER"},Input!$F:$F,'2.CC Trans-BB.RE collateral'!$D$19))/1000000,0)</f>
        <v>0</v>
      </c>
      <c r="M16" s="27">
        <f>IFERROR(SUM(SUMIFS(Input!$G:$G,Input!$C:$C,'2.CC Trans-BB.RE collateral'!$A16,Input!$D:$D,'2.CC Trans-BB.RE collateral'!M$7,Input!$H:$H,{"1-REAL";"SANTANDER"},Input!$F:$F,'2.CC Trans-BB.RE collateral'!$D$19))/1000000,0)</f>
        <v>0</v>
      </c>
      <c r="N16" s="27">
        <f>IFERROR(SUM(SUMIFS(Input!$G:$G,Input!$C:$C,'2.CC Trans-BB.RE collateral'!$A16,Input!$D:$D,'2.CC Trans-BB.RE collateral'!N$7,Input!$H:$H,{"1-REAL";"SANTANDER"},Input!$F:$F,'2.CC Trans-BB.RE collateral'!$D$19))/1000000,0)</f>
        <v>0</v>
      </c>
      <c r="O16" s="27">
        <f>IFERROR(SUM(SUMIFS(Input!$G:$G,Input!$C:$C,'2.CC Trans-BB.RE collateral'!$A16,Input!$D:$D,'2.CC Trans-BB.RE collateral'!O$7,Input!$H:$H,{"1-REAL";"SANTANDER"},Input!$F:$F,'2.CC Trans-BB.RE collateral'!$D$19))/1000000,0)</f>
        <v>0</v>
      </c>
      <c r="P16" s="27">
        <f>IFERROR(SUM(SUMIFS(Input!$G:$G,Input!$C:$C,'2.CC Trans-BB.RE collateral'!$A16,Input!$D:$D,'2.CC Trans-BB.RE collateral'!P$7,Input!$H:$H,{"1-REAL";"SANTANDER"},Input!$F:$F,'2.CC Trans-BB.RE collateral'!$D$19))/1000000,0)</f>
        <v>0</v>
      </c>
      <c r="Q16" s="27">
        <f>IFERROR(SUM(SUMIFS(Input!$G:$G,Input!$C:$C,'2.CC Trans-BB.RE collateral'!$A16,Input!$D:$D,'2.CC Trans-BB.RE collateral'!Q$7,Input!$H:$H,{"1-REAL";"SANTANDER"},Input!$F:$F,'2.CC Trans-BB.RE collateral'!$D$19))/1000000,0)</f>
        <v>0</v>
      </c>
      <c r="R16" s="27">
        <f>IFERROR(SUMIFS(Input!$G:$G,Input!$C:$C,'2.CC Trans-BB.RE collateral'!A16,Input!$H:$H,"&lt;&gt;"&amp;K$18,Input!$H:$H,"&lt;&gt;"&amp;K$19,Input!$F:$F,'2.CC Trans-BB.RE collateral'!$D$19)/1000000,0)</f>
        <v>0</v>
      </c>
      <c r="S16" s="28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" x14ac:dyDescent="0.3">
      <c r="A17" s="23" t="s">
        <v>63</v>
      </c>
      <c r="B17" s="3">
        <v>10</v>
      </c>
      <c r="C17" s="17" t="s">
        <v>100</v>
      </c>
      <c r="D17" s="27">
        <f>IFERROR(SUM(SUMIFS(Input!G:G,Input!C:C,{"Garantia Comercial";"Garantia Residencial";"Stock"},Input!$I:$I,$E$19,Input!E:E,"&lt;&gt;"&amp;'2.CC Trans-BB.RE collateral'!$A17,Input!$F:$F,'2.CC Trans-BB.RE collateral'!$D$19))/1000000,0)</f>
        <v>0</v>
      </c>
      <c r="E17" s="29">
        <f>IFERROR(SUM(SUMIFS(Input!$G:$G,Input!$C:$C,{"Garantia Comercial";"Garantia Residencial";"Stock"},Input!$I:$I,$E$19,Input!$E:$E,"&lt;&gt;"&amp;$A$12,Input!$E:$E,E$18,Input!$F:$F,'2.CC Trans-BB.RE collateral'!$D$19))/1000000,0)</f>
        <v>0</v>
      </c>
      <c r="F17" s="29">
        <f>IFERROR(SUM(SUMIFS(Input!$G:$G,Input!$C:$C,{"Garantia Comercial";"Garantia Residencial";"Stock"},Input!$I:$I,$E$19,Input!$E:$E,"&lt;&gt;"&amp;$A$12,Input!$E:$E,F$18,Input!$F:$F,'2.CC Trans-BB.RE collateral'!$D$19))/1000000,0)</f>
        <v>0</v>
      </c>
      <c r="G17" s="29">
        <f>IFERROR(SUM(SUMIFS(Input!$G:$G,Input!$C:$C,{"Garantia Comercial";"Garantia Residencial";"Stock"},Input!$I:$I,$E$19,Input!$E:$E,"&lt;&gt;"&amp;$A$12,Input!$E:$E,G$18,Input!$F:$F,'2.CC Trans-BB.RE collateral'!$D$19))/1000000,0)</f>
        <v>0</v>
      </c>
      <c r="H17" s="29">
        <f>IFERROR(SUM(SUMIFS(Input!$G:$G,Input!$C:$C,{"Garantia Comercial";"Garantia Residencial";"Stock"},Input!$I:$I,$E$19,Input!$E:$E,"&lt;&gt;"&amp;$A$12,Input!$E:$E,H$18,Input!$F:$F,'2.CC Trans-BB.RE collateral'!$D$19))/1000000,0)</f>
        <v>0</v>
      </c>
      <c r="I17" s="29">
        <f>IFERROR(SUM(SUMIFS(Input!$G:$G,Input!$C:$C,{"Garantia Comercial";"Garantia Residencial";"Stock"},Input!$I:$I,$E$19,Input!$E:$E,"&lt;&gt;"&amp;$A$12,Input!$E:$E,I$18,Input!$F:$F,'2.CC Trans-BB.RE collateral'!$D$19))/1000000,0)</f>
        <v>0</v>
      </c>
      <c r="J17" s="29">
        <f>IFERROR(SUM(SUMIFS(Input!$G:$G,Input!$C:$C,{"Garantia Comercial";"Garantia Residencial";"Stock"},Input!$I:$I,$E$19,Input!$E:$E,"&lt;&gt;"&amp;$A$12,Input!$E:$E,J$18,Input!$F:$F,'2.CC Trans-BB.RE collateral'!$D$19))/1000000,0)</f>
        <v>0</v>
      </c>
      <c r="K17" s="70"/>
      <c r="L17" s="70"/>
      <c r="M17" s="70"/>
      <c r="N17" s="70"/>
      <c r="O17" s="70"/>
      <c r="P17" s="70"/>
      <c r="Q17" s="70"/>
      <c r="R17" s="27">
        <f>IFERROR(SUM(SUMIFS(Input!$G:$G,Input!$C:$C,{"Garantia Comercial";"Garantia Residencial";"Stock"},Input!$I:$I,$E$19,Input!$H:$H,"&lt;&gt;"&amp;M$18,Input!$H:$H,"&lt;&gt;"&amp;$M$19,Input!$E:$E,"&lt;&gt;"&amp;$A$12,Input!$F:$F,'2.CC Trans-BB.RE collateral'!$D$19))/1000000,0)</f>
        <v>0</v>
      </c>
      <c r="S17" s="28" t="e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Residencial";"Stock"},Input!$I:$I,$E$19,Input!$H:$H,"&lt;&gt;"&amp;M$18,Input!$H:$H,"&lt;&gt;",Input!$H:$H,"&lt;&gt;"&amp;S$18,Input!$H:$H,"&lt;&gt;"&amp;$M$19,Input!$H:$H,"&lt;&gt;"&amp;$M$20,Input!$F:$F,'2.CC Trans-BB.RE collateral'!$D$19))/1000000)/R17</f>
        <v>#DIV/0!</v>
      </c>
      <c r="T17" s="9"/>
    </row>
    <row r="18" spans="1:20" x14ac:dyDescent="0.35">
      <c r="D18" s="24" t="s">
        <v>40</v>
      </c>
      <c r="E18" s="24" t="s">
        <v>48</v>
      </c>
      <c r="F18" s="24" t="s">
        <v>39</v>
      </c>
      <c r="G18" s="24" t="s">
        <v>43</v>
      </c>
      <c r="H18" s="24" t="s">
        <v>58</v>
      </c>
      <c r="I18" s="24" t="s">
        <v>66</v>
      </c>
      <c r="J18" s="24" t="s">
        <v>61</v>
      </c>
      <c r="K18" s="25" t="s">
        <v>41</v>
      </c>
      <c r="L18" s="26" t="s">
        <v>41</v>
      </c>
      <c r="M18" s="26" t="s">
        <v>41</v>
      </c>
      <c r="N18" s="26" t="s">
        <v>41</v>
      </c>
      <c r="O18" s="26" t="s">
        <v>41</v>
      </c>
      <c r="P18" s="26" t="s">
        <v>41</v>
      </c>
      <c r="Q18" s="26" t="s">
        <v>41</v>
      </c>
      <c r="R18" s="24" t="s">
        <v>63</v>
      </c>
      <c r="S18" s="25" t="s">
        <v>64</v>
      </c>
    </row>
    <row r="19" spans="1:20" x14ac:dyDescent="0.35">
      <c r="D19" s="24" t="s">
        <v>49</v>
      </c>
      <c r="E19" s="26" t="s">
        <v>45</v>
      </c>
      <c r="F19" s="26"/>
      <c r="G19" s="26"/>
      <c r="H19" s="26"/>
      <c r="I19" s="26"/>
      <c r="J19" s="26"/>
      <c r="K19" s="24" t="s">
        <v>102</v>
      </c>
      <c r="L19" s="26" t="s">
        <v>102</v>
      </c>
      <c r="M19" s="26" t="s">
        <v>102</v>
      </c>
      <c r="N19" s="26" t="s">
        <v>102</v>
      </c>
      <c r="O19" s="26" t="s">
        <v>102</v>
      </c>
      <c r="P19" s="26" t="s">
        <v>102</v>
      </c>
      <c r="Q19" s="26" t="s">
        <v>102</v>
      </c>
      <c r="R19" s="26"/>
      <c r="S19" s="26"/>
    </row>
    <row r="20" spans="1:20" x14ac:dyDescent="0.35">
      <c r="D20" s="26"/>
      <c r="E20" s="26"/>
      <c r="F20" s="26"/>
      <c r="G20" s="26"/>
      <c r="H20" s="26"/>
      <c r="I20" s="26"/>
      <c r="J20" s="26"/>
      <c r="K20" s="24" t="s">
        <v>65</v>
      </c>
      <c r="L20" s="24" t="s">
        <v>65</v>
      </c>
      <c r="M20" s="24" t="s">
        <v>65</v>
      </c>
      <c r="N20" s="24" t="s">
        <v>65</v>
      </c>
      <c r="O20" s="24" t="s">
        <v>65</v>
      </c>
      <c r="P20" s="24" t="s">
        <v>65</v>
      </c>
      <c r="Q20" s="24" t="s">
        <v>65</v>
      </c>
      <c r="R20" s="24"/>
      <c r="S20" s="26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d2b97dc3e7ce5d43c2cadfe001470c8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97be753cac7d895f8e49e2ff3f27a272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0B8AD90-BCBD-4DED-B335-F859A2FC9FC3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Ana Rita Geraldo de Caguerelho</cp:lastModifiedBy>
  <cp:revision/>
  <dcterms:created xsi:type="dcterms:W3CDTF">2021-09-06T12:20:44Z</dcterms:created>
  <dcterms:modified xsi:type="dcterms:W3CDTF">2025-11-28T14:22:47Z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