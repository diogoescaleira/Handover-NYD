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1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Templates Locais/01. Template 2/"/>
    </mc:Choice>
  </mc:AlternateContent>
  <xr:revisionPtr revIDLastSave="4" documentId="11_BD3C8885FA7B3804C930C25825B46CD7F5FAF04E" xr6:coauthVersionLast="47" xr6:coauthVersionMax="47" xr10:uidLastSave="{64AF7F4F-43A5-4101-A276-4247CE963CE2}"/>
  <bookViews>
    <workbookView xWindow="-110" yWindow="-110" windowWidth="19420" windowHeight="10300" firstSheet="1" activeTab="1" xr2:uid="{00000000-000D-0000-FFFF-FFFF00000000}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Input!$C$6:$H$6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6" i="6" l="1"/>
  <c r="L15" i="6"/>
  <c r="L14" i="6"/>
  <c r="L11" i="6"/>
  <c r="L10" i="6"/>
  <c r="L9" i="6"/>
  <c r="K16" i="6"/>
  <c r="K15" i="6"/>
  <c r="K14" i="6"/>
  <c r="K11" i="6"/>
  <c r="K10" i="6"/>
  <c r="K9" i="6"/>
  <c r="F10" i="29" l="1"/>
  <c r="R9" i="6" l="1"/>
  <c r="D12" i="6"/>
  <c r="R17" i="6" l="1"/>
  <c r="S17" i="6" s="1"/>
  <c r="R15" i="6"/>
  <c r="S15" i="6" s="1"/>
  <c r="R16" i="6"/>
  <c r="S16" i="6" s="1"/>
  <c r="R14" i="6"/>
  <c r="S14" i="6" s="1"/>
  <c r="R12" i="6"/>
  <c r="S12" i="6" s="1"/>
  <c r="R10" i="6"/>
  <c r="S10" i="6" s="1"/>
  <c r="R11" i="6"/>
  <c r="S11" i="6" s="1"/>
  <c r="S9" i="6"/>
  <c r="M9" i="6"/>
  <c r="N9" i="6"/>
  <c r="O9" i="6"/>
  <c r="P9" i="6"/>
  <c r="Q9" i="6"/>
  <c r="M10" i="6"/>
  <c r="N10" i="6"/>
  <c r="O10" i="6"/>
  <c r="P10" i="6"/>
  <c r="Q10" i="6"/>
  <c r="M11" i="6"/>
  <c r="N11" i="6"/>
  <c r="O11" i="6"/>
  <c r="P11" i="6"/>
  <c r="Q11" i="6"/>
  <c r="F12" i="6"/>
  <c r="G12" i="6"/>
  <c r="H12" i="6"/>
  <c r="I12" i="6"/>
  <c r="J12" i="6"/>
  <c r="E12" i="6"/>
  <c r="F11" i="6"/>
  <c r="G11" i="6"/>
  <c r="H11" i="6"/>
  <c r="I11" i="6"/>
  <c r="J11" i="6"/>
  <c r="F10" i="6"/>
  <c r="G10" i="6"/>
  <c r="H10" i="6"/>
  <c r="I10" i="6"/>
  <c r="J10" i="6"/>
  <c r="F9" i="6"/>
  <c r="G9" i="6"/>
  <c r="H9" i="6"/>
  <c r="I9" i="6"/>
  <c r="J9" i="6"/>
  <c r="E10" i="6"/>
  <c r="E11" i="6"/>
  <c r="E9" i="6"/>
  <c r="M14" i="6"/>
  <c r="N14" i="6"/>
  <c r="O14" i="6"/>
  <c r="P14" i="6"/>
  <c r="Q14" i="6"/>
  <c r="M15" i="6"/>
  <c r="N15" i="6"/>
  <c r="O15" i="6"/>
  <c r="P15" i="6"/>
  <c r="Q15" i="6"/>
  <c r="M16" i="6"/>
  <c r="N16" i="6"/>
  <c r="O16" i="6"/>
  <c r="P16" i="6"/>
  <c r="Q16" i="6"/>
  <c r="F17" i="6"/>
  <c r="G17" i="6"/>
  <c r="H17" i="6"/>
  <c r="I17" i="6"/>
  <c r="J17" i="6"/>
  <c r="E17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7" i="6"/>
  <c r="D15" i="6"/>
  <c r="D16" i="6"/>
  <c r="D14" i="6"/>
  <c r="D11" i="6"/>
  <c r="D10" i="6"/>
  <c r="D9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João Ricardo Galhardo Almeida Costa</author>
  </authors>
  <commentList>
    <comment ref="D12" authorId="0" shapeId="0" xr:uid="{00000000-0006-0000-0300-000001000000}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2" authorId="0" shapeId="0" xr:uid="{00000000-0006-0000-0300-000002000000}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D17" authorId="0" shapeId="0" xr:uid="{00000000-0006-0000-0300-000003000000}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7" authorId="0" shapeId="0" xr:uid="{00000000-0006-0000-0300-000004000000}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</commentList>
</comments>
</file>

<file path=xl/sharedStrings.xml><?xml version="1.0" encoding="utf-8"?>
<sst xmlns="http://schemas.openxmlformats.org/spreadsheetml/2006/main" count="115" uniqueCount="88">
  <si>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</si>
  <si>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</si>
  <si>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2_v1.0.sql".</t>
    </r>
  </si>
  <si>
    <t>1.1. Execução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</si>
  <si>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</si>
  <si>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</si>
  <si>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</si>
  <si>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</si>
  <si>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</si>
  <si>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</si>
  <si>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</si>
  <si>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</si>
  <si>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</si>
  <si>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</si>
  <si>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</si>
  <si>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</si>
  <si>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</si>
  <si>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</si>
  <si>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</si>
  <si>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</si>
  <si>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</si>
  <si>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</si>
  <si>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</si>
  <si>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</si>
  <si>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</si>
  <si>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</si>
  <si>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</si>
  <si>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</si>
  <si>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</si>
  <si>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</si>
  <si>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Template 2: Banking book - Climate change transition risk: Loans collateralised by immovable property - Energy efficiency of the collateral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</si>
  <si>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</si>
  <si>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</si>
  <si>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</si>
  <si>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</si>
  <si>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</si>
  <si>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</si>
  <si>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</si>
  <si>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</si>
  <si>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</si>
  <si>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</si>
  <si>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</si>
  <si>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</si>
  <si>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</si>
  <si>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</si>
  <si>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</si>
  <si>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</si>
  <si>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Counterparty sector</t>
  </si>
  <si>
    <t>Total gross carrying amount amount (in MEUR)</t>
  </si>
  <si>
    <t>Level of energy efficiency (EP score in kWh/m² of collateral)</t>
  </si>
  <si>
    <t>Level of energy efficiency (EPC label of collateral)</t>
  </si>
  <si>
    <t>Without EPC label of collateral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</si>
  <si>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</si>
  <si>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</si>
  <si>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</si>
  <si>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</si>
  <si>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</si>
  <si>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</si>
  <si>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</si>
  <si>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</si>
  <si>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</si>
  <si>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</si>
  <si>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</si>
  <si>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</si>
  <si>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</si>
  <si>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Of which level of energy efficiency (EP score in kWh/m² of collateral) estimated</t>
  </si>
  <si>
    <t>Total EU area</t>
  </si>
  <si>
    <t>Garantia Comercial</t>
  </si>
  <si>
    <t>Of which Loans collateralised by commercial immovable property</t>
  </si>
  <si>
    <t>Garantia Residencial</t>
  </si>
  <si>
    <t>Of which Loans collateralised by residential immovable property</t>
  </si>
  <si>
    <t>Stock</t>
  </si>
  <si>
    <t xml:space="preserve">Of which Collateral obtained by taking possession: residential and commercial immovable properties </t>
  </si>
  <si>
    <t>Sem dados</t>
  </si>
  <si>
    <t>Of which Level of energy efficiency (EP score in kWh/m² of collateral) estimated</t>
  </si>
  <si>
    <t>Total non-EU area</t>
  </si>
  <si>
    <t>EU-area</t>
  </si>
  <si>
    <t>menor_100</t>
  </si>
  <si>
    <t>menor_200</t>
  </si>
  <si>
    <t>menor_300</t>
  </si>
  <si>
    <t>menor_400</t>
  </si>
  <si>
    <t>menor_500</t>
  </si>
  <si>
    <t>maior_500</t>
  </si>
  <si>
    <t>1-REAL</t>
  </si>
  <si>
    <t>7-SIN DATO</t>
  </si>
  <si>
    <t>Non EU-area</t>
  </si>
  <si>
    <t>SANTANDER</t>
  </si>
  <si>
    <t>NULO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</si>
</sst>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79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10" fillId="4" borderId="0" xfId="0" applyFont="1" applyFill="1"/>
    <xf numFmtId="0" fontId="10" fillId="4" borderId="11" xfId="0" applyFont="1" applyFill="1" applyBorder="1"/>
    <xf numFmtId="0" fontId="10" fillId="0" borderId="0" xfId="0" applyFont="1"/>
    <xf numFmtId="0" fontId="18" fillId="3" borderId="0" xfId="0" applyFont="1" applyFill="1"/>
    <xf numFmtId="0" fontId="9" fillId="3" borderId="0" xfId="0" applyFont="1" applyFill="1"/>
    <xf numFmtId="0" fontId="9" fillId="0" borderId="0" xfId="0" applyFont="1"/>
    <xf numFmtId="0" fontId="9" fillId="2" borderId="0" xfId="0" applyFont="1" applyFill="1"/>
    <xf numFmtId="3" fontId="19" fillId="0" borderId="8" xfId="0" applyNumberFormat="1" applyFont="1" applyBorder="1" applyAlignment="1">
      <alignment horizontal="center" vertical="center" wrapText="1"/>
    </xf>
    <xf numFmtId="9" fontId="19" fillId="0" borderId="8" xfId="1" applyFont="1" applyFill="1" applyBorder="1" applyAlignment="1">
      <alignment horizontal="center" vertical="center" wrapText="1"/>
    </xf>
    <xf numFmtId="3" fontId="19" fillId="0" borderId="2" xfId="0" applyNumberFormat="1" applyFont="1" applyBorder="1" applyAlignment="1">
      <alignment horizontal="center" vertical="center" wrapText="1"/>
    </xf>
    <xf numFmtId="0" fontId="21" fillId="0" borderId="0" xfId="0" applyFont="1"/>
    <xf numFmtId="0" fontId="20" fillId="0" borderId="0" xfId="0" applyFont="1"/>
    <xf numFmtId="0" fontId="8" fillId="0" borderId="0" xfId="0" applyFont="1" applyAlignment="1">
      <alignment vertical="center"/>
    </xf>
    <xf numFmtId="0" fontId="23" fillId="7" borderId="0" xfId="0" applyFont="1" applyFill="1" applyAlignment="1">
      <alignment horizontal="center" vertical="center" wrapText="1"/>
    </xf>
    <xf numFmtId="0" fontId="11" fillId="4" borderId="0" xfId="0" applyFont="1" applyFill="1"/>
    <xf numFmtId="0" fontId="11" fillId="0" borderId="0" xfId="0" applyFont="1"/>
    <xf numFmtId="0" fontId="11" fillId="0" borderId="0" xfId="0" applyFont="1" applyAlignment="1">
      <alignment horizontal="left" indent="1"/>
    </xf>
    <xf numFmtId="0" fontId="11" fillId="4" borderId="0" xfId="0" quotePrefix="1" applyFont="1" applyFill="1" applyAlignment="1">
      <alignment horizontal="left" indent="1"/>
    </xf>
    <xf numFmtId="0" fontId="26" fillId="6" borderId="24" xfId="0" applyFont="1" applyFill="1" applyBorder="1" applyAlignment="1">
      <alignment vertical="center"/>
    </xf>
    <xf numFmtId="0" fontId="9" fillId="6" borderId="24" xfId="0" applyFont="1" applyFill="1" applyBorder="1"/>
    <xf numFmtId="0" fontId="27" fillId="6" borderId="24" xfId="0" applyFont="1" applyFill="1" applyBorder="1"/>
    <xf numFmtId="0" fontId="15" fillId="4" borderId="0" xfId="0" applyFont="1" applyFill="1"/>
    <xf numFmtId="0" fontId="0" fillId="4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10" fillId="4" borderId="11" xfId="0" applyFont="1" applyFill="1" applyBorder="1" applyProtection="1">
      <protection locked="0"/>
    </xf>
    <xf numFmtId="0" fontId="10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1" fillId="0" borderId="12" xfId="0" applyFont="1" applyBorder="1" applyProtection="1">
      <protection locked="0"/>
    </xf>
    <xf numFmtId="0" fontId="0" fillId="0" borderId="0" xfId="0" applyProtection="1">
      <protection locked="0"/>
    </xf>
    <xf numFmtId="0" fontId="13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11" fillId="4" borderId="15" xfId="0" applyFont="1" applyFill="1" applyBorder="1" applyProtection="1">
      <protection locked="0"/>
    </xf>
    <xf numFmtId="0" fontId="0" fillId="4" borderId="16" xfId="0" applyFill="1" applyBorder="1" applyProtection="1">
      <protection locked="0"/>
    </xf>
    <xf numFmtId="0" fontId="14" fillId="4" borderId="0" xfId="0" applyFont="1" applyFill="1" applyAlignment="1" applyProtection="1">
      <alignment horizontal="left"/>
      <protection locked="0"/>
    </xf>
    <xf numFmtId="0" fontId="9" fillId="4" borderId="0" xfId="0" applyFont="1" applyFill="1" applyAlignment="1" applyProtection="1">
      <alignment horizontal="centerContinuous"/>
      <protection locked="0"/>
    </xf>
    <xf numFmtId="14" fontId="14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0" fillId="4" borderId="19" xfId="0" applyFill="1" applyBorder="1" applyProtection="1">
      <protection locked="0"/>
    </xf>
    <xf numFmtId="0" fontId="0" fillId="4" borderId="20" xfId="0" applyFill="1" applyBorder="1" applyProtection="1">
      <protection locked="0"/>
    </xf>
    <xf numFmtId="0" fontId="0" fillId="4" borderId="21" xfId="0" applyFill="1" applyBorder="1" applyProtection="1">
      <protection locked="0"/>
    </xf>
    <xf numFmtId="0" fontId="17" fillId="0" borderId="0" xfId="0" applyFont="1" applyAlignment="1" applyProtection="1">
      <alignment horizontal="centerContinuous"/>
      <protection locked="0"/>
    </xf>
    <xf numFmtId="0" fontId="0" fillId="4" borderId="18" xfId="0" applyFill="1" applyBorder="1"/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4" fontId="9" fillId="6" borderId="22" xfId="0" applyNumberFormat="1" applyFont="1" applyFill="1" applyBorder="1" applyAlignment="1">
      <alignment horizontal="center" vertical="center"/>
    </xf>
    <xf numFmtId="0" fontId="18" fillId="8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indent="1"/>
    </xf>
    <xf numFmtId="0" fontId="18" fillId="6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751900" y="1736725"/>
          <a:ext cx="1518765" cy="20152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43892" y="2474207"/>
          <a:ext cx="1516295" cy="12777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675724" y="1736141"/>
          <a:ext cx="1532170" cy="20158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15144" y="1727829"/>
          <a:ext cx="578933" cy="5992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</sheetPr>
  <dimension ref="A1:V62"/>
  <sheetViews>
    <sheetView showGridLines="0" zoomScaleNormal="100" workbookViewId="0">
      <pane ySplit="4" topLeftCell="A14" activePane="bottomLeft" state="frozen"/>
      <selection pane="bottomLeft"/>
    </sheetView>
  </sheetViews>
  <sheetFormatPr defaultColWidth="0" defaultRowHeight="14.85" customHeight="1" zeroHeight="1"/>
  <cols>
    <col min="1" max="2" width="3.5703125" customWidth="1"/>
    <col min="3" max="4" width="7.5703125" customWidth="1"/>
    <col min="5" max="5" width="0.42578125" customWidth="1"/>
    <col min="6" max="6" width="7.5703125" customWidth="1"/>
    <col min="7" max="7" width="0.42578125" customWidth="1"/>
    <col min="8" max="20" width="10.5703125" customWidth="1"/>
    <col min="21" max="21" width="8.5703125" customWidth="1"/>
    <col min="22" max="22" width="3.5703125" customWidth="1"/>
  </cols>
  <sheetData>
    <row r="1" spans="1:22" ht="14.4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</row>
    <row r="2" spans="1:22" ht="14.4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</row>
    <row r="3" spans="1:22" ht="14.4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</row>
    <row r="4" spans="1:22" ht="15" thickBot="1">
      <c r="A4" s="20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19"/>
    </row>
    <row r="5" spans="1:22" s="31" customFormat="1" ht="15" thickTop="1">
      <c r="A5" s="30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</row>
    <row r="6" spans="1:22" ht="15" customHeight="1">
      <c r="A6" s="22"/>
      <c r="B6" s="38" t="s">
        <v>0</v>
      </c>
      <c r="C6" s="39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22"/>
    </row>
    <row r="7" spans="1:22" ht="8.1" customHeight="1">
      <c r="A7" s="22"/>
      <c r="B7" s="3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2" s="31" customFormat="1" ht="14.4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</row>
    <row r="9" spans="1:22" ht="14.45"/>
    <row r="10" spans="1:22" ht="14.45"/>
    <row r="11" spans="1:22" ht="14.45"/>
    <row r="12" spans="1:22" ht="14.45"/>
    <row r="13" spans="1:22" ht="14.45"/>
    <row r="14" spans="1:22" ht="14.45"/>
    <row r="15" spans="1:22" ht="14.45"/>
    <row r="16" spans="1:22" ht="14.45"/>
    <row r="17" spans="2:20" ht="14.45"/>
    <row r="18" spans="2:20" ht="14.45"/>
    <row r="19" spans="2:20" ht="14.45"/>
    <row r="20" spans="2:20" ht="14.45"/>
    <row r="21" spans="2:20" ht="14.45"/>
    <row r="22" spans="2:20" ht="14.45"/>
    <row r="23" spans="2:20" ht="14.45"/>
    <row r="24" spans="2:20" ht="13.35" customHeight="1">
      <c r="B24" s="71" t="s">
        <v>1</v>
      </c>
      <c r="C24" s="71"/>
      <c r="D24" s="71"/>
      <c r="E24" s="33"/>
      <c r="F24" s="72" t="s">
        <v>2</v>
      </c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34"/>
      <c r="R24" s="34"/>
      <c r="S24" s="34"/>
      <c r="T24" s="34"/>
    </row>
    <row r="25" spans="2:20" ht="13.35" customHeight="1">
      <c r="B25" s="71"/>
      <c r="C25" s="71"/>
      <c r="D25" s="71"/>
      <c r="E25" s="33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34"/>
      <c r="R25" s="34"/>
      <c r="S25" s="34"/>
      <c r="T25" s="34"/>
    </row>
    <row r="26" spans="2:20" ht="8.1" customHeight="1"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</row>
    <row r="27" spans="2:20" ht="12" customHeight="1">
      <c r="B27" s="35"/>
      <c r="C27" s="69" t="s">
        <v>3</v>
      </c>
      <c r="D27" s="69"/>
      <c r="E27" s="69"/>
      <c r="F27" s="69"/>
      <c r="G27" s="33"/>
      <c r="H27" s="70" t="s">
        <v>4</v>
      </c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</row>
    <row r="28" spans="2:20" ht="12" customHeight="1">
      <c r="B28" s="35"/>
      <c r="C28" s="69"/>
      <c r="D28" s="69"/>
      <c r="E28" s="69"/>
      <c r="F28" s="69"/>
      <c r="G28" s="33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</row>
    <row r="29" spans="2:20" ht="3" customHeight="1">
      <c r="B29" s="35"/>
      <c r="C29" s="36"/>
      <c r="D29" s="36"/>
      <c r="E29" s="36"/>
      <c r="F29" s="36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</row>
    <row r="30" spans="2:20" ht="12" customHeight="1">
      <c r="B30" s="35"/>
      <c r="C30" s="69" t="s">
        <v>5</v>
      </c>
      <c r="D30" s="69"/>
      <c r="E30" s="69"/>
      <c r="F30" s="69"/>
      <c r="G30" s="33"/>
      <c r="H30" s="37" t="s">
        <v>6</v>
      </c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" customHeight="1">
      <c r="B31" s="35"/>
      <c r="C31" s="69"/>
      <c r="D31" s="69"/>
      <c r="E31" s="69"/>
      <c r="F31" s="69"/>
      <c r="G31" s="33"/>
      <c r="H31" s="37" t="s">
        <v>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" customHeight="1">
      <c r="B32" s="35"/>
      <c r="C32" s="69"/>
      <c r="D32" s="69"/>
      <c r="E32" s="69"/>
      <c r="F32" s="69"/>
      <c r="G32" s="33"/>
      <c r="H32" s="37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2:20" ht="12" customHeight="1">
      <c r="B33" s="35"/>
      <c r="C33" s="69"/>
      <c r="D33" s="69"/>
      <c r="E33" s="69"/>
      <c r="F33" s="69"/>
      <c r="G33" s="33"/>
      <c r="H33" s="37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2:20" ht="12" customHeight="1">
      <c r="B34" s="35"/>
      <c r="C34" s="69"/>
      <c r="D34" s="69"/>
      <c r="E34" s="69"/>
      <c r="F34" s="69"/>
      <c r="G34" s="33"/>
      <c r="H34" s="37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2:20" ht="12" customHeight="1">
      <c r="B35" s="35"/>
      <c r="C35" s="69"/>
      <c r="D35" s="69"/>
      <c r="E35" s="69"/>
      <c r="F35" s="69"/>
      <c r="G35" s="33"/>
      <c r="H35" s="37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</row>
    <row r="36" spans="2:20" ht="12" customHeight="1">
      <c r="B36" s="35"/>
      <c r="C36" s="69"/>
      <c r="D36" s="69"/>
      <c r="E36" s="69"/>
      <c r="F36" s="69"/>
      <c r="G36" s="33"/>
      <c r="H36" s="37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</row>
    <row r="37" spans="2:20" ht="3" customHeight="1"/>
    <row r="38" spans="2:20" ht="12" customHeight="1">
      <c r="B38" s="35"/>
      <c r="C38" s="69" t="s">
        <v>8</v>
      </c>
      <c r="D38" s="69"/>
      <c r="E38" s="69"/>
      <c r="F38" s="69"/>
      <c r="G38" s="33"/>
      <c r="H38" s="37" t="s">
        <v>9</v>
      </c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</row>
    <row r="39" spans="2:20" ht="12" customHeight="1">
      <c r="B39" s="35"/>
      <c r="C39" s="69"/>
      <c r="D39" s="69"/>
      <c r="E39" s="69"/>
      <c r="F39" s="69"/>
      <c r="G39" s="33"/>
      <c r="H39" s="37" t="s">
        <v>10</v>
      </c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</row>
    <row r="40" spans="2:20" ht="3" customHeight="1"/>
    <row r="41" spans="2:20" ht="12" customHeight="1">
      <c r="B41" s="35"/>
      <c r="C41" s="69" t="s">
        <v>11</v>
      </c>
      <c r="D41" s="69"/>
      <c r="E41" s="69"/>
      <c r="F41" s="69"/>
      <c r="G41" s="33"/>
      <c r="H41" s="37" t="s">
        <v>12</v>
      </c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</row>
    <row r="42" spans="2:20" ht="12" customHeight="1">
      <c r="B42" s="35"/>
      <c r="C42" s="69"/>
      <c r="D42" s="69"/>
      <c r="E42" s="69"/>
      <c r="F42" s="69"/>
      <c r="G42" s="33"/>
      <c r="H42" s="37" t="s">
        <v>13</v>
      </c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</row>
    <row r="43" spans="2:20" ht="10.35" customHeight="1"/>
    <row r="44" spans="2:20" ht="13.35" customHeight="1">
      <c r="B44" s="71" t="s">
        <v>14</v>
      </c>
      <c r="C44" s="71"/>
      <c r="D44" s="71"/>
      <c r="E44" s="33"/>
      <c r="F44" s="72" t="s">
        <v>15</v>
      </c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34"/>
      <c r="R44" s="34"/>
      <c r="S44" s="34"/>
      <c r="T44" s="34"/>
    </row>
    <row r="45" spans="2:20" ht="13.35" customHeight="1">
      <c r="B45" s="71"/>
      <c r="C45" s="71"/>
      <c r="D45" s="71"/>
      <c r="E45" s="33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34"/>
      <c r="R45" s="34"/>
      <c r="S45" s="34"/>
      <c r="T45" s="34"/>
    </row>
    <row r="46" spans="2:20" ht="8.1" customHeight="1"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</row>
    <row r="47" spans="2:20" ht="12" customHeight="1">
      <c r="B47" s="35"/>
      <c r="C47" s="69" t="s">
        <v>16</v>
      </c>
      <c r="D47" s="69"/>
      <c r="E47" s="69"/>
      <c r="F47" s="69"/>
      <c r="G47" s="33"/>
      <c r="H47" s="70" t="s">
        <v>17</v>
      </c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</row>
    <row r="48" spans="2:20" ht="12" customHeight="1">
      <c r="B48" s="35"/>
      <c r="C48" s="69"/>
      <c r="D48" s="69"/>
      <c r="E48" s="69"/>
      <c r="F48" s="69"/>
      <c r="G48" s="33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</row>
    <row r="49" spans="2:20" ht="3" customHeight="1"/>
    <row r="50" spans="2:20" ht="12" customHeight="1">
      <c r="B50" s="35"/>
      <c r="C50" s="69" t="s">
        <v>18</v>
      </c>
      <c r="D50" s="69"/>
      <c r="E50" s="69"/>
      <c r="F50" s="69"/>
      <c r="G50" s="33"/>
      <c r="H50" s="70" t="s">
        <v>19</v>
      </c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</row>
    <row r="51" spans="2:20" ht="12" customHeight="1">
      <c r="B51" s="35"/>
      <c r="C51" s="69"/>
      <c r="D51" s="69"/>
      <c r="E51" s="69"/>
      <c r="F51" s="69"/>
      <c r="G51" s="33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</row>
    <row r="52" spans="2:20" ht="3" customHeight="1"/>
    <row r="53" spans="2:20" ht="12" customHeight="1">
      <c r="B53" s="35"/>
      <c r="C53" s="69" t="s">
        <v>20</v>
      </c>
      <c r="D53" s="69"/>
      <c r="E53" s="69"/>
      <c r="F53" s="69"/>
      <c r="G53" s="33"/>
      <c r="H53" s="70" t="s">
        <v>21</v>
      </c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</row>
    <row r="54" spans="2:20" ht="12" customHeight="1">
      <c r="B54" s="35"/>
      <c r="C54" s="69"/>
      <c r="D54" s="69"/>
      <c r="E54" s="69"/>
      <c r="F54" s="69"/>
      <c r="G54" s="33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</row>
    <row r="55" spans="2:20" ht="3" customHeight="1"/>
    <row r="56" spans="2:20" ht="12" customHeight="1">
      <c r="B56" s="35"/>
      <c r="C56" s="69" t="s">
        <v>22</v>
      </c>
      <c r="D56" s="69"/>
      <c r="E56" s="69"/>
      <c r="F56" s="69"/>
      <c r="G56" s="33"/>
      <c r="H56" s="70" t="s">
        <v>23</v>
      </c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</row>
    <row r="57" spans="2:20" ht="12" customHeight="1">
      <c r="B57" s="35"/>
      <c r="C57" s="69"/>
      <c r="D57" s="69"/>
      <c r="E57" s="69"/>
      <c r="F57" s="69"/>
      <c r="G57" s="33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</row>
    <row r="58" spans="2:20" ht="10.35" customHeight="1"/>
    <row r="59" spans="2:20" ht="13.35" customHeight="1">
      <c r="B59" s="71" t="s">
        <v>24</v>
      </c>
      <c r="C59" s="71"/>
      <c r="D59" s="71"/>
      <c r="E59" s="33"/>
      <c r="F59" s="72" t="s">
        <v>25</v>
      </c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34"/>
      <c r="R59" s="34"/>
      <c r="S59" s="34"/>
      <c r="T59" s="34"/>
    </row>
    <row r="60" spans="2:20" ht="13.35" customHeight="1">
      <c r="B60" s="71"/>
      <c r="C60" s="71"/>
      <c r="D60" s="71"/>
      <c r="E60" s="33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34"/>
      <c r="R60" s="34"/>
      <c r="S60" s="34"/>
      <c r="T60" s="34"/>
    </row>
    <row r="61" spans="2:20" ht="14.45"/>
    <row r="62" spans="2:20" ht="14.45" hidden="1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9" activePane="bottomLeft" state="frozen"/>
      <selection pane="bottomLeft"/>
    </sheetView>
  </sheetViews>
  <sheetFormatPr defaultColWidth="0" defaultRowHeight="0" customHeight="1" zeroHeight="1"/>
  <cols>
    <col min="1" max="2" width="3.5703125" style="49" customWidth="1"/>
    <col min="3" max="4" width="10.5703125" style="49" customWidth="1"/>
    <col min="5" max="5" width="5.5703125" style="49" customWidth="1"/>
    <col min="6" max="6" width="10.5703125" style="49" customWidth="1"/>
    <col min="7" max="7" width="8.5703125" style="49" customWidth="1"/>
    <col min="8" max="8" width="3.5703125" style="49" customWidth="1"/>
    <col min="9" max="13" width="10.5703125" style="49" hidden="1" customWidth="1"/>
    <col min="14" max="16384" width="8.5703125" style="49" hidden="1"/>
  </cols>
  <sheetData>
    <row r="1" spans="1:8" s="42" customFormat="1" ht="14.45"/>
    <row r="2" spans="1:8" s="42" customFormat="1" ht="5.0999999999999996" customHeight="1"/>
    <row r="3" spans="1:8" s="42" customFormat="1" ht="14.45"/>
    <row r="4" spans="1:8" s="42" customFormat="1" ht="5.0999999999999996" customHeight="1" thickBot="1">
      <c r="A4" s="43"/>
      <c r="B4" s="44"/>
      <c r="C4" s="44"/>
      <c r="D4" s="44"/>
      <c r="E4" s="44"/>
      <c r="F4" s="44"/>
      <c r="G4" s="44"/>
    </row>
    <row r="5" spans="1:8" s="42" customFormat="1" ht="8.1" customHeight="1" thickTop="1">
      <c r="A5" s="45"/>
      <c r="B5" s="45"/>
      <c r="C5" s="45"/>
      <c r="D5" s="45"/>
      <c r="E5" s="45"/>
      <c r="F5" s="45"/>
      <c r="G5" s="45"/>
      <c r="H5" s="45"/>
    </row>
    <row r="6" spans="1:8" s="50" customFormat="1" ht="14.45">
      <c r="A6" s="46"/>
      <c r="B6" s="47" t="s">
        <v>26</v>
      </c>
      <c r="C6" s="48"/>
      <c r="D6" s="48"/>
      <c r="E6" s="48"/>
      <c r="F6" s="48"/>
      <c r="G6" s="48"/>
      <c r="H6" s="49"/>
    </row>
    <row r="7" spans="1:8" s="50" customFormat="1" ht="4.3499999999999996" customHeight="1">
      <c r="A7" s="46"/>
      <c r="B7" s="51"/>
      <c r="C7" s="46"/>
      <c r="D7" s="46"/>
      <c r="E7" s="46"/>
      <c r="F7" s="46"/>
      <c r="G7" s="46"/>
      <c r="H7" s="49"/>
    </row>
    <row r="8" spans="1:8" s="50" customFormat="1" ht="8.1" customHeight="1">
      <c r="A8" s="46"/>
      <c r="B8" s="52"/>
      <c r="C8" s="53"/>
      <c r="D8" s="53"/>
      <c r="E8" s="53"/>
      <c r="F8" s="53"/>
      <c r="G8" s="54"/>
      <c r="H8" s="49"/>
    </row>
    <row r="9" spans="1:8" s="50" customFormat="1" ht="14.45">
      <c r="A9" s="49"/>
      <c r="B9" s="55"/>
      <c r="C9" s="56" t="s">
        <v>27</v>
      </c>
      <c r="D9" s="56"/>
      <c r="E9" s="57"/>
      <c r="F9" s="58">
        <v>45657</v>
      </c>
      <c r="G9" s="59"/>
      <c r="H9" s="49"/>
    </row>
    <row r="10" spans="1:8" s="50" customFormat="1" ht="8.1" customHeight="1">
      <c r="A10" s="49"/>
      <c r="B10" s="55"/>
      <c r="C10" s="60"/>
      <c r="D10" s="60"/>
      <c r="E10" s="19"/>
      <c r="F10" s="41" t="str">
        <f>YEAR(F9)&amp;"-"&amp;TEXT(MONTH(F9),"00")&amp;"-"&amp;TEXT(DAY(F9),"00")</f>
        <v>2024-12-31</v>
      </c>
      <c r="G10" s="65"/>
      <c r="H10" s="49"/>
    </row>
    <row r="11" spans="1:8" s="50" customFormat="1" ht="8.1" customHeight="1">
      <c r="A11" s="49"/>
      <c r="B11" s="55"/>
      <c r="C11" s="42"/>
      <c r="D11" s="42"/>
      <c r="E11" s="42"/>
      <c r="F11" s="42"/>
      <c r="G11" s="59"/>
      <c r="H11" s="49"/>
    </row>
    <row r="12" spans="1:8" s="50" customFormat="1" ht="14.45">
      <c r="A12" s="49"/>
      <c r="B12" s="55"/>
      <c r="C12" s="56" t="s">
        <v>28</v>
      </c>
      <c r="D12" s="56"/>
      <c r="E12" s="57"/>
      <c r="F12" s="57"/>
      <c r="G12" s="59"/>
      <c r="H12" s="49"/>
    </row>
    <row r="13" spans="1:8" s="50" customFormat="1" ht="8.1" customHeight="1">
      <c r="A13" s="49"/>
      <c r="B13" s="55"/>
      <c r="C13" s="42"/>
      <c r="D13" s="42"/>
      <c r="E13" s="42"/>
      <c r="F13" s="42"/>
      <c r="G13" s="59"/>
      <c r="H13" s="49"/>
    </row>
    <row r="14" spans="1:8" s="50" customFormat="1" ht="8.1" customHeight="1">
      <c r="A14" s="49"/>
      <c r="B14" s="55"/>
      <c r="C14" s="42"/>
      <c r="D14" s="42"/>
      <c r="E14" s="42"/>
      <c r="F14" s="42"/>
      <c r="G14" s="59"/>
      <c r="H14" s="49"/>
    </row>
    <row r="15" spans="1:8" s="50" customFormat="1" ht="14.45">
      <c r="A15" s="49"/>
      <c r="B15" s="55"/>
      <c r="C15" s="56" t="s">
        <v>29</v>
      </c>
      <c r="D15" s="56"/>
      <c r="E15" s="57"/>
      <c r="F15" s="57"/>
      <c r="G15" s="59"/>
      <c r="H15" s="49"/>
    </row>
    <row r="16" spans="1:8" s="50" customFormat="1" ht="8.1" customHeight="1">
      <c r="A16" s="49"/>
      <c r="B16" s="55"/>
      <c r="C16" s="42"/>
      <c r="D16" s="42"/>
      <c r="E16" s="42"/>
      <c r="F16" s="42"/>
      <c r="G16" s="59"/>
      <c r="H16" s="49"/>
    </row>
    <row r="17" spans="1:8" s="50" customFormat="1" ht="8.1" customHeight="1">
      <c r="A17" s="49"/>
      <c r="B17" s="61"/>
      <c r="C17" s="62"/>
      <c r="D17" s="62"/>
      <c r="E17" s="62"/>
      <c r="F17" s="62"/>
      <c r="G17" s="63"/>
      <c r="H17" s="49"/>
    </row>
    <row r="18" spans="1:8" s="50" customFormat="1" ht="14.45">
      <c r="A18" s="49"/>
      <c r="B18" s="49"/>
      <c r="C18" s="49"/>
      <c r="D18" s="49"/>
      <c r="E18" s="49"/>
      <c r="F18" s="49"/>
      <c r="G18" s="49"/>
      <c r="H18" s="49"/>
    </row>
    <row r="19" spans="1:8" ht="14.45" hidden="1"/>
    <row r="20" spans="1:8" ht="14.45" hidden="1"/>
    <row r="21" spans="1:8" ht="14.45" hidden="1"/>
    <row r="22" spans="1:8" ht="14.45" hidden="1">
      <c r="F22" s="64"/>
      <c r="G22" s="64"/>
    </row>
    <row r="23" spans="1:8" ht="14.45" hidden="1"/>
    <row r="24" spans="1:8" ht="14.45" hidden="1"/>
    <row r="25" spans="1:8" ht="14.45" hidden="1"/>
    <row r="26" spans="1:8" ht="14.45" hidden="1"/>
    <row r="27" spans="1:8" ht="14.45" hidden="1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6"/>
  <sheetViews>
    <sheetView showGridLines="0" workbookViewId="0">
      <pane ySplit="4" topLeftCell="A16" activePane="bottomLeft" state="frozen"/>
      <selection pane="bottomLeft" activeCell="C7" sqref="C7:H358"/>
    </sheetView>
  </sheetViews>
  <sheetFormatPr defaultColWidth="0" defaultRowHeight="14.45"/>
  <cols>
    <col min="1" max="2" width="3.5703125" customWidth="1"/>
    <col min="3" max="3" width="17.85546875" customWidth="1"/>
    <col min="4" max="4" width="9.85546875" customWidth="1"/>
    <col min="5" max="5" width="10.42578125" customWidth="1"/>
    <col min="6" max="7" width="14.5703125" customWidth="1"/>
    <col min="8" max="8" width="12.5703125" customWidth="1"/>
    <col min="9" max="10" width="3.5703125" customWidth="1"/>
    <col min="11" max="18" width="0" hidden="1" customWidth="1"/>
    <col min="19" max="16384" width="8.5703125" hidden="1"/>
  </cols>
  <sheetData>
    <row r="1" spans="1:10">
      <c r="A1" s="19"/>
      <c r="B1" s="19"/>
      <c r="C1" s="19"/>
      <c r="D1" s="19"/>
      <c r="E1" s="19"/>
      <c r="F1" s="19"/>
      <c r="G1" s="19"/>
      <c r="H1" s="19"/>
      <c r="I1" s="19"/>
      <c r="J1" s="19"/>
    </row>
    <row r="2" spans="1:10">
      <c r="A2" s="19"/>
      <c r="B2" s="19"/>
      <c r="C2" s="19"/>
      <c r="D2" s="19"/>
      <c r="E2" s="19"/>
      <c r="F2" s="19"/>
      <c r="G2" s="19"/>
      <c r="H2" s="19"/>
      <c r="I2" s="19"/>
      <c r="J2" s="19"/>
    </row>
    <row r="3" spans="1:10">
      <c r="A3" s="19"/>
      <c r="B3" s="19"/>
      <c r="C3" s="19"/>
      <c r="D3" s="19"/>
      <c r="E3" s="19"/>
      <c r="F3" s="19"/>
      <c r="G3" s="19"/>
      <c r="H3" s="19"/>
      <c r="I3" s="19"/>
      <c r="J3" s="19"/>
    </row>
    <row r="4" spans="1:10" ht="15" thickBot="1">
      <c r="A4" s="20"/>
      <c r="B4" s="21"/>
      <c r="C4" s="21"/>
      <c r="D4" s="21"/>
      <c r="E4" s="21"/>
      <c r="F4" s="21"/>
      <c r="G4" s="21"/>
      <c r="H4" s="21"/>
      <c r="I4" s="21"/>
      <c r="J4" s="19"/>
    </row>
    <row r="5" spans="1:10" ht="15" thickTop="1">
      <c r="A5" s="22"/>
      <c r="B5" s="22"/>
      <c r="C5" s="22"/>
      <c r="D5" s="22"/>
      <c r="E5" s="22"/>
      <c r="F5" s="22"/>
      <c r="G5" s="22"/>
      <c r="H5" s="22"/>
      <c r="I5" s="22"/>
    </row>
    <row r="6" spans="1:10">
      <c r="C6" s="66"/>
      <c r="D6" s="67"/>
      <c r="E6" s="66"/>
      <c r="F6" s="67"/>
      <c r="G6" s="68"/>
      <c r="H6" s="67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 tint="-0.499984740745262"/>
  </sheetPr>
  <dimension ref="A1:X20"/>
  <sheetViews>
    <sheetView zoomScale="90" zoomScaleNormal="90" workbookViewId="0"/>
  </sheetViews>
  <sheetFormatPr defaultColWidth="8.85546875" defaultRowHeight="14.45"/>
  <cols>
    <col min="1" max="1" width="3.85546875" style="8" customWidth="1"/>
    <col min="2" max="2" width="3" style="8" bestFit="1" customWidth="1"/>
    <col min="3" max="3" width="84.42578125" style="8" bestFit="1" customWidth="1"/>
    <col min="4" max="6" width="13.42578125" style="8" bestFit="1" customWidth="1"/>
    <col min="7" max="7" width="12.42578125" style="8" bestFit="1" customWidth="1"/>
    <col min="8" max="8" width="11.5703125" style="8" bestFit="1" customWidth="1"/>
    <col min="9" max="9" width="11.140625" style="8" bestFit="1" customWidth="1"/>
    <col min="10" max="10" width="10.42578125" style="8" bestFit="1" customWidth="1"/>
    <col min="11" max="11" width="13.42578125" style="8" bestFit="1" customWidth="1"/>
    <col min="12" max="15" width="12.42578125" style="8" bestFit="1" customWidth="1"/>
    <col min="16" max="16" width="11.42578125" style="8" customWidth="1"/>
    <col min="17" max="17" width="11.5703125" style="8" customWidth="1"/>
    <col min="18" max="18" width="13.42578125" style="8" bestFit="1" customWidth="1"/>
    <col min="19" max="19" width="27.42578125" style="8" bestFit="1" customWidth="1"/>
    <col min="20" max="16384" width="8.85546875" style="8"/>
  </cols>
  <sheetData>
    <row r="1" spans="1:24" s="1" customFormat="1" ht="12.95">
      <c r="D1" s="6"/>
      <c r="E1" s="6"/>
    </row>
    <row r="2" spans="1:24" s="1" customFormat="1">
      <c r="C2" s="2" t="s">
        <v>30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2.95">
      <c r="D4" s="3" t="s">
        <v>31</v>
      </c>
      <c r="E4" s="3" t="s">
        <v>32</v>
      </c>
      <c r="F4" s="3" t="s">
        <v>33</v>
      </c>
      <c r="G4" s="3" t="s">
        <v>34</v>
      </c>
      <c r="H4" s="3" t="s">
        <v>35</v>
      </c>
      <c r="I4" s="3" t="s">
        <v>36</v>
      </c>
      <c r="J4" s="3" t="s">
        <v>37</v>
      </c>
      <c r="K4" s="3" t="s">
        <v>38</v>
      </c>
      <c r="L4" s="3" t="s">
        <v>39</v>
      </c>
      <c r="M4" s="3" t="s">
        <v>40</v>
      </c>
      <c r="N4" s="3" t="s">
        <v>41</v>
      </c>
      <c r="O4" s="3" t="s">
        <v>42</v>
      </c>
      <c r="P4" s="3" t="s">
        <v>43</v>
      </c>
      <c r="Q4" s="3" t="s">
        <v>44</v>
      </c>
      <c r="R4" s="3" t="s">
        <v>45</v>
      </c>
      <c r="S4" s="3" t="s">
        <v>46</v>
      </c>
    </row>
    <row r="5" spans="1:24" s="1" customFormat="1" ht="24" customHeight="1">
      <c r="C5" s="4" t="s">
        <v>47</v>
      </c>
      <c r="D5" s="76" t="s">
        <v>48</v>
      </c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8"/>
      <c r="T5" s="9"/>
    </row>
    <row r="6" spans="1:24" s="1" customFormat="1" ht="24" customHeight="1">
      <c r="C6" s="10"/>
      <c r="D6" s="11"/>
      <c r="E6" s="73" t="s">
        <v>49</v>
      </c>
      <c r="F6" s="74"/>
      <c r="G6" s="74"/>
      <c r="H6" s="74"/>
      <c r="I6" s="74"/>
      <c r="J6" s="74"/>
      <c r="K6" s="73" t="s">
        <v>50</v>
      </c>
      <c r="L6" s="74"/>
      <c r="M6" s="74"/>
      <c r="N6" s="74"/>
      <c r="O6" s="74"/>
      <c r="P6" s="74"/>
      <c r="Q6" s="75"/>
      <c r="R6" s="76" t="s">
        <v>51</v>
      </c>
      <c r="S6" s="78"/>
      <c r="T6" s="9"/>
    </row>
    <row r="7" spans="1:24" s="1" customFormat="1" ht="43.7" customHeight="1">
      <c r="C7" s="5"/>
      <c r="D7" s="12"/>
      <c r="E7" s="13" t="s">
        <v>52</v>
      </c>
      <c r="F7" s="13" t="s">
        <v>53</v>
      </c>
      <c r="G7" s="13" t="s">
        <v>54</v>
      </c>
      <c r="H7" s="13" t="s">
        <v>55</v>
      </c>
      <c r="I7" s="13" t="s">
        <v>56</v>
      </c>
      <c r="J7" s="13" t="s">
        <v>57</v>
      </c>
      <c r="K7" s="12" t="s">
        <v>58</v>
      </c>
      <c r="L7" s="12" t="s">
        <v>59</v>
      </c>
      <c r="M7" s="12" t="s">
        <v>60</v>
      </c>
      <c r="N7" s="12" t="s">
        <v>61</v>
      </c>
      <c r="O7" s="12" t="s">
        <v>62</v>
      </c>
      <c r="P7" s="12" t="s">
        <v>63</v>
      </c>
      <c r="Q7" s="12" t="s">
        <v>64</v>
      </c>
      <c r="R7" s="14"/>
      <c r="S7" s="18" t="s">
        <v>65</v>
      </c>
      <c r="T7" s="9"/>
    </row>
    <row r="8" spans="1:24" s="1" customFormat="1" ht="12.95">
      <c r="B8" s="3">
        <v>1</v>
      </c>
      <c r="C8" s="15" t="s">
        <v>66</v>
      </c>
      <c r="D8" s="27">
        <f>SUM(D9:D11)</f>
        <v>0</v>
      </c>
      <c r="E8" s="29">
        <f>+SUM(E9:E11)</f>
        <v>0</v>
      </c>
      <c r="F8" s="29">
        <f>+SUM(F9:F11)</f>
        <v>0</v>
      </c>
      <c r="G8" s="29">
        <f>+SUM(G9:G11)</f>
        <v>0</v>
      </c>
      <c r="H8" s="29">
        <f>+SUM(H9:H11)</f>
        <v>0</v>
      </c>
      <c r="I8" s="29">
        <f t="shared" ref="I8:J8" si="0">+SUM(I9:I11)</f>
        <v>0</v>
      </c>
      <c r="J8" s="29">
        <f t="shared" si="0"/>
        <v>0</v>
      </c>
      <c r="K8" s="27">
        <f>+SUM(K9:K11)</f>
        <v>0</v>
      </c>
      <c r="L8" s="27">
        <f t="shared" ref="L8:Q8" si="1">+SUM(L9:L11)</f>
        <v>0</v>
      </c>
      <c r="M8" s="27">
        <f t="shared" si="1"/>
        <v>0</v>
      </c>
      <c r="N8" s="27">
        <f t="shared" si="1"/>
        <v>0</v>
      </c>
      <c r="O8" s="27">
        <f t="shared" si="1"/>
        <v>0</v>
      </c>
      <c r="P8" s="27">
        <f t="shared" si="1"/>
        <v>0</v>
      </c>
      <c r="Q8" s="27">
        <f t="shared" si="1"/>
        <v>0</v>
      </c>
      <c r="R8" s="27">
        <f>SUM(R9:R11)</f>
        <v>0</v>
      </c>
      <c r="S8" s="28" t="e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#DIV/0!</v>
      </c>
      <c r="T8" s="9"/>
    </row>
    <row r="9" spans="1:24" s="1" customFormat="1">
      <c r="A9" s="26" t="s">
        <v>67</v>
      </c>
      <c r="B9" s="3">
        <v>2</v>
      </c>
      <c r="C9" s="16" t="s">
        <v>68</v>
      </c>
      <c r="D9" s="27">
        <f>IFERROR(SUMIFS(Input!$G:$G,Input!$C:$C,'2.CC Trans-BB.RE collateral'!$A9,Input!$F:$F,'2.CC Trans-BB.RE collateral'!$D$18)/1000000,0)</f>
        <v>0</v>
      </c>
      <c r="E9" s="29">
        <f>IFERROR(SUMIFS(Input!$G:$G,Input!$C:$C,'2.CC Trans-BB.RE collateral'!$A9,Input!$E:$E,'2.CC Trans-BB.RE collateral'!E$18,Input!$F:$F,'2.CC Trans-BB.RE collateral'!$D$18)/1000000,0)</f>
        <v>0</v>
      </c>
      <c r="F9" s="29">
        <f>IFERROR(SUMIFS(Input!$G:$G,Input!$C:$C,'2.CC Trans-BB.RE collateral'!$A9,Input!$E:$E,'2.CC Trans-BB.RE collateral'!F$18,Input!$F:$F,'2.CC Trans-BB.RE collateral'!$D$18)/1000000,0)</f>
        <v>0</v>
      </c>
      <c r="G9" s="29">
        <f>IFERROR(SUMIFS(Input!$G:$G,Input!$C:$C,'2.CC Trans-BB.RE collateral'!$A9,Input!$E:$E,'2.CC Trans-BB.RE collateral'!G$18,Input!$F:$F,'2.CC Trans-BB.RE collateral'!$D$18)/1000000,0)</f>
        <v>0</v>
      </c>
      <c r="H9" s="29">
        <f>IFERROR(SUMIFS(Input!$G:$G,Input!$C:$C,'2.CC Trans-BB.RE collateral'!$A9,Input!$E:$E,'2.CC Trans-BB.RE collateral'!H$18,Input!$F:$F,'2.CC Trans-BB.RE collateral'!$D$18)/1000000,0)</f>
        <v>0</v>
      </c>
      <c r="I9" s="29">
        <f>IFERROR(SUMIFS(Input!$G:$G,Input!$C:$C,'2.CC Trans-BB.RE collateral'!$A9,Input!$E:$E,'2.CC Trans-BB.RE collateral'!I$18,Input!$F:$F,'2.CC Trans-BB.RE collateral'!$D$18)/1000000,0)</f>
        <v>0</v>
      </c>
      <c r="J9" s="29">
        <f>IFERROR(SUMIFS(Input!$G:$G,Input!$C:$C,'2.CC Trans-BB.RE collateral'!$A9,Input!$E:$E,'2.CC Trans-BB.RE collateral'!J$18,Input!$F:$F,'2.CC Trans-BB.RE collateral'!$D$18)/1000000,0)</f>
        <v>0</v>
      </c>
      <c r="K9" s="27">
        <f>IFERROR(SUM(SUMIFS(Input!$G:$G,Input!$C:$C,'2.CC Trans-BB.RE collateral'!$A9,Input!$D:$D,'2.CC Trans-BB.RE collateral'!K$7&amp;"*",Input!$H:$H,{"1-REAL";"SANTANDER";""},Input!$F:$F,'2.CC Trans-BB.RE collateral'!$D$18))/1000000,0)</f>
        <v>0</v>
      </c>
      <c r="L9" s="27">
        <f>IFERROR(SUM(SUMIFS(Input!$G:$G,Input!$C:$C,'2.CC Trans-BB.RE collateral'!$A9,Input!$D:$D,'2.CC Trans-BB.RE collateral'!L$7&amp;"*",Input!$H:$H,{"1-REAL";"SANTANDER";""},Input!$F:$F,'2.CC Trans-BB.RE collateral'!$D$18))/1000000,0)</f>
        <v>0</v>
      </c>
      <c r="M9" s="27">
        <f>IFERROR(SUM(SUMIFS(Input!$G:$G,Input!$C:$C,'2.CC Trans-BB.RE collateral'!$A9,Input!$D:$D,'2.CC Trans-BB.RE collateral'!M$7,Input!$H:$H,{"1-REAL";"SANTANDER";""},Input!$F:$F,'2.CC Trans-BB.RE collateral'!$D$18))/1000000,0)</f>
        <v>0</v>
      </c>
      <c r="N9" s="27">
        <f>IFERROR(SUM(SUMIFS(Input!$G:$G,Input!$C:$C,'2.CC Trans-BB.RE collateral'!$A9,Input!$D:$D,'2.CC Trans-BB.RE collateral'!N$7,Input!$H:$H,{"1-REAL";"SANTANDER";""},Input!$F:$F,'2.CC Trans-BB.RE collateral'!$D$18))/1000000,0)</f>
        <v>0</v>
      </c>
      <c r="O9" s="27">
        <f>IFERROR(SUM(SUMIFS(Input!$G:$G,Input!$C:$C,'2.CC Trans-BB.RE collateral'!$A9,Input!$D:$D,'2.CC Trans-BB.RE collateral'!O$7,Input!$H:$H,{"1-REAL";"SANTANDER";""},Input!$F:$F,'2.CC Trans-BB.RE collateral'!$D$18))/1000000,0)</f>
        <v>0</v>
      </c>
      <c r="P9" s="27">
        <f>IFERROR(SUM(SUMIFS(Input!$G:$G,Input!$C:$C,'2.CC Trans-BB.RE collateral'!$A9,Input!$D:$D,'2.CC Trans-BB.RE collateral'!P$7,Input!$H:$H,{"1-REAL";"SANTANDER";""},Input!$F:$F,'2.CC Trans-BB.RE collateral'!$D$18))/1000000,0)</f>
        <v>0</v>
      </c>
      <c r="Q9" s="27">
        <f>IFERROR(SUM(SUMIFS(Input!$G:$G,Input!$C:$C,'2.CC Trans-BB.RE collateral'!$A9,Input!$D:$D,'2.CC Trans-BB.RE collateral'!Q$7,Input!$H:$H,{"1-REAL";"SANTANDER";""},Input!$F:$F,'2.CC Trans-BB.RE collateral'!$D$18))/1000000,0)</f>
        <v>0</v>
      </c>
      <c r="R9" s="27">
        <f>IFERROR(SUMIFS(Input!$G:$G,Input!$C:$C,'2.CC Trans-BB.RE collateral'!A9,Input!$H:$H,"&lt;&gt;"&amp;K$18,Input!$H:$H,"&lt;&gt;"&amp;K$19,Input!$H:$H,"&lt;&gt;"&amp;"",Input!$F:$F,'2.CC Trans-BB.RE collateral'!$D$18)/1000000,0)</f>
        <v>0</v>
      </c>
      <c r="S9" s="28" t="e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#DIV/0!</v>
      </c>
      <c r="T9" s="9"/>
    </row>
    <row r="10" spans="1:24" s="1" customFormat="1">
      <c r="A10" s="26" t="s">
        <v>69</v>
      </c>
      <c r="B10" s="3">
        <v>3</v>
      </c>
      <c r="C10" s="16" t="s">
        <v>70</v>
      </c>
      <c r="D10" s="27">
        <f>IFERROR(SUMIFS(Input!$G:$G,Input!$C:$C,'2.CC Trans-BB.RE collateral'!$A10,Input!$F:$F,'2.CC Trans-BB.RE collateral'!$D$18)/1000000,0)</f>
        <v>0</v>
      </c>
      <c r="E10" s="29">
        <f>IFERROR(SUMIFS(Input!$G:$G,Input!$C:$C,'2.CC Trans-BB.RE collateral'!$A10,Input!$E:$E,'2.CC Trans-BB.RE collateral'!E$18,Input!$F:$F,'2.CC Trans-BB.RE collateral'!$D$18)/1000000,0)</f>
        <v>0</v>
      </c>
      <c r="F10" s="29">
        <f>IFERROR(SUMIFS(Input!$G:$G,Input!$C:$C,'2.CC Trans-BB.RE collateral'!$A10,Input!$E:$E,'2.CC Trans-BB.RE collateral'!F$18,Input!$F:$F,'2.CC Trans-BB.RE collateral'!$D$18)/1000000,0)</f>
        <v>0</v>
      </c>
      <c r="G10" s="29">
        <f>IFERROR(SUMIFS(Input!$G:$G,Input!$C:$C,'2.CC Trans-BB.RE collateral'!$A10,Input!$E:$E,'2.CC Trans-BB.RE collateral'!G$18,Input!$F:$F,'2.CC Trans-BB.RE collateral'!$D$18)/1000000,0)</f>
        <v>0</v>
      </c>
      <c r="H10" s="29">
        <f>IFERROR(SUMIFS(Input!$G:$G,Input!$C:$C,'2.CC Trans-BB.RE collateral'!$A10,Input!$E:$E,'2.CC Trans-BB.RE collateral'!H$18,Input!$F:$F,'2.CC Trans-BB.RE collateral'!$D$18)/1000000,0)</f>
        <v>0</v>
      </c>
      <c r="I10" s="29">
        <f>IFERROR(SUMIFS(Input!$G:$G,Input!$C:$C,'2.CC Trans-BB.RE collateral'!$A10,Input!$E:$E,'2.CC Trans-BB.RE collateral'!I$18,Input!$F:$F,'2.CC Trans-BB.RE collateral'!$D$18)/1000000,0)</f>
        <v>0</v>
      </c>
      <c r="J10" s="29">
        <f>IFERROR(SUMIFS(Input!$G:$G,Input!$C:$C,'2.CC Trans-BB.RE collateral'!$A10,Input!$E:$E,'2.CC Trans-BB.RE collateral'!J$18,Input!$F:$F,'2.CC Trans-BB.RE collateral'!$D$18)/1000000,0)</f>
        <v>0</v>
      </c>
      <c r="K10" s="27">
        <f>IFERROR(SUM(SUMIFS(Input!$G:$G,Input!$C:$C,'2.CC Trans-BB.RE collateral'!$A10,Input!$D:$D,'2.CC Trans-BB.RE collateral'!K$7&amp;"*",Input!$H:$H,{"1-REAL";"SANTANDER";""},Input!$F:$F,'2.CC Trans-BB.RE collateral'!$D$18))/1000000,0)</f>
        <v>0</v>
      </c>
      <c r="L10" s="27">
        <f>IFERROR(SUM(SUMIFS(Input!$G:$G,Input!$C:$C,'2.CC Trans-BB.RE collateral'!$A10,Input!$D:$D,'2.CC Trans-BB.RE collateral'!L$7&amp;"*",Input!$H:$H,{"1-REAL";"SANTANDER";""},Input!$F:$F,'2.CC Trans-BB.RE collateral'!$D$18))/1000000,0)</f>
        <v>0</v>
      </c>
      <c r="M10" s="27">
        <f>IFERROR(SUM(SUMIFS(Input!$G:$G,Input!$C:$C,'2.CC Trans-BB.RE collateral'!$A10,Input!$D:$D,'2.CC Trans-BB.RE collateral'!M$7,Input!$H:$H,{"1-REAL";"SANTANDER";""},Input!$F:$F,'2.CC Trans-BB.RE collateral'!$D$18))/1000000,0)</f>
        <v>0</v>
      </c>
      <c r="N10" s="27">
        <f>IFERROR(SUM(SUMIFS(Input!$G:$G,Input!$C:$C,'2.CC Trans-BB.RE collateral'!$A10,Input!$D:$D,'2.CC Trans-BB.RE collateral'!N$7,Input!$H:$H,{"1-REAL";"SANTANDER";""},Input!$F:$F,'2.CC Trans-BB.RE collateral'!$D$18))/1000000,0)</f>
        <v>0</v>
      </c>
      <c r="O10" s="27">
        <f>IFERROR(SUM(SUMIFS(Input!$G:$G,Input!$C:$C,'2.CC Trans-BB.RE collateral'!$A10,Input!$D:$D,'2.CC Trans-BB.RE collateral'!O$7,Input!$H:$H,{"1-REAL";"SANTANDER";""},Input!$F:$F,'2.CC Trans-BB.RE collateral'!$D$18))/1000000,0)</f>
        <v>0</v>
      </c>
      <c r="P10" s="27">
        <f>IFERROR(SUM(SUMIFS(Input!$G:$G,Input!$C:$C,'2.CC Trans-BB.RE collateral'!$A10,Input!$D:$D,'2.CC Trans-BB.RE collateral'!P$7,Input!$H:$H,{"1-REAL";"SANTANDER";""},Input!$F:$F,'2.CC Trans-BB.RE collateral'!$D$18))/1000000,0)</f>
        <v>0</v>
      </c>
      <c r="Q10" s="27">
        <f>IFERROR(SUM(SUMIFS(Input!$G:$G,Input!$C:$C,'2.CC Trans-BB.RE collateral'!$A10,Input!$D:$D,'2.CC Trans-BB.RE collateral'!Q$7,Input!$H:$H,{"1-REAL";"SANTANDER";""},Input!$F:$F,'2.CC Trans-BB.RE collateral'!$D$18))/1000000,0)</f>
        <v>0</v>
      </c>
      <c r="R10" s="27">
        <f>IFERROR(SUMIFS(Input!$G:$G,Input!$C:$C,'2.CC Trans-BB.RE collateral'!A10,Input!$H:$H,"&lt;&gt;"&amp;K$18,Input!$H:$H,"&lt;&gt;"&amp;K$19,Input!$H:$H,"&lt;&gt;"&amp;"",Input!$F:$F,'2.CC Trans-BB.RE collateral'!$D$18)/1000000,0)</f>
        <v>0</v>
      </c>
      <c r="S10" s="28" t="e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#DIV/0!</v>
      </c>
      <c r="T10" s="9"/>
    </row>
    <row r="11" spans="1:24" s="1" customFormat="1">
      <c r="A11" s="26" t="s">
        <v>71</v>
      </c>
      <c r="B11" s="3">
        <v>4</v>
      </c>
      <c r="C11" s="16" t="s">
        <v>72</v>
      </c>
      <c r="D11" s="27">
        <f>IFERROR(SUMIFS(Input!$G:$G,Input!$C:$C,'2.CC Trans-BB.RE collateral'!$A11,Input!$F:$F,'2.CC Trans-BB.RE collateral'!$D$18)/1000000,0)</f>
        <v>0</v>
      </c>
      <c r="E11" s="29">
        <f>IFERROR(SUMIFS(Input!$G:$G,Input!$C:$C,'2.CC Trans-BB.RE collateral'!$A11,Input!$E:$E,'2.CC Trans-BB.RE collateral'!E$18,Input!$F:$F,'2.CC Trans-BB.RE collateral'!$D$18)/1000000,0)</f>
        <v>0</v>
      </c>
      <c r="F11" s="29">
        <f>IFERROR(SUMIFS(Input!$G:$G,Input!$C:$C,'2.CC Trans-BB.RE collateral'!$A11,Input!$E:$E,'2.CC Trans-BB.RE collateral'!F$18,Input!$F:$F,'2.CC Trans-BB.RE collateral'!$D$18)/1000000,0)</f>
        <v>0</v>
      </c>
      <c r="G11" s="29">
        <f>IFERROR(SUMIFS(Input!$G:$G,Input!$C:$C,'2.CC Trans-BB.RE collateral'!$A11,Input!$E:$E,'2.CC Trans-BB.RE collateral'!G$18,Input!$F:$F,'2.CC Trans-BB.RE collateral'!$D$18)/1000000,0)</f>
        <v>0</v>
      </c>
      <c r="H11" s="29">
        <f>IFERROR(SUMIFS(Input!$G:$G,Input!$C:$C,'2.CC Trans-BB.RE collateral'!$A11,Input!$E:$E,'2.CC Trans-BB.RE collateral'!H$18,Input!$F:$F,'2.CC Trans-BB.RE collateral'!$D$18)/1000000,0)</f>
        <v>0</v>
      </c>
      <c r="I11" s="29">
        <f>IFERROR(SUMIFS(Input!$G:$G,Input!$C:$C,'2.CC Trans-BB.RE collateral'!$A11,Input!$E:$E,'2.CC Trans-BB.RE collateral'!I$18,Input!$F:$F,'2.CC Trans-BB.RE collateral'!$D$18)/1000000,0)</f>
        <v>0</v>
      </c>
      <c r="J11" s="29">
        <f>IFERROR(SUMIFS(Input!$G:$G,Input!$C:$C,'2.CC Trans-BB.RE collateral'!$A11,Input!$E:$E,'2.CC Trans-BB.RE collateral'!J$18,Input!$F:$F,'2.CC Trans-BB.RE collateral'!$D$18)/1000000,0)</f>
        <v>0</v>
      </c>
      <c r="K11" s="27">
        <f>IFERROR(SUM(SUMIFS(Input!$G:$G,Input!$C:$C,'2.CC Trans-BB.RE collateral'!$A11,Input!$D:$D,'2.CC Trans-BB.RE collateral'!K$7&amp;"*",Input!$H:$H,{"1-REAL";"SANTANDER";""},Input!$F:$F,'2.CC Trans-BB.RE collateral'!$D$18))/1000000,0)</f>
        <v>0</v>
      </c>
      <c r="L11" s="27">
        <f>IFERROR(SUM(SUMIFS(Input!$G:$G,Input!$C:$C,'2.CC Trans-BB.RE collateral'!$A11,Input!$D:$D,'2.CC Trans-BB.RE collateral'!L$7&amp;"*",Input!$H:$H,{"1-REAL";"SANTANDER";""},Input!$F:$F,'2.CC Trans-BB.RE collateral'!$D$18))/1000000,0)</f>
        <v>0</v>
      </c>
      <c r="M11" s="27">
        <f>IFERROR(SUM(SUMIFS(Input!$G:$G,Input!$C:$C,'2.CC Trans-BB.RE collateral'!$A11,Input!$D:$D,'2.CC Trans-BB.RE collateral'!M$7,Input!$H:$H,{"1-REAL";"SANTANDER";""},Input!$F:$F,'2.CC Trans-BB.RE collateral'!$D$18))/1000000,0)</f>
        <v>0</v>
      </c>
      <c r="N11" s="27">
        <f>IFERROR(SUM(SUMIFS(Input!$G:$G,Input!$C:$C,'2.CC Trans-BB.RE collateral'!$A11,Input!$D:$D,'2.CC Trans-BB.RE collateral'!N$7,Input!$H:$H,{"1-REAL";"SANTANDER";""},Input!$F:$F,'2.CC Trans-BB.RE collateral'!$D$18))/1000000,0)</f>
        <v>0</v>
      </c>
      <c r="O11" s="27">
        <f>IFERROR(SUM(SUMIFS(Input!$G:$G,Input!$C:$C,'2.CC Trans-BB.RE collateral'!$A11,Input!$D:$D,'2.CC Trans-BB.RE collateral'!O$7,Input!$H:$H,{"1-REAL";"SANTANDER";""},Input!$F:$F,'2.CC Trans-BB.RE collateral'!$D$18))/1000000,0)</f>
        <v>0</v>
      </c>
      <c r="P11" s="27">
        <f>IFERROR(SUM(SUMIFS(Input!$G:$G,Input!$C:$C,'2.CC Trans-BB.RE collateral'!$A11,Input!$D:$D,'2.CC Trans-BB.RE collateral'!P$7,Input!$H:$H,{"1-REAL";"SANTANDER";""},Input!$F:$F,'2.CC Trans-BB.RE collateral'!$D$18))/1000000,0)</f>
        <v>0</v>
      </c>
      <c r="Q11" s="27">
        <f>IFERROR(SUM(SUMIFS(Input!$G:$G,Input!$C:$C,'2.CC Trans-BB.RE collateral'!$A11,Input!$D:$D,'2.CC Trans-BB.RE collateral'!Q$7,Input!$H:$H,{"1-REAL";"SANTANDER";""},Input!$F:$F,'2.CC Trans-BB.RE collateral'!$D$18))/1000000,0)</f>
        <v>0</v>
      </c>
      <c r="R11" s="27">
        <f>IFERROR(SUMIFS(Input!$G:$G,Input!$C:$C,'2.CC Trans-BB.RE collateral'!A11,Input!$H:$H,"&lt;&gt;"&amp;K$18,Input!$H:$H,"&lt;&gt;"&amp;K$19,Input!$H:$H,"&lt;&gt;"&amp;"",Input!$F:$F,'2.CC Trans-BB.RE collateral'!$D$18)/1000000,0)</f>
        <v>0</v>
      </c>
      <c r="S11" s="28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</v>
      </c>
      <c r="T11" s="9"/>
    </row>
    <row r="12" spans="1:24" s="1" customFormat="1">
      <c r="A12" s="26" t="s">
        <v>73</v>
      </c>
      <c r="B12" s="3">
        <v>5</v>
      </c>
      <c r="C12" s="17" t="s">
        <v>74</v>
      </c>
      <c r="D12" s="27">
        <f>IFERROR(SUM(SUMIFS(Input!G:G,Input!C:C,{"Garantia Comercial";"Garantia Residencial";"Stock"},Input!E:E,"&lt;&gt;"&amp;'2.CC Trans-BB.RE collateral'!$A12,Input!$F:$F,'2.CC Trans-BB.RE collateral'!$D$18))/1000000,0)</f>
        <v>0</v>
      </c>
      <c r="E12" s="29">
        <f>IFERROR(SUM(SUMIFS(Input!$G:$G,Input!$C:$C,{"Garantia Comercial";"Garantia Residencial";"Stock"},Input!$E:$E,"&lt;&gt;"&amp;$A$12,Input!$E:$E,E$18,Input!$F:$F,'2.CC Trans-BB.RE collateral'!$D$18))/1000000,0)</f>
        <v>0</v>
      </c>
      <c r="F12" s="29">
        <f>IFERROR(SUM(SUMIFS(Input!$G:$G,Input!$C:$C,{"Garantia Comercial";"Garantia Residencial";"Stock"},Input!$E:$E,"&lt;&gt;"&amp;$A$12,Input!$E:$E,F$18,Input!$F:$F,'2.CC Trans-BB.RE collateral'!$D$18))/1000000,0)</f>
        <v>0</v>
      </c>
      <c r="G12" s="29">
        <f>IFERROR(SUM(SUMIFS(Input!$G:$G,Input!$C:$C,{"Garantia Comercial";"Garantia Residencial";"Stock"},Input!$E:$E,"&lt;&gt;"&amp;$A$12,Input!$E:$E,G$18,Input!$F:$F,'2.CC Trans-BB.RE collateral'!$D$18))/1000000,0)</f>
        <v>0</v>
      </c>
      <c r="H12" s="29">
        <f>IFERROR(SUM(SUMIFS(Input!$G:$G,Input!$C:$C,{"Garantia Comercial";"Garantia Residencial";"Stock"},Input!$E:$E,"&lt;&gt;"&amp;$A$12,Input!$E:$E,H$18,Input!$F:$F,'2.CC Trans-BB.RE collateral'!$D$18))/1000000,0)</f>
        <v>0</v>
      </c>
      <c r="I12" s="29">
        <f>IFERROR(SUM(SUMIFS(Input!$G:$G,Input!$C:$C,{"Garantia Comercial";"Garantia Residencial";"Stock"},Input!$E:$E,"&lt;&gt;"&amp;$A$12,Input!$E:$E,I$18,Input!$F:$F,'2.CC Trans-BB.RE collateral'!$D$18))/1000000,0)</f>
        <v>0</v>
      </c>
      <c r="J12" s="29">
        <f>IFERROR(SUM(SUMIFS(Input!$G:$G,Input!$C:$C,{"Garantia Comercial";"Garantia Residencial";"Stock"},Input!$E:$E,"&lt;&gt;"&amp;$A$12,Input!$E:$E,J$18,Input!$F:$F,'2.CC Trans-BB.RE collateral'!$D$18))/1000000,0)</f>
        <v>0</v>
      </c>
      <c r="K12" s="27"/>
      <c r="L12" s="27"/>
      <c r="M12" s="27"/>
      <c r="N12" s="27"/>
      <c r="O12" s="27"/>
      <c r="P12" s="27"/>
      <c r="Q12" s="27"/>
      <c r="R12" s="27">
        <f>IFERROR(SUM(SUMIFS(Input!$G:$G,Input!$C:$C,{"Garantia Comercial";"Garantia Residencial";"Stock"},Input!$H:$H,"&lt;&gt;"&amp;M$18,Input!$H:$H,"&lt;&gt;",Input!$H:$H,"&lt;&gt;"&amp;$M$19,Input!$E:$E,"&lt;&gt;"&amp;$A$12,Input!$F:$F,'2.CC Trans-BB.RE collateral'!$D$18))/1000000,0)</f>
        <v>0</v>
      </c>
      <c r="S12" s="28" t="e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collateral'!$D$18))/1000000)/R12</f>
        <v>#DIV/0!</v>
      </c>
      <c r="T12" s="9"/>
    </row>
    <row r="13" spans="1:24" s="1" customFormat="1">
      <c r="A13" s="26"/>
      <c r="B13" s="3">
        <v>6</v>
      </c>
      <c r="C13" s="15" t="s">
        <v>75</v>
      </c>
      <c r="D13" s="27">
        <f>SUM(D14:D16)</f>
        <v>0</v>
      </c>
      <c r="E13" s="27">
        <f>+SUM(E14:E16)</f>
        <v>0</v>
      </c>
      <c r="F13" s="27">
        <f>+SUM(F14:F16)</f>
        <v>0</v>
      </c>
      <c r="G13" s="27">
        <f>+SUM(G14:G16)</f>
        <v>0</v>
      </c>
      <c r="H13" s="27">
        <f>+SUM(H14:H16)</f>
        <v>0</v>
      </c>
      <c r="I13" s="27">
        <f t="shared" ref="I13:J13" si="2">+SUM(I14:I16)</f>
        <v>0</v>
      </c>
      <c r="J13" s="27">
        <f t="shared" si="2"/>
        <v>0</v>
      </c>
      <c r="K13" s="27">
        <f>+SUM(K14:K16)</f>
        <v>0</v>
      </c>
      <c r="L13" s="27">
        <f t="shared" ref="L13:Q13" si="3">+SUM(L14:L16)</f>
        <v>0</v>
      </c>
      <c r="M13" s="27">
        <f t="shared" si="3"/>
        <v>0</v>
      </c>
      <c r="N13" s="27">
        <f t="shared" si="3"/>
        <v>0</v>
      </c>
      <c r="O13" s="27">
        <f t="shared" si="3"/>
        <v>0</v>
      </c>
      <c r="P13" s="27">
        <f t="shared" si="3"/>
        <v>0</v>
      </c>
      <c r="Q13" s="27">
        <f t="shared" si="3"/>
        <v>0</v>
      </c>
      <c r="R13" s="27">
        <f>SUM(R14:R16)</f>
        <v>0</v>
      </c>
      <c r="S13" s="28" t="e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#DIV/0!</v>
      </c>
    </row>
    <row r="14" spans="1:24">
      <c r="A14" s="26" t="s">
        <v>67</v>
      </c>
      <c r="B14" s="3">
        <v>7</v>
      </c>
      <c r="C14" s="16" t="s">
        <v>68</v>
      </c>
      <c r="D14" s="27">
        <f>IFERROR(SUMIFS(Input!$G:$G,Input!$C:$C,'2.CC Trans-BB.RE collateral'!$A14,Input!$F:$F,'2.CC Trans-BB.RE collateral'!$D$19)/1000000,0)</f>
        <v>0</v>
      </c>
      <c r="E14" s="29">
        <f>IFERROR(SUMIFS(Input!$G:$G,Input!$C:$C,'2.CC Trans-BB.RE collateral'!$A14,Input!$E:$E,'2.CC Trans-BB.RE collateral'!E$18,Input!$F:$F,'2.CC Trans-BB.RE collateral'!$D$19)/1000000,0)</f>
        <v>0</v>
      </c>
      <c r="F14" s="29">
        <f>IFERROR(SUMIFS(Input!$G:$G,Input!$C:$C,'2.CC Trans-BB.RE collateral'!$A14,Input!$E:$E,'2.CC Trans-BB.RE collateral'!F$18,Input!$F:$F,'2.CC Trans-BB.RE collateral'!$D$19)/1000000,0)</f>
        <v>0</v>
      </c>
      <c r="G14" s="29">
        <f>IFERROR(SUMIFS(Input!$G:$G,Input!$C:$C,'2.CC Trans-BB.RE collateral'!$A14,Input!$E:$E,'2.CC Trans-BB.RE collateral'!G$18,Input!$F:$F,'2.CC Trans-BB.RE collateral'!$D$19)/1000000,0)</f>
        <v>0</v>
      </c>
      <c r="H14" s="29">
        <f>IFERROR(SUMIFS(Input!$G:$G,Input!$C:$C,'2.CC Trans-BB.RE collateral'!$A14,Input!$E:$E,'2.CC Trans-BB.RE collateral'!H$18,Input!$F:$F,'2.CC Trans-BB.RE collateral'!$D$19)/1000000,0)</f>
        <v>0</v>
      </c>
      <c r="I14" s="29">
        <f>IFERROR(SUMIFS(Input!$G:$G,Input!$C:$C,'2.CC Trans-BB.RE collateral'!$A14,Input!$E:$E,'2.CC Trans-BB.RE collateral'!I$18,Input!$F:$F,'2.CC Trans-BB.RE collateral'!$D$19)/1000000,0)</f>
        <v>0</v>
      </c>
      <c r="J14" s="29">
        <f>IFERROR(SUMIFS(Input!$G:$G,Input!$C:$C,'2.CC Trans-BB.RE collateral'!$A14,Input!$E:$E,'2.CC Trans-BB.RE collateral'!J$18,Input!$F:$F,'2.CC Trans-BB.RE collateral'!$D$19)/1000000,0)</f>
        <v>0</v>
      </c>
      <c r="K14" s="27">
        <f>IFERROR(SUM(SUMIFS(Input!$G:$G,Input!$C:$C,'2.CC Trans-BB.RE collateral'!$A14,Input!$D:$D,'2.CC Trans-BB.RE collateral'!K$7&amp;"*",Input!$H:$H,{"1-REAL";"SANTANDER";""},Input!$F:$F,'2.CC Trans-BB.RE collateral'!$D$19))/1000000,0)</f>
        <v>0</v>
      </c>
      <c r="L14" s="27">
        <f>IFERROR(SUM(SUMIFS(Input!$G:$G,Input!$C:$C,'2.CC Trans-BB.RE collateral'!$A14,Input!$D:$D,'2.CC Trans-BB.RE collateral'!L$7&amp;"*",Input!$H:$H,{"1-REAL";"SANTANDER";""},Input!$F:$F,'2.CC Trans-BB.RE collateral'!$D$19))/1000000,0)</f>
        <v>0</v>
      </c>
      <c r="M14" s="27">
        <f>IFERROR(SUM(SUMIFS(Input!$G:$G,Input!$C:$C,'2.CC Trans-BB.RE collateral'!$A14,Input!$D:$D,'2.CC Trans-BB.RE collateral'!M$7,Input!$H:$H,{"1-REAL";"SANTANDER";""},Input!$F:$F,'2.CC Trans-BB.RE collateral'!$D$19))/1000000,0)</f>
        <v>0</v>
      </c>
      <c r="N14" s="27">
        <f>IFERROR(SUM(SUMIFS(Input!$G:$G,Input!$C:$C,'2.CC Trans-BB.RE collateral'!$A14,Input!$D:$D,'2.CC Trans-BB.RE collateral'!N$7,Input!$H:$H,{"1-REAL";"SANTANDER";""},Input!$F:$F,'2.CC Trans-BB.RE collateral'!$D$19))/1000000,0)</f>
        <v>0</v>
      </c>
      <c r="O14" s="27">
        <f>IFERROR(SUM(SUMIFS(Input!$G:$G,Input!$C:$C,'2.CC Trans-BB.RE collateral'!$A14,Input!$D:$D,'2.CC Trans-BB.RE collateral'!O$7,Input!$H:$H,{"1-REAL";"SANTANDER";""},Input!$F:$F,'2.CC Trans-BB.RE collateral'!$D$19))/1000000,0)</f>
        <v>0</v>
      </c>
      <c r="P14" s="27">
        <f>IFERROR(SUM(SUMIFS(Input!$G:$G,Input!$C:$C,'2.CC Trans-BB.RE collateral'!$A14,Input!$D:$D,'2.CC Trans-BB.RE collateral'!P$7,Input!$H:$H,{"1-REAL";"SANTANDER";""},Input!$F:$F,'2.CC Trans-BB.RE collateral'!$D$19))/1000000,0)</f>
        <v>0</v>
      </c>
      <c r="Q14" s="27">
        <f>IFERROR(SUM(SUMIFS(Input!$G:$G,Input!$C:$C,'2.CC Trans-BB.RE collateral'!$A14,Input!$D:$D,'2.CC Trans-BB.RE collateral'!Q$7,Input!$H:$H,{"1-REAL";"SANTANDER";""},Input!$F:$F,'2.CC Trans-BB.RE collateral'!$D$19))/1000000,0)</f>
        <v>0</v>
      </c>
      <c r="R14" s="27">
        <f>IFERROR(SUMIFS(Input!$G:$G,Input!$C:$C,'2.CC Trans-BB.RE collateral'!A14,Input!$H:$H,"&lt;&gt;"&amp;K$18,Input!$H:$H,"&lt;&gt;"&amp;K$19,Input!$H:$H,"&lt;&gt;"&amp;"",Input!$F:$F,'2.CC Trans-BB.RE collateral'!$D$19)/1000000,0)</f>
        <v>0</v>
      </c>
      <c r="S14" s="28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>
      <c r="A15" s="26" t="s">
        <v>69</v>
      </c>
      <c r="B15" s="3">
        <v>8</v>
      </c>
      <c r="C15" s="16" t="s">
        <v>70</v>
      </c>
      <c r="D15" s="27">
        <f>IFERROR(SUMIFS(Input!$G:$G,Input!$C:$C,'2.CC Trans-BB.RE collateral'!$A15,Input!$F:$F,'2.CC Trans-BB.RE collateral'!$D$19)/1000000,0)</f>
        <v>0</v>
      </c>
      <c r="E15" s="29">
        <f>IFERROR(SUMIFS(Input!$G:$G,Input!$C:$C,'2.CC Trans-BB.RE collateral'!$A15,Input!$E:$E,'2.CC Trans-BB.RE collateral'!E$18,Input!$F:$F,'2.CC Trans-BB.RE collateral'!$D$19)/1000000,0)</f>
        <v>0</v>
      </c>
      <c r="F15" s="29">
        <f>IFERROR(SUMIFS(Input!$G:$G,Input!$C:$C,'2.CC Trans-BB.RE collateral'!$A15,Input!$E:$E,'2.CC Trans-BB.RE collateral'!F$18,Input!$F:$F,'2.CC Trans-BB.RE collateral'!$D$19)/1000000,0)</f>
        <v>0</v>
      </c>
      <c r="G15" s="29">
        <f>IFERROR(SUMIFS(Input!$G:$G,Input!$C:$C,'2.CC Trans-BB.RE collateral'!$A15,Input!$E:$E,'2.CC Trans-BB.RE collateral'!G$18,Input!$F:$F,'2.CC Trans-BB.RE collateral'!$D$19)/1000000,0)</f>
        <v>0</v>
      </c>
      <c r="H15" s="29">
        <f>IFERROR(SUMIFS(Input!$G:$G,Input!$C:$C,'2.CC Trans-BB.RE collateral'!$A15,Input!$E:$E,'2.CC Trans-BB.RE collateral'!H$18,Input!$F:$F,'2.CC Trans-BB.RE collateral'!$D$19)/1000000,0)</f>
        <v>0</v>
      </c>
      <c r="I15" s="29">
        <f>IFERROR(SUMIFS(Input!$G:$G,Input!$C:$C,'2.CC Trans-BB.RE collateral'!$A15,Input!$E:$E,'2.CC Trans-BB.RE collateral'!I$18,Input!$F:$F,'2.CC Trans-BB.RE collateral'!$D$19)/1000000,0)</f>
        <v>0</v>
      </c>
      <c r="J15" s="29">
        <f>IFERROR(SUMIFS(Input!$G:$G,Input!$C:$C,'2.CC Trans-BB.RE collateral'!$A15,Input!$E:$E,'2.CC Trans-BB.RE collateral'!J$18,Input!$F:$F,'2.CC Trans-BB.RE collateral'!$D$19)/1000000,0)</f>
        <v>0</v>
      </c>
      <c r="K15" s="27">
        <f>IFERROR(SUM(SUMIFS(Input!$G:$G,Input!$C:$C,'2.CC Trans-BB.RE collateral'!$A15,Input!$D:$D,'2.CC Trans-BB.RE collateral'!K$7&amp;"*",Input!$H:$H,{"1-REAL";"SANTANDER";""},Input!$F:$F,'2.CC Trans-BB.RE collateral'!$D$19))/1000000,0)</f>
        <v>0</v>
      </c>
      <c r="L15" s="27">
        <f>IFERROR(SUM(SUMIFS(Input!$G:$G,Input!$C:$C,'2.CC Trans-BB.RE collateral'!$A15,Input!$D:$D,'2.CC Trans-BB.RE collateral'!L$7&amp;"*",Input!$H:$H,{"1-REAL";"SANTANDER";""},Input!$F:$F,'2.CC Trans-BB.RE collateral'!$D$19))/1000000,0)</f>
        <v>0</v>
      </c>
      <c r="M15" s="27">
        <f>IFERROR(SUM(SUMIFS(Input!$G:$G,Input!$C:$C,'2.CC Trans-BB.RE collateral'!$A15,Input!$D:$D,'2.CC Trans-BB.RE collateral'!M$7,Input!$H:$H,{"1-REAL";"SANTANDER";""},Input!$F:$F,'2.CC Trans-BB.RE collateral'!$D$19))/1000000,0)</f>
        <v>0</v>
      </c>
      <c r="N15" s="27">
        <f>IFERROR(SUM(SUMIFS(Input!$G:$G,Input!$C:$C,'2.CC Trans-BB.RE collateral'!$A15,Input!$D:$D,'2.CC Trans-BB.RE collateral'!N$7,Input!$H:$H,{"1-REAL";"SANTANDER";""},Input!$F:$F,'2.CC Trans-BB.RE collateral'!$D$19))/1000000,0)</f>
        <v>0</v>
      </c>
      <c r="O15" s="27">
        <f>IFERROR(SUM(SUMIFS(Input!$G:$G,Input!$C:$C,'2.CC Trans-BB.RE collateral'!$A15,Input!$D:$D,'2.CC Trans-BB.RE collateral'!O$7,Input!$H:$H,{"1-REAL";"SANTANDER";""},Input!$F:$F,'2.CC Trans-BB.RE collateral'!$D$19))/1000000,0)</f>
        <v>0</v>
      </c>
      <c r="P15" s="27">
        <f>IFERROR(SUM(SUMIFS(Input!$G:$G,Input!$C:$C,'2.CC Trans-BB.RE collateral'!$A15,Input!$D:$D,'2.CC Trans-BB.RE collateral'!P$7,Input!$H:$H,{"1-REAL";"SANTANDER";""},Input!$F:$F,'2.CC Trans-BB.RE collateral'!$D$19))/1000000,0)</f>
        <v>0</v>
      </c>
      <c r="Q15" s="27">
        <f>IFERROR(SUM(SUMIFS(Input!$G:$G,Input!$C:$C,'2.CC Trans-BB.RE collateral'!$A15,Input!$D:$D,'2.CC Trans-BB.RE collateral'!Q$7,Input!$H:$H,{"1-REAL";"SANTANDER";""},Input!$F:$F,'2.CC Trans-BB.RE collateral'!$D$19))/1000000,0)</f>
        <v>0</v>
      </c>
      <c r="R15" s="27">
        <f>IFERROR(SUMIFS(Input!$G:$G,Input!$C:$C,'2.CC Trans-BB.RE collateral'!A15,Input!$H:$H,"&lt;&gt;"&amp;K$18,Input!$H:$H,"&lt;&gt;"&amp;K$19,Input!$H:$H,"&lt;&gt;"&amp;"",Input!$F:$F,'2.CC Trans-BB.RE collateral'!$D$19)/1000000,0)</f>
        <v>0</v>
      </c>
      <c r="S15" s="28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0</v>
      </c>
    </row>
    <row r="16" spans="1:24" s="1" customFormat="1" ht="12.95">
      <c r="A16" s="23" t="s">
        <v>71</v>
      </c>
      <c r="B16" s="3">
        <v>9</v>
      </c>
      <c r="C16" s="16" t="s">
        <v>72</v>
      </c>
      <c r="D16" s="27">
        <f>IFERROR(SUMIFS(Input!$G:$G,Input!$C:$C,'2.CC Trans-BB.RE collateral'!$A16,Input!$F:$F,'2.CC Trans-BB.RE collateral'!$D$19)/1000000,0)</f>
        <v>0</v>
      </c>
      <c r="E16" s="29">
        <f>IFERROR(SUMIFS(Input!$G:$G,Input!$C:$C,'2.CC Trans-BB.RE collateral'!$A16,Input!$E:$E,'2.CC Trans-BB.RE collateral'!E$18,Input!$F:$F,'2.CC Trans-BB.RE collateral'!$D$19)/1000000,0)</f>
        <v>0</v>
      </c>
      <c r="F16" s="29">
        <f>IFERROR(SUMIFS(Input!$G:$G,Input!$C:$C,'2.CC Trans-BB.RE collateral'!$A16,Input!$E:$E,'2.CC Trans-BB.RE collateral'!F$18,Input!$F:$F,'2.CC Trans-BB.RE collateral'!$D$19)/1000000,0)</f>
        <v>0</v>
      </c>
      <c r="G16" s="29">
        <f>IFERROR(SUMIFS(Input!$G:$G,Input!$C:$C,'2.CC Trans-BB.RE collateral'!$A16,Input!$E:$E,'2.CC Trans-BB.RE collateral'!G$18,Input!$F:$F,'2.CC Trans-BB.RE collateral'!$D$19)/1000000,0)</f>
        <v>0</v>
      </c>
      <c r="H16" s="29">
        <f>IFERROR(SUMIFS(Input!$G:$G,Input!$C:$C,'2.CC Trans-BB.RE collateral'!$A16,Input!$E:$E,'2.CC Trans-BB.RE collateral'!H$18,Input!$F:$F,'2.CC Trans-BB.RE collateral'!$D$19)/1000000,0)</f>
        <v>0</v>
      </c>
      <c r="I16" s="29">
        <f>IFERROR(SUMIFS(Input!$G:$G,Input!$C:$C,'2.CC Trans-BB.RE collateral'!$A16,Input!$E:$E,'2.CC Trans-BB.RE collateral'!I$18,Input!$F:$F,'2.CC Trans-BB.RE collateral'!$D$19)/1000000,0)</f>
        <v>0</v>
      </c>
      <c r="J16" s="29">
        <f>IFERROR(SUMIFS(Input!$G:$G,Input!$C:$C,'2.CC Trans-BB.RE collateral'!$A16,Input!$E:$E,'2.CC Trans-BB.RE collateral'!J$18,Input!$F:$F,'2.CC Trans-BB.RE collateral'!$D$19)/1000000,0)</f>
        <v>0</v>
      </c>
      <c r="K16" s="27">
        <f>IFERROR(SUM(SUMIFS(Input!$G:$G,Input!$C:$C,'2.CC Trans-BB.RE collateral'!$A16,Input!$D:$D,'2.CC Trans-BB.RE collateral'!K$7&amp;"*",Input!$H:$H,{"1-REAL";"SANTANDER";""},Input!$F:$F,'2.CC Trans-BB.RE collateral'!$D$19))/1000000,0)</f>
        <v>0</v>
      </c>
      <c r="L16" s="27">
        <f>IFERROR(SUM(SUMIFS(Input!$G:$G,Input!$C:$C,'2.CC Trans-BB.RE collateral'!$A16,Input!$D:$D,'2.CC Trans-BB.RE collateral'!L$7&amp;"*",Input!$H:$H,{"1-REAL";"SANTANDER";""},Input!$F:$F,'2.CC Trans-BB.RE collateral'!$D$19))/1000000,0)</f>
        <v>0</v>
      </c>
      <c r="M16" s="27">
        <f>IFERROR(SUM(SUMIFS(Input!$G:$G,Input!$C:$C,'2.CC Trans-BB.RE collateral'!$A16,Input!$D:$D,'2.CC Trans-BB.RE collateral'!M$7,Input!$H:$H,{"1-REAL";"SANTANDER";""},Input!$F:$F,'2.CC Trans-BB.RE collateral'!$D$19))/1000000,0)</f>
        <v>0</v>
      </c>
      <c r="N16" s="27">
        <f>IFERROR(SUM(SUMIFS(Input!$G:$G,Input!$C:$C,'2.CC Trans-BB.RE collateral'!$A16,Input!$D:$D,'2.CC Trans-BB.RE collateral'!N$7,Input!$H:$H,{"1-REAL";"SANTANDER";""},Input!$F:$F,'2.CC Trans-BB.RE collateral'!$D$19))/1000000,0)</f>
        <v>0</v>
      </c>
      <c r="O16" s="27">
        <f>IFERROR(SUM(SUMIFS(Input!$G:$G,Input!$C:$C,'2.CC Trans-BB.RE collateral'!$A16,Input!$D:$D,'2.CC Trans-BB.RE collateral'!O$7,Input!$H:$H,{"1-REAL";"SANTANDER";""},Input!$F:$F,'2.CC Trans-BB.RE collateral'!$D$19))/1000000,0)</f>
        <v>0</v>
      </c>
      <c r="P16" s="27">
        <f>IFERROR(SUM(SUMIFS(Input!$G:$G,Input!$C:$C,'2.CC Trans-BB.RE collateral'!$A16,Input!$D:$D,'2.CC Trans-BB.RE collateral'!P$7,Input!$H:$H,{"1-REAL";"SANTANDER";""},Input!$F:$F,'2.CC Trans-BB.RE collateral'!$D$19))/1000000,0)</f>
        <v>0</v>
      </c>
      <c r="Q16" s="27">
        <f>IFERROR(SUM(SUMIFS(Input!$G:$G,Input!$C:$C,'2.CC Trans-BB.RE collateral'!$A16,Input!$D:$D,'2.CC Trans-BB.RE collateral'!Q$7,Input!$H:$H,{"1-REAL";"SANTANDER";""},Input!$F:$F,'2.CC Trans-BB.RE collateral'!$D$19))/1000000,0)</f>
        <v>0</v>
      </c>
      <c r="R16" s="27">
        <f>IFERROR(SUMIFS(Input!$G:$G,Input!$C:$C,'2.CC Trans-BB.RE collateral'!A16,Input!$H:$H,"&lt;&gt;"&amp;K$18,Input!$H:$H,"&lt;&gt;"&amp;K$19,Input!$H:$H,"&lt;&gt;"&amp;"",Input!$F:$F,'2.CC Trans-BB.RE collateral'!$D$19)/1000000,0)</f>
        <v>0</v>
      </c>
      <c r="S16" s="28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2.95">
      <c r="A17" s="23" t="s">
        <v>73</v>
      </c>
      <c r="B17" s="3">
        <v>10</v>
      </c>
      <c r="C17" s="17" t="s">
        <v>74</v>
      </c>
      <c r="D17" s="27">
        <f>IFERROR(SUM(SUMIFS(Input!G:G,Input!C:C,{"Garantia Comercial";"Garantia Residencial";"Stock"},Input!E:E,"&lt;&gt;"&amp;'2.CC Trans-BB.RE collateral'!$A17,Input!$F:$F,'2.CC Trans-BB.RE collateral'!$D$19))/1000000,0)</f>
        <v>0</v>
      </c>
      <c r="E17" s="29">
        <f>IFERROR(SUM(SUMIFS(Input!$G:$G,Input!$C:$C,{"Garantia Comercial";"Garantia Residencial";"Stock"},Input!$E:$E,"&lt;&gt;"&amp;$A$12,Input!$E:$E,E$18,Input!$F:$F,'2.CC Trans-BB.RE collateral'!$D$19))/1000000,0)</f>
        <v>0</v>
      </c>
      <c r="F17" s="29">
        <f>IFERROR(SUM(SUMIFS(Input!$G:$G,Input!$C:$C,{"Garantia Comercial";"Garantia Residencial";"Stock"},Input!$E:$E,"&lt;&gt;"&amp;$A$12,Input!$E:$E,F$18,Input!$F:$F,'2.CC Trans-BB.RE collateral'!$D$19))/1000000,0)</f>
        <v>0</v>
      </c>
      <c r="G17" s="29">
        <f>IFERROR(SUM(SUMIFS(Input!$G:$G,Input!$C:$C,{"Garantia Comercial";"Garantia Residencial";"Stock"},Input!$E:$E,"&lt;&gt;"&amp;$A$12,Input!$E:$E,G$18,Input!$F:$F,'2.CC Trans-BB.RE collateral'!$D$19))/1000000,0)</f>
        <v>0</v>
      </c>
      <c r="H17" s="29">
        <f>IFERROR(SUM(SUMIFS(Input!$G:$G,Input!$C:$C,{"Garantia Comercial";"Garantia Residencial";"Stock"},Input!$E:$E,"&lt;&gt;"&amp;$A$12,Input!$E:$E,H$18,Input!$F:$F,'2.CC Trans-BB.RE collateral'!$D$19))/1000000,0)</f>
        <v>0</v>
      </c>
      <c r="I17" s="29">
        <f>IFERROR(SUM(SUMIFS(Input!$G:$G,Input!$C:$C,{"Garantia Comercial";"Garantia Residencial";"Stock"},Input!$E:$E,"&lt;&gt;"&amp;$A$12,Input!$E:$E,I$18,Input!$F:$F,'2.CC Trans-BB.RE collateral'!$D$19))/1000000,0)</f>
        <v>0</v>
      </c>
      <c r="J17" s="29">
        <f>IFERROR(SUM(SUMIFS(Input!$G:$G,Input!$C:$C,{"Garantia Comercial";"Garantia Residencial";"Stock"},Input!$E:$E,"&lt;&gt;"&amp;$A$12,Input!$E:$E,J$18,Input!$F:$F,'2.CC Trans-BB.RE collateral'!$D$19))/1000000,0)</f>
        <v>0</v>
      </c>
      <c r="K17" s="27"/>
      <c r="L17" s="27"/>
      <c r="M17" s="27"/>
      <c r="N17" s="27"/>
      <c r="O17" s="27"/>
      <c r="P17" s="27"/>
      <c r="Q17" s="27"/>
      <c r="R17" s="27">
        <f>IFERROR(SUM(SUMIFS(Input!$G:$G,Input!$C:$C,{"Garantia Comercial";"Garantia Residencial";"Stock"},Input!$H:$H,"&lt;&gt;"&amp;M$18,Input!$H:$H,"&lt;&gt;",Input!$H:$H,"&lt;&gt;"&amp;$M$19,Input!$E:$E,"&lt;&gt;"&amp;$A$12,Input!$F:$F,'2.CC Trans-BB.RE collateral'!$D$19))/1000000,0)</f>
        <v>0</v>
      </c>
      <c r="S17" s="28" t="e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collateral'!$D$19))/1000000)/R17</f>
        <v>#DIV/0!</v>
      </c>
      <c r="T17" s="9"/>
    </row>
    <row r="18" spans="1:20">
      <c r="D18" s="24" t="s">
        <v>76</v>
      </c>
      <c r="E18" s="24" t="s">
        <v>77</v>
      </c>
      <c r="F18" s="24" t="s">
        <v>78</v>
      </c>
      <c r="G18" s="24" t="s">
        <v>79</v>
      </c>
      <c r="H18" s="24" t="s">
        <v>80</v>
      </c>
      <c r="I18" s="24" t="s">
        <v>81</v>
      </c>
      <c r="J18" s="24" t="s">
        <v>82</v>
      </c>
      <c r="K18" s="25" t="s">
        <v>83</v>
      </c>
      <c r="L18" s="26" t="s">
        <v>83</v>
      </c>
      <c r="M18" s="26" t="s">
        <v>83</v>
      </c>
      <c r="N18" s="26" t="s">
        <v>83</v>
      </c>
      <c r="O18" s="26" t="s">
        <v>83</v>
      </c>
      <c r="P18" s="26" t="s">
        <v>83</v>
      </c>
      <c r="Q18" s="26" t="s">
        <v>83</v>
      </c>
      <c r="R18" s="24" t="s">
        <v>73</v>
      </c>
      <c r="S18" s="25" t="s">
        <v>84</v>
      </c>
    </row>
    <row r="19" spans="1:20">
      <c r="D19" s="24" t="s">
        <v>85</v>
      </c>
      <c r="E19" s="26"/>
      <c r="F19" s="26"/>
      <c r="G19" s="26"/>
      <c r="H19" s="26"/>
      <c r="I19" s="26"/>
      <c r="J19" s="26"/>
      <c r="K19" s="24" t="s">
        <v>86</v>
      </c>
      <c r="L19" s="26" t="s">
        <v>86</v>
      </c>
      <c r="M19" s="26" t="s">
        <v>86</v>
      </c>
      <c r="N19" s="26" t="s">
        <v>86</v>
      </c>
      <c r="O19" s="26" t="s">
        <v>86</v>
      </c>
      <c r="P19" s="26" t="s">
        <v>86</v>
      </c>
      <c r="Q19" s="26" t="s">
        <v>86</v>
      </c>
      <c r="R19" s="26"/>
      <c r="S19" s="26"/>
    </row>
    <row r="20" spans="1:20">
      <c r="D20" s="26"/>
      <c r="E20" s="26"/>
      <c r="F20" s="26"/>
      <c r="G20" s="26"/>
      <c r="H20" s="26"/>
      <c r="I20" s="26"/>
      <c r="J20" s="26"/>
      <c r="K20" s="24" t="s">
        <v>87</v>
      </c>
      <c r="L20" s="24" t="s">
        <v>87</v>
      </c>
      <c r="M20" s="24" t="s">
        <v>87</v>
      </c>
      <c r="N20" s="24" t="s">
        <v>87</v>
      </c>
      <c r="O20" s="24" t="s">
        <v>87</v>
      </c>
      <c r="P20" s="24" t="s">
        <v>87</v>
      </c>
      <c r="Q20" s="24" t="s">
        <v>87</v>
      </c>
      <c r="R20" s="24"/>
      <c r="S20" s="26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9D9D941-653F-4C84-BDC6-D17161F5D399}"/>
</file>

<file path=customXml/itemProps2.xml><?xml version="1.0" encoding="utf-8"?>
<ds:datastoreItem xmlns:ds="http://schemas.openxmlformats.org/officeDocument/2006/customXml" ds:itemID="{CFAA08FF-BA12-4D0A-8953-9C151DD9864F}"/>
</file>

<file path=customXml/itemProps3.xml><?xml version="1.0" encoding="utf-8"?>
<ds:datastoreItem xmlns:ds="http://schemas.openxmlformats.org/officeDocument/2006/customXml" ds:itemID="{5BA23B93-878E-4EE7-B4AB-BA89E17FFD7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Susana Oliveira Bernardo Marçal Antunes</cp:lastModifiedBy>
  <cp:revision/>
  <dcterms:created xsi:type="dcterms:W3CDTF">2021-09-06T12:20:44Z</dcterms:created>
  <dcterms:modified xsi:type="dcterms:W3CDTF">2025-05-20T16:39:05Z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</Properties>
</file>