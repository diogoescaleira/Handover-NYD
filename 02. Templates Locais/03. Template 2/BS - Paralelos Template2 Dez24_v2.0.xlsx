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Comparativos granulares" sheetId="19" r:id="rId1"/>
    <sheet name="Variação Absoluta" sheetId="1" r:id="rId2"/>
    <sheet name="Variação Percentual (pp)" sheetId="15" r:id="rId3"/>
    <sheet name="Input &gt;&gt;" sheetId="18" r:id="rId4"/>
    <sheet name="Paralelo" sheetId="13" r:id="rId5"/>
    <sheet name="Dez24" sheetId="14" r:id="rId6"/>
  </sheets>
  <definedNames>
    <definedName name="_xlnm._FilterDatabase" localSheetId="0" hidden="1">'Comparativos granulares'!$B$8:$E$98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12" i="15" l="1"/>
  <c r="BW13" i="15"/>
  <c r="BW14" i="15"/>
  <c r="BW15" i="15"/>
  <c r="BW16" i="15"/>
  <c r="BW17" i="15"/>
  <c r="BW18" i="15"/>
  <c r="BW19" i="15"/>
  <c r="BU12" i="15"/>
  <c r="BU13" i="15"/>
  <c r="BU14" i="15"/>
  <c r="BU15" i="15"/>
  <c r="BU16" i="15"/>
  <c r="BU17" i="15"/>
  <c r="BU18" i="15"/>
  <c r="BU19" i="15"/>
  <c r="BR12" i="15"/>
  <c r="BR13" i="15"/>
  <c r="BR14" i="15"/>
  <c r="BR15" i="15"/>
  <c r="BR16" i="15"/>
  <c r="BR17" i="15"/>
  <c r="BR18" i="15"/>
  <c r="BR19" i="15"/>
  <c r="BP12" i="15"/>
  <c r="BP13" i="15"/>
  <c r="BP14" i="15"/>
  <c r="BP15" i="15"/>
  <c r="BP16" i="15"/>
  <c r="BP17" i="15"/>
  <c r="BP18" i="15"/>
  <c r="BP19" i="15"/>
  <c r="BM19" i="15"/>
  <c r="BM18" i="15"/>
  <c r="BM17" i="15"/>
  <c r="BM16" i="15"/>
  <c r="BM15" i="15"/>
  <c r="BM14" i="15"/>
  <c r="BM13" i="15"/>
  <c r="BM12" i="15"/>
  <c r="BK12" i="15"/>
  <c r="BK13" i="15"/>
  <c r="BK14" i="15"/>
  <c r="BK15" i="15"/>
  <c r="BK16" i="15"/>
  <c r="BK17" i="15"/>
  <c r="BK18" i="15"/>
  <c r="BK19" i="15"/>
  <c r="BH12" i="15"/>
  <c r="BH13" i="15"/>
  <c r="BH14" i="15"/>
  <c r="BH15" i="15"/>
  <c r="BH16" i="15"/>
  <c r="BH17" i="15"/>
  <c r="BH18" i="15"/>
  <c r="BH19" i="15"/>
  <c r="BF12" i="15"/>
  <c r="BF13" i="15"/>
  <c r="BF14" i="15"/>
  <c r="BF15" i="15"/>
  <c r="BF16" i="15"/>
  <c r="BF17" i="15"/>
  <c r="BF18" i="15"/>
  <c r="BF19" i="15"/>
  <c r="BC12" i="15"/>
  <c r="BC13" i="15"/>
  <c r="BC14" i="15"/>
  <c r="BC15" i="15"/>
  <c r="BC16" i="15"/>
  <c r="BC17" i="15"/>
  <c r="BC18" i="15"/>
  <c r="BC19" i="15"/>
  <c r="BA12" i="15"/>
  <c r="BA13" i="15"/>
  <c r="BA14" i="15"/>
  <c r="BA15" i="15"/>
  <c r="BA16" i="15"/>
  <c r="BA17" i="15"/>
  <c r="BA18" i="15"/>
  <c r="BA19" i="15"/>
  <c r="AX12" i="15"/>
  <c r="AX13" i="15"/>
  <c r="AX14" i="15"/>
  <c r="AX15" i="15"/>
  <c r="AX16" i="15"/>
  <c r="AX17" i="15"/>
  <c r="AX18" i="15"/>
  <c r="AX19" i="15"/>
  <c r="AV12" i="15"/>
  <c r="AV13" i="15"/>
  <c r="AV14" i="15"/>
  <c r="AV15" i="15"/>
  <c r="AV16" i="15"/>
  <c r="AV17" i="15"/>
  <c r="AV18" i="15"/>
  <c r="AV19" i="15"/>
  <c r="AS12" i="15"/>
  <c r="AS13" i="15"/>
  <c r="AS14" i="15"/>
  <c r="AS15" i="15"/>
  <c r="AS16" i="15"/>
  <c r="AS17" i="15"/>
  <c r="AS18" i="15"/>
  <c r="AS19" i="15"/>
  <c r="AQ12" i="15"/>
  <c r="AQ13" i="15"/>
  <c r="AQ14" i="15"/>
  <c r="AQ15" i="15"/>
  <c r="AQ16" i="15"/>
  <c r="AQ17" i="15"/>
  <c r="AQ18" i="15"/>
  <c r="AQ19" i="15"/>
  <c r="AN12" i="15"/>
  <c r="AN13" i="15"/>
  <c r="AN14" i="15"/>
  <c r="AN15" i="15"/>
  <c r="AN16" i="15"/>
  <c r="AN17" i="15"/>
  <c r="AN18" i="15"/>
  <c r="AN19" i="15"/>
  <c r="AL12" i="15"/>
  <c r="AL13" i="15"/>
  <c r="AL14" i="15"/>
  <c r="AL15" i="15"/>
  <c r="AL16" i="15"/>
  <c r="AL17" i="15"/>
  <c r="AL18" i="15"/>
  <c r="AL19" i="15"/>
  <c r="AI12" i="15"/>
  <c r="AI13" i="15"/>
  <c r="AI14" i="15"/>
  <c r="AI15" i="15"/>
  <c r="AI16" i="15"/>
  <c r="AI17" i="15"/>
  <c r="AI18" i="15"/>
  <c r="AI19" i="15"/>
  <c r="AG12" i="15"/>
  <c r="AG13" i="15"/>
  <c r="AG14" i="15"/>
  <c r="AG15" i="15"/>
  <c r="AG16" i="15"/>
  <c r="AG17" i="15"/>
  <c r="AG18" i="15"/>
  <c r="AG19" i="15"/>
  <c r="AD12" i="15"/>
  <c r="AD13" i="15"/>
  <c r="AD14" i="15"/>
  <c r="AD15" i="15"/>
  <c r="AD16" i="15"/>
  <c r="AD17" i="15"/>
  <c r="AD18" i="15"/>
  <c r="AD19" i="15"/>
  <c r="AB12" i="15"/>
  <c r="AB13" i="15"/>
  <c r="AB14" i="15"/>
  <c r="AB15" i="15"/>
  <c r="AB16" i="15"/>
  <c r="AB17" i="15"/>
  <c r="AB18" i="15"/>
  <c r="AB19" i="15"/>
  <c r="Y12" i="15"/>
  <c r="Y13" i="15"/>
  <c r="Y14" i="15"/>
  <c r="Y15" i="15"/>
  <c r="Y16" i="15"/>
  <c r="Y17" i="15"/>
  <c r="Y18" i="15"/>
  <c r="Y19" i="15"/>
  <c r="W12" i="15"/>
  <c r="W13" i="15"/>
  <c r="W14" i="15"/>
  <c r="W15" i="15"/>
  <c r="W16" i="15"/>
  <c r="W17" i="15"/>
  <c r="W18" i="15"/>
  <c r="W19" i="15"/>
  <c r="T12" i="15"/>
  <c r="T13" i="15"/>
  <c r="T14" i="15"/>
  <c r="T15" i="15"/>
  <c r="T16" i="15"/>
  <c r="T17" i="15"/>
  <c r="T18" i="15"/>
  <c r="T19" i="15"/>
  <c r="R12" i="15"/>
  <c r="R13" i="15"/>
  <c r="R14" i="15"/>
  <c r="R15" i="15"/>
  <c r="R16" i="15"/>
  <c r="R17" i="15"/>
  <c r="R18" i="15"/>
  <c r="R19" i="15"/>
  <c r="O12" i="15"/>
  <c r="O13" i="15"/>
  <c r="O14" i="15"/>
  <c r="O15" i="15"/>
  <c r="O16" i="15"/>
  <c r="O17" i="15"/>
  <c r="O18" i="15"/>
  <c r="O19" i="15"/>
  <c r="M12" i="15"/>
  <c r="M13" i="15"/>
  <c r="M14" i="15"/>
  <c r="M15" i="15"/>
  <c r="M16" i="15"/>
  <c r="M17" i="15"/>
  <c r="M18" i="15"/>
  <c r="M19" i="15"/>
  <c r="J12" i="15"/>
  <c r="J13" i="15"/>
  <c r="J14" i="15"/>
  <c r="J15" i="15"/>
  <c r="J16" i="15"/>
  <c r="J17" i="15"/>
  <c r="J18" i="15"/>
  <c r="J19" i="15"/>
  <c r="H12" i="15"/>
  <c r="H13" i="15"/>
  <c r="H14" i="15"/>
  <c r="H15" i="15"/>
  <c r="H16" i="15"/>
  <c r="H17" i="15"/>
  <c r="H18" i="15"/>
  <c r="H19" i="15"/>
  <c r="E12" i="15"/>
  <c r="E13" i="15"/>
  <c r="E14" i="15"/>
  <c r="E15" i="15"/>
  <c r="E16" i="15"/>
  <c r="E17" i="15"/>
  <c r="E18" i="15"/>
  <c r="E19" i="15"/>
  <c r="C12" i="15"/>
  <c r="C13" i="15"/>
  <c r="C14" i="15"/>
  <c r="C15" i="15"/>
  <c r="C16" i="15"/>
  <c r="C17" i="15"/>
  <c r="C18" i="15"/>
  <c r="C19" i="15"/>
  <c r="D12" i="1"/>
  <c r="E12" i="1" s="1"/>
  <c r="F12" i="1"/>
  <c r="G12" i="1"/>
  <c r="H12" i="1"/>
  <c r="I12" i="1"/>
  <c r="J12" i="1"/>
  <c r="K12" i="1" s="1"/>
  <c r="L12" i="1"/>
  <c r="M12" i="1"/>
  <c r="N12" i="1" s="1"/>
  <c r="O12" i="1"/>
  <c r="P12" i="1"/>
  <c r="Q12" i="1" s="1"/>
  <c r="R12" i="1"/>
  <c r="S12" i="1"/>
  <c r="U12" i="1"/>
  <c r="V12" i="1"/>
  <c r="X12" i="1"/>
  <c r="Y12" i="1"/>
  <c r="Z12" i="1" s="1"/>
  <c r="AA12" i="1"/>
  <c r="AB12" i="1"/>
  <c r="AC12" i="1" s="1"/>
  <c r="AD12" i="1"/>
  <c r="AE12" i="1"/>
  <c r="AF12" i="1" s="1"/>
  <c r="AG12" i="1"/>
  <c r="AH12" i="1"/>
  <c r="AI12" i="1" s="1"/>
  <c r="AJ12" i="1"/>
  <c r="AK12" i="1"/>
  <c r="AL12" i="1" s="1"/>
  <c r="AM12" i="1"/>
  <c r="AN12" i="1"/>
  <c r="AP12" i="1"/>
  <c r="AQ12" i="1"/>
  <c r="AS12" i="1"/>
  <c r="AT12" i="1"/>
  <c r="D13" i="1"/>
  <c r="E13" i="1" s="1"/>
  <c r="F13" i="1"/>
  <c r="G13" i="1"/>
  <c r="H13" i="1" s="1"/>
  <c r="I13" i="1"/>
  <c r="J13" i="1"/>
  <c r="L13" i="1"/>
  <c r="M13" i="1"/>
  <c r="O13" i="1"/>
  <c r="P13" i="1"/>
  <c r="Q13" i="1" s="1"/>
  <c r="R13" i="1"/>
  <c r="S13" i="1"/>
  <c r="T13" i="1" s="1"/>
  <c r="U13" i="1"/>
  <c r="V13" i="1"/>
  <c r="X13" i="1"/>
  <c r="Y13" i="1"/>
  <c r="Z13" i="1" s="1"/>
  <c r="AA13" i="1"/>
  <c r="AB13" i="1"/>
  <c r="AC13" i="1" s="1"/>
  <c r="AD13" i="1"/>
  <c r="AE13" i="1"/>
  <c r="AF13" i="1" s="1"/>
  <c r="AG13" i="1"/>
  <c r="AH13" i="1"/>
  <c r="AJ13" i="1"/>
  <c r="AK13" i="1"/>
  <c r="AL13" i="1" s="1"/>
  <c r="AM13" i="1"/>
  <c r="AN13" i="1"/>
  <c r="AO13" i="1" s="1"/>
  <c r="AP13" i="1"/>
  <c r="AQ13" i="1"/>
  <c r="AR13" i="1" s="1"/>
  <c r="AS13" i="1"/>
  <c r="AU13" i="1" s="1"/>
  <c r="AT13" i="1"/>
  <c r="D14" i="1"/>
  <c r="F14" i="1"/>
  <c r="G14" i="1"/>
  <c r="H14" i="1"/>
  <c r="I14" i="1"/>
  <c r="J14" i="1"/>
  <c r="L14" i="1"/>
  <c r="M14" i="1"/>
  <c r="N14" i="1" s="1"/>
  <c r="O14" i="1"/>
  <c r="P14" i="1"/>
  <c r="Q14" i="1" s="1"/>
  <c r="R14" i="1"/>
  <c r="S14" i="1"/>
  <c r="T14" i="1" s="1"/>
  <c r="U14" i="1"/>
  <c r="V14" i="1"/>
  <c r="AS14" i="1"/>
  <c r="AT14" i="1"/>
  <c r="D15" i="1"/>
  <c r="F15" i="1"/>
  <c r="G15" i="1"/>
  <c r="H15" i="1" s="1"/>
  <c r="I15" i="1"/>
  <c r="J15" i="1"/>
  <c r="L15" i="1"/>
  <c r="M15" i="1"/>
  <c r="O15" i="1"/>
  <c r="P15" i="1"/>
  <c r="Q15" i="1" s="1"/>
  <c r="R15" i="1"/>
  <c r="S15" i="1"/>
  <c r="T15" i="1"/>
  <c r="U15" i="1"/>
  <c r="V15" i="1"/>
  <c r="W15" i="1" s="1"/>
  <c r="X15" i="1"/>
  <c r="Y15" i="1"/>
  <c r="Z15" i="1" s="1"/>
  <c r="AA15" i="1"/>
  <c r="AB15" i="1"/>
  <c r="AC15" i="1" s="1"/>
  <c r="AD15" i="1"/>
  <c r="AE15" i="1"/>
  <c r="AG15" i="1"/>
  <c r="AH15" i="1"/>
  <c r="AJ15" i="1"/>
  <c r="AK15" i="1"/>
  <c r="AL15" i="1" s="1"/>
  <c r="AM15" i="1"/>
  <c r="AN15" i="1"/>
  <c r="AO15" i="1" s="1"/>
  <c r="AP15" i="1"/>
  <c r="AQ15" i="1"/>
  <c r="AS15" i="1"/>
  <c r="AT15" i="1"/>
  <c r="AU15" i="1" s="1"/>
  <c r="D16" i="1"/>
  <c r="F16" i="1"/>
  <c r="G16" i="1"/>
  <c r="H16" i="1" s="1"/>
  <c r="I16" i="1"/>
  <c r="J16" i="1"/>
  <c r="K16" i="1" s="1"/>
  <c r="L16" i="1"/>
  <c r="M16" i="1"/>
  <c r="N16" i="1" s="1"/>
  <c r="O16" i="1"/>
  <c r="P16" i="1"/>
  <c r="Q16" i="1" s="1"/>
  <c r="R16" i="1"/>
  <c r="S16" i="1"/>
  <c r="T16" i="1" s="1"/>
  <c r="U16" i="1"/>
  <c r="V16" i="1"/>
  <c r="X16" i="1"/>
  <c r="Y16" i="1"/>
  <c r="Z16" i="1" s="1"/>
  <c r="AA16" i="1"/>
  <c r="AB16" i="1"/>
  <c r="AC16" i="1" s="1"/>
  <c r="AD16" i="1"/>
  <c r="AE16" i="1"/>
  <c r="AF16" i="1" s="1"/>
  <c r="AG16" i="1"/>
  <c r="AH16" i="1"/>
  <c r="AJ16" i="1"/>
  <c r="AK16" i="1"/>
  <c r="AL16" i="1" s="1"/>
  <c r="AM16" i="1"/>
  <c r="AN16" i="1"/>
  <c r="AO16" i="1" s="1"/>
  <c r="AP16" i="1"/>
  <c r="AQ16" i="1"/>
  <c r="AS16" i="1"/>
  <c r="AU16" i="1" s="1"/>
  <c r="AT16" i="1"/>
  <c r="D17" i="1"/>
  <c r="F17" i="1"/>
  <c r="G17" i="1"/>
  <c r="H17" i="1" s="1"/>
  <c r="I17" i="1"/>
  <c r="J17" i="1"/>
  <c r="L17" i="1"/>
  <c r="M17" i="1"/>
  <c r="O17" i="1"/>
  <c r="P17" i="1"/>
  <c r="Q17" i="1" s="1"/>
  <c r="R17" i="1"/>
  <c r="S17" i="1"/>
  <c r="T17" i="1" s="1"/>
  <c r="U17" i="1"/>
  <c r="V17" i="1"/>
  <c r="W17" i="1" s="1"/>
  <c r="X17" i="1"/>
  <c r="Y17" i="1"/>
  <c r="AA17" i="1"/>
  <c r="AB17" i="1"/>
  <c r="AC17" i="1" s="1"/>
  <c r="AD17" i="1"/>
  <c r="AE17" i="1"/>
  <c r="AF17" i="1" s="1"/>
  <c r="AG17" i="1"/>
  <c r="AH17" i="1"/>
  <c r="AJ17" i="1"/>
  <c r="AK17" i="1"/>
  <c r="AM17" i="1"/>
  <c r="AN17" i="1"/>
  <c r="AO17" i="1" s="1"/>
  <c r="AP17" i="1"/>
  <c r="AQ17" i="1"/>
  <c r="AR17" i="1"/>
  <c r="AS17" i="1"/>
  <c r="AT17" i="1"/>
  <c r="AU17" i="1" s="1"/>
  <c r="D18" i="1"/>
  <c r="F18" i="1"/>
  <c r="G18" i="1"/>
  <c r="H18" i="1" s="1"/>
  <c r="I18" i="1"/>
  <c r="J18" i="1"/>
  <c r="K18" i="1" s="1"/>
  <c r="L18" i="1"/>
  <c r="M18" i="1"/>
  <c r="O18" i="1"/>
  <c r="P18" i="1"/>
  <c r="Q18" i="1" s="1"/>
  <c r="R18" i="1"/>
  <c r="S18" i="1"/>
  <c r="T18" i="1" s="1"/>
  <c r="U18" i="1"/>
  <c r="V18" i="1"/>
  <c r="X18" i="1"/>
  <c r="Y18" i="1"/>
  <c r="AA18" i="1"/>
  <c r="AB18" i="1"/>
  <c r="AC18" i="1" s="1"/>
  <c r="AD18" i="1"/>
  <c r="AE18" i="1"/>
  <c r="AF18" i="1"/>
  <c r="AG18" i="1"/>
  <c r="AH18" i="1"/>
  <c r="AI18" i="1" s="1"/>
  <c r="AJ18" i="1"/>
  <c r="AK18" i="1"/>
  <c r="AL18" i="1" s="1"/>
  <c r="AM18" i="1"/>
  <c r="AN18" i="1"/>
  <c r="AO18" i="1" s="1"/>
  <c r="AP18" i="1"/>
  <c r="AQ18" i="1"/>
  <c r="AR18" i="1" s="1"/>
  <c r="AS18" i="1"/>
  <c r="AT18" i="1"/>
  <c r="D19" i="1"/>
  <c r="F19" i="1"/>
  <c r="G19" i="1"/>
  <c r="H19" i="1" s="1"/>
  <c r="I19" i="1"/>
  <c r="J19" i="1"/>
  <c r="L19" i="1"/>
  <c r="M19" i="1"/>
  <c r="O19" i="1"/>
  <c r="P19" i="1"/>
  <c r="R19" i="1"/>
  <c r="S19" i="1"/>
  <c r="T19" i="1" s="1"/>
  <c r="U19" i="1"/>
  <c r="V19" i="1"/>
  <c r="W19" i="1" s="1"/>
  <c r="AS19" i="1"/>
  <c r="AT19" i="1"/>
  <c r="C12" i="1"/>
  <c r="C13" i="1"/>
  <c r="C14" i="1"/>
  <c r="C15" i="1"/>
  <c r="C16" i="1"/>
  <c r="C17" i="1"/>
  <c r="C18" i="1"/>
  <c r="C19" i="1"/>
  <c r="W14" i="1" l="1"/>
  <c r="K15" i="1"/>
  <c r="AI13" i="1"/>
  <c r="E16" i="1"/>
  <c r="E14" i="1"/>
  <c r="E18" i="1"/>
  <c r="E17" i="1"/>
  <c r="N13" i="1"/>
  <c r="W18" i="1"/>
  <c r="K17" i="1"/>
  <c r="E15" i="1"/>
  <c r="AU19" i="1"/>
  <c r="Q19" i="1"/>
  <c r="E19" i="1"/>
  <c r="Z17" i="1"/>
  <c r="AI16" i="1"/>
  <c r="N15" i="1"/>
  <c r="AR12" i="1"/>
  <c r="W12" i="1"/>
  <c r="N18" i="1"/>
  <c r="N17" i="1"/>
  <c r="K14" i="1"/>
  <c r="W13" i="1"/>
  <c r="AR16" i="1"/>
  <c r="AR15" i="1"/>
  <c r="AF15" i="1"/>
  <c r="AO12" i="1"/>
  <c r="T12" i="1"/>
  <c r="N19" i="1"/>
  <c r="AL17" i="1"/>
  <c r="K13" i="1"/>
  <c r="W16" i="1"/>
  <c r="AU14" i="1"/>
  <c r="AI15" i="1"/>
  <c r="K19" i="1"/>
  <c r="AI17" i="1"/>
  <c r="AU12" i="1"/>
  <c r="AU18" i="1"/>
  <c r="Z18" i="1"/>
  <c r="BW11" i="15"/>
  <c r="BW10" i="15"/>
  <c r="BR11" i="15"/>
  <c r="BR10" i="15"/>
  <c r="BM11" i="15"/>
  <c r="BM10" i="15"/>
  <c r="BH11" i="15"/>
  <c r="BH10" i="15"/>
  <c r="BC11" i="15"/>
  <c r="BC10" i="15"/>
  <c r="AX11" i="15"/>
  <c r="AX10" i="15"/>
  <c r="AS11" i="15"/>
  <c r="AS10" i="15"/>
  <c r="AN11" i="15"/>
  <c r="AN10" i="15"/>
  <c r="AI11" i="15"/>
  <c r="AI10" i="15"/>
  <c r="AD11" i="15" l="1"/>
  <c r="AD10" i="15"/>
  <c r="Y11" i="15"/>
  <c r="Y10" i="15"/>
  <c r="Z13" i="15" s="1"/>
  <c r="T11" i="15"/>
  <c r="T10" i="15"/>
  <c r="O11" i="15"/>
  <c r="O10" i="15"/>
  <c r="J11" i="15"/>
  <c r="J10" i="15"/>
  <c r="E11" i="15"/>
  <c r="E10" i="15"/>
  <c r="AT11" i="1"/>
  <c r="AT10" i="1"/>
  <c r="AQ11" i="1"/>
  <c r="AQ10" i="1"/>
  <c r="AN11" i="1"/>
  <c r="AN10" i="1"/>
  <c r="AK11" i="1"/>
  <c r="AK10" i="1"/>
  <c r="AH11" i="1"/>
  <c r="AH10" i="1"/>
  <c r="AE11" i="1"/>
  <c r="AE10" i="1"/>
  <c r="AB11" i="1"/>
  <c r="AB10" i="1"/>
  <c r="Y11" i="1"/>
  <c r="Y10" i="1"/>
  <c r="V11" i="1"/>
  <c r="V10" i="1"/>
  <c r="S11" i="1"/>
  <c r="S10" i="1"/>
  <c r="P11" i="1"/>
  <c r="P10" i="1"/>
  <c r="M11" i="1"/>
  <c r="M10" i="1"/>
  <c r="J11" i="1"/>
  <c r="J10" i="1"/>
  <c r="G11" i="1"/>
  <c r="G10" i="1"/>
  <c r="D11" i="1"/>
  <c r="D10" i="1"/>
  <c r="AS11" i="1" l="1"/>
  <c r="AS10" i="1"/>
  <c r="AP11" i="1"/>
  <c r="AP10" i="1"/>
  <c r="AM11" i="1"/>
  <c r="AM10" i="1"/>
  <c r="AJ11" i="1"/>
  <c r="AJ10" i="1"/>
  <c r="AG11" i="1"/>
  <c r="AG10" i="1"/>
  <c r="AD11" i="1"/>
  <c r="AD10" i="1"/>
  <c r="AA11" i="1"/>
  <c r="AA10" i="1"/>
  <c r="X11" i="1"/>
  <c r="X10" i="1"/>
  <c r="U11" i="1"/>
  <c r="U10" i="1"/>
  <c r="R11" i="1"/>
  <c r="R10" i="1"/>
  <c r="O11" i="1"/>
  <c r="O10" i="1"/>
  <c r="L11" i="1"/>
  <c r="L10" i="1"/>
  <c r="I11" i="1"/>
  <c r="I10" i="1"/>
  <c r="F11" i="1"/>
  <c r="F10" i="1"/>
  <c r="C11" i="1"/>
  <c r="C10" i="1"/>
  <c r="BU11" i="15"/>
  <c r="BU10" i="15"/>
  <c r="BP11" i="15"/>
  <c r="BP10" i="15"/>
  <c r="BK11" i="15"/>
  <c r="BK10" i="15"/>
  <c r="BF11" i="15"/>
  <c r="BF10" i="15"/>
  <c r="BA11" i="15"/>
  <c r="BA10" i="15"/>
  <c r="AV11" i="15"/>
  <c r="AV10" i="15"/>
  <c r="AQ11" i="15"/>
  <c r="AQ10" i="15"/>
  <c r="AL11" i="15"/>
  <c r="AL10" i="15"/>
  <c r="AG11" i="15"/>
  <c r="AG10" i="15"/>
  <c r="AB11" i="15"/>
  <c r="AB10" i="15"/>
  <c r="W11" i="15"/>
  <c r="W10" i="15"/>
  <c r="R11" i="15"/>
  <c r="R10" i="15"/>
  <c r="M11" i="15"/>
  <c r="M10" i="15"/>
  <c r="H11" i="15"/>
  <c r="H10" i="15"/>
  <c r="C11" i="15"/>
  <c r="C10" i="15"/>
  <c r="D13" i="15" l="1"/>
  <c r="D16" i="15"/>
  <c r="D17" i="15"/>
  <c r="D19" i="15"/>
  <c r="D18" i="15"/>
  <c r="D12" i="15"/>
  <c r="D14" i="15"/>
  <c r="D11" i="15"/>
  <c r="BD12" i="15" l="1"/>
  <c r="BD16" i="15"/>
  <c r="BD17" i="15"/>
  <c r="BD18" i="15"/>
  <c r="BD19" i="15"/>
  <c r="AY11" i="15"/>
  <c r="AY16" i="15"/>
  <c r="AY17" i="15"/>
  <c r="AY18" i="15"/>
  <c r="AY19" i="15"/>
  <c r="AT12" i="15"/>
  <c r="AT16" i="15"/>
  <c r="AT17" i="15"/>
  <c r="AT18" i="15"/>
  <c r="AT19" i="15"/>
  <c r="BX16" i="15"/>
  <c r="BX11" i="15"/>
  <c r="BV16" i="15"/>
  <c r="BV12" i="15"/>
  <c r="BV11" i="15"/>
  <c r="BS12" i="15"/>
  <c r="BQ19" i="15"/>
  <c r="BQ18" i="15"/>
  <c r="BQ16" i="15"/>
  <c r="BQ13" i="15"/>
  <c r="BN14" i="15"/>
  <c r="BN11" i="15"/>
  <c r="BL16" i="15"/>
  <c r="BL11" i="15"/>
  <c r="BI16" i="15"/>
  <c r="BI13" i="15"/>
  <c r="BI12" i="15"/>
  <c r="BD14" i="15"/>
  <c r="BD13" i="15"/>
  <c r="BD11" i="15"/>
  <c r="BB16" i="15"/>
  <c r="BB11" i="15"/>
  <c r="AY14" i="15"/>
  <c r="AZ14" i="15" s="1"/>
  <c r="AY13" i="15"/>
  <c r="AZ13" i="15" s="1"/>
  <c r="AY12" i="15"/>
  <c r="AZ12" i="15" s="1"/>
  <c r="AW13" i="15"/>
  <c r="AT14" i="15"/>
  <c r="AT13" i="15"/>
  <c r="AT11" i="15"/>
  <c r="AR16" i="15"/>
  <c r="AR11" i="15"/>
  <c r="AO16" i="15"/>
  <c r="AJ16" i="15"/>
  <c r="AJ14" i="15"/>
  <c r="AH16" i="15"/>
  <c r="AH11" i="15"/>
  <c r="AE16" i="15"/>
  <c r="AC13" i="15"/>
  <c r="Z16" i="15"/>
  <c r="Z14" i="15"/>
  <c r="X16" i="15"/>
  <c r="U16" i="15"/>
  <c r="U14" i="15"/>
  <c r="U13" i="15"/>
  <c r="U12" i="15"/>
  <c r="U19" i="15"/>
  <c r="U18" i="15"/>
  <c r="U17" i="15"/>
  <c r="BX19" i="15"/>
  <c r="BX18" i="15"/>
  <c r="BX17" i="15"/>
  <c r="BX14" i="15"/>
  <c r="BV19" i="15"/>
  <c r="BV18" i="15"/>
  <c r="BV17" i="15"/>
  <c r="BS19" i="15"/>
  <c r="BS18" i="15"/>
  <c r="BS17" i="15"/>
  <c r="BS16" i="15"/>
  <c r="BS13" i="15"/>
  <c r="BS11" i="15"/>
  <c r="BQ17" i="15"/>
  <c r="BQ12" i="15"/>
  <c r="BN19" i="15"/>
  <c r="BN18" i="15"/>
  <c r="BN17" i="15"/>
  <c r="BN16" i="15"/>
  <c r="BN13" i="15"/>
  <c r="BL19" i="15"/>
  <c r="BL18" i="15"/>
  <c r="BL17" i="15"/>
  <c r="BI19" i="15"/>
  <c r="BI18" i="15"/>
  <c r="BI17" i="15"/>
  <c r="BG19" i="15"/>
  <c r="BG18" i="15"/>
  <c r="BG17" i="15"/>
  <c r="BG16" i="15"/>
  <c r="BB19" i="15"/>
  <c r="BB18" i="15"/>
  <c r="BB17" i="15"/>
  <c r="AW19" i="15"/>
  <c r="AW18" i="15"/>
  <c r="AW17" i="15"/>
  <c r="AW16" i="15"/>
  <c r="AR19" i="15"/>
  <c r="AR18" i="15"/>
  <c r="AU18" i="15" s="1"/>
  <c r="AR17" i="15"/>
  <c r="AO19" i="15"/>
  <c r="AO18" i="15"/>
  <c r="AO17" i="15"/>
  <c r="AM19" i="15"/>
  <c r="AM18" i="15"/>
  <c r="AM17" i="15"/>
  <c r="AM16" i="15"/>
  <c r="AJ19" i="15"/>
  <c r="AJ18" i="15"/>
  <c r="AJ17" i="15"/>
  <c r="AJ11" i="15"/>
  <c r="AH19" i="15"/>
  <c r="AH18" i="15"/>
  <c r="AH17" i="15"/>
  <c r="AE19" i="15"/>
  <c r="AE18" i="15"/>
  <c r="AE17" i="15"/>
  <c r="AE13" i="15"/>
  <c r="AE12" i="15"/>
  <c r="AC19" i="15"/>
  <c r="AC18" i="15"/>
  <c r="AC17" i="15"/>
  <c r="AC16" i="15"/>
  <c r="Z19" i="15"/>
  <c r="Z18" i="15"/>
  <c r="Z17" i="15"/>
  <c r="X19" i="15"/>
  <c r="X18" i="15"/>
  <c r="X17" i="15"/>
  <c r="X11" i="15"/>
  <c r="S19" i="15"/>
  <c r="S18" i="15"/>
  <c r="S17" i="15"/>
  <c r="S16" i="15"/>
  <c r="V16" i="15" s="1"/>
  <c r="P19" i="15"/>
  <c r="P18" i="15"/>
  <c r="P17" i="15"/>
  <c r="P16" i="15"/>
  <c r="P11" i="15"/>
  <c r="P14" i="15"/>
  <c r="P13" i="15"/>
  <c r="P12" i="15"/>
  <c r="N16" i="15"/>
  <c r="N14" i="15"/>
  <c r="N11" i="15"/>
  <c r="N19" i="15"/>
  <c r="N18" i="15"/>
  <c r="N17" i="15"/>
  <c r="N13" i="15"/>
  <c r="K19" i="15"/>
  <c r="K18" i="15"/>
  <c r="K17" i="15"/>
  <c r="K16" i="15"/>
  <c r="K13" i="15"/>
  <c r="K14" i="15"/>
  <c r="K12" i="15"/>
  <c r="K11" i="15"/>
  <c r="I16" i="15"/>
  <c r="I14" i="15"/>
  <c r="I12" i="15"/>
  <c r="I19" i="15"/>
  <c r="I18" i="15"/>
  <c r="I17" i="15"/>
  <c r="F19" i="15"/>
  <c r="G19" i="15" s="1"/>
  <c r="F18" i="15"/>
  <c r="G18" i="15" s="1"/>
  <c r="F17" i="15"/>
  <c r="G17" i="15" s="1"/>
  <c r="F16" i="15"/>
  <c r="G16" i="15" s="1"/>
  <c r="F14" i="15"/>
  <c r="BX13" i="15"/>
  <c r="BS14" i="15"/>
  <c r="BN12" i="15"/>
  <c r="BI14" i="15"/>
  <c r="AO11" i="15"/>
  <c r="AJ13" i="15"/>
  <c r="AE11" i="15"/>
  <c r="Z11" i="15"/>
  <c r="U11" i="15"/>
  <c r="BV14" i="15"/>
  <c r="BL13" i="15"/>
  <c r="BG14" i="15"/>
  <c r="BB13" i="15"/>
  <c r="AW11" i="15"/>
  <c r="AR14" i="15"/>
  <c r="AM14" i="15"/>
  <c r="AH14" i="15"/>
  <c r="X14" i="15"/>
  <c r="S14" i="15"/>
  <c r="N12" i="15"/>
  <c r="F13" i="15"/>
  <c r="F12" i="15"/>
  <c r="F11" i="15"/>
  <c r="BO19" i="15" l="1"/>
  <c r="BE17" i="15"/>
  <c r="BE16" i="15"/>
  <c r="AK18" i="15"/>
  <c r="AF18" i="15"/>
  <c r="AZ18" i="15"/>
  <c r="AU17" i="15"/>
  <c r="BE19" i="15"/>
  <c r="BY19" i="15"/>
  <c r="BY17" i="15"/>
  <c r="BY18" i="15"/>
  <c r="BT17" i="15"/>
  <c r="AK17" i="15"/>
  <c r="AZ11" i="15"/>
  <c r="AZ19" i="15"/>
  <c r="BJ16" i="15"/>
  <c r="AA11" i="15"/>
  <c r="AP16" i="15"/>
  <c r="AZ17" i="15"/>
  <c r="L17" i="15"/>
  <c r="Q16" i="15"/>
  <c r="AF16" i="15"/>
  <c r="BO17" i="15"/>
  <c r="AF17" i="15"/>
  <c r="Q18" i="15"/>
  <c r="AA19" i="15"/>
  <c r="BJ19" i="15"/>
  <c r="AA17" i="15"/>
  <c r="BO16" i="15"/>
  <c r="BT16" i="15"/>
  <c r="L18" i="15"/>
  <c r="AP17" i="15"/>
  <c r="L19" i="15"/>
  <c r="Q17" i="15"/>
  <c r="AP19" i="15"/>
  <c r="BE18" i="15"/>
  <c r="AU16" i="15"/>
  <c r="BY16" i="15"/>
  <c r="BT18" i="15"/>
  <c r="BT19" i="15"/>
  <c r="BT13" i="15"/>
  <c r="BO18" i="15"/>
  <c r="BO13" i="15"/>
  <c r="BJ17" i="15"/>
  <c r="BJ18" i="15"/>
  <c r="AZ16" i="15"/>
  <c r="AU19" i="15"/>
  <c r="AP18" i="15"/>
  <c r="AK19" i="15"/>
  <c r="AK16" i="15"/>
  <c r="AK11" i="15"/>
  <c r="AF19" i="15"/>
  <c r="AF13" i="15"/>
  <c r="AA16" i="15"/>
  <c r="AA18" i="15"/>
  <c r="V19" i="15"/>
  <c r="V17" i="15"/>
  <c r="V18" i="15"/>
  <c r="Q19" i="15"/>
  <c r="L16" i="15"/>
  <c r="G13" i="15"/>
  <c r="AA14" i="15"/>
  <c r="G11" i="15"/>
  <c r="BI11" i="15"/>
  <c r="BY14" i="15"/>
  <c r="Q14" i="15"/>
  <c r="AO13" i="15"/>
  <c r="Q12" i="15"/>
  <c r="AK14" i="15"/>
  <c r="BE13" i="15"/>
  <c r="Q13" i="15"/>
  <c r="Q11" i="15"/>
  <c r="AE14" i="15"/>
  <c r="AO14" i="15"/>
  <c r="AP14" i="15" s="1"/>
  <c r="BT12" i="15"/>
  <c r="Z12" i="15"/>
  <c r="AJ12" i="15"/>
  <c r="BX12" i="15"/>
  <c r="BY12" i="15" s="1"/>
  <c r="AU14" i="15"/>
  <c r="AO12" i="15"/>
  <c r="AU11" i="15"/>
  <c r="BE11" i="15"/>
  <c r="BO11" i="15"/>
  <c r="BY11" i="15"/>
  <c r="G14" i="15"/>
  <c r="L12" i="15"/>
  <c r="G12" i="15"/>
  <c r="V14" i="15"/>
  <c r="BJ14" i="15"/>
  <c r="L14" i="15"/>
  <c r="S12" i="15"/>
  <c r="V12" i="15" s="1"/>
  <c r="BG13" i="15"/>
  <c r="BJ13" i="15" s="1"/>
  <c r="I13" i="15"/>
  <c r="L13" i="15" s="1"/>
  <c r="AC14" i="15"/>
  <c r="AC11" i="15"/>
  <c r="AF11" i="15" s="1"/>
  <c r="AR13" i="15"/>
  <c r="AU13" i="15" s="1"/>
  <c r="BB14" i="15"/>
  <c r="BE14" i="15" s="1"/>
  <c r="AM13" i="15"/>
  <c r="S13" i="15"/>
  <c r="V13" i="15" s="1"/>
  <c r="BL14" i="15"/>
  <c r="BO14" i="15" s="1"/>
  <c r="I11" i="15"/>
  <c r="L11" i="15" s="1"/>
  <c r="S11" i="15"/>
  <c r="V11" i="15" s="1"/>
  <c r="X13" i="15"/>
  <c r="AM11" i="15"/>
  <c r="AP11" i="15" s="1"/>
  <c r="BV13" i="15"/>
  <c r="BY13" i="15" s="1"/>
  <c r="X12" i="15"/>
  <c r="AH12" i="15"/>
  <c r="AR12" i="15"/>
  <c r="AU12" i="15" s="1"/>
  <c r="AW14" i="15"/>
  <c r="BB12" i="15"/>
  <c r="BE12" i="15" s="1"/>
  <c r="BL12" i="15"/>
  <c r="BO12" i="15" s="1"/>
  <c r="BQ14" i="15"/>
  <c r="BT14" i="15" s="1"/>
  <c r="BG11" i="15"/>
  <c r="AH13" i="15"/>
  <c r="AK13" i="15" s="1"/>
  <c r="BQ11" i="15"/>
  <c r="BT11" i="15" s="1"/>
  <c r="AC12" i="15"/>
  <c r="AF12" i="15" s="1"/>
  <c r="AM12" i="15"/>
  <c r="AW12" i="15"/>
  <c r="BG12" i="15"/>
  <c r="BJ12" i="15" s="1"/>
  <c r="BJ11" i="15" l="1"/>
  <c r="AA13" i="15"/>
  <c r="AP12" i="15"/>
  <c r="AK12" i="15"/>
  <c r="AA12" i="15"/>
  <c r="AP13" i="15"/>
  <c r="AF14" i="15"/>
  <c r="AU11" i="1"/>
  <c r="AU10" i="1"/>
  <c r="AR11" i="1"/>
  <c r="AR10" i="1"/>
  <c r="AO11" i="1"/>
  <c r="AO10" i="1"/>
  <c r="AL11" i="1" l="1"/>
  <c r="AI11" i="1"/>
  <c r="AI10" i="1"/>
  <c r="AF11" i="1"/>
  <c r="AF10" i="1"/>
  <c r="AC10" i="1"/>
  <c r="Z11" i="1"/>
  <c r="Z10" i="1"/>
  <c r="W11" i="1"/>
  <c r="W10" i="1"/>
  <c r="T11" i="1"/>
  <c r="T10" i="1"/>
  <c r="Q11" i="1"/>
  <c r="Q10" i="1"/>
  <c r="AL10" i="1"/>
  <c r="N10" i="1"/>
  <c r="E10" i="1" l="1"/>
  <c r="H11" i="1"/>
  <c r="K11" i="1"/>
  <c r="N11" i="1"/>
  <c r="E11" i="1"/>
  <c r="AC11" i="1"/>
  <c r="H10" i="1"/>
  <c r="K10" i="1"/>
</calcChain>
</file>

<file path=xl/comments1.xml><?xml version="1.0" encoding="utf-8"?>
<comments xmlns="http://schemas.openxmlformats.org/spreadsheetml/2006/main">
  <authors>
    <author>Author</author>
  </authors>
  <commentList>
    <comment ref="Z12" authorId="0" shapeId="0">
      <text>
        <r>
          <rPr>
            <sz val="9"/>
            <color indexed="81"/>
            <rFont val="Tahoma"/>
            <family val="2"/>
          </rPr>
          <t>Alteração de EPC associado aos bens (+98M no total)
Alteração da marcação european union (-3M)</t>
        </r>
      </text>
    </comment>
    <comment ref="AC12" authorId="0" shapeId="0">
      <text>
        <r>
          <rPr>
            <sz val="9"/>
            <color indexed="81"/>
            <rFont val="Tahoma"/>
            <family val="2"/>
          </rPr>
          <t>Alteração de EPC associado aos bens (+88M no total)
Alteração da marcação european union (-7M)</t>
        </r>
      </text>
    </comment>
    <comment ref="AU12" authorId="0" shapeId="0">
      <text>
        <r>
          <rPr>
            <sz val="9"/>
            <color indexed="81"/>
            <rFont val="Tahoma"/>
            <family val="2"/>
          </rPr>
          <t xml:space="preserve">-Efeito da diminuição da exposição associada a casos de EPCs estimados (ou seja, agora temos mais certificados reais) 
- 4M do montante foi para Non EU
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Esta diferença reflete-se maioritariamente nos buckets &lt;=100 e &lt;=200, devido à quantidade de EP "Sem dados", 4,8Bis e 3,4Bis, respetivamente, face ao reporte de dez24.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- 11M do montante foi para Non EU
- Não está a ser considerado o universo de adjudicados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- 4M do montante foi para Non EU
- Não está a ser considerado o universo de adjudicados</t>
        </r>
      </text>
    </comment>
    <comment ref="AU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- 2,3M do montante foi para Non EU
- Não está a ser considerado o universo de adjudicados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MBI.</t>
        </r>
      </text>
    </comment>
  </commentList>
</comments>
</file>

<file path=xl/sharedStrings.xml><?xml version="1.0" encoding="utf-8"?>
<sst xmlns="http://schemas.openxmlformats.org/spreadsheetml/2006/main" count="403" uniqueCount="164">
  <si>
    <t>∆</t>
  </si>
  <si>
    <t xml:space="preserve">Exposição 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</si>
  <si>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</si>
  <si>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</si>
  <si>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</si>
  <si>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</si>
  <si>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</si>
  <si>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</si>
  <si>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</si>
  <si>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</si>
  <si>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</si>
  <si>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</si>
  <si>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</si>
  <si>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</si>
  <si>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</si>
  <si>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Without EPC label of collateral</t>
  </si>
  <si>
    <t>∆ (pp)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</si>
  <si>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</si>
  <si>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</si>
  <si>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</si>
  <si>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</si>
  <si>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of collateral) estimated</t>
  </si>
  <si>
    <t>Total non-EU area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</si>
  <si>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</si>
  <si>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</si>
  <si>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</si>
  <si>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</si>
  <si>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</si>
  <si>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</si>
  <si>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</si>
  <si>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</si>
  <si>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</si>
  <si>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</si>
  <si>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</si>
  <si>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</si>
  <si>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</si>
  <si>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</si>
  <si>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</si>
  <si>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</si>
  <si>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</si>
  <si>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Counterparty sector</t>
  </si>
  <si>
    <t>Total gross carrying amount amount (in MEUR)</t>
  </si>
  <si>
    <t>Level of energy efficiency (EP score in kWh/m² of collateral)</t>
  </si>
  <si>
    <t>Level of energy efficiency (EPC label of collateral)</t>
  </si>
  <si>
    <t>Of which level of energy efficiency (EP score in kWh/m² of collateral) estimated</t>
  </si>
  <si>
    <t>Sem dados</t>
  </si>
  <si>
    <t>menor_100</t>
  </si>
  <si>
    <t>menor_500</t>
  </si>
  <si>
    <t>menor_300</t>
  </si>
  <si>
    <t>menor_200</t>
  </si>
  <si>
    <t>menor_400</t>
  </si>
  <si>
    <t>maior_500</t>
  </si>
  <si>
    <t>Métrica</t>
  </si>
  <si>
    <t>Casuística</t>
  </si>
  <si>
    <t>EPC_label</t>
  </si>
  <si>
    <t>Atualização dos certificados tabela da property</t>
  </si>
  <si>
    <t>Antes era B agora é A</t>
  </si>
  <si>
    <t>Antes era C agora é A</t>
  </si>
  <si>
    <t>Antes era D agora é A</t>
  </si>
  <si>
    <t>Antes era E agora é A</t>
  </si>
  <si>
    <t>Antes era F agora é A</t>
  </si>
  <si>
    <t>Antes era G agora é A</t>
  </si>
  <si>
    <t>Antes era A agora é B</t>
  </si>
  <si>
    <t>atualizações GLOVAL</t>
  </si>
  <si>
    <t>Antes era C agora é B</t>
  </si>
  <si>
    <t>Antes era D agora é B</t>
  </si>
  <si>
    <t>Antes era E agora é B</t>
  </si>
  <si>
    <t>Antes era F agora é B</t>
  </si>
  <si>
    <t>Antes era G agora é B</t>
  </si>
  <si>
    <t>Antes era A agora é C</t>
  </si>
  <si>
    <t>Antes era B agora é C</t>
  </si>
  <si>
    <t>Antes era D agora é C</t>
  </si>
  <si>
    <t>Antes era E agora é C</t>
  </si>
  <si>
    <t>Antes era F agora é C</t>
  </si>
  <si>
    <t>Antes era G agora é C</t>
  </si>
  <si>
    <t>Antes era A agora é D</t>
  </si>
  <si>
    <t>Antes era B agora é D</t>
  </si>
  <si>
    <t>Antes era C agora é D</t>
  </si>
  <si>
    <t>Antes era E agora é D</t>
  </si>
  <si>
    <t>Antes era F agora é D</t>
  </si>
  <si>
    <t>Antes era G agora é D</t>
  </si>
  <si>
    <t>Antes era 'Sem dados' agora é D</t>
  </si>
  <si>
    <t>Antes era A agora é E</t>
  </si>
  <si>
    <t>Antes era B agora é E</t>
  </si>
  <si>
    <t>Antes era C agora é E</t>
  </si>
  <si>
    <t>Antes era D agora é E</t>
  </si>
  <si>
    <t>Antes era F agora é E</t>
  </si>
  <si>
    <t>Antes era G agora é E</t>
  </si>
  <si>
    <t>Antes era A agora é 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</si>
  <si>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</si>
  <si>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</si>
  <si>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</si>
  <si>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</si>
  <si>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</si>
  <si>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A agora é G</t>
  </si>
  <si>
    <t>Antes era B agora é G</t>
  </si>
  <si>
    <t>Antes era C agora é G</t>
  </si>
  <si>
    <t>Antes era D agora é G</t>
  </si>
  <si>
    <t>Antes era F agora é G</t>
  </si>
  <si>
    <t>Antes era E agora é G</t>
  </si>
  <si>
    <t>Antes era A agora é Sem dados</t>
  </si>
  <si>
    <t>Antes era B agora é Sem dados</t>
  </si>
  <si>
    <t>Antes era C agora é Sem dados</t>
  </si>
  <si>
    <t>Antes era D agora é Sem dados</t>
  </si>
  <si>
    <t>Antes era E agora é Sem dados</t>
  </si>
  <si>
    <t>Antes era F agora é Sem dados</t>
  </si>
  <si>
    <t>Antes era G agora é Sem dados</t>
  </si>
  <si>
    <t>EP_score</t>
  </si>
  <si>
    <t>Antes era menor_200 agora é menor_100</t>
  </si>
  <si>
    <t>Antes era menor_300 agora é menor_100</t>
  </si>
  <si>
    <t>Antes era menor_400 agora é menor_100</t>
  </si>
  <si>
    <t>Antes era menor_500 agora é menor_100</t>
  </si>
  <si>
    <t>Antes era maior_500 agora é menor_100</t>
  </si>
  <si>
    <t>Antes era menor_100 agora é menor_200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</si>
  <si>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</si>
  <si>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</si>
  <si>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</si>
  <si>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</si>
  <si>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'Sem dados' agora é menor_200</t>
  </si>
  <si>
    <t>Antes era menor_100 agora é menor_300</t>
  </si>
  <si>
    <t>Antes era menor_200 agora é menor_300</t>
  </si>
  <si>
    <t>Antes era menor_400 agora é menor_300</t>
  </si>
  <si>
    <t>Antes era menor_500 agora é menor_300</t>
  </si>
  <si>
    <t>Antes era maior_500 agora é menor_300</t>
  </si>
  <si>
    <t>Antes era menor_100 agora é menor_400</t>
  </si>
  <si>
    <t>Antes era menor_200 agora é menor_400</t>
  </si>
  <si>
    <t>Antes era menor_300 agora é menor_400</t>
  </si>
  <si>
    <t>Antes era menor_500 agora é menor_400</t>
  </si>
  <si>
    <t>Antes era maior_500 agora é menor_400</t>
  </si>
  <si>
    <t>Antes era menor_100 agora é menor_500</t>
  </si>
  <si>
    <t>Antes era menor_200 agora é menor_500</t>
  </si>
  <si>
    <t>Antes era menor_300 agora é menor_500</t>
  </si>
  <si>
    <t>Antes era menor_400 agora é menor_500</t>
  </si>
  <si>
    <t>Antes era maior_500 agora é menor_500</t>
  </si>
  <si>
    <t>Antes era menor_100 agora é maior_500</t>
  </si>
  <si>
    <t>Antes era menor_200 agora é maior_500</t>
  </si>
  <si>
    <t>Antes era menor_300 agora é maior_500</t>
  </si>
  <si>
    <t>Antes era menor_400 agora é maior_500</t>
  </si>
  <si>
    <t>Antes era menor_500 agora é maior_500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</si>
  <si>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</si>
  <si>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</si>
  <si>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</si>
  <si>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</si>
  <si>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</si>
  <si>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</si>
  <si>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European_union</t>
  </si>
  <si>
    <t>Alteração de marcação do país do colateral</t>
  </si>
  <si>
    <t xml:space="preserve"> </t>
  </si>
  <si>
    <t>Quality_score</t>
  </si>
  <si>
    <t>Antes era 4-MEDIA agora é 1-REAL</t>
  </si>
  <si>
    <t>Antes era 5-MEDIA BAJA agora é 1-REAL</t>
  </si>
  <si>
    <t>Antes era 6-BAJA agora é 1-REAL</t>
  </si>
  <si>
    <t>Antes era 3-ALTA agora é 1-REAL</t>
  </si>
  <si>
    <t>Antes era 2-MUY ALTA agora é 1-REAL</t>
  </si>
  <si>
    <t>1-REAL</t>
  </si>
  <si>
    <t>2-MUY ALTA</t>
  </si>
  <si>
    <t>3-ALTA</t>
  </si>
  <si>
    <t>Antes era 1-REAL agora é 2-MUY ALTA</t>
  </si>
  <si>
    <t>Antes era 1-REAL agora é 3-ALTA</t>
  </si>
  <si>
    <t>Δ Montante vs Tático Dez24</t>
  </si>
  <si>
    <t>Dez24 Tático</t>
  </si>
  <si>
    <t>Dez24 Estrutural</t>
  </si>
  <si>
    <t>peso dez24 tático</t>
  </si>
  <si>
    <t>peso dez24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</si>
</sst>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8" fillId="6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wrapText="1"/>
    </xf>
    <xf numFmtId="0" fontId="14" fillId="6" borderId="0" xfId="0" applyFont="1" applyFill="1"/>
    <xf numFmtId="0" fontId="11" fillId="6" borderId="8" xfId="0" applyFont="1" applyFill="1" applyBorder="1" applyAlignment="1">
      <alignment vertical="center" wrapText="1"/>
    </xf>
    <xf numFmtId="9" fontId="13" fillId="6" borderId="8" xfId="1" applyFont="1" applyFill="1" applyBorder="1" applyAlignment="1">
      <alignment horizontal="right" wrapText="1"/>
    </xf>
    <xf numFmtId="0" fontId="10" fillId="6" borderId="3" xfId="0" applyFont="1" applyFill="1" applyBorder="1" applyAlignment="1">
      <alignment horizontal="left" indent="1"/>
    </xf>
    <xf numFmtId="0" fontId="10" fillId="6" borderId="8" xfId="0" applyFont="1" applyFill="1" applyBorder="1" applyAlignment="1">
      <alignment horizontal="left" indent="1"/>
    </xf>
    <xf numFmtId="0" fontId="0" fillId="6" borderId="0" xfId="0" applyFill="1"/>
    <xf numFmtId="0" fontId="4" fillId="6" borderId="0" xfId="0" applyFont="1" applyFill="1"/>
    <xf numFmtId="0" fontId="4" fillId="0" borderId="0" xfId="0" applyFont="1"/>
    <xf numFmtId="4" fontId="3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6" borderId="0" xfId="0" applyNumberFormat="1" applyFill="1"/>
    <xf numFmtId="3" fontId="13" fillId="6" borderId="8" xfId="0" applyNumberFormat="1" applyFont="1" applyFill="1" applyBorder="1" applyAlignment="1">
      <alignment horizontal="center" vertical="center" wrapText="1"/>
    </xf>
    <xf numFmtId="3" fontId="13" fillId="7" borderId="8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wrapText="1"/>
    </xf>
    <xf numFmtId="0" fontId="0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0" fontId="17" fillId="0" borderId="21" xfId="0" applyFont="1" applyBorder="1" applyAlignment="1">
      <alignment horizontal="left" vertical="center"/>
    </xf>
    <xf numFmtId="0" fontId="18" fillId="0" borderId="22" xfId="0" applyFont="1" applyBorder="1"/>
    <xf numFmtId="4" fontId="18" fillId="0" borderId="23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8" borderId="1" xfId="0" applyNumberFormat="1" applyFill="1" applyBorder="1"/>
    <xf numFmtId="4" fontId="0" fillId="7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9" fontId="13" fillId="6" borderId="8" xfId="1" applyFont="1" applyFill="1" applyBorder="1" applyAlignment="1">
      <alignment horizontal="right" vertical="center" wrapText="1"/>
    </xf>
    <xf numFmtId="0" fontId="18" fillId="0" borderId="24" xfId="0" applyFont="1" applyBorder="1" applyAlignment="1">
      <alignment horizontal="left" indent="1"/>
    </xf>
    <xf numFmtId="4" fontId="18" fillId="0" borderId="25" xfId="0" applyNumberFormat="1" applyFont="1" applyBorder="1"/>
    <xf numFmtId="0" fontId="17" fillId="0" borderId="0" xfId="0" applyFont="1" applyBorder="1" applyAlignment="1">
      <alignment horizontal="left" vertical="center"/>
    </xf>
    <xf numFmtId="0" fontId="18" fillId="0" borderId="0" xfId="0" applyFont="1" applyBorder="1"/>
    <xf numFmtId="4" fontId="18" fillId="0" borderId="0" xfId="0" applyNumberFormat="1" applyFont="1" applyBorder="1"/>
    <xf numFmtId="0" fontId="18" fillId="0" borderId="24" xfId="0" applyFont="1" applyBorder="1" applyAlignment="1"/>
    <xf numFmtId="0" fontId="17" fillId="0" borderId="15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DA2626"/>
      <color rgb="FFFF010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25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defaultColWidth="0" defaultRowHeight="14.4" customHeight="1" zeroHeight="1" outlineLevelRow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37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5" customFormat="1" x14ac:dyDescent="0.3">
      <c r="E7" s="37"/>
    </row>
    <row r="8" spans="1:5" s="45" customFormat="1" x14ac:dyDescent="0.3">
      <c r="B8" s="46" t="s">
        <v>52</v>
      </c>
      <c r="C8" s="47" t="s">
        <v>53</v>
      </c>
      <c r="D8" s="48" t="s">
        <v>159</v>
      </c>
      <c r="E8" s="37"/>
    </row>
    <row r="9" spans="1:5" s="45" customFormat="1" x14ac:dyDescent="0.3">
      <c r="B9" s="49" t="s">
        <v>54</v>
      </c>
      <c r="C9" s="50" t="s">
        <v>55</v>
      </c>
      <c r="D9" s="51">
        <v>336733286.351717</v>
      </c>
      <c r="E9" s="37"/>
    </row>
    <row r="10" spans="1:5" s="45" customFormat="1" hidden="1" outlineLevel="1" x14ac:dyDescent="0.3">
      <c r="B10" s="72" t="s">
        <v>8</v>
      </c>
      <c r="C10" s="52" t="s">
        <v>56</v>
      </c>
      <c r="D10" s="51">
        <v>8201154.9400000004</v>
      </c>
      <c r="E10" s="53"/>
    </row>
    <row r="11" spans="1:5" s="45" customFormat="1" hidden="1" outlineLevel="1" x14ac:dyDescent="0.3">
      <c r="B11" s="73"/>
      <c r="C11" s="52" t="s">
        <v>57</v>
      </c>
      <c r="D11" s="51">
        <v>27617019.5102446</v>
      </c>
      <c r="E11" s="53"/>
    </row>
    <row r="12" spans="1:5" s="45" customFormat="1" hidden="1" outlineLevel="1" x14ac:dyDescent="0.3">
      <c r="B12" s="73"/>
      <c r="C12" s="52" t="s">
        <v>58</v>
      </c>
      <c r="D12" s="51">
        <v>33051637.359999999</v>
      </c>
      <c r="E12" s="37"/>
    </row>
    <row r="13" spans="1:5" s="45" customFormat="1" hidden="1" outlineLevel="1" x14ac:dyDescent="0.3">
      <c r="B13" s="73"/>
      <c r="C13" s="52" t="s">
        <v>59</v>
      </c>
      <c r="D13" s="51">
        <v>15249717.960000001</v>
      </c>
      <c r="E13" s="37"/>
    </row>
    <row r="14" spans="1:5" s="45" customFormat="1" hidden="1" outlineLevel="1" x14ac:dyDescent="0.3">
      <c r="B14" s="73"/>
      <c r="C14" s="52" t="s">
        <v>60</v>
      </c>
      <c r="D14" s="51">
        <v>14576645.140000001</v>
      </c>
      <c r="E14" s="37"/>
    </row>
    <row r="15" spans="1:5" s="45" customFormat="1" hidden="1" outlineLevel="1" x14ac:dyDescent="0.3">
      <c r="B15" s="74"/>
      <c r="C15" s="52" t="s">
        <v>61</v>
      </c>
      <c r="D15" s="51">
        <v>130808.94</v>
      </c>
      <c r="E15" s="37"/>
    </row>
    <row r="16" spans="1:5" s="45" customFormat="1" hidden="1" outlineLevel="1" x14ac:dyDescent="0.3">
      <c r="B16" s="72" t="s">
        <v>9</v>
      </c>
      <c r="C16" s="52" t="s">
        <v>62</v>
      </c>
      <c r="D16" s="51">
        <v>7101374.6992175998</v>
      </c>
      <c r="E16" s="37" t="s">
        <v>63</v>
      </c>
    </row>
    <row r="17" spans="2:5" s="45" customFormat="1" hidden="1" outlineLevel="1" x14ac:dyDescent="0.3">
      <c r="B17" s="73"/>
      <c r="C17" s="52" t="s">
        <v>64</v>
      </c>
      <c r="D17" s="51">
        <v>43621693.310883299</v>
      </c>
      <c r="E17" s="37"/>
    </row>
    <row r="18" spans="2:5" s="45" customFormat="1" hidden="1" outlineLevel="1" x14ac:dyDescent="0.3">
      <c r="B18" s="73"/>
      <c r="C18" s="52" t="s">
        <v>65</v>
      </c>
      <c r="D18" s="51">
        <v>19951301.955625799</v>
      </c>
      <c r="E18" s="37"/>
    </row>
    <row r="19" spans="2:5" s="45" customFormat="1" hidden="1" outlineLevel="1" x14ac:dyDescent="0.3">
      <c r="B19" s="73"/>
      <c r="C19" s="52" t="s">
        <v>66</v>
      </c>
      <c r="D19" s="51">
        <v>10045172.51</v>
      </c>
      <c r="E19" s="37"/>
    </row>
    <row r="20" spans="2:5" s="45" customFormat="1" hidden="1" outlineLevel="1" x14ac:dyDescent="0.3">
      <c r="B20" s="73"/>
      <c r="C20" s="52" t="s">
        <v>67</v>
      </c>
      <c r="D20" s="51">
        <v>6835478.75</v>
      </c>
      <c r="E20" s="37"/>
    </row>
    <row r="21" spans="2:5" s="45" customFormat="1" hidden="1" outlineLevel="1" x14ac:dyDescent="0.3">
      <c r="B21" s="74"/>
      <c r="C21" s="52" t="s">
        <v>68</v>
      </c>
      <c r="D21" s="51">
        <v>433251.01</v>
      </c>
      <c r="E21" s="37"/>
    </row>
    <row r="22" spans="2:5" s="45" customFormat="1" hidden="1" outlineLevel="1" x14ac:dyDescent="0.3">
      <c r="B22" s="72" t="s">
        <v>10</v>
      </c>
      <c r="C22" s="52" t="s">
        <v>69</v>
      </c>
      <c r="D22" s="51">
        <v>3973022.5121983299</v>
      </c>
      <c r="E22" s="37" t="s">
        <v>63</v>
      </c>
    </row>
    <row r="23" spans="2:5" s="45" customFormat="1" hidden="1" outlineLevel="1" x14ac:dyDescent="0.3">
      <c r="B23" s="73"/>
      <c r="C23" s="52" t="s">
        <v>70</v>
      </c>
      <c r="D23" s="51">
        <v>7609426.8442382803</v>
      </c>
      <c r="E23" s="37" t="s">
        <v>63</v>
      </c>
    </row>
    <row r="24" spans="2:5" s="45" customFormat="1" hidden="1" outlineLevel="1" x14ac:dyDescent="0.3">
      <c r="B24" s="73"/>
      <c r="C24" s="52" t="s">
        <v>71</v>
      </c>
      <c r="D24" s="51">
        <v>27387868.630245298</v>
      </c>
      <c r="E24" s="37"/>
    </row>
    <row r="25" spans="2:5" s="45" customFormat="1" hidden="1" outlineLevel="1" x14ac:dyDescent="0.3">
      <c r="B25" s="73"/>
      <c r="C25" s="52" t="s">
        <v>72</v>
      </c>
      <c r="D25" s="51">
        <v>8798801.4669140596</v>
      </c>
      <c r="E25" s="37"/>
    </row>
    <row r="26" spans="2:5" s="45" customFormat="1" hidden="1" outlineLevel="1" x14ac:dyDescent="0.3">
      <c r="B26" s="73"/>
      <c r="C26" s="52" t="s">
        <v>73</v>
      </c>
      <c r="D26" s="51">
        <v>3136827.9534089998</v>
      </c>
      <c r="E26" s="37"/>
    </row>
    <row r="27" spans="2:5" s="45" customFormat="1" hidden="1" outlineLevel="1" x14ac:dyDescent="0.3">
      <c r="B27" s="74"/>
      <c r="C27" s="52" t="s">
        <v>74</v>
      </c>
      <c r="D27" s="51">
        <v>239684.33</v>
      </c>
      <c r="E27" s="37"/>
    </row>
    <row r="28" spans="2:5" s="45" customFormat="1" hidden="1" outlineLevel="1" x14ac:dyDescent="0.3">
      <c r="B28" s="72" t="s">
        <v>11</v>
      </c>
      <c r="C28" s="52" t="s">
        <v>75</v>
      </c>
      <c r="D28" s="51">
        <v>3401058.26</v>
      </c>
      <c r="E28" s="37" t="s">
        <v>63</v>
      </c>
    </row>
    <row r="29" spans="2:5" s="45" customFormat="1" hidden="1" outlineLevel="1" x14ac:dyDescent="0.3">
      <c r="B29" s="73"/>
      <c r="C29" s="52" t="s">
        <v>76</v>
      </c>
      <c r="D29" s="51">
        <v>3964789.3650983898</v>
      </c>
      <c r="E29" s="37" t="s">
        <v>63</v>
      </c>
    </row>
    <row r="30" spans="2:5" s="45" customFormat="1" hidden="1" outlineLevel="1" x14ac:dyDescent="0.3">
      <c r="B30" s="73"/>
      <c r="C30" s="52" t="s">
        <v>77</v>
      </c>
      <c r="D30" s="51">
        <v>29827746.356943801</v>
      </c>
      <c r="E30" s="37" t="s">
        <v>63</v>
      </c>
    </row>
    <row r="31" spans="2:5" s="45" customFormat="1" hidden="1" outlineLevel="1" x14ac:dyDescent="0.3">
      <c r="B31" s="73"/>
      <c r="C31" s="52" t="s">
        <v>78</v>
      </c>
      <c r="D31" s="51">
        <v>6667194.2088691201</v>
      </c>
      <c r="E31" s="37"/>
    </row>
    <row r="32" spans="2:5" s="45" customFormat="1" hidden="1" outlineLevel="1" x14ac:dyDescent="0.3">
      <c r="B32" s="73"/>
      <c r="C32" s="52" t="s">
        <v>79</v>
      </c>
      <c r="D32" s="51">
        <v>2844654.68</v>
      </c>
      <c r="E32" s="37"/>
    </row>
    <row r="33" spans="2:5" s="45" customFormat="1" hidden="1" outlineLevel="1" x14ac:dyDescent="0.3">
      <c r="B33" s="73"/>
      <c r="C33" s="52" t="s">
        <v>80</v>
      </c>
      <c r="D33" s="51">
        <v>105618.16</v>
      </c>
      <c r="E33" s="37"/>
    </row>
    <row r="34" spans="2:5" s="45" customFormat="1" hidden="1" outlineLevel="1" x14ac:dyDescent="0.3">
      <c r="B34" s="74"/>
      <c r="C34" s="52" t="s">
        <v>81</v>
      </c>
      <c r="D34" s="51">
        <v>33194.76</v>
      </c>
      <c r="E34" s="37"/>
    </row>
    <row r="35" spans="2:5" s="45" customFormat="1" hidden="1" outlineLevel="1" x14ac:dyDescent="0.3">
      <c r="B35" s="72" t="s">
        <v>12</v>
      </c>
      <c r="C35" s="52" t="s">
        <v>82</v>
      </c>
      <c r="D35" s="51">
        <v>1420013.4</v>
      </c>
      <c r="E35" s="37" t="s">
        <v>63</v>
      </c>
    </row>
    <row r="36" spans="2:5" s="45" customFormat="1" hidden="1" outlineLevel="1" x14ac:dyDescent="0.3">
      <c r="B36" s="73"/>
      <c r="C36" s="52" t="s">
        <v>83</v>
      </c>
      <c r="D36" s="51">
        <v>1869955.93</v>
      </c>
      <c r="E36" s="37" t="s">
        <v>63</v>
      </c>
    </row>
    <row r="37" spans="2:5" s="45" customFormat="1" hidden="1" outlineLevel="1" x14ac:dyDescent="0.3">
      <c r="B37" s="73"/>
      <c r="C37" s="52" t="s">
        <v>84</v>
      </c>
      <c r="D37" s="51">
        <v>14013342.215</v>
      </c>
      <c r="E37" s="37" t="s">
        <v>63</v>
      </c>
    </row>
    <row r="38" spans="2:5" s="45" customFormat="1" hidden="1" outlineLevel="1" x14ac:dyDescent="0.3">
      <c r="B38" s="73"/>
      <c r="C38" s="52" t="s">
        <v>85</v>
      </c>
      <c r="D38" s="51">
        <v>14850419.6471928</v>
      </c>
      <c r="E38" s="37" t="s">
        <v>63</v>
      </c>
    </row>
    <row r="39" spans="2:5" s="45" customFormat="1" hidden="1" outlineLevel="1" x14ac:dyDescent="0.3">
      <c r="B39" s="73"/>
      <c r="C39" s="52" t="s">
        <v>86</v>
      </c>
      <c r="D39" s="51">
        <v>3556949.45</v>
      </c>
      <c r="E39" s="37"/>
    </row>
    <row r="40" spans="2:5" s="45" customFormat="1" hidden="1" outlineLevel="1" x14ac:dyDescent="0.3">
      <c r="B40" s="74"/>
      <c r="C40" s="52" t="s">
        <v>87</v>
      </c>
      <c r="D40" s="51">
        <v>0</v>
      </c>
      <c r="E40" s="37"/>
    </row>
    <row r="41" spans="2:5" s="45" customFormat="1" hidden="1" outlineLevel="1" x14ac:dyDescent="0.3">
      <c r="B41" s="72" t="s">
        <v>13</v>
      </c>
      <c r="C41" s="52" t="s">
        <v>88</v>
      </c>
      <c r="D41" s="51">
        <v>623482.32999999996</v>
      </c>
      <c r="E41" s="37" t="s">
        <v>63</v>
      </c>
    </row>
    <row r="42" spans="2:5" s="45" customFormat="1" hidden="1" outlineLevel="1" x14ac:dyDescent="0.3">
      <c r="B42" s="73"/>
      <c r="C42" s="52" t="s">
        <v>89</v>
      </c>
      <c r="D42" s="51">
        <v>1344742.59</v>
      </c>
      <c r="E42" s="37" t="s">
        <v>63</v>
      </c>
    </row>
    <row r="43" spans="2:5" s="45" customFormat="1" hidden="1" outlineLevel="1" x14ac:dyDescent="0.3">
      <c r="B43" s="73"/>
      <c r="C43" s="52" t="s">
        <v>90</v>
      </c>
      <c r="D43" s="51">
        <v>3670791.1642539599</v>
      </c>
      <c r="E43" s="37" t="s">
        <v>63</v>
      </c>
    </row>
    <row r="44" spans="2:5" s="45" customFormat="1" hidden="1" outlineLevel="1" x14ac:dyDescent="0.3">
      <c r="B44" s="73"/>
      <c r="C44" s="52" t="s">
        <v>91</v>
      </c>
      <c r="D44" s="51">
        <v>5571150.1100000003</v>
      </c>
      <c r="E44" s="37" t="s">
        <v>63</v>
      </c>
    </row>
    <row r="45" spans="2:5" s="45" customFormat="1" hidden="1" outlineLevel="1" x14ac:dyDescent="0.3">
      <c r="B45" s="73"/>
      <c r="C45" s="52" t="s">
        <v>92</v>
      </c>
      <c r="D45" s="51">
        <v>3869773.6860223599</v>
      </c>
      <c r="E45" s="37" t="s">
        <v>63</v>
      </c>
    </row>
    <row r="46" spans="2:5" s="45" customFormat="1" hidden="1" outlineLevel="1" x14ac:dyDescent="0.3">
      <c r="B46" s="74"/>
      <c r="C46" s="52" t="s">
        <v>93</v>
      </c>
      <c r="D46" s="51">
        <v>0</v>
      </c>
      <c r="E46" s="37"/>
    </row>
    <row r="47" spans="2:5" s="45" customFormat="1" hidden="1" outlineLevel="1" x14ac:dyDescent="0.3">
      <c r="B47" s="72" t="s">
        <v>14</v>
      </c>
      <c r="C47" s="52" t="s">
        <v>94</v>
      </c>
      <c r="D47" s="51">
        <v>0</v>
      </c>
      <c r="E47" s="37"/>
    </row>
    <row r="48" spans="2:5" s="45" customFormat="1" hidden="1" outlineLevel="1" x14ac:dyDescent="0.3">
      <c r="B48" s="73"/>
      <c r="C48" s="52" t="s">
        <v>95</v>
      </c>
      <c r="D48" s="51">
        <v>0</v>
      </c>
      <c r="E48" s="37"/>
    </row>
    <row r="49" spans="2:5" s="45" customFormat="1" hidden="1" outlineLevel="1" x14ac:dyDescent="0.3">
      <c r="B49" s="73"/>
      <c r="C49" s="52" t="s">
        <v>96</v>
      </c>
      <c r="D49" s="51">
        <v>156136.76999999999</v>
      </c>
      <c r="E49" s="37" t="s">
        <v>63</v>
      </c>
    </row>
    <row r="50" spans="2:5" s="45" customFormat="1" hidden="1" outlineLevel="1" x14ac:dyDescent="0.3">
      <c r="B50" s="73"/>
      <c r="C50" s="52" t="s">
        <v>97</v>
      </c>
      <c r="D50" s="51">
        <v>104285.98</v>
      </c>
      <c r="E50" s="37" t="s">
        <v>63</v>
      </c>
    </row>
    <row r="51" spans="2:5" s="45" customFormat="1" hidden="1" outlineLevel="1" x14ac:dyDescent="0.3">
      <c r="B51" s="73"/>
      <c r="C51" s="52" t="s">
        <v>98</v>
      </c>
      <c r="D51" s="51">
        <v>0</v>
      </c>
      <c r="E51" s="37"/>
    </row>
    <row r="52" spans="2:5" s="45" customFormat="1" hidden="1" outlineLevel="1" x14ac:dyDescent="0.3">
      <c r="B52" s="74"/>
      <c r="C52" s="52" t="s">
        <v>99</v>
      </c>
      <c r="D52" s="51">
        <v>0</v>
      </c>
      <c r="E52" s="37"/>
    </row>
    <row r="53" spans="2:5" s="45" customFormat="1" hidden="1" outlineLevel="1" x14ac:dyDescent="0.3">
      <c r="B53" s="72" t="s">
        <v>45</v>
      </c>
      <c r="C53" s="52" t="s">
        <v>100</v>
      </c>
      <c r="D53" s="51">
        <v>0</v>
      </c>
      <c r="E53" s="37"/>
    </row>
    <row r="54" spans="2:5" s="45" customFormat="1" hidden="1" outlineLevel="1" x14ac:dyDescent="0.3">
      <c r="B54" s="73"/>
      <c r="C54" s="52" t="s">
        <v>101</v>
      </c>
      <c r="D54" s="51">
        <v>0</v>
      </c>
      <c r="E54" s="37"/>
    </row>
    <row r="55" spans="2:5" s="45" customFormat="1" hidden="1" outlineLevel="1" x14ac:dyDescent="0.3">
      <c r="B55" s="73"/>
      <c r="C55" s="52" t="s">
        <v>102</v>
      </c>
      <c r="D55" s="51">
        <v>16169.5653599875</v>
      </c>
      <c r="E55" s="37"/>
    </row>
    <row r="56" spans="2:5" s="45" customFormat="1" hidden="1" outlineLevel="1" x14ac:dyDescent="0.3">
      <c r="B56" s="73"/>
      <c r="C56" s="52" t="s">
        <v>103</v>
      </c>
      <c r="D56" s="51">
        <v>64785.59</v>
      </c>
      <c r="E56" s="37"/>
    </row>
    <row r="57" spans="2:5" s="45" customFormat="1" hidden="1" outlineLevel="1" x14ac:dyDescent="0.3">
      <c r="B57" s="73"/>
      <c r="C57" s="52" t="s">
        <v>104</v>
      </c>
      <c r="D57" s="51">
        <v>796144.31</v>
      </c>
      <c r="E57" s="37"/>
    </row>
    <row r="58" spans="2:5" s="45" customFormat="1" hidden="1" outlineLevel="1" x14ac:dyDescent="0.3">
      <c r="B58" s="73"/>
      <c r="C58" s="52" t="s">
        <v>105</v>
      </c>
      <c r="D58" s="51">
        <v>0</v>
      </c>
      <c r="E58" s="37"/>
    </row>
    <row r="59" spans="2:5" s="45" customFormat="1" hidden="1" outlineLevel="1" x14ac:dyDescent="0.3">
      <c r="B59" s="74"/>
      <c r="C59" s="52" t="s">
        <v>106</v>
      </c>
      <c r="D59" s="51">
        <v>0</v>
      </c>
      <c r="E59" s="37"/>
    </row>
    <row r="60" spans="2:5" s="45" customFormat="1" collapsed="1" x14ac:dyDescent="0.3">
      <c r="B60" s="49" t="s">
        <v>107</v>
      </c>
      <c r="C60" s="50" t="s">
        <v>55</v>
      </c>
      <c r="D60" s="51">
        <v>10025810874.629601</v>
      </c>
      <c r="E60" s="37"/>
    </row>
    <row r="61" spans="2:5" s="45" customFormat="1" hidden="1" outlineLevel="1" x14ac:dyDescent="0.3">
      <c r="B61" s="72" t="s">
        <v>46</v>
      </c>
      <c r="C61" s="52" t="s">
        <v>108</v>
      </c>
      <c r="D61" s="51">
        <v>175071799.08843899</v>
      </c>
      <c r="E61" s="37"/>
    </row>
    <row r="62" spans="2:5" s="45" customFormat="1" hidden="1" outlineLevel="1" x14ac:dyDescent="0.3">
      <c r="B62" s="73"/>
      <c r="C62" s="52" t="s">
        <v>109</v>
      </c>
      <c r="D62" s="51">
        <v>45201479.827824302</v>
      </c>
      <c r="E62" s="37"/>
    </row>
    <row r="63" spans="2:5" s="45" customFormat="1" hidden="1" outlineLevel="1" x14ac:dyDescent="0.3">
      <c r="B63" s="73"/>
      <c r="C63" s="52" t="s">
        <v>110</v>
      </c>
      <c r="D63" s="51">
        <v>1677257.17</v>
      </c>
      <c r="E63" s="37"/>
    </row>
    <row r="64" spans="2:5" s="45" customFormat="1" hidden="1" outlineLevel="1" x14ac:dyDescent="0.3">
      <c r="B64" s="73"/>
      <c r="C64" s="52" t="s">
        <v>111</v>
      </c>
      <c r="D64" s="51">
        <v>0</v>
      </c>
      <c r="E64" s="37"/>
    </row>
    <row r="65" spans="2:5" s="45" customFormat="1" hidden="1" outlineLevel="1" x14ac:dyDescent="0.3">
      <c r="B65" s="74"/>
      <c r="C65" s="52" t="s">
        <v>112</v>
      </c>
      <c r="D65" s="51">
        <v>0</v>
      </c>
      <c r="E65" s="37"/>
    </row>
    <row r="66" spans="2:5" s="45" customFormat="1" hidden="1" outlineLevel="1" x14ac:dyDescent="0.3">
      <c r="B66" s="72" t="s">
        <v>49</v>
      </c>
      <c r="C66" s="52" t="s">
        <v>113</v>
      </c>
      <c r="D66" s="51">
        <v>284336138.76024997</v>
      </c>
      <c r="E66" s="37"/>
    </row>
    <row r="67" spans="2:5" s="45" customFormat="1" hidden="1" outlineLevel="1" x14ac:dyDescent="0.3">
      <c r="B67" s="73"/>
      <c r="C67" s="52" t="s">
        <v>114</v>
      </c>
      <c r="D67" s="51">
        <v>19388611.531820402</v>
      </c>
      <c r="E67" s="37"/>
    </row>
    <row r="68" spans="2:5" s="45" customFormat="1" hidden="1" outlineLevel="1" x14ac:dyDescent="0.3">
      <c r="B68" s="73"/>
      <c r="C68" s="52" t="s">
        <v>115</v>
      </c>
      <c r="D68" s="51">
        <v>1030944.8</v>
      </c>
      <c r="E68" s="37"/>
    </row>
    <row r="69" spans="2:5" s="45" customFormat="1" hidden="1" outlineLevel="1" x14ac:dyDescent="0.3">
      <c r="B69" s="73"/>
      <c r="C69" s="52" t="s">
        <v>116</v>
      </c>
      <c r="D69" s="51">
        <v>0</v>
      </c>
      <c r="E69" s="37"/>
    </row>
    <row r="70" spans="2:5" s="45" customFormat="1" hidden="1" outlineLevel="1" x14ac:dyDescent="0.3">
      <c r="B70" s="73"/>
      <c r="C70" s="52" t="s">
        <v>117</v>
      </c>
      <c r="D70" s="51">
        <v>0</v>
      </c>
      <c r="E70" s="37"/>
    </row>
    <row r="71" spans="2:5" s="45" customFormat="1" hidden="1" outlineLevel="1" x14ac:dyDescent="0.3">
      <c r="B71" s="74"/>
      <c r="C71" s="52" t="s">
        <v>118</v>
      </c>
      <c r="D71" s="51">
        <v>33194.76</v>
      </c>
      <c r="E71" s="37"/>
    </row>
    <row r="72" spans="2:5" s="45" customFormat="1" hidden="1" outlineLevel="1" x14ac:dyDescent="0.3">
      <c r="B72" s="72" t="s">
        <v>48</v>
      </c>
      <c r="C72" s="52" t="s">
        <v>119</v>
      </c>
      <c r="D72" s="51">
        <v>72216538.133876696</v>
      </c>
      <c r="E72" s="37"/>
    </row>
    <row r="73" spans="2:5" s="45" customFormat="1" hidden="1" outlineLevel="1" x14ac:dyDescent="0.3">
      <c r="B73" s="73"/>
      <c r="C73" s="52" t="s">
        <v>120</v>
      </c>
      <c r="D73" s="51">
        <v>178089784.437462</v>
      </c>
      <c r="E73" s="37"/>
    </row>
    <row r="74" spans="2:5" s="45" customFormat="1" hidden="1" outlineLevel="1" x14ac:dyDescent="0.3">
      <c r="B74" s="73"/>
      <c r="C74" s="52" t="s">
        <v>121</v>
      </c>
      <c r="D74" s="51">
        <v>1396638.44</v>
      </c>
      <c r="E74" s="37"/>
    </row>
    <row r="75" spans="2:5" s="45" customFormat="1" hidden="1" outlineLevel="1" x14ac:dyDescent="0.3">
      <c r="B75" s="73"/>
      <c r="C75" s="52" t="s">
        <v>122</v>
      </c>
      <c r="D75" s="51">
        <v>0</v>
      </c>
      <c r="E75" s="37"/>
    </row>
    <row r="76" spans="2:5" s="45" customFormat="1" hidden="1" outlineLevel="1" x14ac:dyDescent="0.3">
      <c r="B76" s="74"/>
      <c r="C76" s="52" t="s">
        <v>123</v>
      </c>
      <c r="D76" s="51">
        <v>0</v>
      </c>
      <c r="E76" s="37"/>
    </row>
    <row r="77" spans="2:5" s="45" customFormat="1" hidden="1" outlineLevel="1" x14ac:dyDescent="0.3">
      <c r="B77" s="72" t="s">
        <v>50</v>
      </c>
      <c r="C77" s="52" t="s">
        <v>124</v>
      </c>
      <c r="D77" s="51">
        <v>20855659.158238199</v>
      </c>
      <c r="E77" s="37"/>
    </row>
    <row r="78" spans="2:5" s="45" customFormat="1" hidden="1" outlineLevel="1" x14ac:dyDescent="0.3">
      <c r="B78" s="73"/>
      <c r="C78" s="52" t="s">
        <v>125</v>
      </c>
      <c r="D78" s="51">
        <v>91731119.027228907</v>
      </c>
      <c r="E78" s="37"/>
    </row>
    <row r="79" spans="2:5" s="45" customFormat="1" hidden="1" outlineLevel="1" x14ac:dyDescent="0.3">
      <c r="B79" s="73"/>
      <c r="C79" s="52" t="s">
        <v>126</v>
      </c>
      <c r="D79" s="51">
        <v>26867352.336523999</v>
      </c>
      <c r="E79" s="37"/>
    </row>
    <row r="80" spans="2:5" s="45" customFormat="1" hidden="1" outlineLevel="1" x14ac:dyDescent="0.3">
      <c r="B80" s="73"/>
      <c r="C80" s="52" t="s">
        <v>127</v>
      </c>
      <c r="D80" s="51">
        <v>0</v>
      </c>
      <c r="E80" s="37"/>
    </row>
    <row r="81" spans="2:5" s="45" customFormat="1" hidden="1" outlineLevel="1" x14ac:dyDescent="0.3">
      <c r="B81" s="74"/>
      <c r="C81" s="52" t="s">
        <v>128</v>
      </c>
      <c r="D81" s="51">
        <v>0</v>
      </c>
      <c r="E81" s="37"/>
    </row>
    <row r="82" spans="2:5" s="45" customFormat="1" hidden="1" outlineLevel="1" x14ac:dyDescent="0.3">
      <c r="B82" s="72" t="s">
        <v>47</v>
      </c>
      <c r="C82" s="52" t="s">
        <v>129</v>
      </c>
      <c r="D82" s="51">
        <v>6595085.2800000003</v>
      </c>
      <c r="E82" s="37"/>
    </row>
    <row r="83" spans="2:5" s="45" customFormat="1" hidden="1" outlineLevel="1" x14ac:dyDescent="0.3">
      <c r="B83" s="73"/>
      <c r="C83" s="52" t="s">
        <v>130</v>
      </c>
      <c r="D83" s="51">
        <v>36776141.5214011</v>
      </c>
      <c r="E83" s="37"/>
    </row>
    <row r="84" spans="2:5" s="45" customFormat="1" hidden="1" outlineLevel="1" x14ac:dyDescent="0.3">
      <c r="B84" s="73"/>
      <c r="C84" s="52" t="s">
        <v>131</v>
      </c>
      <c r="D84" s="51">
        <v>28269489.170000002</v>
      </c>
      <c r="E84" s="37"/>
    </row>
    <row r="85" spans="2:5" s="45" customFormat="1" hidden="1" outlineLevel="1" x14ac:dyDescent="0.3">
      <c r="B85" s="73"/>
      <c r="C85" s="52" t="s">
        <v>132</v>
      </c>
      <c r="D85" s="51">
        <v>1672281.5</v>
      </c>
      <c r="E85" s="37"/>
    </row>
    <row r="86" spans="2:5" s="45" customFormat="1" hidden="1" outlineLevel="1" x14ac:dyDescent="0.3">
      <c r="B86" s="74"/>
      <c r="C86" s="52" t="s">
        <v>133</v>
      </c>
      <c r="D86" s="51">
        <v>0</v>
      </c>
      <c r="E86" s="37"/>
    </row>
    <row r="87" spans="2:5" s="45" customFormat="1" hidden="1" outlineLevel="1" x14ac:dyDescent="0.3">
      <c r="B87" s="72" t="s">
        <v>51</v>
      </c>
      <c r="C87" s="52" t="s">
        <v>134</v>
      </c>
      <c r="D87" s="51">
        <v>16787544.489392601</v>
      </c>
      <c r="E87" s="37"/>
    </row>
    <row r="88" spans="2:5" s="45" customFormat="1" hidden="1" outlineLevel="1" x14ac:dyDescent="0.3">
      <c r="B88" s="73"/>
      <c r="C88" s="52" t="s">
        <v>135</v>
      </c>
      <c r="D88" s="51">
        <v>24993614.663849</v>
      </c>
      <c r="E88" s="37"/>
    </row>
    <row r="89" spans="2:5" s="45" customFormat="1" hidden="1" outlineLevel="1" x14ac:dyDescent="0.3">
      <c r="B89" s="73"/>
      <c r="C89" s="52" t="s">
        <v>136</v>
      </c>
      <c r="D89" s="51">
        <v>35873198.444193199</v>
      </c>
      <c r="E89" s="37"/>
    </row>
    <row r="90" spans="2:5" s="45" customFormat="1" hidden="1" outlineLevel="1" x14ac:dyDescent="0.3">
      <c r="B90" s="73"/>
      <c r="C90" s="52" t="s">
        <v>137</v>
      </c>
      <c r="D90" s="51">
        <v>7892874.6399999997</v>
      </c>
      <c r="E90" s="37"/>
    </row>
    <row r="91" spans="2:5" s="45" customFormat="1" hidden="1" outlineLevel="1" x14ac:dyDescent="0.3">
      <c r="B91" s="74"/>
      <c r="C91" s="52" t="s">
        <v>138</v>
      </c>
      <c r="D91" s="51">
        <v>422252.98</v>
      </c>
      <c r="E91" s="37"/>
    </row>
    <row r="92" spans="2:5" s="45" customFormat="1" hidden="1" outlineLevel="1" x14ac:dyDescent="0.3">
      <c r="B92" s="72" t="s">
        <v>45</v>
      </c>
      <c r="C92" s="52" t="s">
        <v>139</v>
      </c>
      <c r="D92" s="51">
        <v>4807020905.1927404</v>
      </c>
      <c r="E92" s="37"/>
    </row>
    <row r="93" spans="2:5" s="45" customFormat="1" hidden="1" outlineLevel="1" x14ac:dyDescent="0.3">
      <c r="B93" s="73"/>
      <c r="C93" s="52" t="s">
        <v>140</v>
      </c>
      <c r="D93" s="51">
        <v>3399983784.6324902</v>
      </c>
      <c r="E93" s="37"/>
    </row>
    <row r="94" spans="2:5" s="45" customFormat="1" hidden="1" outlineLevel="1" x14ac:dyDescent="0.3">
      <c r="B94" s="73"/>
      <c r="C94" s="52" t="s">
        <v>141</v>
      </c>
      <c r="D94" s="51">
        <v>678367800.06131995</v>
      </c>
      <c r="E94" s="37"/>
    </row>
    <row r="95" spans="2:5" s="45" customFormat="1" hidden="1" outlineLevel="1" x14ac:dyDescent="0.3">
      <c r="B95" s="73"/>
      <c r="C95" s="52" t="s">
        <v>142</v>
      </c>
      <c r="D95" s="51">
        <v>63026569.502617903</v>
      </c>
      <c r="E95" s="37"/>
    </row>
    <row r="96" spans="2:5" s="45" customFormat="1" hidden="1" outlineLevel="1" x14ac:dyDescent="0.3">
      <c r="B96" s="73"/>
      <c r="C96" s="52" t="s">
        <v>143</v>
      </c>
      <c r="D96" s="51">
        <v>232815.08</v>
      </c>
      <c r="E96" s="37"/>
    </row>
    <row r="97" spans="2:5" s="45" customFormat="1" hidden="1" outlineLevel="1" x14ac:dyDescent="0.3">
      <c r="B97" s="74"/>
      <c r="C97" s="52" t="s">
        <v>144</v>
      </c>
      <c r="D97" s="51">
        <v>0</v>
      </c>
      <c r="E97" s="37"/>
    </row>
    <row r="98" spans="2:5" s="45" customFormat="1" collapsed="1" x14ac:dyDescent="0.3">
      <c r="B98" s="49" t="s">
        <v>148</v>
      </c>
      <c r="C98" s="69" t="s">
        <v>55</v>
      </c>
      <c r="D98" s="65">
        <v>177557365.41961083</v>
      </c>
      <c r="E98" s="37"/>
    </row>
    <row r="99" spans="2:5" s="45" customFormat="1" hidden="1" outlineLevel="1" x14ac:dyDescent="0.3">
      <c r="B99" s="72" t="s">
        <v>154</v>
      </c>
      <c r="C99" s="64" t="s">
        <v>153</v>
      </c>
      <c r="D99" s="65">
        <v>3977097.57</v>
      </c>
      <c r="E99" s="37"/>
    </row>
    <row r="100" spans="2:5" s="45" customFormat="1" hidden="1" outlineLevel="1" x14ac:dyDescent="0.3">
      <c r="B100" s="73"/>
      <c r="C100" s="64" t="s">
        <v>152</v>
      </c>
      <c r="D100" s="65">
        <v>9427036.6387328003</v>
      </c>
      <c r="E100" s="37"/>
    </row>
    <row r="101" spans="2:5" s="45" customFormat="1" hidden="1" outlineLevel="1" x14ac:dyDescent="0.3">
      <c r="B101" s="73"/>
      <c r="C101" s="64" t="s">
        <v>149</v>
      </c>
      <c r="D101" s="65">
        <v>141146768.09604999</v>
      </c>
      <c r="E101" s="37"/>
    </row>
    <row r="102" spans="2:5" s="45" customFormat="1" hidden="1" outlineLevel="1" x14ac:dyDescent="0.3">
      <c r="B102" s="73"/>
      <c r="C102" s="64" t="s">
        <v>150</v>
      </c>
      <c r="D102" s="65">
        <v>18629994.420000002</v>
      </c>
      <c r="E102" s="37"/>
    </row>
    <row r="103" spans="2:5" s="45" customFormat="1" hidden="1" outlineLevel="1" x14ac:dyDescent="0.3">
      <c r="B103" s="74"/>
      <c r="C103" s="64" t="s">
        <v>151</v>
      </c>
      <c r="D103" s="65">
        <v>238570.52006130101</v>
      </c>
      <c r="E103" s="37"/>
    </row>
    <row r="104" spans="2:5" s="45" customFormat="1" hidden="1" outlineLevel="1" x14ac:dyDescent="0.3">
      <c r="B104" s="70" t="s">
        <v>155</v>
      </c>
      <c r="C104" s="64" t="s">
        <v>157</v>
      </c>
      <c r="D104" s="65">
        <v>2989724.3785849302</v>
      </c>
      <c r="E104" s="37"/>
    </row>
    <row r="105" spans="2:5" s="45" customFormat="1" hidden="1" outlineLevel="1" x14ac:dyDescent="0.3">
      <c r="B105" s="70" t="s">
        <v>156</v>
      </c>
      <c r="C105" s="64" t="s">
        <v>158</v>
      </c>
      <c r="D105" s="65">
        <v>1148173.7961818201</v>
      </c>
      <c r="E105" s="37"/>
    </row>
    <row r="106" spans="2:5" s="45" customFormat="1" collapsed="1" x14ac:dyDescent="0.3">
      <c r="B106" s="54" t="s">
        <v>145</v>
      </c>
      <c r="C106" s="55" t="s">
        <v>146</v>
      </c>
      <c r="D106" s="56">
        <v>22179548.878999501</v>
      </c>
      <c r="E106" s="37"/>
    </row>
    <row r="107" spans="2:5" s="45" customFormat="1" x14ac:dyDescent="0.3">
      <c r="B107" s="66"/>
      <c r="C107" s="67"/>
      <c r="D107" s="68"/>
      <c r="E107" s="37"/>
    </row>
    <row r="108" spans="2:5" s="45" customFormat="1" hidden="1" x14ac:dyDescent="0.3">
      <c r="B108" s="66"/>
      <c r="C108" s="67"/>
      <c r="D108" s="68"/>
      <c r="E108" s="37"/>
    </row>
    <row r="109" spans="2:5" s="45" customFormat="1" hidden="1" x14ac:dyDescent="0.3">
      <c r="B109" s="66"/>
      <c r="C109" s="67"/>
      <c r="D109" s="68"/>
      <c r="E109" s="37"/>
    </row>
    <row r="110" spans="2:5" s="45" customFormat="1" hidden="1" x14ac:dyDescent="0.3">
      <c r="B110" s="66"/>
      <c r="C110" s="67"/>
      <c r="D110" s="68"/>
      <c r="E110" s="37"/>
    </row>
    <row r="111" spans="2:5" s="45" customFormat="1" hidden="1" x14ac:dyDescent="0.3">
      <c r="B111" s="66"/>
      <c r="C111" s="67"/>
      <c r="D111" s="68"/>
      <c r="E111" s="37"/>
    </row>
    <row r="112" spans="2:5" s="45" customFormat="1" hidden="1" x14ac:dyDescent="0.3">
      <c r="B112" s="66"/>
      <c r="C112" s="67"/>
      <c r="D112" s="68"/>
      <c r="E112" s="37"/>
    </row>
    <row r="113" spans="1:5" s="45" customFormat="1" hidden="1" x14ac:dyDescent="0.3">
      <c r="B113" s="66"/>
      <c r="C113" s="67"/>
      <c r="D113" s="68"/>
      <c r="E113" s="37"/>
    </row>
    <row r="114" spans="1:5" s="45" customFormat="1" hidden="1" x14ac:dyDescent="0.3">
      <c r="B114" s="66"/>
      <c r="C114" s="67"/>
      <c r="D114" s="68"/>
      <c r="E114" s="37"/>
    </row>
    <row r="115" spans="1:5" s="45" customFormat="1" hidden="1" x14ac:dyDescent="0.3">
      <c r="B115" s="66"/>
      <c r="C115" s="67"/>
      <c r="D115" s="68"/>
      <c r="E115" s="37"/>
    </row>
    <row r="116" spans="1:5" s="45" customFormat="1" hidden="1" x14ac:dyDescent="0.3">
      <c r="B116" s="66"/>
      <c r="C116" s="67"/>
      <c r="D116" s="68"/>
      <c r="E116" s="37"/>
    </row>
    <row r="117" spans="1:5" hidden="1" x14ac:dyDescent="0.3">
      <c r="A117" t="s">
        <v>147</v>
      </c>
      <c r="B117" s="57"/>
      <c r="C117" s="57"/>
      <c r="D117" s="58"/>
    </row>
    <row r="118" spans="1:5" hidden="1" x14ac:dyDescent="0.3"/>
    <row r="119" spans="1:5" hidden="1" x14ac:dyDescent="0.3"/>
    <row r="120" spans="1:5" ht="14.4" hidden="1" customHeight="1" x14ac:dyDescent="0.3"/>
    <row r="121" spans="1:5" ht="14.4" hidden="1" customHeight="1" x14ac:dyDescent="0.3"/>
    <row r="122" spans="1:5" ht="14.4" hidden="1" customHeight="1" x14ac:dyDescent="0.3"/>
    <row r="123" spans="1:5" ht="14.4" hidden="1" customHeight="1" x14ac:dyDescent="0.3"/>
    <row r="124" spans="1:5" ht="14.4" hidden="1" customHeight="1" x14ac:dyDescent="0.3"/>
    <row r="125" spans="1:5" ht="14.4" hidden="1" customHeight="1" x14ac:dyDescent="0.3"/>
  </sheetData>
  <mergeCells count="16">
    <mergeCell ref="B99:B103"/>
    <mergeCell ref="B41:B46"/>
    <mergeCell ref="B10:B15"/>
    <mergeCell ref="B16:B21"/>
    <mergeCell ref="B22:B27"/>
    <mergeCell ref="B28:B34"/>
    <mergeCell ref="B35:B40"/>
    <mergeCell ref="B82:B86"/>
    <mergeCell ref="B87:B91"/>
    <mergeCell ref="B92:B97"/>
    <mergeCell ref="B47:B52"/>
    <mergeCell ref="B53:B59"/>
    <mergeCell ref="B61:B65"/>
    <mergeCell ref="B66:B71"/>
    <mergeCell ref="B72:B7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W20"/>
  <sheetViews>
    <sheetView showGridLines="0" zoomScaleNormal="100" workbookViewId="0">
      <pane xSplit="2" topLeftCell="C1" activePane="topRight" state="frozen"/>
      <selection pane="topRight" activeCell="D14" sqref="D14"/>
    </sheetView>
  </sheetViews>
  <sheetFormatPr defaultColWidth="0" defaultRowHeight="14.4" zeroHeight="1" outlineLevelRow="1" x14ac:dyDescent="0.3"/>
  <cols>
    <col min="1" max="1" width="3.6640625" customWidth="1"/>
    <col min="2" max="2" width="83.6640625" customWidth="1"/>
    <col min="3" max="3" width="11.5546875" bestFit="1" customWidth="1"/>
    <col min="4" max="4" width="14.6640625" bestFit="1" customWidth="1"/>
    <col min="5" max="5" width="10.6640625" customWidth="1"/>
    <col min="6" max="6" width="11.5546875" bestFit="1" customWidth="1"/>
    <col min="7" max="7" width="14.6640625" bestFit="1" customWidth="1"/>
    <col min="8" max="8" width="10.6640625" customWidth="1"/>
    <col min="9" max="9" width="11.5546875" bestFit="1" customWidth="1"/>
    <col min="10" max="10" width="14.6640625" bestFit="1" customWidth="1"/>
    <col min="11" max="47" width="10.6640625" customWidth="1"/>
    <col min="48" max="48" width="2.6640625" customWidth="1"/>
    <col min="49" max="49" width="3.6640625" customWidth="1"/>
    <col min="50" max="16384" width="9.109375" hidden="1"/>
  </cols>
  <sheetData>
    <row r="1" spans="1:4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9" x14ac:dyDescent="0.3"/>
    <row r="8" spans="1:49" x14ac:dyDescent="0.3">
      <c r="C8" s="6" t="s">
        <v>1</v>
      </c>
      <c r="D8" s="7"/>
      <c r="E8" s="7"/>
      <c r="F8" s="6" t="s">
        <v>2</v>
      </c>
      <c r="G8" s="7"/>
      <c r="H8" s="7"/>
      <c r="I8" s="6" t="s">
        <v>3</v>
      </c>
      <c r="J8" s="7"/>
      <c r="K8" s="7"/>
      <c r="L8" s="6" t="s">
        <v>4</v>
      </c>
      <c r="M8" s="7"/>
      <c r="N8" s="7"/>
      <c r="O8" s="6" t="s">
        <v>5</v>
      </c>
      <c r="P8" s="7"/>
      <c r="Q8" s="7"/>
      <c r="R8" s="6" t="s">
        <v>6</v>
      </c>
      <c r="S8" s="7"/>
      <c r="T8" s="7"/>
      <c r="U8" s="6" t="s">
        <v>7</v>
      </c>
      <c r="V8" s="7"/>
      <c r="W8" s="7"/>
      <c r="X8" s="6" t="s">
        <v>8</v>
      </c>
      <c r="Y8" s="7"/>
      <c r="Z8" s="7"/>
      <c r="AA8" s="6" t="s">
        <v>9</v>
      </c>
      <c r="AB8" s="7"/>
      <c r="AC8" s="7"/>
      <c r="AD8" s="6" t="s">
        <v>10</v>
      </c>
      <c r="AE8" s="7"/>
      <c r="AF8" s="7"/>
      <c r="AG8" s="6" t="s">
        <v>11</v>
      </c>
      <c r="AH8" s="7"/>
      <c r="AI8" s="7"/>
      <c r="AJ8" s="6" t="s">
        <v>12</v>
      </c>
      <c r="AK8" s="7"/>
      <c r="AL8" s="7"/>
      <c r="AM8" s="6" t="s">
        <v>13</v>
      </c>
      <c r="AN8" s="7"/>
      <c r="AO8" s="7"/>
      <c r="AP8" s="6" t="s">
        <v>14</v>
      </c>
      <c r="AQ8" s="7"/>
      <c r="AR8" s="7"/>
      <c r="AS8" s="6" t="s">
        <v>15</v>
      </c>
      <c r="AT8" s="7"/>
      <c r="AU8" s="7"/>
    </row>
    <row r="9" spans="1:49" x14ac:dyDescent="0.3">
      <c r="B9" s="5"/>
      <c r="C9" s="71" t="s">
        <v>160</v>
      </c>
      <c r="D9" s="71" t="s">
        <v>161</v>
      </c>
      <c r="E9" s="15" t="s">
        <v>0</v>
      </c>
      <c r="F9" s="71" t="s">
        <v>160</v>
      </c>
      <c r="G9" s="71" t="s">
        <v>161</v>
      </c>
      <c r="H9" s="15" t="s">
        <v>0</v>
      </c>
      <c r="I9" s="71" t="s">
        <v>160</v>
      </c>
      <c r="J9" s="71" t="s">
        <v>161</v>
      </c>
      <c r="K9" s="15" t="s">
        <v>0</v>
      </c>
      <c r="L9" s="71" t="s">
        <v>160</v>
      </c>
      <c r="M9" s="71" t="s">
        <v>161</v>
      </c>
      <c r="N9" s="15" t="s">
        <v>0</v>
      </c>
      <c r="O9" s="71" t="s">
        <v>160</v>
      </c>
      <c r="P9" s="71" t="s">
        <v>161</v>
      </c>
      <c r="Q9" s="15" t="s">
        <v>0</v>
      </c>
      <c r="R9" s="71" t="s">
        <v>160</v>
      </c>
      <c r="S9" s="71" t="s">
        <v>161</v>
      </c>
      <c r="T9" s="15" t="s">
        <v>0</v>
      </c>
      <c r="U9" s="71" t="s">
        <v>160</v>
      </c>
      <c r="V9" s="71" t="s">
        <v>161</v>
      </c>
      <c r="W9" s="15" t="s">
        <v>0</v>
      </c>
      <c r="X9" s="71" t="s">
        <v>160</v>
      </c>
      <c r="Y9" s="71" t="s">
        <v>161</v>
      </c>
      <c r="Z9" s="15" t="s">
        <v>0</v>
      </c>
      <c r="AA9" s="71" t="s">
        <v>160</v>
      </c>
      <c r="AB9" s="71" t="s">
        <v>161</v>
      </c>
      <c r="AC9" s="15" t="s">
        <v>0</v>
      </c>
      <c r="AD9" s="71" t="s">
        <v>160</v>
      </c>
      <c r="AE9" s="71" t="s">
        <v>161</v>
      </c>
      <c r="AF9" s="15" t="s">
        <v>0</v>
      </c>
      <c r="AG9" s="71" t="s">
        <v>160</v>
      </c>
      <c r="AH9" s="71" t="s">
        <v>161</v>
      </c>
      <c r="AI9" s="15" t="s">
        <v>0</v>
      </c>
      <c r="AJ9" s="71" t="s">
        <v>160</v>
      </c>
      <c r="AK9" s="71" t="s">
        <v>161</v>
      </c>
      <c r="AL9" s="15" t="s">
        <v>0</v>
      </c>
      <c r="AM9" s="71" t="s">
        <v>160</v>
      </c>
      <c r="AN9" s="71" t="s">
        <v>161</v>
      </c>
      <c r="AO9" s="15" t="s">
        <v>0</v>
      </c>
      <c r="AP9" s="71" t="s">
        <v>160</v>
      </c>
      <c r="AQ9" s="71" t="s">
        <v>161</v>
      </c>
      <c r="AR9" s="15" t="s">
        <v>0</v>
      </c>
      <c r="AS9" s="71" t="s">
        <v>160</v>
      </c>
      <c r="AT9" s="71" t="s">
        <v>161</v>
      </c>
      <c r="AU9" s="15" t="s">
        <v>0</v>
      </c>
    </row>
    <row r="10" spans="1:49" x14ac:dyDescent="0.3">
      <c r="B10" s="16" t="s">
        <v>17</v>
      </c>
      <c r="C10" s="17">
        <f>'Dez24'!D14</f>
        <v>26904.628052</v>
      </c>
      <c r="D10" s="17">
        <f>Paralelo!D14</f>
        <v>26833.996932000002</v>
      </c>
      <c r="E10" s="17">
        <f t="shared" ref="E10:E11" si="0">D10-C10</f>
        <v>-70.631119999998191</v>
      </c>
      <c r="F10" s="17">
        <f>'Dez24'!E14</f>
        <v>13857.398217</v>
      </c>
      <c r="G10" s="17">
        <f>Paralelo!E14</f>
        <v>8842.7385169999998</v>
      </c>
      <c r="H10" s="17">
        <f t="shared" ref="H10:H11" si="1">G10-F10</f>
        <v>-5014.6597000000002</v>
      </c>
      <c r="I10" s="17">
        <f>'Dez24'!F14</f>
        <v>10225.19167</v>
      </c>
      <c r="J10" s="17">
        <f>Paralelo!F14</f>
        <v>6594.4720259999995</v>
      </c>
      <c r="K10" s="17">
        <f t="shared" ref="K10:K11" si="2">J10-I10</f>
        <v>-3630.7196440000007</v>
      </c>
      <c r="L10" s="17">
        <f>'Dez24'!G14</f>
        <v>2367.2076109999998</v>
      </c>
      <c r="M10" s="17">
        <f>Paralelo!G14</f>
        <v>1780.651243</v>
      </c>
      <c r="N10" s="17">
        <f t="shared" ref="N10:N11" si="3">M10-L10</f>
        <v>-586.55636799999979</v>
      </c>
      <c r="O10" s="17">
        <f>'Dez24'!H14</f>
        <v>188.210984</v>
      </c>
      <c r="P10" s="17">
        <f>Paralelo!H14</f>
        <v>249.815676</v>
      </c>
      <c r="Q10" s="17">
        <f t="shared" ref="Q10:Q11" si="4">P10-O10</f>
        <v>61.604692</v>
      </c>
      <c r="R10" s="17">
        <f>'Dez24'!I14</f>
        <v>1.1108199999999999</v>
      </c>
      <c r="S10" s="17">
        <f>Paralelo!I14</f>
        <v>73.330776</v>
      </c>
      <c r="T10" s="17">
        <f t="shared" ref="T10:T11" si="5">S10-R10</f>
        <v>72.219955999999996</v>
      </c>
      <c r="U10" s="17">
        <f>'Dez24'!J14</f>
        <v>1.5201309999999999</v>
      </c>
      <c r="V10" s="17">
        <f>Paralelo!J14</f>
        <v>87.354292999999998</v>
      </c>
      <c r="W10" s="17">
        <f t="shared" ref="W10:W11" si="6">V10-U10</f>
        <v>85.834161999999992</v>
      </c>
      <c r="X10" s="17">
        <f>'Dez24'!K14</f>
        <v>1671.450621</v>
      </c>
      <c r="Y10" s="17">
        <f>Paralelo!K14</f>
        <v>1745.475543</v>
      </c>
      <c r="Z10" s="17">
        <f t="shared" ref="Z10:Z11" si="7">Y10-X10</f>
        <v>74.024922000000061</v>
      </c>
      <c r="AA10" s="17">
        <f>'Dez24'!L14</f>
        <v>1784.9640039999999</v>
      </c>
      <c r="AB10" s="17">
        <f>Paralelo!L14</f>
        <v>1814.156438</v>
      </c>
      <c r="AC10" s="17">
        <f t="shared" ref="AC10:AC11" si="8">AB10-AA10</f>
        <v>29.192434000000048</v>
      </c>
      <c r="AD10" s="17">
        <f>'Dez24'!M14</f>
        <v>3299.9852810000002</v>
      </c>
      <c r="AE10" s="17">
        <f>Paralelo!M14</f>
        <v>3317.7250480000002</v>
      </c>
      <c r="AF10" s="17">
        <f t="shared" ref="AF10:AF11" si="9">AE10-AD10</f>
        <v>17.739767000000029</v>
      </c>
      <c r="AG10" s="17">
        <f>'Dez24'!N14</f>
        <v>3275.3678460000001</v>
      </c>
      <c r="AH10" s="17">
        <f>Paralelo!N14</f>
        <v>3289.722276</v>
      </c>
      <c r="AI10" s="17">
        <f t="shared" ref="AI10:AI11" si="10">AH10-AG10</f>
        <v>14.354429999999866</v>
      </c>
      <c r="AJ10" s="20">
        <f>'Dez24'!O14</f>
        <v>1823.456758</v>
      </c>
      <c r="AK10" s="20">
        <f>Paralelo!O14</f>
        <v>1832.8598530000002</v>
      </c>
      <c r="AL10" s="20">
        <f t="shared" ref="AL10:AL11" si="11">AK10-AJ10</f>
        <v>9.4030950000001212</v>
      </c>
      <c r="AM10" s="20">
        <f>'Dez24'!P14</f>
        <v>817.21932600000002</v>
      </c>
      <c r="AN10" s="20">
        <f>Paralelo!P14</f>
        <v>821.85213199999998</v>
      </c>
      <c r="AO10" s="20">
        <f t="shared" ref="AO10:AO11" si="12">AN10-AM10</f>
        <v>4.6328059999999596</v>
      </c>
      <c r="AP10" s="20">
        <f>'Dez24'!Q14</f>
        <v>2.9791750000000001</v>
      </c>
      <c r="AQ10" s="20">
        <f>Paralelo!Q14</f>
        <v>2.979174</v>
      </c>
      <c r="AR10" s="20">
        <f t="shared" ref="AR10:AR11" si="13">AQ10-AP10</f>
        <v>-1.000000000139778E-6</v>
      </c>
      <c r="AS10" s="20">
        <f>'Dez24'!R14</f>
        <v>14229.205040999999</v>
      </c>
      <c r="AT10" s="20">
        <f>Paralelo!R14</f>
        <v>14009.226467999999</v>
      </c>
      <c r="AU10" s="20">
        <f>AT10-AS10</f>
        <v>-219.97857300000032</v>
      </c>
    </row>
    <row r="11" spans="1:49" outlineLevel="1" x14ac:dyDescent="0.3">
      <c r="B11" s="18" t="s">
        <v>18</v>
      </c>
      <c r="C11" s="19">
        <f>'Dez24'!D15</f>
        <v>3564.4292249999999</v>
      </c>
      <c r="D11" s="19">
        <f>Paralelo!D15</f>
        <v>3564.42922</v>
      </c>
      <c r="E11" s="19">
        <f t="shared" si="0"/>
        <v>-4.9999998736893758E-6</v>
      </c>
      <c r="F11" s="19">
        <f>'Dez24'!E15</f>
        <v>1309.576605</v>
      </c>
      <c r="G11" s="19">
        <f>Paralelo!E15</f>
        <v>1195.7892039999999</v>
      </c>
      <c r="H11" s="19">
        <f t="shared" si="1"/>
        <v>-113.78740100000005</v>
      </c>
      <c r="I11" s="19">
        <f>'Dez24'!F15</f>
        <v>1805.1866259999999</v>
      </c>
      <c r="J11" s="19">
        <f>Paralelo!F15</f>
        <v>1697.329379</v>
      </c>
      <c r="K11" s="19">
        <f t="shared" si="2"/>
        <v>-107.85724699999992</v>
      </c>
      <c r="L11" s="19">
        <f>'Dez24'!G15</f>
        <v>215.60634300000001</v>
      </c>
      <c r="M11" s="19">
        <f>Paralelo!G15</f>
        <v>208.25164699999999</v>
      </c>
      <c r="N11" s="19">
        <f t="shared" si="3"/>
        <v>-7.3546960000000183</v>
      </c>
      <c r="O11" s="19">
        <f>'Dez24'!H15</f>
        <v>9.0199110000000005</v>
      </c>
      <c r="P11" s="19">
        <f>Paralelo!H15</f>
        <v>10.462529</v>
      </c>
      <c r="Q11" s="19">
        <f t="shared" si="4"/>
        <v>1.4426179999999995</v>
      </c>
      <c r="R11" s="19">
        <f>'Dez24'!I15</f>
        <v>1.0000000000000001E-5</v>
      </c>
      <c r="S11" s="19">
        <f>Paralelo!I15</f>
        <v>5.4134419999999999</v>
      </c>
      <c r="T11" s="19">
        <f t="shared" si="5"/>
        <v>5.4134320000000002</v>
      </c>
      <c r="U11" s="19">
        <f>'Dez24'!J15</f>
        <v>1.5201309999999999</v>
      </c>
      <c r="V11" s="19">
        <f>Paralelo!J15</f>
        <v>13.343540000000001</v>
      </c>
      <c r="W11" s="19">
        <f t="shared" si="6"/>
        <v>11.823409000000002</v>
      </c>
      <c r="X11" s="19">
        <f>'Dez24'!K15</f>
        <v>76.726506999999998</v>
      </c>
      <c r="Y11" s="19">
        <f>Paralelo!K15</f>
        <v>76.938940000000002</v>
      </c>
      <c r="Z11" s="19">
        <f t="shared" si="7"/>
        <v>0.21243300000000431</v>
      </c>
      <c r="AA11" s="19">
        <f>'Dez24'!L15</f>
        <v>162.195592</v>
      </c>
      <c r="AB11" s="19">
        <f>Paralelo!L15</f>
        <v>160.71633499999999</v>
      </c>
      <c r="AC11" s="19">
        <f t="shared" si="8"/>
        <v>-1.4792570000000183</v>
      </c>
      <c r="AD11" s="19">
        <f>'Dez24'!M15</f>
        <v>106.266201</v>
      </c>
      <c r="AE11" s="19">
        <f>Paralelo!M15</f>
        <v>107.044533</v>
      </c>
      <c r="AF11" s="19">
        <f t="shared" si="9"/>
        <v>0.77833200000000602</v>
      </c>
      <c r="AG11" s="19">
        <f>'Dez24'!N15</f>
        <v>75.884760999999997</v>
      </c>
      <c r="AH11" s="19">
        <f>Paralelo!N15</f>
        <v>76.000791000000007</v>
      </c>
      <c r="AI11" s="19">
        <f t="shared" si="10"/>
        <v>0.11603000000000918</v>
      </c>
      <c r="AJ11" s="21">
        <f>'Dez24'!O15</f>
        <v>35.911971000000001</v>
      </c>
      <c r="AK11" s="21">
        <f>Paralelo!O15</f>
        <v>36.374197000000002</v>
      </c>
      <c r="AL11" s="21">
        <f t="shared" si="11"/>
        <v>0.46222600000000114</v>
      </c>
      <c r="AM11" s="21">
        <f>'Dez24'!P15</f>
        <v>33.117263999999999</v>
      </c>
      <c r="AN11" s="21">
        <f>Paralelo!P15</f>
        <v>33.117265000000003</v>
      </c>
      <c r="AO11" s="21">
        <f t="shared" si="12"/>
        <v>1.0000000045806701E-6</v>
      </c>
      <c r="AP11" s="21">
        <f>'Dez24'!Q15</f>
        <v>0.71281399999999995</v>
      </c>
      <c r="AQ11" s="21">
        <f>Paralelo!Q15</f>
        <v>0.71281399999999995</v>
      </c>
      <c r="AR11" s="21">
        <f t="shared" si="13"/>
        <v>0</v>
      </c>
      <c r="AS11" s="21">
        <f>'Dez24'!R15</f>
        <v>3073.6141149999999</v>
      </c>
      <c r="AT11" s="21">
        <f>Paralelo!R15</f>
        <v>3073.5243449999998</v>
      </c>
      <c r="AU11" s="21">
        <f t="shared" ref="AU11" si="14">AT11-AS11</f>
        <v>-8.9770000000044092E-2</v>
      </c>
    </row>
    <row r="12" spans="1:49" outlineLevel="1" x14ac:dyDescent="0.3">
      <c r="B12" s="18" t="s">
        <v>19</v>
      </c>
      <c r="C12" s="19">
        <f>'Dez24'!D16</f>
        <v>23291.74726</v>
      </c>
      <c r="D12" s="19">
        <f>Paralelo!D16</f>
        <v>23269.567712</v>
      </c>
      <c r="E12" s="19">
        <f t="shared" ref="E12:E19" si="15">D12-C12</f>
        <v>-22.179548000000068</v>
      </c>
      <c r="F12" s="19">
        <f>'Dez24'!E16</f>
        <v>12529.955185000001</v>
      </c>
      <c r="G12" s="19">
        <f>Paralelo!E16</f>
        <v>7646.9493130000001</v>
      </c>
      <c r="H12" s="19">
        <f t="shared" ref="H12:H19" si="16">G12-F12</f>
        <v>-4883.0058720000006</v>
      </c>
      <c r="I12" s="19">
        <f>'Dez24'!F16</f>
        <v>8394.6603680000007</v>
      </c>
      <c r="J12" s="19">
        <f>Paralelo!F16</f>
        <v>4897.1426469999997</v>
      </c>
      <c r="K12" s="19">
        <f t="shared" ref="K12:K19" si="17">J12-I12</f>
        <v>-3497.5177210000011</v>
      </c>
      <c r="L12" s="19">
        <f>'Dez24'!G16</f>
        <v>2149.729104</v>
      </c>
      <c r="M12" s="19">
        <f>Paralelo!G16</f>
        <v>1572.399596</v>
      </c>
      <c r="N12" s="19">
        <f t="shared" ref="N12:N19" si="18">M12-L12</f>
        <v>-577.32950800000003</v>
      </c>
      <c r="O12" s="19">
        <f>'Dez24'!H16</f>
        <v>178.979591</v>
      </c>
      <c r="P12" s="19">
        <f>Paralelo!H16</f>
        <v>239.35314700000001</v>
      </c>
      <c r="Q12" s="19">
        <f t="shared" ref="Q12:Q19" si="19">P12-O12</f>
        <v>60.373556000000008</v>
      </c>
      <c r="R12" s="19">
        <f>'Dez24'!I16</f>
        <v>1.1108100000000001</v>
      </c>
      <c r="S12" s="19">
        <f>Paralelo!I16</f>
        <v>67.917333999999997</v>
      </c>
      <c r="T12" s="19">
        <f t="shared" ref="T12:T19" si="20">S12-R12</f>
        <v>66.806523999999996</v>
      </c>
      <c r="U12" s="19">
        <f>'Dez24'!J16</f>
        <v>0</v>
      </c>
      <c r="V12" s="19">
        <f>Paralelo!J16</f>
        <v>74.010752999999994</v>
      </c>
      <c r="W12" s="19">
        <f t="shared" ref="W12:W19" si="21">V12-U12</f>
        <v>74.010752999999994</v>
      </c>
      <c r="X12" s="19">
        <f>'Dez24'!K16</f>
        <v>1594.7241140000001</v>
      </c>
      <c r="Y12" s="19">
        <f>Paralelo!K16</f>
        <v>1668.536603</v>
      </c>
      <c r="Z12" s="59">
        <f t="shared" ref="Z12:Z18" si="22">Y12-X12</f>
        <v>73.812488999999914</v>
      </c>
      <c r="AA12" s="19">
        <f>'Dez24'!L16</f>
        <v>1622.6418289999999</v>
      </c>
      <c r="AB12" s="19">
        <f>Paralelo!L16</f>
        <v>1653.4401029999999</v>
      </c>
      <c r="AC12" s="59">
        <f t="shared" ref="AC12:AC18" si="23">AB12-AA12</f>
        <v>30.798273999999992</v>
      </c>
      <c r="AD12" s="19">
        <f>'Dez24'!M16</f>
        <v>3193.2777120000001</v>
      </c>
      <c r="AE12" s="19">
        <f>Paralelo!M16</f>
        <v>3210.680515</v>
      </c>
      <c r="AF12" s="19">
        <f t="shared" ref="AF12:AF18" si="24">AE12-AD12</f>
        <v>17.402802999999949</v>
      </c>
      <c r="AG12" s="19">
        <f>'Dez24'!N16</f>
        <v>3199.195678</v>
      </c>
      <c r="AH12" s="19">
        <f>Paralelo!N16</f>
        <v>3213.721485</v>
      </c>
      <c r="AI12" s="19">
        <f t="shared" ref="AI12:AI18" si="25">AH12-AG12</f>
        <v>14.525806999999986</v>
      </c>
      <c r="AJ12" s="21">
        <f>'Dez24'!O16</f>
        <v>1787.281853</v>
      </c>
      <c r="AK12" s="21">
        <f>Paralelo!O16</f>
        <v>1796.4856560000001</v>
      </c>
      <c r="AL12" s="21">
        <f t="shared" ref="AL12:AL18" si="26">AK12-AJ12</f>
        <v>9.2038030000001072</v>
      </c>
      <c r="AM12" s="21">
        <f>'Dez24'!P16</f>
        <v>783.44508900000005</v>
      </c>
      <c r="AN12" s="21">
        <f>Paralelo!P16</f>
        <v>788.73486700000001</v>
      </c>
      <c r="AO12" s="21">
        <f t="shared" ref="AO12:AO18" si="27">AN12-AM12</f>
        <v>5.2897779999999557</v>
      </c>
      <c r="AP12" s="21">
        <f>'Dez24'!Q16</f>
        <v>2.2663609999999998</v>
      </c>
      <c r="AQ12" s="21">
        <f>Paralelo!Q16</f>
        <v>2.2663600000000002</v>
      </c>
      <c r="AR12" s="21">
        <f t="shared" ref="AR12:AR18" si="28">AQ12-AP12</f>
        <v>-9.9999999969568876E-7</v>
      </c>
      <c r="AS12" s="21">
        <f>'Dez24'!R16</f>
        <v>11108.914623999999</v>
      </c>
      <c r="AT12" s="21">
        <f>Paralelo!R16</f>
        <v>10935.702122999999</v>
      </c>
      <c r="AU12" s="62">
        <f t="shared" ref="AU12:AU19" si="29">AT12-AS12</f>
        <v>-173.21250099999997</v>
      </c>
    </row>
    <row r="13" spans="1:49" ht="15" customHeight="1" outlineLevel="1" x14ac:dyDescent="0.3">
      <c r="B13" s="18" t="s">
        <v>20</v>
      </c>
      <c r="C13" s="19">
        <f>'Dez24'!D17</f>
        <v>48.451566999999997</v>
      </c>
      <c r="D13" s="19">
        <f>Paralelo!D17</f>
        <v>0</v>
      </c>
      <c r="E13" s="19">
        <f t="shared" si="15"/>
        <v>-48.451566999999997</v>
      </c>
      <c r="F13" s="19">
        <f>'Dez24'!E17</f>
        <v>17.866427000000002</v>
      </c>
      <c r="G13" s="19">
        <f>Paralelo!E17</f>
        <v>0</v>
      </c>
      <c r="H13" s="19">
        <f t="shared" si="16"/>
        <v>-17.866427000000002</v>
      </c>
      <c r="I13" s="19">
        <f>'Dez24'!F17</f>
        <v>25.344676</v>
      </c>
      <c r="J13" s="19">
        <f>Paralelo!F17</f>
        <v>0</v>
      </c>
      <c r="K13" s="19">
        <f t="shared" si="17"/>
        <v>-25.344676</v>
      </c>
      <c r="L13" s="19">
        <f>'Dez24'!G17</f>
        <v>1.8721639999999999</v>
      </c>
      <c r="M13" s="19">
        <f>Paralelo!G17</f>
        <v>0</v>
      </c>
      <c r="N13" s="19">
        <f t="shared" si="18"/>
        <v>-1.8721639999999999</v>
      </c>
      <c r="O13" s="19">
        <f>'Dez24'!H17</f>
        <v>0.211482</v>
      </c>
      <c r="P13" s="19">
        <f>Paralelo!H17</f>
        <v>0</v>
      </c>
      <c r="Q13" s="19">
        <f t="shared" si="19"/>
        <v>-0.211482</v>
      </c>
      <c r="R13" s="19">
        <f>'Dez24'!I17</f>
        <v>0</v>
      </c>
      <c r="S13" s="19">
        <f>Paralelo!I17</f>
        <v>0</v>
      </c>
      <c r="T13" s="19">
        <f t="shared" si="20"/>
        <v>0</v>
      </c>
      <c r="U13" s="19">
        <f>'Dez24'!J17</f>
        <v>0</v>
      </c>
      <c r="V13" s="19">
        <f>Paralelo!J17</f>
        <v>0</v>
      </c>
      <c r="W13" s="19">
        <f t="shared" si="21"/>
        <v>0</v>
      </c>
      <c r="X13" s="19">
        <f>'Dez24'!K17</f>
        <v>0</v>
      </c>
      <c r="Y13" s="19">
        <f>Paralelo!K17</f>
        <v>0</v>
      </c>
      <c r="Z13" s="19">
        <f t="shared" si="22"/>
        <v>0</v>
      </c>
      <c r="AA13" s="19">
        <f>'Dez24'!L17</f>
        <v>0.126583</v>
      </c>
      <c r="AB13" s="19">
        <f>Paralelo!L17</f>
        <v>0</v>
      </c>
      <c r="AC13" s="19">
        <f t="shared" si="23"/>
        <v>-0.126583</v>
      </c>
      <c r="AD13" s="19">
        <f>'Dez24'!M17</f>
        <v>0.44136799999999998</v>
      </c>
      <c r="AE13" s="19">
        <f>Paralelo!M17</f>
        <v>0</v>
      </c>
      <c r="AF13" s="19">
        <f t="shared" si="24"/>
        <v>-0.44136799999999998</v>
      </c>
      <c r="AG13" s="19">
        <f>'Dez24'!N17</f>
        <v>0.28740700000000002</v>
      </c>
      <c r="AH13" s="19">
        <f>Paralelo!N17</f>
        <v>0</v>
      </c>
      <c r="AI13" s="19">
        <f t="shared" si="25"/>
        <v>-0.28740700000000002</v>
      </c>
      <c r="AJ13" s="21">
        <f>'Dez24'!O17</f>
        <v>0.262934</v>
      </c>
      <c r="AK13" s="21">
        <f>Paralelo!O17</f>
        <v>0</v>
      </c>
      <c r="AL13" s="21">
        <f t="shared" si="26"/>
        <v>-0.262934</v>
      </c>
      <c r="AM13" s="21">
        <f>'Dez24'!P17</f>
        <v>0.65697300000000003</v>
      </c>
      <c r="AN13" s="21">
        <f>Paralelo!P17</f>
        <v>0</v>
      </c>
      <c r="AO13" s="21">
        <f t="shared" si="27"/>
        <v>-0.65697300000000003</v>
      </c>
      <c r="AP13" s="21">
        <f>'Dez24'!Q17</f>
        <v>0</v>
      </c>
      <c r="AQ13" s="21">
        <f>Paralelo!Q17</f>
        <v>0</v>
      </c>
      <c r="AR13" s="21">
        <f t="shared" si="28"/>
        <v>0</v>
      </c>
      <c r="AS13" s="21">
        <f>'Dez24'!R17</f>
        <v>46.676302</v>
      </c>
      <c r="AT13" s="21">
        <f>Paralelo!R17</f>
        <v>0</v>
      </c>
      <c r="AU13" s="21">
        <f t="shared" si="29"/>
        <v>-46.676302</v>
      </c>
    </row>
    <row r="14" spans="1:49" ht="15" customHeight="1" outlineLevel="1" x14ac:dyDescent="0.3">
      <c r="B14" s="18" t="s">
        <v>21</v>
      </c>
      <c r="C14" s="19">
        <f>'Dez24'!D18</f>
        <v>26640.639433</v>
      </c>
      <c r="D14" s="19">
        <f>Paralelo!D18</f>
        <v>17628.362530999999</v>
      </c>
      <c r="E14" s="59">
        <f t="shared" si="15"/>
        <v>-9012.2769020000014</v>
      </c>
      <c r="F14" s="19">
        <f>'Dez24'!E18</f>
        <v>13857.398217</v>
      </c>
      <c r="G14" s="19">
        <f>Paralelo!E18</f>
        <v>8842.7385169999998</v>
      </c>
      <c r="H14" s="59">
        <f t="shared" si="16"/>
        <v>-5014.6597000000002</v>
      </c>
      <c r="I14" s="19">
        <f>'Dez24'!F18</f>
        <v>10225.19167</v>
      </c>
      <c r="J14" s="19">
        <f>Paralelo!F18</f>
        <v>6594.4720260000004</v>
      </c>
      <c r="K14" s="59">
        <f t="shared" si="17"/>
        <v>-3630.7196439999998</v>
      </c>
      <c r="L14" s="19">
        <f>'Dez24'!G18</f>
        <v>2367.2076109999998</v>
      </c>
      <c r="M14" s="19">
        <f>Paralelo!G18</f>
        <v>1780.651243</v>
      </c>
      <c r="N14" s="19">
        <f t="shared" si="18"/>
        <v>-586.55636799999979</v>
      </c>
      <c r="O14" s="19">
        <f>'Dez24'!H18</f>
        <v>188.210984</v>
      </c>
      <c r="P14" s="19">
        <f>Paralelo!H18</f>
        <v>249.815676</v>
      </c>
      <c r="Q14" s="19">
        <f t="shared" si="19"/>
        <v>61.604692</v>
      </c>
      <c r="R14" s="19">
        <f>'Dez24'!I18</f>
        <v>1.1108199999999999</v>
      </c>
      <c r="S14" s="19">
        <f>Paralelo!I18</f>
        <v>73.330776</v>
      </c>
      <c r="T14" s="19">
        <f t="shared" si="20"/>
        <v>72.219955999999996</v>
      </c>
      <c r="U14" s="19">
        <f>'Dez24'!J18</f>
        <v>1.5201309999999999</v>
      </c>
      <c r="V14" s="19">
        <f>Paralelo!J18</f>
        <v>87.354292999999998</v>
      </c>
      <c r="W14" s="19">
        <f t="shared" si="21"/>
        <v>85.834161999999992</v>
      </c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1"/>
      <c r="AK14" s="61"/>
      <c r="AL14" s="61"/>
      <c r="AM14" s="61"/>
      <c r="AN14" s="61"/>
      <c r="AO14" s="61"/>
      <c r="AP14" s="61"/>
      <c r="AQ14" s="61"/>
      <c r="AR14" s="61"/>
      <c r="AS14" s="21">
        <f>'Dez24'!R18</f>
        <v>13965.712417999999</v>
      </c>
      <c r="AT14" s="21">
        <f>Paralelo!R18</f>
        <v>13749.273424999999</v>
      </c>
      <c r="AU14" s="62">
        <f t="shared" si="29"/>
        <v>-216.43899299999975</v>
      </c>
    </row>
    <row r="15" spans="1:49" ht="15" customHeight="1" x14ac:dyDescent="0.3">
      <c r="B15" s="44" t="s">
        <v>22</v>
      </c>
      <c r="C15" s="17">
        <f>'Dez24'!D19</f>
        <v>0</v>
      </c>
      <c r="D15" s="17">
        <f>Paralelo!D19</f>
        <v>22.179551</v>
      </c>
      <c r="E15" s="17">
        <f t="shared" si="15"/>
        <v>22.179551</v>
      </c>
      <c r="F15" s="17">
        <f>'Dez24'!E19</f>
        <v>0</v>
      </c>
      <c r="G15" s="17">
        <f>Paralelo!E19</f>
        <v>10.931941</v>
      </c>
      <c r="H15" s="17">
        <f t="shared" si="16"/>
        <v>10.931941</v>
      </c>
      <c r="I15" s="17">
        <f>'Dez24'!F19</f>
        <v>0</v>
      </c>
      <c r="J15" s="17">
        <f>Paralelo!F19</f>
        <v>3.5176050000000001</v>
      </c>
      <c r="K15" s="17">
        <f t="shared" si="17"/>
        <v>3.5176050000000001</v>
      </c>
      <c r="L15" s="17">
        <f>'Dez24'!G19</f>
        <v>0</v>
      </c>
      <c r="M15" s="17">
        <f>Paralelo!G19</f>
        <v>2.4192399999999998</v>
      </c>
      <c r="N15" s="17">
        <f t="shared" si="18"/>
        <v>2.4192399999999998</v>
      </c>
      <c r="O15" s="17">
        <f>'Dez24'!H19</f>
        <v>0</v>
      </c>
      <c r="P15" s="17">
        <f>Paralelo!H19</f>
        <v>0.94138900000000003</v>
      </c>
      <c r="Q15" s="17">
        <f t="shared" si="19"/>
        <v>0.94138900000000003</v>
      </c>
      <c r="R15" s="17">
        <f>'Dez24'!I19</f>
        <v>0</v>
      </c>
      <c r="S15" s="17">
        <f>Paralelo!I19</f>
        <v>0.43797399999999997</v>
      </c>
      <c r="T15" s="17">
        <f t="shared" si="20"/>
        <v>0.43797399999999997</v>
      </c>
      <c r="U15" s="17">
        <f>'Dez24'!J19</f>
        <v>0</v>
      </c>
      <c r="V15" s="17">
        <f>Paralelo!J19</f>
        <v>0.135323</v>
      </c>
      <c r="W15" s="17">
        <f t="shared" si="21"/>
        <v>0.135323</v>
      </c>
      <c r="X15" s="17">
        <f>'Dez24'!K19</f>
        <v>0</v>
      </c>
      <c r="Y15" s="17">
        <f>Paralelo!K19</f>
        <v>3.0636899999999998</v>
      </c>
      <c r="Z15" s="17">
        <f t="shared" si="22"/>
        <v>3.0636899999999998</v>
      </c>
      <c r="AA15" s="17">
        <f>'Dez24'!L19</f>
        <v>0</v>
      </c>
      <c r="AB15" s="17">
        <f>Paralelo!L19</f>
        <v>7.0418390000000004</v>
      </c>
      <c r="AC15" s="17">
        <f t="shared" si="23"/>
        <v>7.0418390000000004</v>
      </c>
      <c r="AD15" s="17">
        <f>'Dez24'!M19</f>
        <v>0</v>
      </c>
      <c r="AE15" s="17">
        <f>Paralelo!M19</f>
        <v>2.3548830000000001</v>
      </c>
      <c r="AF15" s="17">
        <f t="shared" si="24"/>
        <v>2.3548830000000001</v>
      </c>
      <c r="AG15" s="17">
        <f>'Dez24'!N19</f>
        <v>0</v>
      </c>
      <c r="AH15" s="17">
        <f>Paralelo!N19</f>
        <v>2.1034470000000001</v>
      </c>
      <c r="AI15" s="17">
        <f t="shared" si="25"/>
        <v>2.1034470000000001</v>
      </c>
      <c r="AJ15" s="20">
        <f>'Dez24'!O19</f>
        <v>0</v>
      </c>
      <c r="AK15" s="20">
        <f>Paralelo!O19</f>
        <v>2.3693080000000002</v>
      </c>
      <c r="AL15" s="20">
        <f t="shared" si="26"/>
        <v>2.3693080000000002</v>
      </c>
      <c r="AM15" s="20">
        <f>'Dez24'!P19</f>
        <v>0</v>
      </c>
      <c r="AN15" s="20">
        <f>Paralelo!P19</f>
        <v>1.2256819999999999</v>
      </c>
      <c r="AO15" s="20">
        <f t="shared" si="27"/>
        <v>1.2256819999999999</v>
      </c>
      <c r="AP15" s="20">
        <f>'Dez24'!Q19</f>
        <v>0</v>
      </c>
      <c r="AQ15" s="20">
        <f>Paralelo!Q19</f>
        <v>0</v>
      </c>
      <c r="AR15" s="20">
        <f t="shared" si="28"/>
        <v>0</v>
      </c>
      <c r="AS15" s="20">
        <f>'Dez24'!R19</f>
        <v>0</v>
      </c>
      <c r="AT15" s="20">
        <f>Paralelo!R19</f>
        <v>4.020702</v>
      </c>
      <c r="AU15" s="20">
        <f t="shared" si="29"/>
        <v>4.020702</v>
      </c>
    </row>
    <row r="16" spans="1:49" ht="15" customHeight="1" outlineLevel="1" x14ac:dyDescent="0.3">
      <c r="B16" s="18" t="s">
        <v>18</v>
      </c>
      <c r="C16" s="19">
        <f>'Dez24'!D20</f>
        <v>0</v>
      </c>
      <c r="D16" s="19">
        <f>Paralelo!D20</f>
        <v>0</v>
      </c>
      <c r="E16" s="19">
        <f t="shared" si="15"/>
        <v>0</v>
      </c>
      <c r="F16" s="19">
        <f>'Dez24'!E20</f>
        <v>0</v>
      </c>
      <c r="G16" s="19">
        <f>Paralelo!E20</f>
        <v>0</v>
      </c>
      <c r="H16" s="19">
        <f t="shared" si="16"/>
        <v>0</v>
      </c>
      <c r="I16" s="19">
        <f>'Dez24'!F20</f>
        <v>0</v>
      </c>
      <c r="J16" s="19">
        <f>Paralelo!F20</f>
        <v>0</v>
      </c>
      <c r="K16" s="19">
        <f t="shared" si="17"/>
        <v>0</v>
      </c>
      <c r="L16" s="19">
        <f>'Dez24'!G20</f>
        <v>0</v>
      </c>
      <c r="M16" s="19">
        <f>Paralelo!G20</f>
        <v>0</v>
      </c>
      <c r="N16" s="19">
        <f t="shared" si="18"/>
        <v>0</v>
      </c>
      <c r="O16" s="19">
        <f>'Dez24'!H20</f>
        <v>0</v>
      </c>
      <c r="P16" s="19">
        <f>Paralelo!H20</f>
        <v>0</v>
      </c>
      <c r="Q16" s="19">
        <f t="shared" si="19"/>
        <v>0</v>
      </c>
      <c r="R16" s="19">
        <f>'Dez24'!I20</f>
        <v>0</v>
      </c>
      <c r="S16" s="19">
        <f>Paralelo!I20</f>
        <v>0</v>
      </c>
      <c r="T16" s="19">
        <f t="shared" si="20"/>
        <v>0</v>
      </c>
      <c r="U16" s="19">
        <f>'Dez24'!J20</f>
        <v>0</v>
      </c>
      <c r="V16" s="19">
        <f>Paralelo!J20</f>
        <v>0</v>
      </c>
      <c r="W16" s="19">
        <f t="shared" si="21"/>
        <v>0</v>
      </c>
      <c r="X16" s="19">
        <f>'Dez24'!K20</f>
        <v>0</v>
      </c>
      <c r="Y16" s="19">
        <f>Paralelo!K20</f>
        <v>0</v>
      </c>
      <c r="Z16" s="19">
        <f t="shared" si="22"/>
        <v>0</v>
      </c>
      <c r="AA16" s="19">
        <f>'Dez24'!L20</f>
        <v>0</v>
      </c>
      <c r="AB16" s="19">
        <f>Paralelo!L20</f>
        <v>0</v>
      </c>
      <c r="AC16" s="19">
        <f t="shared" si="23"/>
        <v>0</v>
      </c>
      <c r="AD16" s="19">
        <f>'Dez24'!M20</f>
        <v>0</v>
      </c>
      <c r="AE16" s="19">
        <f>Paralelo!M20</f>
        <v>0</v>
      </c>
      <c r="AF16" s="19">
        <f t="shared" si="24"/>
        <v>0</v>
      </c>
      <c r="AG16" s="19">
        <f>'Dez24'!N20</f>
        <v>0</v>
      </c>
      <c r="AH16" s="19">
        <f>Paralelo!N20</f>
        <v>0</v>
      </c>
      <c r="AI16" s="19">
        <f t="shared" si="25"/>
        <v>0</v>
      </c>
      <c r="AJ16" s="21">
        <f>'Dez24'!O20</f>
        <v>0</v>
      </c>
      <c r="AK16" s="21">
        <f>Paralelo!O20</f>
        <v>0</v>
      </c>
      <c r="AL16" s="21">
        <f t="shared" si="26"/>
        <v>0</v>
      </c>
      <c r="AM16" s="21">
        <f>'Dez24'!P20</f>
        <v>0</v>
      </c>
      <c r="AN16" s="21">
        <f>Paralelo!P20</f>
        <v>0</v>
      </c>
      <c r="AO16" s="21">
        <f t="shared" si="27"/>
        <v>0</v>
      </c>
      <c r="AP16" s="21">
        <f>'Dez24'!Q20</f>
        <v>0</v>
      </c>
      <c r="AQ16" s="21">
        <f>Paralelo!Q20</f>
        <v>0</v>
      </c>
      <c r="AR16" s="21">
        <f t="shared" si="28"/>
        <v>0</v>
      </c>
      <c r="AS16" s="21">
        <f>'Dez24'!R20</f>
        <v>0</v>
      </c>
      <c r="AT16" s="21">
        <f>Paralelo!R20</f>
        <v>0</v>
      </c>
      <c r="AU16" s="21">
        <f t="shared" si="29"/>
        <v>0</v>
      </c>
    </row>
    <row r="17" spans="2:47" ht="15" customHeight="1" outlineLevel="1" x14ac:dyDescent="0.3">
      <c r="B17" s="18" t="s">
        <v>19</v>
      </c>
      <c r="C17" s="19">
        <f>'Dez24'!D21</f>
        <v>0</v>
      </c>
      <c r="D17" s="19">
        <f>Paralelo!D21</f>
        <v>22.179551</v>
      </c>
      <c r="E17" s="19">
        <f t="shared" si="15"/>
        <v>22.179551</v>
      </c>
      <c r="F17" s="19">
        <f>'Dez24'!E21</f>
        <v>0</v>
      </c>
      <c r="G17" s="19">
        <f>Paralelo!E21</f>
        <v>10.931941</v>
      </c>
      <c r="H17" s="19">
        <f t="shared" si="16"/>
        <v>10.931941</v>
      </c>
      <c r="I17" s="19">
        <f>'Dez24'!F21</f>
        <v>0</v>
      </c>
      <c r="J17" s="19">
        <f>Paralelo!F21</f>
        <v>3.5176050000000001</v>
      </c>
      <c r="K17" s="19">
        <f t="shared" si="17"/>
        <v>3.5176050000000001</v>
      </c>
      <c r="L17" s="19">
        <f>'Dez24'!G21</f>
        <v>0</v>
      </c>
      <c r="M17" s="19">
        <f>Paralelo!G21</f>
        <v>2.4192399999999998</v>
      </c>
      <c r="N17" s="19">
        <f t="shared" si="18"/>
        <v>2.4192399999999998</v>
      </c>
      <c r="O17" s="19">
        <f>'Dez24'!H21</f>
        <v>0</v>
      </c>
      <c r="P17" s="19">
        <f>Paralelo!H21</f>
        <v>0.94138900000000003</v>
      </c>
      <c r="Q17" s="19">
        <f t="shared" si="19"/>
        <v>0.94138900000000003</v>
      </c>
      <c r="R17" s="19">
        <f>'Dez24'!I21</f>
        <v>0</v>
      </c>
      <c r="S17" s="19">
        <f>Paralelo!I21</f>
        <v>0.43797399999999997</v>
      </c>
      <c r="T17" s="19">
        <f t="shared" si="20"/>
        <v>0.43797399999999997</v>
      </c>
      <c r="U17" s="19">
        <f>'Dez24'!J21</f>
        <v>0</v>
      </c>
      <c r="V17" s="19">
        <f>Paralelo!J21</f>
        <v>0.135323</v>
      </c>
      <c r="W17" s="19">
        <f t="shared" si="21"/>
        <v>0.135323</v>
      </c>
      <c r="X17" s="19">
        <f>'Dez24'!K21</f>
        <v>0</v>
      </c>
      <c r="Y17" s="19">
        <f>Paralelo!K21</f>
        <v>3.0636899999999998</v>
      </c>
      <c r="Z17" s="19">
        <f t="shared" si="22"/>
        <v>3.0636899999999998</v>
      </c>
      <c r="AA17" s="19">
        <f>'Dez24'!L21</f>
        <v>0</v>
      </c>
      <c r="AB17" s="19">
        <f>Paralelo!L21</f>
        <v>7.0418390000000004</v>
      </c>
      <c r="AC17" s="19">
        <f t="shared" si="23"/>
        <v>7.0418390000000004</v>
      </c>
      <c r="AD17" s="19">
        <f>'Dez24'!M21</f>
        <v>0</v>
      </c>
      <c r="AE17" s="19">
        <f>Paralelo!M21</f>
        <v>2.3548830000000001</v>
      </c>
      <c r="AF17" s="19">
        <f t="shared" si="24"/>
        <v>2.3548830000000001</v>
      </c>
      <c r="AG17" s="19">
        <f>'Dez24'!N21</f>
        <v>0</v>
      </c>
      <c r="AH17" s="19">
        <f>Paralelo!N21</f>
        <v>2.1034470000000001</v>
      </c>
      <c r="AI17" s="19">
        <f t="shared" si="25"/>
        <v>2.1034470000000001</v>
      </c>
      <c r="AJ17" s="21">
        <f>'Dez24'!O21</f>
        <v>0</v>
      </c>
      <c r="AK17" s="21">
        <f>Paralelo!O21</f>
        <v>2.3693080000000002</v>
      </c>
      <c r="AL17" s="21">
        <f t="shared" si="26"/>
        <v>2.3693080000000002</v>
      </c>
      <c r="AM17" s="21">
        <f>'Dez24'!P21</f>
        <v>0</v>
      </c>
      <c r="AN17" s="21">
        <f>Paralelo!P21</f>
        <v>1.2256819999999999</v>
      </c>
      <c r="AO17" s="21">
        <f t="shared" si="27"/>
        <v>1.2256819999999999</v>
      </c>
      <c r="AP17" s="21">
        <f>'Dez24'!Q21</f>
        <v>0</v>
      </c>
      <c r="AQ17" s="21">
        <f>Paralelo!Q21</f>
        <v>0</v>
      </c>
      <c r="AR17" s="21">
        <f t="shared" si="28"/>
        <v>0</v>
      </c>
      <c r="AS17" s="21">
        <f>'Dez24'!R21</f>
        <v>0</v>
      </c>
      <c r="AT17" s="21">
        <f>Paralelo!R21</f>
        <v>4.020702</v>
      </c>
      <c r="AU17" s="21">
        <f t="shared" si="29"/>
        <v>4.020702</v>
      </c>
    </row>
    <row r="18" spans="2:47" ht="15" customHeight="1" outlineLevel="1" x14ac:dyDescent="0.3">
      <c r="B18" s="18" t="s">
        <v>20</v>
      </c>
      <c r="C18" s="19">
        <f>'Dez24'!D22</f>
        <v>0</v>
      </c>
      <c r="D18" s="19">
        <f>Paralelo!D22</f>
        <v>0</v>
      </c>
      <c r="E18" s="19">
        <f t="shared" si="15"/>
        <v>0</v>
      </c>
      <c r="F18" s="19">
        <f>'Dez24'!E22</f>
        <v>0</v>
      </c>
      <c r="G18" s="19">
        <f>Paralelo!E22</f>
        <v>0</v>
      </c>
      <c r="H18" s="19">
        <f t="shared" si="16"/>
        <v>0</v>
      </c>
      <c r="I18" s="19">
        <f>'Dez24'!F22</f>
        <v>0</v>
      </c>
      <c r="J18" s="19">
        <f>Paralelo!F22</f>
        <v>0</v>
      </c>
      <c r="K18" s="19">
        <f t="shared" si="17"/>
        <v>0</v>
      </c>
      <c r="L18" s="19">
        <f>'Dez24'!G22</f>
        <v>0</v>
      </c>
      <c r="M18" s="19">
        <f>Paralelo!G22</f>
        <v>0</v>
      </c>
      <c r="N18" s="19">
        <f t="shared" si="18"/>
        <v>0</v>
      </c>
      <c r="O18" s="19">
        <f>'Dez24'!H22</f>
        <v>0</v>
      </c>
      <c r="P18" s="19">
        <f>Paralelo!H22</f>
        <v>0</v>
      </c>
      <c r="Q18" s="19">
        <f t="shared" si="19"/>
        <v>0</v>
      </c>
      <c r="R18" s="19">
        <f>'Dez24'!I22</f>
        <v>0</v>
      </c>
      <c r="S18" s="19">
        <f>Paralelo!I22</f>
        <v>0</v>
      </c>
      <c r="T18" s="19">
        <f t="shared" si="20"/>
        <v>0</v>
      </c>
      <c r="U18" s="19">
        <f>'Dez24'!J22</f>
        <v>0</v>
      </c>
      <c r="V18" s="19">
        <f>Paralelo!J22</f>
        <v>0</v>
      </c>
      <c r="W18" s="19">
        <f t="shared" si="21"/>
        <v>0</v>
      </c>
      <c r="X18" s="19">
        <f>'Dez24'!K22</f>
        <v>0</v>
      </c>
      <c r="Y18" s="19">
        <f>Paralelo!K22</f>
        <v>0</v>
      </c>
      <c r="Z18" s="19">
        <f t="shared" si="22"/>
        <v>0</v>
      </c>
      <c r="AA18" s="19">
        <f>'Dez24'!L22</f>
        <v>0</v>
      </c>
      <c r="AB18" s="19">
        <f>Paralelo!L22</f>
        <v>0</v>
      </c>
      <c r="AC18" s="19">
        <f t="shared" si="23"/>
        <v>0</v>
      </c>
      <c r="AD18" s="19">
        <f>'Dez24'!M22</f>
        <v>0</v>
      </c>
      <c r="AE18" s="19">
        <f>Paralelo!M22</f>
        <v>0</v>
      </c>
      <c r="AF18" s="19">
        <f t="shared" si="24"/>
        <v>0</v>
      </c>
      <c r="AG18" s="19">
        <f>'Dez24'!N22</f>
        <v>0</v>
      </c>
      <c r="AH18" s="19">
        <f>Paralelo!N22</f>
        <v>0</v>
      </c>
      <c r="AI18" s="19">
        <f t="shared" si="25"/>
        <v>0</v>
      </c>
      <c r="AJ18" s="21">
        <f>'Dez24'!O22</f>
        <v>0</v>
      </c>
      <c r="AK18" s="21">
        <f>Paralelo!O22</f>
        <v>0</v>
      </c>
      <c r="AL18" s="21">
        <f t="shared" si="26"/>
        <v>0</v>
      </c>
      <c r="AM18" s="21">
        <f>'Dez24'!P22</f>
        <v>0</v>
      </c>
      <c r="AN18" s="21">
        <f>Paralelo!P22</f>
        <v>0</v>
      </c>
      <c r="AO18" s="21">
        <f t="shared" si="27"/>
        <v>0</v>
      </c>
      <c r="AP18" s="21">
        <f>'Dez24'!Q22</f>
        <v>0</v>
      </c>
      <c r="AQ18" s="21">
        <f>Paralelo!Q22</f>
        <v>0</v>
      </c>
      <c r="AR18" s="21">
        <f t="shared" si="28"/>
        <v>0</v>
      </c>
      <c r="AS18" s="21">
        <f>'Dez24'!R22</f>
        <v>0</v>
      </c>
      <c r="AT18" s="21">
        <f>Paralelo!R22</f>
        <v>0</v>
      </c>
      <c r="AU18" s="21">
        <f t="shared" si="29"/>
        <v>0</v>
      </c>
    </row>
    <row r="19" spans="2:47" outlineLevel="1" x14ac:dyDescent="0.3">
      <c r="B19" s="18" t="s">
        <v>21</v>
      </c>
      <c r="C19" s="19">
        <f>'Dez24'!D23</f>
        <v>0</v>
      </c>
      <c r="D19" s="19">
        <f>Paralelo!D23</f>
        <v>18.383472000000001</v>
      </c>
      <c r="E19" s="19">
        <f t="shared" si="15"/>
        <v>18.383472000000001</v>
      </c>
      <c r="F19" s="19">
        <f>'Dez24'!E23</f>
        <v>0</v>
      </c>
      <c r="G19" s="19">
        <f>Paralelo!E23</f>
        <v>10.931941</v>
      </c>
      <c r="H19" s="19">
        <f t="shared" si="16"/>
        <v>10.931941</v>
      </c>
      <c r="I19" s="19">
        <f>'Dez24'!F23</f>
        <v>0</v>
      </c>
      <c r="J19" s="19">
        <f>Paralelo!F23</f>
        <v>3.5176050000000001</v>
      </c>
      <c r="K19" s="19">
        <f t="shared" si="17"/>
        <v>3.5176050000000001</v>
      </c>
      <c r="L19" s="19">
        <f>'Dez24'!G23</f>
        <v>0</v>
      </c>
      <c r="M19" s="19">
        <f>Paralelo!G23</f>
        <v>2.4192399999999998</v>
      </c>
      <c r="N19" s="19">
        <f t="shared" si="18"/>
        <v>2.4192399999999998</v>
      </c>
      <c r="O19" s="19">
        <f>'Dez24'!H23</f>
        <v>0</v>
      </c>
      <c r="P19" s="19">
        <f>Paralelo!H23</f>
        <v>0.94138900000000003</v>
      </c>
      <c r="Q19" s="19">
        <f t="shared" si="19"/>
        <v>0.94138900000000003</v>
      </c>
      <c r="R19" s="19">
        <f>'Dez24'!I23</f>
        <v>0</v>
      </c>
      <c r="S19" s="19">
        <f>Paralelo!I23</f>
        <v>0.43797399999999997</v>
      </c>
      <c r="T19" s="19">
        <f t="shared" si="20"/>
        <v>0.43797399999999997</v>
      </c>
      <c r="U19" s="19">
        <f>'Dez24'!J23</f>
        <v>0</v>
      </c>
      <c r="V19" s="19">
        <f>Paralelo!J23</f>
        <v>0.135323</v>
      </c>
      <c r="W19" s="19">
        <f t="shared" si="21"/>
        <v>0.135323</v>
      </c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1"/>
      <c r="AK19" s="61"/>
      <c r="AL19" s="61"/>
      <c r="AM19" s="61"/>
      <c r="AN19" s="61"/>
      <c r="AO19" s="61"/>
      <c r="AP19" s="61"/>
      <c r="AQ19" s="61"/>
      <c r="AR19" s="61"/>
      <c r="AS19" s="21">
        <f>'Dez24'!R23</f>
        <v>0</v>
      </c>
      <c r="AT19" s="21">
        <f>Paralelo!R23</f>
        <v>2.3466100000000001</v>
      </c>
      <c r="AU19" s="21">
        <f t="shared" si="29"/>
        <v>2.3466100000000001</v>
      </c>
    </row>
    <row r="20" spans="2:47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H66"/>
  <sheetViews>
    <sheetView showGridLines="0" zoomScaleNormal="100" workbookViewId="0">
      <pane xSplit="2" topLeftCell="C1" activePane="topRight" state="frozen"/>
      <selection pane="topRight" activeCell="C1" sqref="C1"/>
    </sheetView>
  </sheetViews>
  <sheetFormatPr defaultColWidth="0" defaultRowHeight="15" customHeight="1" zeroHeight="1" outlineLevelRow="1" x14ac:dyDescent="0.3"/>
  <cols>
    <col min="1" max="1" width="3.6640625" customWidth="1"/>
    <col min="2" max="2" width="83.6640625" customWidth="1"/>
    <col min="3" max="77" width="10.6640625" customWidth="1"/>
    <col min="78" max="78" width="2.6640625" customWidth="1"/>
    <col min="79" max="79" width="3.6640625" customWidth="1"/>
    <col min="80" max="86" width="9.109375" hidden="1"/>
  </cols>
  <sheetData>
    <row r="1" spans="1:7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 spans="1:7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9" ht="14.4" x14ac:dyDescent="0.3"/>
    <row r="8" spans="1:79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6" t="s">
        <v>3</v>
      </c>
      <c r="N8" s="6"/>
      <c r="O8" s="7"/>
      <c r="P8" s="7"/>
      <c r="Q8" s="7"/>
      <c r="R8" s="6" t="s">
        <v>4</v>
      </c>
      <c r="S8" s="6"/>
      <c r="T8" s="7"/>
      <c r="U8" s="7"/>
      <c r="V8" s="7"/>
      <c r="W8" s="6" t="s">
        <v>5</v>
      </c>
      <c r="X8" s="6"/>
      <c r="Y8" s="7"/>
      <c r="Z8" s="7"/>
      <c r="AA8" s="7"/>
      <c r="AB8" s="6" t="s">
        <v>6</v>
      </c>
      <c r="AC8" s="6"/>
      <c r="AD8" s="7"/>
      <c r="AE8" s="7"/>
      <c r="AF8" s="7"/>
      <c r="AG8" s="6" t="s">
        <v>7</v>
      </c>
      <c r="AH8" s="6"/>
      <c r="AI8" s="7"/>
      <c r="AJ8" s="7"/>
      <c r="AK8" s="7"/>
      <c r="AL8" s="6" t="s">
        <v>8</v>
      </c>
      <c r="AM8" s="6"/>
      <c r="AN8" s="7"/>
      <c r="AO8" s="7"/>
      <c r="AP8" s="7"/>
      <c r="AQ8" s="6" t="s">
        <v>9</v>
      </c>
      <c r="AR8" s="6"/>
      <c r="AS8" s="7"/>
      <c r="AT8" s="7"/>
      <c r="AU8" s="7"/>
      <c r="AV8" s="6" t="s">
        <v>10</v>
      </c>
      <c r="AW8" s="6"/>
      <c r="AX8" s="7"/>
      <c r="AY8" s="7"/>
      <c r="AZ8" s="7"/>
      <c r="BA8" s="6" t="s">
        <v>11</v>
      </c>
      <c r="BB8" s="6"/>
      <c r="BC8" s="7"/>
      <c r="BD8" s="7"/>
      <c r="BE8" s="7"/>
      <c r="BF8" s="6" t="s">
        <v>12</v>
      </c>
      <c r="BG8" s="6"/>
      <c r="BH8" s="7"/>
      <c r="BI8" s="7"/>
      <c r="BJ8" s="7"/>
      <c r="BK8" s="6" t="s">
        <v>13</v>
      </c>
      <c r="BL8" s="6"/>
      <c r="BM8" s="7"/>
      <c r="BN8" s="7"/>
      <c r="BO8" s="7"/>
      <c r="BP8" s="6" t="s">
        <v>14</v>
      </c>
      <c r="BQ8" s="6"/>
      <c r="BR8" s="7"/>
      <c r="BS8" s="7"/>
      <c r="BT8" s="7"/>
      <c r="BU8" s="6" t="s">
        <v>15</v>
      </c>
      <c r="BV8" s="6"/>
      <c r="BW8" s="7"/>
      <c r="BX8" s="7"/>
      <c r="BY8" s="7"/>
    </row>
    <row r="9" spans="1:79" ht="14.4" x14ac:dyDescent="0.3">
      <c r="B9" s="5"/>
      <c r="C9" s="71" t="s">
        <v>160</v>
      </c>
      <c r="D9" s="71" t="s">
        <v>162</v>
      </c>
      <c r="E9" s="71" t="s">
        <v>161</v>
      </c>
      <c r="F9" s="71" t="s">
        <v>163</v>
      </c>
      <c r="G9" s="15" t="s">
        <v>16</v>
      </c>
      <c r="H9" s="71" t="s">
        <v>160</v>
      </c>
      <c r="I9" s="71" t="s">
        <v>162</v>
      </c>
      <c r="J9" s="71" t="s">
        <v>161</v>
      </c>
      <c r="K9" s="71" t="s">
        <v>163</v>
      </c>
      <c r="L9" s="15" t="s">
        <v>16</v>
      </c>
      <c r="M9" s="71" t="s">
        <v>160</v>
      </c>
      <c r="N9" s="71" t="s">
        <v>162</v>
      </c>
      <c r="O9" s="71" t="s">
        <v>161</v>
      </c>
      <c r="P9" s="71" t="s">
        <v>163</v>
      </c>
      <c r="Q9" s="15" t="s">
        <v>16</v>
      </c>
      <c r="R9" s="71" t="s">
        <v>160</v>
      </c>
      <c r="S9" s="71" t="s">
        <v>162</v>
      </c>
      <c r="T9" s="71" t="s">
        <v>161</v>
      </c>
      <c r="U9" s="71" t="s">
        <v>163</v>
      </c>
      <c r="V9" s="15" t="s">
        <v>16</v>
      </c>
      <c r="W9" s="71" t="s">
        <v>160</v>
      </c>
      <c r="X9" s="71" t="s">
        <v>162</v>
      </c>
      <c r="Y9" s="71" t="s">
        <v>161</v>
      </c>
      <c r="Z9" s="71" t="s">
        <v>163</v>
      </c>
      <c r="AA9" s="15" t="s">
        <v>16</v>
      </c>
      <c r="AB9" s="71" t="s">
        <v>160</v>
      </c>
      <c r="AC9" s="71" t="s">
        <v>162</v>
      </c>
      <c r="AD9" s="71" t="s">
        <v>161</v>
      </c>
      <c r="AE9" s="71" t="s">
        <v>163</v>
      </c>
      <c r="AF9" s="15" t="s">
        <v>16</v>
      </c>
      <c r="AG9" s="71" t="s">
        <v>160</v>
      </c>
      <c r="AH9" s="71" t="s">
        <v>162</v>
      </c>
      <c r="AI9" s="71" t="s">
        <v>161</v>
      </c>
      <c r="AJ9" s="71" t="s">
        <v>163</v>
      </c>
      <c r="AK9" s="15" t="s">
        <v>16</v>
      </c>
      <c r="AL9" s="71" t="s">
        <v>160</v>
      </c>
      <c r="AM9" s="71" t="s">
        <v>162</v>
      </c>
      <c r="AN9" s="71" t="s">
        <v>161</v>
      </c>
      <c r="AO9" s="71" t="s">
        <v>163</v>
      </c>
      <c r="AP9" s="15" t="s">
        <v>16</v>
      </c>
      <c r="AQ9" s="71" t="s">
        <v>160</v>
      </c>
      <c r="AR9" s="71" t="s">
        <v>162</v>
      </c>
      <c r="AS9" s="71" t="s">
        <v>161</v>
      </c>
      <c r="AT9" s="71" t="s">
        <v>163</v>
      </c>
      <c r="AU9" s="15" t="s">
        <v>16</v>
      </c>
      <c r="AV9" s="71" t="s">
        <v>160</v>
      </c>
      <c r="AW9" s="71" t="s">
        <v>162</v>
      </c>
      <c r="AX9" s="71" t="s">
        <v>161</v>
      </c>
      <c r="AY9" s="71" t="s">
        <v>163</v>
      </c>
      <c r="AZ9" s="15" t="s">
        <v>16</v>
      </c>
      <c r="BA9" s="71" t="s">
        <v>160</v>
      </c>
      <c r="BB9" s="71" t="s">
        <v>162</v>
      </c>
      <c r="BC9" s="71" t="s">
        <v>161</v>
      </c>
      <c r="BD9" s="71" t="s">
        <v>163</v>
      </c>
      <c r="BE9" s="15" t="s">
        <v>16</v>
      </c>
      <c r="BF9" s="71" t="s">
        <v>160</v>
      </c>
      <c r="BG9" s="71" t="s">
        <v>162</v>
      </c>
      <c r="BH9" s="71" t="s">
        <v>161</v>
      </c>
      <c r="BI9" s="71" t="s">
        <v>163</v>
      </c>
      <c r="BJ9" s="15" t="s">
        <v>16</v>
      </c>
      <c r="BK9" s="71" t="s">
        <v>160</v>
      </c>
      <c r="BL9" s="71" t="s">
        <v>162</v>
      </c>
      <c r="BM9" s="71" t="s">
        <v>161</v>
      </c>
      <c r="BN9" s="71" t="s">
        <v>163</v>
      </c>
      <c r="BO9" s="15" t="s">
        <v>16</v>
      </c>
      <c r="BP9" s="71" t="s">
        <v>160</v>
      </c>
      <c r="BQ9" s="71" t="s">
        <v>162</v>
      </c>
      <c r="BR9" s="71" t="s">
        <v>161</v>
      </c>
      <c r="BS9" s="71" t="s">
        <v>163</v>
      </c>
      <c r="BT9" s="15" t="s">
        <v>16</v>
      </c>
      <c r="BU9" s="71" t="s">
        <v>160</v>
      </c>
      <c r="BV9" s="71" t="s">
        <v>162</v>
      </c>
      <c r="BW9" s="71" t="s">
        <v>161</v>
      </c>
      <c r="BX9" s="71" t="s">
        <v>163</v>
      </c>
      <c r="BY9" s="15" t="s">
        <v>16</v>
      </c>
    </row>
    <row r="10" spans="1:79" ht="14.4" x14ac:dyDescent="0.3">
      <c r="B10" s="16" t="s">
        <v>17</v>
      </c>
      <c r="C10" s="17">
        <f>'Dez24'!D14</f>
        <v>26904.628052</v>
      </c>
      <c r="D10" s="38"/>
      <c r="E10" s="17">
        <f>Paralelo!D14</f>
        <v>26833.996932000002</v>
      </c>
      <c r="F10" s="38"/>
      <c r="G10" s="17"/>
      <c r="H10" s="17">
        <f>'Dez24'!E14</f>
        <v>13857.398217</v>
      </c>
      <c r="I10" s="38"/>
      <c r="J10" s="17">
        <f>Paralelo!E14</f>
        <v>8842.7385169999998</v>
      </c>
      <c r="K10" s="38"/>
      <c r="L10" s="17"/>
      <c r="M10" s="17">
        <f>'Dez24'!F14</f>
        <v>10225.19167</v>
      </c>
      <c r="N10" s="38"/>
      <c r="O10" s="17">
        <f>Paralelo!F14</f>
        <v>6594.4720259999995</v>
      </c>
      <c r="P10" s="38"/>
      <c r="Q10" s="17"/>
      <c r="R10" s="17">
        <f>'Dez24'!G14</f>
        <v>2367.2076109999998</v>
      </c>
      <c r="S10" s="38"/>
      <c r="T10" s="17">
        <f>Paralelo!G14</f>
        <v>1780.651243</v>
      </c>
      <c r="U10" s="38"/>
      <c r="V10" s="17"/>
      <c r="W10" s="17">
        <f>'Dez24'!H14</f>
        <v>188.210984</v>
      </c>
      <c r="X10" s="38"/>
      <c r="Y10" s="17">
        <f>Paralelo!H14</f>
        <v>249.815676</v>
      </c>
      <c r="Z10" s="38"/>
      <c r="AA10" s="17"/>
      <c r="AB10" s="17">
        <f>'Dez24'!I14</f>
        <v>1.1108199999999999</v>
      </c>
      <c r="AC10" s="38"/>
      <c r="AD10" s="17">
        <f>Paralelo!I14</f>
        <v>73.330776</v>
      </c>
      <c r="AE10" s="38"/>
      <c r="AF10" s="17"/>
      <c r="AG10" s="17">
        <f>'Dez24'!J14</f>
        <v>1.5201309999999999</v>
      </c>
      <c r="AH10" s="38"/>
      <c r="AI10" s="17">
        <f>Paralelo!J14</f>
        <v>87.354292999999998</v>
      </c>
      <c r="AJ10" s="38"/>
      <c r="AK10" s="17"/>
      <c r="AL10" s="17">
        <f>'Dez24'!K14</f>
        <v>1671.450621</v>
      </c>
      <c r="AM10" s="38"/>
      <c r="AN10" s="17">
        <f>Paralelo!K14</f>
        <v>1745.475543</v>
      </c>
      <c r="AO10" s="38"/>
      <c r="AP10" s="17"/>
      <c r="AQ10" s="17">
        <f>'Dez24'!L14</f>
        <v>1784.9640039999999</v>
      </c>
      <c r="AR10" s="38"/>
      <c r="AS10" s="17">
        <f>Paralelo!L14</f>
        <v>1814.156438</v>
      </c>
      <c r="AT10" s="38"/>
      <c r="AU10" s="17"/>
      <c r="AV10" s="17">
        <f>'Dez24'!M14</f>
        <v>3299.9852810000002</v>
      </c>
      <c r="AW10" s="38"/>
      <c r="AX10" s="17">
        <f>Paralelo!M14</f>
        <v>3317.7250480000002</v>
      </c>
      <c r="AY10" s="38"/>
      <c r="AZ10" s="17"/>
      <c r="BA10" s="17">
        <f>'Dez24'!N14</f>
        <v>3275.3678460000001</v>
      </c>
      <c r="BB10" s="38"/>
      <c r="BC10" s="17">
        <f>Paralelo!N14</f>
        <v>3289.722276</v>
      </c>
      <c r="BD10" s="38"/>
      <c r="BE10" s="17"/>
      <c r="BF10" s="20">
        <f>'Dez24'!O14</f>
        <v>1823.456758</v>
      </c>
      <c r="BG10" s="38"/>
      <c r="BH10" s="20">
        <f>Paralelo!O14</f>
        <v>1832.8598530000002</v>
      </c>
      <c r="BI10" s="38"/>
      <c r="BJ10" s="17"/>
      <c r="BK10" s="20">
        <f>'Dez24'!P14</f>
        <v>817.21932600000002</v>
      </c>
      <c r="BL10" s="38"/>
      <c r="BM10" s="20">
        <f>Paralelo!P14</f>
        <v>821.85213199999998</v>
      </c>
      <c r="BN10" s="38"/>
      <c r="BO10" s="17"/>
      <c r="BP10" s="20">
        <f>'Dez24'!Q14</f>
        <v>2.9791750000000001</v>
      </c>
      <c r="BQ10" s="38"/>
      <c r="BR10" s="20">
        <f>Paralelo!Q14</f>
        <v>2.979174</v>
      </c>
      <c r="BS10" s="38"/>
      <c r="BT10" s="17"/>
      <c r="BU10" s="20">
        <f>'Dez24'!R14</f>
        <v>14229.205040999999</v>
      </c>
      <c r="BV10" s="38"/>
      <c r="BW10" s="20">
        <f>Paralelo!R14</f>
        <v>14009.226467999999</v>
      </c>
      <c r="BX10" s="38"/>
      <c r="BY10" s="17"/>
    </row>
    <row r="11" spans="1:79" ht="14.4" outlineLevel="1" x14ac:dyDescent="0.3">
      <c r="B11" s="18" t="s">
        <v>18</v>
      </c>
      <c r="C11" s="19">
        <f>'Dez24'!D15</f>
        <v>3564.4292249999999</v>
      </c>
      <c r="D11" s="39">
        <f>IFERROR(C11/C$10,"-")</f>
        <v>0.13248386924773087</v>
      </c>
      <c r="E11" s="19">
        <f>Paralelo!D15</f>
        <v>3564.42922</v>
      </c>
      <c r="F11" s="39">
        <f>IFERROR(E11/E$10,"-")</f>
        <v>0.13283258655177668</v>
      </c>
      <c r="G11" s="19">
        <f>D11-F11</f>
        <v>-3.4871730404581469E-4</v>
      </c>
      <c r="H11" s="19">
        <f>'Dez24'!E15</f>
        <v>1309.576605</v>
      </c>
      <c r="I11" s="39">
        <f>IFERROR(H11/H$10,"-")</f>
        <v>9.4503786677172602E-2</v>
      </c>
      <c r="J11" s="19">
        <f>Paralelo!E15</f>
        <v>1195.7892039999999</v>
      </c>
      <c r="K11" s="39">
        <f>IFERROR(J11/J$10,"-")</f>
        <v>0.13522837995278469</v>
      </c>
      <c r="L11" s="19">
        <f>I11-K11</f>
        <v>-4.0724593275612092E-2</v>
      </c>
      <c r="M11" s="19">
        <f>'Dez24'!F15</f>
        <v>1805.1866259999999</v>
      </c>
      <c r="N11" s="39">
        <f>IFERROR(M11/M$10,"-")</f>
        <v>0.17654305995028843</v>
      </c>
      <c r="O11" s="19">
        <f>Paralelo!F15</f>
        <v>1697.329379</v>
      </c>
      <c r="P11" s="39">
        <f>IFERROR(O11/O$10,"-")</f>
        <v>0.25738669787481788</v>
      </c>
      <c r="Q11" s="19">
        <f>N11-P11</f>
        <v>-8.0843637924529449E-2</v>
      </c>
      <c r="R11" s="19">
        <f>'Dez24'!G15</f>
        <v>215.60634300000001</v>
      </c>
      <c r="S11" s="39">
        <f>IFERROR(R11/R$10,"-")</f>
        <v>9.1080453610454373E-2</v>
      </c>
      <c r="T11" s="19">
        <f>Paralelo!G15</f>
        <v>208.25164699999999</v>
      </c>
      <c r="U11" s="39">
        <f>IFERROR(T11/T$10,"-")</f>
        <v>0.1169525182534579</v>
      </c>
      <c r="V11" s="19">
        <f>S11-U11</f>
        <v>-2.5872064643003526E-2</v>
      </c>
      <c r="W11" s="19">
        <f>'Dez24'!H15</f>
        <v>9.0199110000000005</v>
      </c>
      <c r="X11" s="39">
        <f>IFERROR(W11/W$10,"-")</f>
        <v>4.7924466512538934E-2</v>
      </c>
      <c r="Y11" s="19">
        <f>Paralelo!H15</f>
        <v>10.462529</v>
      </c>
      <c r="Z11" s="39">
        <f>IFERROR(Y11/Y$10,"-")</f>
        <v>4.1880994689860854E-2</v>
      </c>
      <c r="AA11" s="19">
        <f>X11-Z11</f>
        <v>6.0434718226780801E-3</v>
      </c>
      <c r="AB11" s="19">
        <f>'Dez24'!I15</f>
        <v>1.0000000000000001E-5</v>
      </c>
      <c r="AC11" s="39">
        <f>IFERROR(AB11/AB$10,"-")</f>
        <v>9.0023586179579067E-6</v>
      </c>
      <c r="AD11" s="19">
        <f>Paralelo!I15</f>
        <v>5.4134419999999999</v>
      </c>
      <c r="AE11" s="39">
        <f>IFERROR(AD11/AD$10,"-")</f>
        <v>7.3822238019136732E-2</v>
      </c>
      <c r="AF11" s="19">
        <f>AC11-AE11</f>
        <v>-7.3813235660518769E-2</v>
      </c>
      <c r="AG11" s="19">
        <f>'Dez24'!J15</f>
        <v>1.5201309999999999</v>
      </c>
      <c r="AH11" s="39">
        <f>IFERROR(AG11/AG$10,"-")</f>
        <v>1</v>
      </c>
      <c r="AI11" s="19">
        <f>Paralelo!J15</f>
        <v>13.343540000000001</v>
      </c>
      <c r="AJ11" s="39">
        <f>IFERROR(AI11/AI$10,"-")</f>
        <v>0.15275196606536556</v>
      </c>
      <c r="AK11" s="19">
        <f>AH11-AJ11</f>
        <v>0.84724803393463444</v>
      </c>
      <c r="AL11" s="19">
        <f>'Dez24'!K15</f>
        <v>76.726506999999998</v>
      </c>
      <c r="AM11" s="39">
        <f>IFERROR(AL11/AL$10,"-")</f>
        <v>4.5904142207979712E-2</v>
      </c>
      <c r="AN11" s="19">
        <f>Paralelo!K15</f>
        <v>76.938940000000002</v>
      </c>
      <c r="AO11" s="39">
        <f>IFERROR(AN11/AN$10,"-")</f>
        <v>4.4079070777332571E-2</v>
      </c>
      <c r="AP11" s="19">
        <f>AM11-AO11</f>
        <v>1.8250714306471405E-3</v>
      </c>
      <c r="AQ11" s="19">
        <f>'Dez24'!L15</f>
        <v>162.195592</v>
      </c>
      <c r="AR11" s="39">
        <f>IFERROR(AQ11/AQ$10,"-")</f>
        <v>9.0867710293613305E-2</v>
      </c>
      <c r="AS11" s="19">
        <f>Paralelo!L15</f>
        <v>160.71633499999999</v>
      </c>
      <c r="AT11" s="39">
        <f>IFERROR(AS11/AS$10,"-")</f>
        <v>8.8590119150463248E-2</v>
      </c>
      <c r="AU11" s="19">
        <f>AR11-AT11</f>
        <v>2.2775911431500567E-3</v>
      </c>
      <c r="AV11" s="19">
        <f>'Dez24'!M15</f>
        <v>106.266201</v>
      </c>
      <c r="AW11" s="39">
        <f>IFERROR(AV11/AV$10,"-")</f>
        <v>3.2202022721688615E-2</v>
      </c>
      <c r="AX11" s="19">
        <f>Paralelo!M15</f>
        <v>107.044533</v>
      </c>
      <c r="AY11" s="39">
        <f>IFERROR(AX11/AX$10,"-")</f>
        <v>3.2264437664757319E-2</v>
      </c>
      <c r="AZ11" s="19">
        <f>AW11-AY11</f>
        <v>-6.241494306870321E-5</v>
      </c>
      <c r="BA11" s="19">
        <f>'Dez24'!N15</f>
        <v>75.884760999999997</v>
      </c>
      <c r="BB11" s="39">
        <f>IFERROR(BA11/BA$10,"-")</f>
        <v>2.3168317138080617E-2</v>
      </c>
      <c r="BC11" s="19">
        <f>Paralelo!N15</f>
        <v>76.000791000000007</v>
      </c>
      <c r="BD11" s="39">
        <f>IFERROR(BC11/BC$10,"-")</f>
        <v>2.3102494564498612E-2</v>
      </c>
      <c r="BE11" s="19">
        <f>BB11-BD11</f>
        <v>6.5822573582004912E-5</v>
      </c>
      <c r="BF11" s="21">
        <f>'Dez24'!O15</f>
        <v>35.911971000000001</v>
      </c>
      <c r="BG11" s="39">
        <f>IFERROR(BF11/BF$10,"-")</f>
        <v>1.9694446189877785E-2</v>
      </c>
      <c r="BH11" s="21">
        <f>Paralelo!O15</f>
        <v>36.374197000000002</v>
      </c>
      <c r="BI11" s="39">
        <f>IFERROR(BH11/BH$10,"-")</f>
        <v>1.9845596454340583E-2</v>
      </c>
      <c r="BJ11" s="19">
        <f>BG11-BI11</f>
        <v>-1.5115026446279808E-4</v>
      </c>
      <c r="BK11" s="21">
        <f>'Dez24'!P15</f>
        <v>33.117263999999999</v>
      </c>
      <c r="BL11" s="39">
        <f>IFERROR(BK11/BK$10,"-")</f>
        <v>4.0524327981935171E-2</v>
      </c>
      <c r="BM11" s="21">
        <f>Paralelo!P15</f>
        <v>33.117265000000003</v>
      </c>
      <c r="BN11" s="39">
        <f>IFERROR(BM11/BM$10,"-")</f>
        <v>4.0295892302923422E-2</v>
      </c>
      <c r="BO11" s="19">
        <f>BL11-BN11</f>
        <v>2.2843567901174866E-4</v>
      </c>
      <c r="BP11" s="21">
        <f>'Dez24'!Q15</f>
        <v>0.71281399999999995</v>
      </c>
      <c r="BQ11" s="39">
        <f>IFERROR(BP11/BP$10,"-")</f>
        <v>0.2392655684879203</v>
      </c>
      <c r="BR11" s="21">
        <f>Paralelo!Q15</f>
        <v>0.71281399999999995</v>
      </c>
      <c r="BS11" s="39">
        <f>IFERROR(BR11/BR$10,"-")</f>
        <v>0.23926564880064069</v>
      </c>
      <c r="BT11" s="19">
        <f>BQ11-BS11</f>
        <v>-8.0312720390773862E-8</v>
      </c>
      <c r="BU11" s="21">
        <f>'Dez24'!R15</f>
        <v>3073.6141149999999</v>
      </c>
      <c r="BV11" s="39">
        <f>IFERROR(BU11/BU$10,"-")</f>
        <v>0.21600743724921351</v>
      </c>
      <c r="BW11" s="21">
        <f>Paralelo!R15</f>
        <v>3073.5243449999998</v>
      </c>
      <c r="BX11" s="39">
        <f>IFERROR(BW11/BW$10,"-")</f>
        <v>0.21939286598161375</v>
      </c>
      <c r="BY11" s="19">
        <f>BV11-BX11</f>
        <v>-3.3854287324002474E-3</v>
      </c>
    </row>
    <row r="12" spans="1:79" ht="14.4" outlineLevel="1" x14ac:dyDescent="0.3">
      <c r="B12" s="18" t="s">
        <v>19</v>
      </c>
      <c r="C12" s="19">
        <f>'Dez24'!D16</f>
        <v>23291.74726</v>
      </c>
      <c r="D12" s="39">
        <f t="shared" ref="D12:F14" si="0">IFERROR(C12/C$10,"-")</f>
        <v>0.8657152670902124</v>
      </c>
      <c r="E12" s="19">
        <f>Paralelo!D16</f>
        <v>23269.567712</v>
      </c>
      <c r="F12" s="39">
        <f t="shared" si="0"/>
        <v>0.86716741344822323</v>
      </c>
      <c r="G12" s="19">
        <f t="shared" ref="G12:G14" si="1">D12-F12</f>
        <v>-1.4521463580108307E-3</v>
      </c>
      <c r="H12" s="19">
        <f>'Dez24'!E16</f>
        <v>12529.955185000001</v>
      </c>
      <c r="I12" s="39">
        <f t="shared" ref="I12:K12" si="2">IFERROR(H12/H$10,"-")</f>
        <v>0.90420690729869357</v>
      </c>
      <c r="J12" s="19">
        <f>Paralelo!E16</f>
        <v>7646.9493130000001</v>
      </c>
      <c r="K12" s="39">
        <f t="shared" si="2"/>
        <v>0.86477162004721531</v>
      </c>
      <c r="L12" s="19">
        <f t="shared" ref="L12:L14" si="3">I12-K12</f>
        <v>3.9435287251478268E-2</v>
      </c>
      <c r="M12" s="19">
        <f>'Dez24'!F16</f>
        <v>8394.6603680000007</v>
      </c>
      <c r="N12" s="39">
        <f t="shared" ref="N12:P12" si="4">IFERROR(M12/M$10,"-")</f>
        <v>0.82097828959327479</v>
      </c>
      <c r="O12" s="19">
        <f>Paralelo!F16</f>
        <v>4897.1426469999997</v>
      </c>
      <c r="P12" s="39">
        <f t="shared" si="4"/>
        <v>0.74261330212518217</v>
      </c>
      <c r="Q12" s="19">
        <f t="shared" ref="Q12:Q14" si="5">N12-P12</f>
        <v>7.8364987468092617E-2</v>
      </c>
      <c r="R12" s="19">
        <f>'Dez24'!G16</f>
        <v>2149.729104</v>
      </c>
      <c r="S12" s="39">
        <f t="shared" ref="S12:U12" si="6">IFERROR(R12/R$10,"-")</f>
        <v>0.90812867194688995</v>
      </c>
      <c r="T12" s="19">
        <f>Paralelo!G16</f>
        <v>1572.399596</v>
      </c>
      <c r="U12" s="39">
        <f t="shared" si="6"/>
        <v>0.88304748174654213</v>
      </c>
      <c r="V12" s="19">
        <f t="shared" ref="V12:V14" si="7">S12-U12</f>
        <v>2.5081190200347825E-2</v>
      </c>
      <c r="W12" s="19">
        <f>'Dez24'!H16</f>
        <v>178.979591</v>
      </c>
      <c r="X12" s="39">
        <f t="shared" ref="X12" si="8">IFERROR(W12/W$10,"-")</f>
        <v>0.95095189024674565</v>
      </c>
      <c r="Y12" s="19">
        <f>Paralelo!H16</f>
        <v>239.35314700000001</v>
      </c>
      <c r="Z12" s="39">
        <f t="shared" ref="Z12" si="9">IFERROR(Y12/Y$10,"-")</f>
        <v>0.95811900531013916</v>
      </c>
      <c r="AA12" s="19">
        <f t="shared" ref="AA12:AA14" si="10">X12-Z12</f>
        <v>-7.1671150633935143E-3</v>
      </c>
      <c r="AB12" s="19">
        <f>'Dez24'!I16</f>
        <v>1.1108100000000001</v>
      </c>
      <c r="AC12" s="39">
        <f t="shared" ref="AC12:AC14" si="11">IFERROR(AB12/AB$10,"-")</f>
        <v>0.99999099764138222</v>
      </c>
      <c r="AD12" s="19">
        <f>Paralelo!I16</f>
        <v>67.917333999999997</v>
      </c>
      <c r="AE12" s="39">
        <f t="shared" ref="AE12:AE14" si="12">IFERROR(AD12/AD$10,"-")</f>
        <v>0.92617776198086321</v>
      </c>
      <c r="AF12" s="19">
        <f t="shared" ref="AF12:AF14" si="13">AC12-AE12</f>
        <v>7.3813235660519005E-2</v>
      </c>
      <c r="AG12" s="19">
        <f>'Dez24'!J16</f>
        <v>0</v>
      </c>
      <c r="AH12" s="39">
        <f t="shared" ref="AH12:AH14" si="14">IFERROR(AG12/AG$10,"-")</f>
        <v>0</v>
      </c>
      <c r="AI12" s="19">
        <f>Paralelo!J16</f>
        <v>74.010752999999994</v>
      </c>
      <c r="AJ12" s="39">
        <f t="shared" ref="AJ12:AJ14" si="15">IFERROR(AI12/AI$10,"-")</f>
        <v>0.84724803393463444</v>
      </c>
      <c r="AK12" s="19">
        <f t="shared" ref="AK12:AK14" si="16">AH12-AJ12</f>
        <v>-0.84724803393463444</v>
      </c>
      <c r="AL12" s="19">
        <f>'Dez24'!K16</f>
        <v>1594.7241140000001</v>
      </c>
      <c r="AM12" s="39">
        <f t="shared" ref="AM12:AM14" si="17">IFERROR(AL12/AL$10,"-")</f>
        <v>0.95409585779202033</v>
      </c>
      <c r="AN12" s="19">
        <f>Paralelo!K16</f>
        <v>1668.536603</v>
      </c>
      <c r="AO12" s="39">
        <f t="shared" ref="AO12:AO14" si="18">IFERROR(AN12/AN$10,"-")</f>
        <v>0.95592092922266747</v>
      </c>
      <c r="AP12" s="19">
        <f t="shared" ref="AP12:AP14" si="19">AM12-AO12</f>
        <v>-1.8250714306471405E-3</v>
      </c>
      <c r="AQ12" s="19">
        <f>'Dez24'!L16</f>
        <v>1622.6418289999999</v>
      </c>
      <c r="AR12" s="39">
        <f t="shared" ref="AR12:AR14" si="20">IFERROR(AQ12/AQ$10,"-")</f>
        <v>0.90906137343036297</v>
      </c>
      <c r="AS12" s="19">
        <f>Paralelo!L16</f>
        <v>1653.4401029999999</v>
      </c>
      <c r="AT12" s="39">
        <f t="shared" ref="AT12:AT14" si="21">IFERROR(AS12/AS$10,"-")</f>
        <v>0.91140988084953667</v>
      </c>
      <c r="AU12" s="19">
        <f t="shared" ref="AU12:AU14" si="22">AR12-AT12</f>
        <v>-2.3485074191736954E-3</v>
      </c>
      <c r="AV12" s="19">
        <f>'Dez24'!M16</f>
        <v>3193.2777120000001</v>
      </c>
      <c r="AW12" s="39">
        <f t="shared" ref="AW12:AW14" si="23">IFERROR(AV12/AV$10,"-")</f>
        <v>0.96766422880296477</v>
      </c>
      <c r="AX12" s="19">
        <f>Paralelo!M16</f>
        <v>3210.680515</v>
      </c>
      <c r="AY12" s="39">
        <f t="shared" ref="AY12:AY14" si="24">IFERROR(AX12/AX$10,"-")</f>
        <v>0.96773556233524261</v>
      </c>
      <c r="AZ12" s="19">
        <f t="shared" ref="AZ12:AZ14" si="25">AW12-AY12</f>
        <v>-7.1333532277839673E-5</v>
      </c>
      <c r="BA12" s="19">
        <f>'Dez24'!N16</f>
        <v>3199.195678</v>
      </c>
      <c r="BB12" s="39">
        <f t="shared" ref="BB12:BB14" si="26">IFERROR(BA12/BA$10,"-")</f>
        <v>0.97674393485512645</v>
      </c>
      <c r="BC12" s="19">
        <f>Paralelo!N16</f>
        <v>3213.721485</v>
      </c>
      <c r="BD12" s="39">
        <f t="shared" ref="BD12:BD14" si="27">IFERROR(BC12/BC$10,"-")</f>
        <v>0.97689750543550136</v>
      </c>
      <c r="BE12" s="19">
        <f t="shared" ref="BE12:BE14" si="28">BB12-BD12</f>
        <v>-1.5357058037490656E-4</v>
      </c>
      <c r="BF12" s="21">
        <f>'Dez24'!O16</f>
        <v>1787.281853</v>
      </c>
      <c r="BG12" s="39">
        <f t="shared" ref="BG12:BG14" si="29">IFERROR(BF12/BF$10,"-")</f>
        <v>0.9801613584521317</v>
      </c>
      <c r="BH12" s="21">
        <f>Paralelo!O16</f>
        <v>1796.4856560000001</v>
      </c>
      <c r="BI12" s="39">
        <f t="shared" ref="BI12:BI14" si="30">IFERROR(BH12/BH$10,"-")</f>
        <v>0.98015440354565941</v>
      </c>
      <c r="BJ12" s="19">
        <f t="shared" ref="BJ12:BJ14" si="31">BG12-BI12</f>
        <v>6.9549064722895793E-6</v>
      </c>
      <c r="BK12" s="21">
        <f>'Dez24'!P16</f>
        <v>783.44508900000005</v>
      </c>
      <c r="BL12" s="39">
        <f t="shared" ref="BL12:BL14" si="32">IFERROR(BK12/BK$10,"-")</f>
        <v>0.9586717593117714</v>
      </c>
      <c r="BM12" s="21">
        <f>Paralelo!P16</f>
        <v>788.73486700000001</v>
      </c>
      <c r="BN12" s="39">
        <f t="shared" ref="BN12:BN14" si="33">IFERROR(BM12/BM$10,"-")</f>
        <v>0.95970410769707659</v>
      </c>
      <c r="BO12" s="19">
        <f t="shared" ref="BO12:BO14" si="34">BL12-BN12</f>
        <v>-1.0323483853051929E-3</v>
      </c>
      <c r="BP12" s="21">
        <f>'Dez24'!Q16</f>
        <v>2.2663609999999998</v>
      </c>
      <c r="BQ12" s="39">
        <f t="shared" ref="BQ12:BQ14" si="35">IFERROR(BP12/BP$10,"-")</f>
        <v>0.76073443151207965</v>
      </c>
      <c r="BR12" s="21">
        <f>Paralelo!Q16</f>
        <v>2.2663600000000002</v>
      </c>
      <c r="BS12" s="39">
        <f t="shared" ref="BS12:BS14" si="36">IFERROR(BR12/BR$10,"-")</f>
        <v>0.76073435119935939</v>
      </c>
      <c r="BT12" s="19">
        <f t="shared" ref="BT12:BT14" si="37">BQ12-BS12</f>
        <v>8.0312720251995984E-8</v>
      </c>
      <c r="BU12" s="21">
        <f>'Dez24'!R16</f>
        <v>11108.914623999999</v>
      </c>
      <c r="BV12" s="39">
        <f t="shared" ref="BV12:BV14" si="38">IFERROR(BU12/BU$10,"-")</f>
        <v>0.78071224583459142</v>
      </c>
      <c r="BW12" s="21">
        <f>Paralelo!R16</f>
        <v>10935.702122999999</v>
      </c>
      <c r="BX12" s="39">
        <f t="shared" ref="BX12:BX14" si="39">IFERROR(BW12/BW$10,"-")</f>
        <v>0.78060713401838622</v>
      </c>
      <c r="BY12" s="19">
        <f t="shared" ref="BY12:BY14" si="40">BV12-BX12</f>
        <v>1.051118162052056E-4</v>
      </c>
    </row>
    <row r="13" spans="1:79" ht="15" customHeight="1" outlineLevel="1" x14ac:dyDescent="0.3">
      <c r="B13" s="18" t="s">
        <v>20</v>
      </c>
      <c r="C13" s="19">
        <f>'Dez24'!D17</f>
        <v>48.451566999999997</v>
      </c>
      <c r="D13" s="39">
        <f t="shared" si="0"/>
        <v>1.800863662056769E-3</v>
      </c>
      <c r="E13" s="19">
        <f>Paralelo!D17</f>
        <v>0</v>
      </c>
      <c r="F13" s="39">
        <f t="shared" si="0"/>
        <v>0</v>
      </c>
      <c r="G13" s="19">
        <f t="shared" si="1"/>
        <v>1.800863662056769E-3</v>
      </c>
      <c r="H13" s="19">
        <f>'Dez24'!E17</f>
        <v>17.866427000000002</v>
      </c>
      <c r="I13" s="39">
        <f t="shared" ref="I13:K13" si="41">IFERROR(H13/H$10,"-")</f>
        <v>1.2893060241338666E-3</v>
      </c>
      <c r="J13" s="19">
        <f>Paralelo!E17</f>
        <v>0</v>
      </c>
      <c r="K13" s="39">
        <f t="shared" si="41"/>
        <v>0</v>
      </c>
      <c r="L13" s="19">
        <f t="shared" si="3"/>
        <v>1.2893060241338666E-3</v>
      </c>
      <c r="M13" s="19">
        <f>'Dez24'!F17</f>
        <v>25.344676</v>
      </c>
      <c r="N13" s="39">
        <f t="shared" ref="N13:P13" si="42">IFERROR(M13/M$10,"-")</f>
        <v>2.4786504564368716E-3</v>
      </c>
      <c r="O13" s="19">
        <f>Paralelo!F17</f>
        <v>0</v>
      </c>
      <c r="P13" s="39">
        <f t="shared" si="42"/>
        <v>0</v>
      </c>
      <c r="Q13" s="19">
        <f t="shared" si="5"/>
        <v>2.4786504564368716E-3</v>
      </c>
      <c r="R13" s="19">
        <f>'Dez24'!G17</f>
        <v>1.8721639999999999</v>
      </c>
      <c r="S13" s="39">
        <f t="shared" ref="S13:U13" si="43">IFERROR(R13/R$10,"-")</f>
        <v>7.9087444265571862E-4</v>
      </c>
      <c r="T13" s="19">
        <f>Paralelo!G17</f>
        <v>0</v>
      </c>
      <c r="U13" s="39">
        <f t="shared" si="43"/>
        <v>0</v>
      </c>
      <c r="V13" s="19">
        <f t="shared" si="7"/>
        <v>7.9087444265571862E-4</v>
      </c>
      <c r="W13" s="19">
        <f>'Dez24'!H17</f>
        <v>0.211482</v>
      </c>
      <c r="X13" s="39">
        <f t="shared" ref="X13" si="44">IFERROR(W13/W$10,"-")</f>
        <v>1.1236432407154304E-3</v>
      </c>
      <c r="Y13" s="19">
        <f>Paralelo!H17</f>
        <v>0</v>
      </c>
      <c r="Z13" s="39">
        <f>IFERROR(Y13/Y$10,"-")</f>
        <v>0</v>
      </c>
      <c r="AA13" s="19">
        <f t="shared" si="10"/>
        <v>1.1236432407154304E-3</v>
      </c>
      <c r="AB13" s="19">
        <f>'Dez24'!I17</f>
        <v>0</v>
      </c>
      <c r="AC13" s="39">
        <f t="shared" si="11"/>
        <v>0</v>
      </c>
      <c r="AD13" s="19">
        <f>Paralelo!I17</f>
        <v>0</v>
      </c>
      <c r="AE13" s="39">
        <f t="shared" si="12"/>
        <v>0</v>
      </c>
      <c r="AF13" s="19">
        <f t="shared" si="13"/>
        <v>0</v>
      </c>
      <c r="AG13" s="19">
        <f>'Dez24'!J17</f>
        <v>0</v>
      </c>
      <c r="AH13" s="39">
        <f t="shared" si="14"/>
        <v>0</v>
      </c>
      <c r="AI13" s="19">
        <f>Paralelo!J17</f>
        <v>0</v>
      </c>
      <c r="AJ13" s="39">
        <f t="shared" si="15"/>
        <v>0</v>
      </c>
      <c r="AK13" s="19">
        <f t="shared" si="16"/>
        <v>0</v>
      </c>
      <c r="AL13" s="19">
        <f>'Dez24'!K17</f>
        <v>0</v>
      </c>
      <c r="AM13" s="39">
        <f t="shared" si="17"/>
        <v>0</v>
      </c>
      <c r="AN13" s="19">
        <f>Paralelo!K17</f>
        <v>0</v>
      </c>
      <c r="AO13" s="39">
        <f t="shared" si="18"/>
        <v>0</v>
      </c>
      <c r="AP13" s="19">
        <f t="shared" si="19"/>
        <v>0</v>
      </c>
      <c r="AQ13" s="19">
        <f>'Dez24'!L17</f>
        <v>0.126583</v>
      </c>
      <c r="AR13" s="39">
        <f t="shared" si="20"/>
        <v>7.091627602368165E-5</v>
      </c>
      <c r="AS13" s="19">
        <f>Paralelo!L17</f>
        <v>0</v>
      </c>
      <c r="AT13" s="39">
        <f t="shared" si="21"/>
        <v>0</v>
      </c>
      <c r="AU13" s="19">
        <f t="shared" si="22"/>
        <v>7.091627602368165E-5</v>
      </c>
      <c r="AV13" s="19">
        <f>'Dez24'!M17</f>
        <v>0.44136799999999998</v>
      </c>
      <c r="AW13" s="39">
        <f t="shared" si="23"/>
        <v>1.3374847534660867E-4</v>
      </c>
      <c r="AX13" s="19">
        <f>Paralelo!M17</f>
        <v>0</v>
      </c>
      <c r="AY13" s="39">
        <f t="shared" si="24"/>
        <v>0</v>
      </c>
      <c r="AZ13" s="19">
        <f t="shared" si="25"/>
        <v>1.3374847534660867E-4</v>
      </c>
      <c r="BA13" s="19">
        <f>'Dez24'!N17</f>
        <v>0.28740700000000002</v>
      </c>
      <c r="BB13" s="39">
        <f t="shared" si="26"/>
        <v>8.7748006792883449E-5</v>
      </c>
      <c r="BC13" s="19">
        <f>Paralelo!N17</f>
        <v>0</v>
      </c>
      <c r="BD13" s="39">
        <f t="shared" si="27"/>
        <v>0</v>
      </c>
      <c r="BE13" s="19">
        <f t="shared" si="28"/>
        <v>8.7748006792883449E-5</v>
      </c>
      <c r="BF13" s="21">
        <f>'Dez24'!O17</f>
        <v>0.262934</v>
      </c>
      <c r="BG13" s="39">
        <f t="shared" si="29"/>
        <v>1.4419535799049642E-4</v>
      </c>
      <c r="BH13" s="21">
        <f>Paralelo!O17</f>
        <v>0</v>
      </c>
      <c r="BI13" s="39">
        <f t="shared" si="30"/>
        <v>0</v>
      </c>
      <c r="BJ13" s="19">
        <f t="shared" si="31"/>
        <v>1.4419535799049642E-4</v>
      </c>
      <c r="BK13" s="21">
        <f>'Dez24'!P17</f>
        <v>0.65697300000000003</v>
      </c>
      <c r="BL13" s="39">
        <f t="shared" si="32"/>
        <v>8.0391270629348772E-4</v>
      </c>
      <c r="BM13" s="21">
        <f>Paralelo!P17</f>
        <v>0</v>
      </c>
      <c r="BN13" s="39">
        <f t="shared" si="33"/>
        <v>0</v>
      </c>
      <c r="BO13" s="19">
        <f t="shared" si="34"/>
        <v>8.0391270629348772E-4</v>
      </c>
      <c r="BP13" s="21">
        <f>'Dez24'!Q17</f>
        <v>0</v>
      </c>
      <c r="BQ13" s="39">
        <f t="shared" si="35"/>
        <v>0</v>
      </c>
      <c r="BR13" s="21">
        <f>Paralelo!Q17</f>
        <v>0</v>
      </c>
      <c r="BS13" s="39">
        <f t="shared" si="36"/>
        <v>0</v>
      </c>
      <c r="BT13" s="19">
        <f t="shared" si="37"/>
        <v>0</v>
      </c>
      <c r="BU13" s="21">
        <f>'Dez24'!R17</f>
        <v>46.676302</v>
      </c>
      <c r="BV13" s="39">
        <f t="shared" si="38"/>
        <v>3.2803169161950375E-3</v>
      </c>
      <c r="BW13" s="21">
        <f>Paralelo!R17</f>
        <v>0</v>
      </c>
      <c r="BX13" s="39">
        <f t="shared" si="39"/>
        <v>0</v>
      </c>
      <c r="BY13" s="19">
        <f t="shared" si="40"/>
        <v>3.2803169161950375E-3</v>
      </c>
    </row>
    <row r="14" spans="1:79" ht="15" customHeight="1" outlineLevel="1" x14ac:dyDescent="0.3">
      <c r="B14" s="18" t="s">
        <v>21</v>
      </c>
      <c r="C14" s="19">
        <f>'Dez24'!D18</f>
        <v>26640.639433</v>
      </c>
      <c r="D14" s="39">
        <f t="shared" si="0"/>
        <v>0.99018798481473991</v>
      </c>
      <c r="E14" s="19">
        <f>Paralelo!D18</f>
        <v>17628.362530999999</v>
      </c>
      <c r="F14" s="39">
        <f t="shared" si="0"/>
        <v>0.65694136343803011</v>
      </c>
      <c r="G14" s="19">
        <f t="shared" si="1"/>
        <v>0.3332466213767098</v>
      </c>
      <c r="H14" s="19">
        <f>'Dez24'!E18</f>
        <v>13857.398217</v>
      </c>
      <c r="I14" s="39">
        <f t="shared" ref="I14:K14" si="45">IFERROR(H14/H$10,"-")</f>
        <v>1</v>
      </c>
      <c r="J14" s="19">
        <f>Paralelo!E18</f>
        <v>8842.7385169999998</v>
      </c>
      <c r="K14" s="39">
        <f t="shared" si="45"/>
        <v>1</v>
      </c>
      <c r="L14" s="19">
        <f t="shared" si="3"/>
        <v>0</v>
      </c>
      <c r="M14" s="19">
        <f>'Dez24'!F18</f>
        <v>10225.19167</v>
      </c>
      <c r="N14" s="39">
        <f t="shared" ref="N14:P14" si="46">IFERROR(M14/M$10,"-")</f>
        <v>1</v>
      </c>
      <c r="O14" s="19">
        <f>Paralelo!F18</f>
        <v>6594.4720260000004</v>
      </c>
      <c r="P14" s="39">
        <f t="shared" si="46"/>
        <v>1.0000000000000002</v>
      </c>
      <c r="Q14" s="19">
        <f t="shared" si="5"/>
        <v>0</v>
      </c>
      <c r="R14" s="19">
        <f>'Dez24'!G18</f>
        <v>2367.2076109999998</v>
      </c>
      <c r="S14" s="39">
        <f t="shared" ref="S14:U14" si="47">IFERROR(R14/R$10,"-")</f>
        <v>1</v>
      </c>
      <c r="T14" s="19">
        <f>Paralelo!G18</f>
        <v>1780.651243</v>
      </c>
      <c r="U14" s="39">
        <f t="shared" si="47"/>
        <v>1</v>
      </c>
      <c r="V14" s="19">
        <f t="shared" si="7"/>
        <v>0</v>
      </c>
      <c r="W14" s="19">
        <f>'Dez24'!H18</f>
        <v>188.210984</v>
      </c>
      <c r="X14" s="39">
        <f t="shared" ref="X14" si="48">IFERROR(W14/W$10,"-")</f>
        <v>1</v>
      </c>
      <c r="Y14" s="19">
        <f>Paralelo!H18</f>
        <v>249.815676</v>
      </c>
      <c r="Z14" s="39">
        <f t="shared" ref="Z14" si="49">IFERROR(Y14/Y$10,"-")</f>
        <v>1</v>
      </c>
      <c r="AA14" s="19">
        <f t="shared" si="10"/>
        <v>0</v>
      </c>
      <c r="AB14" s="19">
        <f>'Dez24'!I18</f>
        <v>1.1108199999999999</v>
      </c>
      <c r="AC14" s="39">
        <f t="shared" si="11"/>
        <v>1</v>
      </c>
      <c r="AD14" s="19">
        <f>Paralelo!I18</f>
        <v>73.330776</v>
      </c>
      <c r="AE14" s="39">
        <f t="shared" si="12"/>
        <v>1</v>
      </c>
      <c r="AF14" s="19">
        <f t="shared" si="13"/>
        <v>0</v>
      </c>
      <c r="AG14" s="19">
        <f>'Dez24'!J18</f>
        <v>1.5201309999999999</v>
      </c>
      <c r="AH14" s="39">
        <f t="shared" si="14"/>
        <v>1</v>
      </c>
      <c r="AI14" s="19">
        <f>Paralelo!J18</f>
        <v>87.354292999999998</v>
      </c>
      <c r="AJ14" s="39">
        <f t="shared" si="15"/>
        <v>1</v>
      </c>
      <c r="AK14" s="19">
        <f t="shared" si="16"/>
        <v>0</v>
      </c>
      <c r="AL14" s="19">
        <f>'Dez24'!K18</f>
        <v>0</v>
      </c>
      <c r="AM14" s="39">
        <f t="shared" si="17"/>
        <v>0</v>
      </c>
      <c r="AN14" s="19">
        <f>Paralelo!K18</f>
        <v>0</v>
      </c>
      <c r="AO14" s="39">
        <f t="shared" si="18"/>
        <v>0</v>
      </c>
      <c r="AP14" s="19">
        <f t="shared" si="19"/>
        <v>0</v>
      </c>
      <c r="AQ14" s="19">
        <f>'Dez24'!L18</f>
        <v>0</v>
      </c>
      <c r="AR14" s="39">
        <f t="shared" si="20"/>
        <v>0</v>
      </c>
      <c r="AS14" s="19">
        <f>Paralelo!L18</f>
        <v>0</v>
      </c>
      <c r="AT14" s="39">
        <f t="shared" si="21"/>
        <v>0</v>
      </c>
      <c r="AU14" s="19">
        <f t="shared" si="22"/>
        <v>0</v>
      </c>
      <c r="AV14" s="19">
        <f>'Dez24'!M18</f>
        <v>0</v>
      </c>
      <c r="AW14" s="39">
        <f t="shared" si="23"/>
        <v>0</v>
      </c>
      <c r="AX14" s="19">
        <f>Paralelo!M18</f>
        <v>0</v>
      </c>
      <c r="AY14" s="39">
        <f t="shared" si="24"/>
        <v>0</v>
      </c>
      <c r="AZ14" s="19">
        <f t="shared" si="25"/>
        <v>0</v>
      </c>
      <c r="BA14" s="19">
        <f>'Dez24'!N18</f>
        <v>0</v>
      </c>
      <c r="BB14" s="39">
        <f t="shared" si="26"/>
        <v>0</v>
      </c>
      <c r="BC14" s="19">
        <f>Paralelo!N18</f>
        <v>0</v>
      </c>
      <c r="BD14" s="39">
        <f t="shared" si="27"/>
        <v>0</v>
      </c>
      <c r="BE14" s="19">
        <f t="shared" si="28"/>
        <v>0</v>
      </c>
      <c r="BF14" s="21">
        <f>'Dez24'!O18</f>
        <v>0</v>
      </c>
      <c r="BG14" s="39">
        <f t="shared" si="29"/>
        <v>0</v>
      </c>
      <c r="BH14" s="21">
        <f>Paralelo!O18</f>
        <v>0</v>
      </c>
      <c r="BI14" s="39">
        <f t="shared" si="30"/>
        <v>0</v>
      </c>
      <c r="BJ14" s="19">
        <f t="shared" si="31"/>
        <v>0</v>
      </c>
      <c r="BK14" s="21">
        <f>'Dez24'!P18</f>
        <v>0</v>
      </c>
      <c r="BL14" s="39">
        <f t="shared" si="32"/>
        <v>0</v>
      </c>
      <c r="BM14" s="21">
        <f>Paralelo!P18</f>
        <v>0</v>
      </c>
      <c r="BN14" s="39">
        <f t="shared" si="33"/>
        <v>0</v>
      </c>
      <c r="BO14" s="19">
        <f t="shared" si="34"/>
        <v>0</v>
      </c>
      <c r="BP14" s="21">
        <f>'Dez24'!Q18</f>
        <v>0</v>
      </c>
      <c r="BQ14" s="39">
        <f t="shared" si="35"/>
        <v>0</v>
      </c>
      <c r="BR14" s="21">
        <f>Paralelo!Q18</f>
        <v>0</v>
      </c>
      <c r="BS14" s="39">
        <f t="shared" si="36"/>
        <v>0</v>
      </c>
      <c r="BT14" s="19">
        <f t="shared" si="37"/>
        <v>0</v>
      </c>
      <c r="BU14" s="21">
        <f>'Dez24'!R18</f>
        <v>13965.712417999999</v>
      </c>
      <c r="BV14" s="39">
        <f t="shared" si="38"/>
        <v>0.98148226677170136</v>
      </c>
      <c r="BW14" s="21">
        <f>Paralelo!R18</f>
        <v>13749.273424999999</v>
      </c>
      <c r="BX14" s="39">
        <f t="shared" si="39"/>
        <v>0.98144415442253097</v>
      </c>
      <c r="BY14" s="19">
        <f t="shared" si="40"/>
        <v>3.8112349170393856E-5</v>
      </c>
    </row>
    <row r="15" spans="1:79" ht="15" customHeight="1" x14ac:dyDescent="0.3">
      <c r="B15" s="16" t="s">
        <v>22</v>
      </c>
      <c r="C15" s="17">
        <f>'Dez24'!D19</f>
        <v>0</v>
      </c>
      <c r="D15" s="38"/>
      <c r="E15" s="17">
        <f>Paralelo!D19</f>
        <v>22.179551</v>
      </c>
      <c r="F15" s="38"/>
      <c r="G15" s="17"/>
      <c r="H15" s="17">
        <f>'Dez24'!E19</f>
        <v>0</v>
      </c>
      <c r="I15" s="38"/>
      <c r="J15" s="17">
        <f>Paralelo!E19</f>
        <v>10.931941</v>
      </c>
      <c r="K15" s="38"/>
      <c r="L15" s="17"/>
      <c r="M15" s="17">
        <f>'Dez24'!F19</f>
        <v>0</v>
      </c>
      <c r="N15" s="38"/>
      <c r="O15" s="17">
        <f>Paralelo!F19</f>
        <v>3.5176050000000001</v>
      </c>
      <c r="P15" s="38"/>
      <c r="Q15" s="17"/>
      <c r="R15" s="17">
        <f>'Dez24'!G19</f>
        <v>0</v>
      </c>
      <c r="S15" s="38"/>
      <c r="T15" s="17">
        <f>Paralelo!G19</f>
        <v>2.4192399999999998</v>
      </c>
      <c r="U15" s="38"/>
      <c r="V15" s="17"/>
      <c r="W15" s="17">
        <f>'Dez24'!H19</f>
        <v>0</v>
      </c>
      <c r="X15" s="38"/>
      <c r="Y15" s="17">
        <f>Paralelo!H19</f>
        <v>0.94138900000000003</v>
      </c>
      <c r="Z15" s="38"/>
      <c r="AA15" s="17"/>
      <c r="AB15" s="17">
        <f>'Dez24'!I19</f>
        <v>0</v>
      </c>
      <c r="AC15" s="38"/>
      <c r="AD15" s="17">
        <f>Paralelo!I19</f>
        <v>0.43797399999999997</v>
      </c>
      <c r="AE15" s="38"/>
      <c r="AF15" s="17"/>
      <c r="AG15" s="17">
        <f>'Dez24'!J19</f>
        <v>0</v>
      </c>
      <c r="AH15" s="38"/>
      <c r="AI15" s="17">
        <f>Paralelo!J19</f>
        <v>0.135323</v>
      </c>
      <c r="AJ15" s="38"/>
      <c r="AK15" s="17"/>
      <c r="AL15" s="17">
        <f>'Dez24'!K19</f>
        <v>0</v>
      </c>
      <c r="AM15" s="38"/>
      <c r="AN15" s="17">
        <f>Paralelo!K19</f>
        <v>3.0636899999999998</v>
      </c>
      <c r="AO15" s="38"/>
      <c r="AP15" s="17"/>
      <c r="AQ15" s="17">
        <f>'Dez24'!L19</f>
        <v>0</v>
      </c>
      <c r="AR15" s="38"/>
      <c r="AS15" s="17">
        <f>Paralelo!L19</f>
        <v>7.0418390000000004</v>
      </c>
      <c r="AT15" s="38"/>
      <c r="AU15" s="17"/>
      <c r="AV15" s="17">
        <f>'Dez24'!M19</f>
        <v>0</v>
      </c>
      <c r="AW15" s="38"/>
      <c r="AX15" s="17">
        <f>Paralelo!M19</f>
        <v>2.3548830000000001</v>
      </c>
      <c r="AY15" s="38"/>
      <c r="AZ15" s="17"/>
      <c r="BA15" s="17">
        <f>'Dez24'!N19</f>
        <v>0</v>
      </c>
      <c r="BB15" s="38"/>
      <c r="BC15" s="17">
        <f>Paralelo!N19</f>
        <v>2.1034470000000001</v>
      </c>
      <c r="BD15" s="38"/>
      <c r="BE15" s="17"/>
      <c r="BF15" s="20">
        <f>'Dez24'!O19</f>
        <v>0</v>
      </c>
      <c r="BG15" s="38"/>
      <c r="BH15" s="20">
        <f>Paralelo!O19</f>
        <v>2.3693080000000002</v>
      </c>
      <c r="BI15" s="38"/>
      <c r="BJ15" s="17"/>
      <c r="BK15" s="20">
        <f>'Dez24'!P19</f>
        <v>0</v>
      </c>
      <c r="BL15" s="38"/>
      <c r="BM15" s="20">
        <f>Paralelo!P19</f>
        <v>1.2256819999999999</v>
      </c>
      <c r="BN15" s="38"/>
      <c r="BO15" s="17"/>
      <c r="BP15" s="20">
        <f>'Dez24'!Q19</f>
        <v>0</v>
      </c>
      <c r="BQ15" s="38"/>
      <c r="BR15" s="20">
        <f>Paralelo!Q19</f>
        <v>0</v>
      </c>
      <c r="BS15" s="38"/>
      <c r="BT15" s="17"/>
      <c r="BU15" s="20">
        <f>'Dez24'!R19</f>
        <v>0</v>
      </c>
      <c r="BV15" s="38"/>
      <c r="BW15" s="20">
        <f>Paralelo!R19</f>
        <v>4.020702</v>
      </c>
      <c r="BX15" s="38"/>
      <c r="BY15" s="17"/>
    </row>
    <row r="16" spans="1:79" ht="15" customHeight="1" outlineLevel="1" x14ac:dyDescent="0.3">
      <c r="B16" s="18" t="s">
        <v>18</v>
      </c>
      <c r="C16" s="19">
        <f>'Dez24'!D20</f>
        <v>0</v>
      </c>
      <c r="D16" s="39" t="str">
        <f>IFERROR(C16/C$15,"-")</f>
        <v>-</v>
      </c>
      <c r="E16" s="19">
        <f>Paralelo!D20</f>
        <v>0</v>
      </c>
      <c r="F16" s="39">
        <f>IFERROR(E16/E$15,"-")</f>
        <v>0</v>
      </c>
      <c r="G16" s="39" t="str">
        <f>IFERROR(D16-F16,"-")</f>
        <v>-</v>
      </c>
      <c r="H16" s="19">
        <f>'Dez24'!E20</f>
        <v>0</v>
      </c>
      <c r="I16" s="39" t="str">
        <f>IFERROR(H16/H$15,"-")</f>
        <v>-</v>
      </c>
      <c r="J16" s="19">
        <f>Paralelo!E20</f>
        <v>0</v>
      </c>
      <c r="K16" s="39">
        <f>IFERROR(J16/J$15,"-")</f>
        <v>0</v>
      </c>
      <c r="L16" s="39" t="str">
        <f t="shared" ref="L16:L19" si="50">IFERROR(I16-K16,"-")</f>
        <v>-</v>
      </c>
      <c r="M16" s="19">
        <f>'Dez24'!F20</f>
        <v>0</v>
      </c>
      <c r="N16" s="39" t="str">
        <f>IFERROR(M16/M$15,"-")</f>
        <v>-</v>
      </c>
      <c r="O16" s="19">
        <f>Paralelo!F20</f>
        <v>0</v>
      </c>
      <c r="P16" s="39">
        <f>IFERROR(O16/O$15,"-")</f>
        <v>0</v>
      </c>
      <c r="Q16" s="39" t="str">
        <f t="shared" ref="Q16:Q19" si="51">IFERROR(N16-P16,"-")</f>
        <v>-</v>
      </c>
      <c r="R16" s="19">
        <f>'Dez24'!G20</f>
        <v>0</v>
      </c>
      <c r="S16" s="39" t="str">
        <f>IFERROR(R16/R$15,"-")</f>
        <v>-</v>
      </c>
      <c r="T16" s="19">
        <f>Paralelo!G20</f>
        <v>0</v>
      </c>
      <c r="U16" s="39">
        <f>IFERROR(T16/T$15,"-")</f>
        <v>0</v>
      </c>
      <c r="V16" s="39" t="str">
        <f t="shared" ref="V16:V19" si="52">IFERROR(S16-U16,"-")</f>
        <v>-</v>
      </c>
      <c r="W16" s="19">
        <f>'Dez24'!H20</f>
        <v>0</v>
      </c>
      <c r="X16" s="39" t="str">
        <f>IFERROR(W16/W$15,"-")</f>
        <v>-</v>
      </c>
      <c r="Y16" s="19">
        <f>Paralelo!H20</f>
        <v>0</v>
      </c>
      <c r="Z16" s="39">
        <f>IFERROR(Y16/Y$15,"-")</f>
        <v>0</v>
      </c>
      <c r="AA16" s="39" t="str">
        <f t="shared" ref="AA16:AA19" si="53">IFERROR(X16-Z16,"-")</f>
        <v>-</v>
      </c>
      <c r="AB16" s="19">
        <f>'Dez24'!I20</f>
        <v>0</v>
      </c>
      <c r="AC16" s="39" t="str">
        <f>IFERROR(AB16/AB$15,"-")</f>
        <v>-</v>
      </c>
      <c r="AD16" s="19">
        <f>Paralelo!I20</f>
        <v>0</v>
      </c>
      <c r="AE16" s="39">
        <f>IFERROR(AD16/AD$15,"-")</f>
        <v>0</v>
      </c>
      <c r="AF16" s="39" t="str">
        <f t="shared" ref="AF16:AF19" si="54">IFERROR(AC16-AE16,"-")</f>
        <v>-</v>
      </c>
      <c r="AG16" s="19">
        <f>'Dez24'!J20</f>
        <v>0</v>
      </c>
      <c r="AH16" s="39" t="str">
        <f>IFERROR(AG16/AG$15,"-")</f>
        <v>-</v>
      </c>
      <c r="AI16" s="19">
        <f>Paralelo!J20</f>
        <v>0</v>
      </c>
      <c r="AJ16" s="39">
        <f>IFERROR(AI16/AI$15,"-")</f>
        <v>0</v>
      </c>
      <c r="AK16" s="39" t="str">
        <f t="shared" ref="AK16:AK19" si="55">IFERROR(AH16-AJ16,"-")</f>
        <v>-</v>
      </c>
      <c r="AL16" s="19">
        <f>'Dez24'!K20</f>
        <v>0</v>
      </c>
      <c r="AM16" s="39" t="str">
        <f>IFERROR(AL16/AL$15,"-")</f>
        <v>-</v>
      </c>
      <c r="AN16" s="19">
        <f>Paralelo!K20</f>
        <v>0</v>
      </c>
      <c r="AO16" s="39">
        <f>IFERROR(AN16/AN$15,"-")</f>
        <v>0</v>
      </c>
      <c r="AP16" s="39" t="str">
        <f t="shared" ref="AP16:AP19" si="56">IFERROR(AM16-AO16,"-")</f>
        <v>-</v>
      </c>
      <c r="AQ16" s="19">
        <f>'Dez24'!L20</f>
        <v>0</v>
      </c>
      <c r="AR16" s="39" t="str">
        <f>IFERROR(AQ16/AQ$15,"-")</f>
        <v>-</v>
      </c>
      <c r="AS16" s="19">
        <f>Paralelo!L20</f>
        <v>0</v>
      </c>
      <c r="AT16" s="39">
        <f>IFERROR(AS16/AS$15,"-")</f>
        <v>0</v>
      </c>
      <c r="AU16" s="39" t="str">
        <f t="shared" ref="AU16:AU19" si="57">IFERROR(AR16-AT16,"-")</f>
        <v>-</v>
      </c>
      <c r="AV16" s="19">
        <f>'Dez24'!M20</f>
        <v>0</v>
      </c>
      <c r="AW16" s="39" t="str">
        <f>IFERROR(AV16/AV$15,"-")</f>
        <v>-</v>
      </c>
      <c r="AX16" s="19">
        <f>Paralelo!M20</f>
        <v>0</v>
      </c>
      <c r="AY16" s="39">
        <f>IFERROR(AX16/AX$15,"-")</f>
        <v>0</v>
      </c>
      <c r="AZ16" s="39" t="str">
        <f t="shared" ref="AZ16:AZ19" si="58">IFERROR(AW16-AY16,"-")</f>
        <v>-</v>
      </c>
      <c r="BA16" s="19">
        <f>'Dez24'!N20</f>
        <v>0</v>
      </c>
      <c r="BB16" s="39" t="str">
        <f>IFERROR(BA16/BA$15,"-")</f>
        <v>-</v>
      </c>
      <c r="BC16" s="19">
        <f>Paralelo!N20</f>
        <v>0</v>
      </c>
      <c r="BD16" s="39">
        <f>IFERROR(BC16/BC$15,"-")</f>
        <v>0</v>
      </c>
      <c r="BE16" s="39" t="str">
        <f t="shared" ref="BE16:BE19" si="59">IFERROR(BB16-BD16,"-")</f>
        <v>-</v>
      </c>
      <c r="BF16" s="21">
        <f>'Dez24'!O20</f>
        <v>0</v>
      </c>
      <c r="BG16" s="39" t="str">
        <f>IFERROR(BF16/BF$15,"-")</f>
        <v>-</v>
      </c>
      <c r="BH16" s="21">
        <f>Paralelo!O20</f>
        <v>0</v>
      </c>
      <c r="BI16" s="39">
        <f>IFERROR(BH16/BH$15,"-")</f>
        <v>0</v>
      </c>
      <c r="BJ16" s="39" t="str">
        <f t="shared" ref="BJ16:BJ19" si="60">IFERROR(BG16-BI16,"-")</f>
        <v>-</v>
      </c>
      <c r="BK16" s="21">
        <f>'Dez24'!P20</f>
        <v>0</v>
      </c>
      <c r="BL16" s="39" t="str">
        <f>IFERROR(BK16/BK$15,"-")</f>
        <v>-</v>
      </c>
      <c r="BM16" s="21">
        <f>Paralelo!P20</f>
        <v>0</v>
      </c>
      <c r="BN16" s="39">
        <f>IFERROR(BM16/BM$15,"-")</f>
        <v>0</v>
      </c>
      <c r="BO16" s="39" t="str">
        <f t="shared" ref="BO16:BO19" si="61">IFERROR(BL16-BN16,"-")</f>
        <v>-</v>
      </c>
      <c r="BP16" s="21">
        <f>'Dez24'!Q20</f>
        <v>0</v>
      </c>
      <c r="BQ16" s="39" t="str">
        <f>IFERROR(BP16/BP$15,"-")</f>
        <v>-</v>
      </c>
      <c r="BR16" s="21">
        <f>Paralelo!Q20</f>
        <v>0</v>
      </c>
      <c r="BS16" s="39" t="str">
        <f>IFERROR(BR16/BR$15,"-")</f>
        <v>-</v>
      </c>
      <c r="BT16" s="39" t="str">
        <f t="shared" ref="BT16:BT19" si="62">IFERROR(BQ16-BS16,"-")</f>
        <v>-</v>
      </c>
      <c r="BU16" s="21">
        <f>'Dez24'!R20</f>
        <v>0</v>
      </c>
      <c r="BV16" s="39" t="str">
        <f>IFERROR(BU16/BU$15,"-")</f>
        <v>-</v>
      </c>
      <c r="BW16" s="21">
        <f>Paralelo!R20</f>
        <v>0</v>
      </c>
      <c r="BX16" s="39">
        <f>IFERROR(BW16/BW$15,"-")</f>
        <v>0</v>
      </c>
      <c r="BY16" s="39" t="str">
        <f t="shared" ref="BY16:BY19" si="63">IFERROR(BV16-BX16,"-")</f>
        <v>-</v>
      </c>
    </row>
    <row r="17" spans="2:77" ht="15" customHeight="1" outlineLevel="1" x14ac:dyDescent="0.3">
      <c r="B17" s="18" t="s">
        <v>19</v>
      </c>
      <c r="C17" s="19">
        <f>'Dez24'!D21</f>
        <v>0</v>
      </c>
      <c r="D17" s="39" t="str">
        <f t="shared" ref="D17:F19" si="64">IFERROR(C17/C$15,"-")</f>
        <v>-</v>
      </c>
      <c r="E17" s="19">
        <f>Paralelo!D21</f>
        <v>22.179551</v>
      </c>
      <c r="F17" s="39">
        <f t="shared" si="64"/>
        <v>1</v>
      </c>
      <c r="G17" s="39" t="str">
        <f t="shared" ref="G17:G19" si="65">IFERROR(D17-F17,"-")</f>
        <v>-</v>
      </c>
      <c r="H17" s="19">
        <f>'Dez24'!E21</f>
        <v>0</v>
      </c>
      <c r="I17" s="39" t="str">
        <f t="shared" ref="I17:K17" si="66">IFERROR(H17/H$15,"-")</f>
        <v>-</v>
      </c>
      <c r="J17" s="19">
        <f>Paralelo!E21</f>
        <v>10.931941</v>
      </c>
      <c r="K17" s="39">
        <f t="shared" si="66"/>
        <v>1</v>
      </c>
      <c r="L17" s="39" t="str">
        <f t="shared" si="50"/>
        <v>-</v>
      </c>
      <c r="M17" s="19">
        <f>'Dez24'!F21</f>
        <v>0</v>
      </c>
      <c r="N17" s="39" t="str">
        <f t="shared" ref="N17:P17" si="67">IFERROR(M17/M$15,"-")</f>
        <v>-</v>
      </c>
      <c r="O17" s="19">
        <f>Paralelo!F21</f>
        <v>3.5176050000000001</v>
      </c>
      <c r="P17" s="39">
        <f t="shared" si="67"/>
        <v>1</v>
      </c>
      <c r="Q17" s="39" t="str">
        <f t="shared" si="51"/>
        <v>-</v>
      </c>
      <c r="R17" s="19">
        <f>'Dez24'!G21</f>
        <v>0</v>
      </c>
      <c r="S17" s="39" t="str">
        <f t="shared" ref="S17:U17" si="68">IFERROR(R17/R$15,"-")</f>
        <v>-</v>
      </c>
      <c r="T17" s="19">
        <f>Paralelo!G21</f>
        <v>2.4192399999999998</v>
      </c>
      <c r="U17" s="39">
        <f t="shared" si="68"/>
        <v>1</v>
      </c>
      <c r="V17" s="39" t="str">
        <f t="shared" si="52"/>
        <v>-</v>
      </c>
      <c r="W17" s="19">
        <f>'Dez24'!H21</f>
        <v>0</v>
      </c>
      <c r="X17" s="39" t="str">
        <f t="shared" ref="X17" si="69">IFERROR(W17/W$15,"-")</f>
        <v>-</v>
      </c>
      <c r="Y17" s="19">
        <f>Paralelo!H21</f>
        <v>0.94138900000000003</v>
      </c>
      <c r="Z17" s="39">
        <f t="shared" ref="Z17" si="70">IFERROR(Y17/Y$15,"-")</f>
        <v>1</v>
      </c>
      <c r="AA17" s="39" t="str">
        <f t="shared" si="53"/>
        <v>-</v>
      </c>
      <c r="AB17" s="19">
        <f>'Dez24'!I21</f>
        <v>0</v>
      </c>
      <c r="AC17" s="39" t="str">
        <f t="shared" ref="AC17:AC19" si="71">IFERROR(AB17/AB$15,"-")</f>
        <v>-</v>
      </c>
      <c r="AD17" s="19">
        <f>Paralelo!I21</f>
        <v>0.43797399999999997</v>
      </c>
      <c r="AE17" s="39">
        <f t="shared" ref="AE17:AE19" si="72">IFERROR(AD17/AD$15,"-")</f>
        <v>1</v>
      </c>
      <c r="AF17" s="39" t="str">
        <f t="shared" si="54"/>
        <v>-</v>
      </c>
      <c r="AG17" s="19">
        <f>'Dez24'!J21</f>
        <v>0</v>
      </c>
      <c r="AH17" s="39" t="str">
        <f t="shared" ref="AH17:AH19" si="73">IFERROR(AG17/AG$15,"-")</f>
        <v>-</v>
      </c>
      <c r="AI17" s="19">
        <f>Paralelo!J21</f>
        <v>0.135323</v>
      </c>
      <c r="AJ17" s="39">
        <f t="shared" ref="AJ17:AJ19" si="74">IFERROR(AI17/AI$15,"-")</f>
        <v>1</v>
      </c>
      <c r="AK17" s="39" t="str">
        <f t="shared" si="55"/>
        <v>-</v>
      </c>
      <c r="AL17" s="19">
        <f>'Dez24'!K21</f>
        <v>0</v>
      </c>
      <c r="AM17" s="39" t="str">
        <f t="shared" ref="AM17:AM19" si="75">IFERROR(AL17/AL$15,"-")</f>
        <v>-</v>
      </c>
      <c r="AN17" s="19">
        <f>Paralelo!K21</f>
        <v>3.0636899999999998</v>
      </c>
      <c r="AO17" s="39">
        <f t="shared" ref="AO17:AO19" si="76">IFERROR(AN17/AN$15,"-")</f>
        <v>1</v>
      </c>
      <c r="AP17" s="39" t="str">
        <f t="shared" si="56"/>
        <v>-</v>
      </c>
      <c r="AQ17" s="19">
        <f>'Dez24'!L21</f>
        <v>0</v>
      </c>
      <c r="AR17" s="39" t="str">
        <f t="shared" ref="AR17:AR19" si="77">IFERROR(AQ17/AQ$15,"-")</f>
        <v>-</v>
      </c>
      <c r="AS17" s="19">
        <f>Paralelo!L21</f>
        <v>7.0418390000000004</v>
      </c>
      <c r="AT17" s="39">
        <f t="shared" ref="AT17:AT19" si="78">IFERROR(AS17/AS$15,"-")</f>
        <v>1</v>
      </c>
      <c r="AU17" s="39" t="str">
        <f t="shared" si="57"/>
        <v>-</v>
      </c>
      <c r="AV17" s="19">
        <f>'Dez24'!M21</f>
        <v>0</v>
      </c>
      <c r="AW17" s="39" t="str">
        <f t="shared" ref="AW17:AW19" si="79">IFERROR(AV17/AV$15,"-")</f>
        <v>-</v>
      </c>
      <c r="AX17" s="19">
        <f>Paralelo!M21</f>
        <v>2.3548830000000001</v>
      </c>
      <c r="AY17" s="39">
        <f t="shared" ref="AY17:AY19" si="80">IFERROR(AX17/AX$15,"-")</f>
        <v>1</v>
      </c>
      <c r="AZ17" s="39" t="str">
        <f t="shared" si="58"/>
        <v>-</v>
      </c>
      <c r="BA17" s="19">
        <f>'Dez24'!N21</f>
        <v>0</v>
      </c>
      <c r="BB17" s="39" t="str">
        <f t="shared" ref="BB17:BB19" si="81">IFERROR(BA17/BA$15,"-")</f>
        <v>-</v>
      </c>
      <c r="BC17" s="19">
        <f>Paralelo!N21</f>
        <v>2.1034470000000001</v>
      </c>
      <c r="BD17" s="39">
        <f t="shared" ref="BD17:BD19" si="82">IFERROR(BC17/BC$15,"-")</f>
        <v>1</v>
      </c>
      <c r="BE17" s="39" t="str">
        <f t="shared" si="59"/>
        <v>-</v>
      </c>
      <c r="BF17" s="21">
        <f>'Dez24'!O21</f>
        <v>0</v>
      </c>
      <c r="BG17" s="39" t="str">
        <f t="shared" ref="BG17:BG19" si="83">IFERROR(BF17/BF$15,"-")</f>
        <v>-</v>
      </c>
      <c r="BH17" s="21">
        <f>Paralelo!O21</f>
        <v>2.3693080000000002</v>
      </c>
      <c r="BI17" s="39">
        <f t="shared" ref="BI17:BI19" si="84">IFERROR(BH17/BH$15,"-")</f>
        <v>1</v>
      </c>
      <c r="BJ17" s="39" t="str">
        <f t="shared" si="60"/>
        <v>-</v>
      </c>
      <c r="BK17" s="21">
        <f>'Dez24'!P21</f>
        <v>0</v>
      </c>
      <c r="BL17" s="39" t="str">
        <f t="shared" ref="BL17:BL19" si="85">IFERROR(BK17/BK$15,"-")</f>
        <v>-</v>
      </c>
      <c r="BM17" s="21">
        <f>Paralelo!P21</f>
        <v>1.2256819999999999</v>
      </c>
      <c r="BN17" s="39">
        <f t="shared" ref="BN17:BN19" si="86">IFERROR(BM17/BM$15,"-")</f>
        <v>1</v>
      </c>
      <c r="BO17" s="39" t="str">
        <f t="shared" si="61"/>
        <v>-</v>
      </c>
      <c r="BP17" s="21">
        <f>'Dez24'!Q21</f>
        <v>0</v>
      </c>
      <c r="BQ17" s="39" t="str">
        <f t="shared" ref="BQ17:BQ19" si="87">IFERROR(BP17/BP$15,"-")</f>
        <v>-</v>
      </c>
      <c r="BR17" s="21">
        <f>Paralelo!Q21</f>
        <v>0</v>
      </c>
      <c r="BS17" s="39" t="str">
        <f t="shared" ref="BS17:BS19" si="88">IFERROR(BR17/BR$15,"-")</f>
        <v>-</v>
      </c>
      <c r="BT17" s="39" t="str">
        <f t="shared" si="62"/>
        <v>-</v>
      </c>
      <c r="BU17" s="21">
        <f>'Dez24'!R21</f>
        <v>0</v>
      </c>
      <c r="BV17" s="39" t="str">
        <f t="shared" ref="BV17:BV19" si="89">IFERROR(BU17/BU$15,"-")</f>
        <v>-</v>
      </c>
      <c r="BW17" s="21">
        <f>Paralelo!R21</f>
        <v>4.020702</v>
      </c>
      <c r="BX17" s="39">
        <f t="shared" ref="BX17:BX19" si="90">IFERROR(BW17/BW$15,"-")</f>
        <v>1</v>
      </c>
      <c r="BY17" s="39" t="str">
        <f t="shared" si="63"/>
        <v>-</v>
      </c>
    </row>
    <row r="18" spans="2:77" ht="15" customHeight="1" outlineLevel="1" x14ac:dyDescent="0.3">
      <c r="B18" s="18" t="s">
        <v>20</v>
      </c>
      <c r="C18" s="19">
        <f>'Dez24'!D22</f>
        <v>0</v>
      </c>
      <c r="D18" s="39" t="str">
        <f t="shared" si="64"/>
        <v>-</v>
      </c>
      <c r="E18" s="19">
        <f>Paralelo!D22</f>
        <v>0</v>
      </c>
      <c r="F18" s="39">
        <f t="shared" si="64"/>
        <v>0</v>
      </c>
      <c r="G18" s="39" t="str">
        <f t="shared" si="65"/>
        <v>-</v>
      </c>
      <c r="H18" s="19">
        <f>'Dez24'!E22</f>
        <v>0</v>
      </c>
      <c r="I18" s="39" t="str">
        <f t="shared" ref="I18:K18" si="91">IFERROR(H18/H$15,"-")</f>
        <v>-</v>
      </c>
      <c r="J18" s="19">
        <f>Paralelo!E22</f>
        <v>0</v>
      </c>
      <c r="K18" s="39">
        <f t="shared" si="91"/>
        <v>0</v>
      </c>
      <c r="L18" s="39" t="str">
        <f t="shared" si="50"/>
        <v>-</v>
      </c>
      <c r="M18" s="19">
        <f>'Dez24'!F22</f>
        <v>0</v>
      </c>
      <c r="N18" s="39" t="str">
        <f t="shared" ref="N18:P18" si="92">IFERROR(M18/M$15,"-")</f>
        <v>-</v>
      </c>
      <c r="O18" s="19">
        <f>Paralelo!F22</f>
        <v>0</v>
      </c>
      <c r="P18" s="39">
        <f t="shared" si="92"/>
        <v>0</v>
      </c>
      <c r="Q18" s="39" t="str">
        <f t="shared" si="51"/>
        <v>-</v>
      </c>
      <c r="R18" s="19">
        <f>'Dez24'!G22</f>
        <v>0</v>
      </c>
      <c r="S18" s="39" t="str">
        <f t="shared" ref="S18:U18" si="93">IFERROR(R18/R$15,"-")</f>
        <v>-</v>
      </c>
      <c r="T18" s="19">
        <f>Paralelo!G22</f>
        <v>0</v>
      </c>
      <c r="U18" s="39">
        <f t="shared" si="93"/>
        <v>0</v>
      </c>
      <c r="V18" s="39" t="str">
        <f t="shared" si="52"/>
        <v>-</v>
      </c>
      <c r="W18" s="19">
        <f>'Dez24'!H22</f>
        <v>0</v>
      </c>
      <c r="X18" s="39" t="str">
        <f t="shared" ref="X18" si="94">IFERROR(W18/W$15,"-")</f>
        <v>-</v>
      </c>
      <c r="Y18" s="19">
        <f>Paralelo!H22</f>
        <v>0</v>
      </c>
      <c r="Z18" s="39">
        <f t="shared" ref="Z18" si="95">IFERROR(Y18/Y$15,"-")</f>
        <v>0</v>
      </c>
      <c r="AA18" s="39" t="str">
        <f t="shared" si="53"/>
        <v>-</v>
      </c>
      <c r="AB18" s="19">
        <f>'Dez24'!I22</f>
        <v>0</v>
      </c>
      <c r="AC18" s="39" t="str">
        <f t="shared" si="71"/>
        <v>-</v>
      </c>
      <c r="AD18" s="19">
        <f>Paralelo!I22</f>
        <v>0</v>
      </c>
      <c r="AE18" s="39">
        <f t="shared" si="72"/>
        <v>0</v>
      </c>
      <c r="AF18" s="39" t="str">
        <f t="shared" si="54"/>
        <v>-</v>
      </c>
      <c r="AG18" s="19">
        <f>'Dez24'!J22</f>
        <v>0</v>
      </c>
      <c r="AH18" s="39" t="str">
        <f t="shared" si="73"/>
        <v>-</v>
      </c>
      <c r="AI18" s="19">
        <f>Paralelo!J22</f>
        <v>0</v>
      </c>
      <c r="AJ18" s="39">
        <f t="shared" si="74"/>
        <v>0</v>
      </c>
      <c r="AK18" s="39" t="str">
        <f t="shared" si="55"/>
        <v>-</v>
      </c>
      <c r="AL18" s="19">
        <f>'Dez24'!K22</f>
        <v>0</v>
      </c>
      <c r="AM18" s="39" t="str">
        <f t="shared" si="75"/>
        <v>-</v>
      </c>
      <c r="AN18" s="19">
        <f>Paralelo!K22</f>
        <v>0</v>
      </c>
      <c r="AO18" s="39">
        <f t="shared" si="76"/>
        <v>0</v>
      </c>
      <c r="AP18" s="39" t="str">
        <f t="shared" si="56"/>
        <v>-</v>
      </c>
      <c r="AQ18" s="19">
        <f>'Dez24'!L22</f>
        <v>0</v>
      </c>
      <c r="AR18" s="39" t="str">
        <f t="shared" si="77"/>
        <v>-</v>
      </c>
      <c r="AS18" s="19">
        <f>Paralelo!L22</f>
        <v>0</v>
      </c>
      <c r="AT18" s="39">
        <f t="shared" si="78"/>
        <v>0</v>
      </c>
      <c r="AU18" s="39" t="str">
        <f t="shared" si="57"/>
        <v>-</v>
      </c>
      <c r="AV18" s="19">
        <f>'Dez24'!M22</f>
        <v>0</v>
      </c>
      <c r="AW18" s="39" t="str">
        <f t="shared" si="79"/>
        <v>-</v>
      </c>
      <c r="AX18" s="19">
        <f>Paralelo!M22</f>
        <v>0</v>
      </c>
      <c r="AY18" s="39">
        <f t="shared" si="80"/>
        <v>0</v>
      </c>
      <c r="AZ18" s="39" t="str">
        <f t="shared" si="58"/>
        <v>-</v>
      </c>
      <c r="BA18" s="19">
        <f>'Dez24'!N22</f>
        <v>0</v>
      </c>
      <c r="BB18" s="39" t="str">
        <f t="shared" si="81"/>
        <v>-</v>
      </c>
      <c r="BC18" s="19">
        <f>Paralelo!N22</f>
        <v>0</v>
      </c>
      <c r="BD18" s="39">
        <f t="shared" si="82"/>
        <v>0</v>
      </c>
      <c r="BE18" s="39" t="str">
        <f t="shared" si="59"/>
        <v>-</v>
      </c>
      <c r="BF18" s="21">
        <f>'Dez24'!O22</f>
        <v>0</v>
      </c>
      <c r="BG18" s="39" t="str">
        <f t="shared" si="83"/>
        <v>-</v>
      </c>
      <c r="BH18" s="21">
        <f>Paralelo!O22</f>
        <v>0</v>
      </c>
      <c r="BI18" s="39">
        <f t="shared" si="84"/>
        <v>0</v>
      </c>
      <c r="BJ18" s="39" t="str">
        <f t="shared" si="60"/>
        <v>-</v>
      </c>
      <c r="BK18" s="21">
        <f>'Dez24'!P22</f>
        <v>0</v>
      </c>
      <c r="BL18" s="39" t="str">
        <f t="shared" si="85"/>
        <v>-</v>
      </c>
      <c r="BM18" s="21">
        <f>Paralelo!P22</f>
        <v>0</v>
      </c>
      <c r="BN18" s="39">
        <f t="shared" si="86"/>
        <v>0</v>
      </c>
      <c r="BO18" s="39" t="str">
        <f t="shared" si="61"/>
        <v>-</v>
      </c>
      <c r="BP18" s="21">
        <f>'Dez24'!Q22</f>
        <v>0</v>
      </c>
      <c r="BQ18" s="39" t="str">
        <f t="shared" si="87"/>
        <v>-</v>
      </c>
      <c r="BR18" s="21">
        <f>Paralelo!Q22</f>
        <v>0</v>
      </c>
      <c r="BS18" s="39" t="str">
        <f t="shared" si="88"/>
        <v>-</v>
      </c>
      <c r="BT18" s="39" t="str">
        <f t="shared" si="62"/>
        <v>-</v>
      </c>
      <c r="BU18" s="21">
        <f>'Dez24'!R22</f>
        <v>0</v>
      </c>
      <c r="BV18" s="39" t="str">
        <f t="shared" si="89"/>
        <v>-</v>
      </c>
      <c r="BW18" s="21">
        <f>Paralelo!R22</f>
        <v>0</v>
      </c>
      <c r="BX18" s="39">
        <f t="shared" si="90"/>
        <v>0</v>
      </c>
      <c r="BY18" s="39" t="str">
        <f t="shared" si="63"/>
        <v>-</v>
      </c>
    </row>
    <row r="19" spans="2:77" ht="14.4" outlineLevel="1" x14ac:dyDescent="0.3">
      <c r="B19" s="18" t="s">
        <v>21</v>
      </c>
      <c r="C19" s="19">
        <f>'Dez24'!D23</f>
        <v>0</v>
      </c>
      <c r="D19" s="39" t="str">
        <f t="shared" si="64"/>
        <v>-</v>
      </c>
      <c r="E19" s="19">
        <f>Paralelo!D23</f>
        <v>18.383472000000001</v>
      </c>
      <c r="F19" s="39">
        <f t="shared" si="64"/>
        <v>0.82884779768535444</v>
      </c>
      <c r="G19" s="39" t="str">
        <f t="shared" si="65"/>
        <v>-</v>
      </c>
      <c r="H19" s="19">
        <f>'Dez24'!E23</f>
        <v>0</v>
      </c>
      <c r="I19" s="39" t="str">
        <f t="shared" ref="I19:K19" si="96">IFERROR(H19/H$15,"-")</f>
        <v>-</v>
      </c>
      <c r="J19" s="19">
        <f>Paralelo!E23</f>
        <v>10.931941</v>
      </c>
      <c r="K19" s="39">
        <f t="shared" si="96"/>
        <v>1</v>
      </c>
      <c r="L19" s="39" t="str">
        <f t="shared" si="50"/>
        <v>-</v>
      </c>
      <c r="M19" s="19">
        <f>'Dez24'!F23</f>
        <v>0</v>
      </c>
      <c r="N19" s="39" t="str">
        <f t="shared" ref="N19:P19" si="97">IFERROR(M19/M$15,"-")</f>
        <v>-</v>
      </c>
      <c r="O19" s="19">
        <f>Paralelo!F23</f>
        <v>3.5176050000000001</v>
      </c>
      <c r="P19" s="39">
        <f t="shared" si="97"/>
        <v>1</v>
      </c>
      <c r="Q19" s="39" t="str">
        <f t="shared" si="51"/>
        <v>-</v>
      </c>
      <c r="R19" s="19">
        <f>'Dez24'!G23</f>
        <v>0</v>
      </c>
      <c r="S19" s="39" t="str">
        <f t="shared" ref="S19:U19" si="98">IFERROR(R19/R$15,"-")</f>
        <v>-</v>
      </c>
      <c r="T19" s="19">
        <f>Paralelo!G23</f>
        <v>2.4192399999999998</v>
      </c>
      <c r="U19" s="39">
        <f t="shared" si="98"/>
        <v>1</v>
      </c>
      <c r="V19" s="39" t="str">
        <f t="shared" si="52"/>
        <v>-</v>
      </c>
      <c r="W19" s="19">
        <f>'Dez24'!H23</f>
        <v>0</v>
      </c>
      <c r="X19" s="39" t="str">
        <f t="shared" ref="X19" si="99">IFERROR(W19/W$15,"-")</f>
        <v>-</v>
      </c>
      <c r="Y19" s="19">
        <f>Paralelo!H23</f>
        <v>0.94138900000000003</v>
      </c>
      <c r="Z19" s="39">
        <f t="shared" ref="Z19" si="100">IFERROR(Y19/Y$15,"-")</f>
        <v>1</v>
      </c>
      <c r="AA19" s="39" t="str">
        <f t="shared" si="53"/>
        <v>-</v>
      </c>
      <c r="AB19" s="19">
        <f>'Dez24'!I23</f>
        <v>0</v>
      </c>
      <c r="AC19" s="39" t="str">
        <f t="shared" si="71"/>
        <v>-</v>
      </c>
      <c r="AD19" s="19">
        <f>Paralelo!I23</f>
        <v>0.43797399999999997</v>
      </c>
      <c r="AE19" s="39">
        <f t="shared" si="72"/>
        <v>1</v>
      </c>
      <c r="AF19" s="39" t="str">
        <f t="shared" si="54"/>
        <v>-</v>
      </c>
      <c r="AG19" s="19">
        <f>'Dez24'!J23</f>
        <v>0</v>
      </c>
      <c r="AH19" s="39" t="str">
        <f t="shared" si="73"/>
        <v>-</v>
      </c>
      <c r="AI19" s="19">
        <f>Paralelo!J23</f>
        <v>0.135323</v>
      </c>
      <c r="AJ19" s="39">
        <f t="shared" si="74"/>
        <v>1</v>
      </c>
      <c r="AK19" s="39" t="str">
        <f t="shared" si="55"/>
        <v>-</v>
      </c>
      <c r="AL19" s="19">
        <f>'Dez24'!K23</f>
        <v>0</v>
      </c>
      <c r="AM19" s="39" t="str">
        <f t="shared" si="75"/>
        <v>-</v>
      </c>
      <c r="AN19" s="19">
        <f>Paralelo!K23</f>
        <v>0</v>
      </c>
      <c r="AO19" s="39">
        <f t="shared" si="76"/>
        <v>0</v>
      </c>
      <c r="AP19" s="39" t="str">
        <f t="shared" si="56"/>
        <v>-</v>
      </c>
      <c r="AQ19" s="19">
        <f>'Dez24'!L23</f>
        <v>0</v>
      </c>
      <c r="AR19" s="39" t="str">
        <f t="shared" si="77"/>
        <v>-</v>
      </c>
      <c r="AS19" s="19">
        <f>Paralelo!L23</f>
        <v>0</v>
      </c>
      <c r="AT19" s="39">
        <f t="shared" si="78"/>
        <v>0</v>
      </c>
      <c r="AU19" s="39" t="str">
        <f t="shared" si="57"/>
        <v>-</v>
      </c>
      <c r="AV19" s="19">
        <f>'Dez24'!M23</f>
        <v>0</v>
      </c>
      <c r="AW19" s="39" t="str">
        <f t="shared" si="79"/>
        <v>-</v>
      </c>
      <c r="AX19" s="19">
        <f>Paralelo!M23</f>
        <v>0</v>
      </c>
      <c r="AY19" s="39">
        <f t="shared" si="80"/>
        <v>0</v>
      </c>
      <c r="AZ19" s="39" t="str">
        <f t="shared" si="58"/>
        <v>-</v>
      </c>
      <c r="BA19" s="19">
        <f>'Dez24'!N23</f>
        <v>0</v>
      </c>
      <c r="BB19" s="39" t="str">
        <f t="shared" si="81"/>
        <v>-</v>
      </c>
      <c r="BC19" s="19">
        <f>Paralelo!N23</f>
        <v>0</v>
      </c>
      <c r="BD19" s="39">
        <f t="shared" si="82"/>
        <v>0</v>
      </c>
      <c r="BE19" s="39" t="str">
        <f t="shared" si="59"/>
        <v>-</v>
      </c>
      <c r="BF19" s="21">
        <f>'Dez24'!O23</f>
        <v>0</v>
      </c>
      <c r="BG19" s="39" t="str">
        <f t="shared" si="83"/>
        <v>-</v>
      </c>
      <c r="BH19" s="21">
        <f>Paralelo!O23</f>
        <v>0</v>
      </c>
      <c r="BI19" s="39">
        <f t="shared" si="84"/>
        <v>0</v>
      </c>
      <c r="BJ19" s="39" t="str">
        <f t="shared" si="60"/>
        <v>-</v>
      </c>
      <c r="BK19" s="21">
        <f>'Dez24'!P23</f>
        <v>0</v>
      </c>
      <c r="BL19" s="39" t="str">
        <f t="shared" si="85"/>
        <v>-</v>
      </c>
      <c r="BM19" s="21">
        <f>Paralelo!P23</f>
        <v>0</v>
      </c>
      <c r="BN19" s="39">
        <f t="shared" si="86"/>
        <v>0</v>
      </c>
      <c r="BO19" s="39" t="str">
        <f t="shared" si="61"/>
        <v>-</v>
      </c>
      <c r="BP19" s="21">
        <f>'Dez24'!Q23</f>
        <v>0</v>
      </c>
      <c r="BQ19" s="39" t="str">
        <f t="shared" si="87"/>
        <v>-</v>
      </c>
      <c r="BR19" s="21">
        <f>Paralelo!Q23</f>
        <v>0</v>
      </c>
      <c r="BS19" s="39" t="str">
        <f t="shared" si="88"/>
        <v>-</v>
      </c>
      <c r="BT19" s="39" t="str">
        <f t="shared" si="62"/>
        <v>-</v>
      </c>
      <c r="BU19" s="21">
        <f>'Dez24'!R23</f>
        <v>0</v>
      </c>
      <c r="BV19" s="39" t="str">
        <f t="shared" si="89"/>
        <v>-</v>
      </c>
      <c r="BW19" s="21">
        <f>Paralelo!R23</f>
        <v>2.3466100000000001</v>
      </c>
      <c r="BX19" s="39">
        <f t="shared" si="90"/>
        <v>0.58363191303409212</v>
      </c>
      <c r="BY19" s="39" t="str">
        <f t="shared" si="63"/>
        <v>-</v>
      </c>
    </row>
    <row r="20" spans="2:77" ht="14.4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spans="2:77" ht="14.4" hidden="1" x14ac:dyDescent="0.3"/>
    <row r="22" spans="2:77" ht="14.4" hidden="1" x14ac:dyDescent="0.3"/>
    <row r="23" spans="2:77" ht="14.4" hidden="1" x14ac:dyDescent="0.3"/>
    <row r="24" spans="2:77" ht="14.4" hidden="1" x14ac:dyDescent="0.3"/>
    <row r="25" spans="2:77" ht="14.4" hidden="1" x14ac:dyDescent="0.3"/>
    <row r="26" spans="2:77" ht="14.4" hidden="1" x14ac:dyDescent="0.3"/>
    <row r="27" spans="2:77" ht="14.4" hidden="1" x14ac:dyDescent="0.3"/>
    <row r="28" spans="2:77" ht="14.4" hidden="1" x14ac:dyDescent="0.3"/>
    <row r="29" spans="2:77" ht="14.4" hidden="1" x14ac:dyDescent="0.3"/>
    <row r="30" spans="2:77" ht="14.4" hidden="1" x14ac:dyDescent="0.3"/>
    <row r="31" spans="2:77" ht="14.4" hidden="1" x14ac:dyDescent="0.3"/>
    <row r="32" spans="2:77" ht="14.4" hidden="1" x14ac:dyDescent="0.3"/>
    <row r="33" ht="14.4" hidden="1" x14ac:dyDescent="0.3"/>
    <row r="34" ht="14.4" hidden="1" x14ac:dyDescent="0.3"/>
    <row r="35" ht="14.4" hidden="1" x14ac:dyDescent="0.3"/>
    <row r="36" ht="14.4" hidden="1" x14ac:dyDescent="0.3"/>
    <row r="37" ht="14.4" hidden="1" x14ac:dyDescent="0.3"/>
    <row r="38" ht="14.4" hidden="1" x14ac:dyDescent="0.3"/>
    <row r="39" ht="14.4" hidden="1" x14ac:dyDescent="0.3"/>
    <row r="40" ht="14.4" hidden="1" x14ac:dyDescent="0.3"/>
    <row r="41" ht="14.4" hidden="1" x14ac:dyDescent="0.3"/>
    <row r="42" ht="14.4" hidden="1" x14ac:dyDescent="0.3"/>
    <row r="43" ht="14.4" hidden="1" x14ac:dyDescent="0.3"/>
    <row r="44" ht="14.4" hidden="1" x14ac:dyDescent="0.3"/>
    <row r="45" ht="14.4" hidden="1" x14ac:dyDescent="0.3"/>
    <row r="46" ht="14.4" hidden="1" x14ac:dyDescent="0.3"/>
    <row r="47" ht="14.4" hidden="1" x14ac:dyDescent="0.3"/>
    <row r="48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4.4" hidden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25"/>
  <sheetViews>
    <sheetView zoomScaleNormal="100" workbookViewId="0"/>
  </sheetViews>
  <sheetFormatPr defaultColWidth="0" defaultRowHeight="14.4" zeroHeight="1" x14ac:dyDescent="0.3"/>
  <cols>
    <col min="1" max="1" width="3.6640625" style="35" customWidth="1"/>
    <col min="2" max="2" width="3" style="35" bestFit="1" customWidth="1"/>
    <col min="3" max="3" width="84.44140625" style="35" bestFit="1" customWidth="1"/>
    <col min="4" max="19" width="16.6640625" style="35" customWidth="1"/>
    <col min="20" max="20" width="3.6640625" style="35" customWidth="1"/>
    <col min="21" max="16384" width="0" style="35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x14ac:dyDescent="0.3">
      <c r="C8" s="9" t="s">
        <v>23</v>
      </c>
      <c r="D8" s="2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x14ac:dyDescent="0.3">
      <c r="C9" s="9"/>
      <c r="D9" s="2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36</v>
      </c>
      <c r="Q10" s="10" t="s">
        <v>37</v>
      </c>
      <c r="R10" s="10" t="s">
        <v>38</v>
      </c>
      <c r="S10" s="10" t="s">
        <v>39</v>
      </c>
    </row>
    <row r="11" spans="1:24" s="8" customFormat="1" ht="24" customHeight="1" x14ac:dyDescent="0.3">
      <c r="C11" s="11" t="s">
        <v>40</v>
      </c>
      <c r="D11" s="75" t="s">
        <v>41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  <c r="T11" s="23"/>
    </row>
    <row r="12" spans="1:24" s="8" customFormat="1" ht="24" customHeight="1" x14ac:dyDescent="0.3">
      <c r="C12" s="12"/>
      <c r="D12" s="24"/>
      <c r="E12" s="78" t="s">
        <v>42</v>
      </c>
      <c r="F12" s="79"/>
      <c r="G12" s="79"/>
      <c r="H12" s="79"/>
      <c r="I12" s="79"/>
      <c r="J12" s="80"/>
      <c r="K12" s="78" t="s">
        <v>43</v>
      </c>
      <c r="L12" s="79"/>
      <c r="M12" s="79"/>
      <c r="N12" s="79"/>
      <c r="O12" s="79"/>
      <c r="P12" s="79"/>
      <c r="Q12" s="80"/>
      <c r="R12" s="75" t="s">
        <v>15</v>
      </c>
      <c r="S12" s="77"/>
      <c r="T12" s="23"/>
    </row>
    <row r="13" spans="1:24" s="8" customFormat="1" ht="43.65" customHeight="1" x14ac:dyDescent="0.3">
      <c r="C13" s="25"/>
      <c r="D13" s="26"/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6" t="s">
        <v>8</v>
      </c>
      <c r="L13" s="26" t="s">
        <v>9</v>
      </c>
      <c r="M13" s="26" t="s">
        <v>10</v>
      </c>
      <c r="N13" s="26" t="s">
        <v>11</v>
      </c>
      <c r="O13" s="26" t="s">
        <v>12</v>
      </c>
      <c r="P13" s="26" t="s">
        <v>13</v>
      </c>
      <c r="Q13" s="26" t="s">
        <v>14</v>
      </c>
      <c r="R13" s="28"/>
      <c r="S13" s="29" t="s">
        <v>44</v>
      </c>
      <c r="T13" s="23"/>
    </row>
    <row r="14" spans="1:24" s="8" customFormat="1" ht="13.8" x14ac:dyDescent="0.3">
      <c r="A14" s="30">
        <v>1000000</v>
      </c>
      <c r="B14" s="10">
        <v>1</v>
      </c>
      <c r="C14" s="31" t="s">
        <v>17</v>
      </c>
      <c r="D14" s="41">
        <v>26833.996932000002</v>
      </c>
      <c r="E14" s="41">
        <v>8842.7385169999998</v>
      </c>
      <c r="F14" s="41">
        <v>6594.4720259999995</v>
      </c>
      <c r="G14" s="41">
        <v>1780.651243</v>
      </c>
      <c r="H14" s="41">
        <v>249.815676</v>
      </c>
      <c r="I14" s="41">
        <v>73.330776</v>
      </c>
      <c r="J14" s="41">
        <v>87.354292999999998</v>
      </c>
      <c r="K14" s="41">
        <v>1745.475543</v>
      </c>
      <c r="L14" s="41">
        <v>1814.156438</v>
      </c>
      <c r="M14" s="41">
        <v>3317.7250480000002</v>
      </c>
      <c r="N14" s="41">
        <v>3289.722276</v>
      </c>
      <c r="O14" s="41">
        <v>1832.8598530000002</v>
      </c>
      <c r="P14" s="41">
        <v>821.85213199999998</v>
      </c>
      <c r="Q14" s="41">
        <v>2.979174</v>
      </c>
      <c r="R14" s="41">
        <v>14009.226467999999</v>
      </c>
      <c r="S14" s="32">
        <v>0.98145716142191219</v>
      </c>
      <c r="T14" s="23"/>
    </row>
    <row r="15" spans="1:24" s="8" customFormat="1" ht="13.8" x14ac:dyDescent="0.3">
      <c r="A15" s="30"/>
      <c r="B15" s="10">
        <v>2</v>
      </c>
      <c r="C15" s="33" t="s">
        <v>18</v>
      </c>
      <c r="D15" s="41">
        <v>3564.42922</v>
      </c>
      <c r="E15" s="41">
        <v>1195.7892039999999</v>
      </c>
      <c r="F15" s="41">
        <v>1697.329379</v>
      </c>
      <c r="G15" s="41">
        <v>208.25164699999999</v>
      </c>
      <c r="H15" s="41">
        <v>10.462529</v>
      </c>
      <c r="I15" s="41">
        <v>5.4134419999999999</v>
      </c>
      <c r="J15" s="41">
        <v>13.343540000000001</v>
      </c>
      <c r="K15" s="41">
        <v>76.938940000000002</v>
      </c>
      <c r="L15" s="41">
        <v>160.71633499999999</v>
      </c>
      <c r="M15" s="41">
        <v>107.044533</v>
      </c>
      <c r="N15" s="41">
        <v>76.000791000000007</v>
      </c>
      <c r="O15" s="41">
        <v>36.374197000000002</v>
      </c>
      <c r="P15" s="41">
        <v>33.117265000000003</v>
      </c>
      <c r="Q15" s="41">
        <v>0.71281399999999995</v>
      </c>
      <c r="R15" s="41">
        <v>3073.5243449999998</v>
      </c>
      <c r="S15" s="32">
        <v>0.92701624688123307</v>
      </c>
      <c r="T15" s="23"/>
    </row>
    <row r="16" spans="1:24" s="8" customFormat="1" ht="13.8" x14ac:dyDescent="0.3">
      <c r="A16" s="30"/>
      <c r="B16" s="10">
        <v>3</v>
      </c>
      <c r="C16" s="33" t="s">
        <v>19</v>
      </c>
      <c r="D16" s="41">
        <v>23269.567712</v>
      </c>
      <c r="E16" s="41">
        <v>7646.9493130000001</v>
      </c>
      <c r="F16" s="41">
        <v>4897.1426469999997</v>
      </c>
      <c r="G16" s="41">
        <v>1572.399596</v>
      </c>
      <c r="H16" s="41">
        <v>239.35314700000001</v>
      </c>
      <c r="I16" s="41">
        <v>67.917333999999997</v>
      </c>
      <c r="J16" s="41">
        <v>74.010752999999994</v>
      </c>
      <c r="K16" s="41">
        <v>1668.536603</v>
      </c>
      <c r="L16" s="41">
        <v>1653.4401029999999</v>
      </c>
      <c r="M16" s="41">
        <v>3210.680515</v>
      </c>
      <c r="N16" s="41">
        <v>3213.721485</v>
      </c>
      <c r="O16" s="41">
        <v>1796.4856560000001</v>
      </c>
      <c r="P16" s="41">
        <v>788.73486700000001</v>
      </c>
      <c r="Q16" s="41">
        <v>2.2663600000000002</v>
      </c>
      <c r="R16" s="41">
        <v>10935.702122999999</v>
      </c>
      <c r="S16" s="32">
        <v>0.99675800578680418</v>
      </c>
      <c r="T16" s="23"/>
    </row>
    <row r="17" spans="1:20" s="8" customFormat="1" ht="13.8" x14ac:dyDescent="0.3">
      <c r="A17" s="30"/>
      <c r="B17" s="10">
        <v>4</v>
      </c>
      <c r="C17" s="33" t="s">
        <v>20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32">
        <v>0</v>
      </c>
      <c r="T17" s="23"/>
    </row>
    <row r="18" spans="1:20" s="8" customFormat="1" ht="13.8" x14ac:dyDescent="0.3">
      <c r="A18" s="30"/>
      <c r="B18" s="10">
        <v>5</v>
      </c>
      <c r="C18" s="34" t="s">
        <v>21</v>
      </c>
      <c r="D18" s="41">
        <v>17628.362530999999</v>
      </c>
      <c r="E18" s="41">
        <v>8842.7385169999998</v>
      </c>
      <c r="F18" s="41">
        <v>6594.4720260000004</v>
      </c>
      <c r="G18" s="41">
        <v>1780.651243</v>
      </c>
      <c r="H18" s="41">
        <v>249.815676</v>
      </c>
      <c r="I18" s="41">
        <v>73.330776</v>
      </c>
      <c r="J18" s="41">
        <v>87.354292999999998</v>
      </c>
      <c r="K18" s="42"/>
      <c r="L18" s="42"/>
      <c r="M18" s="42"/>
      <c r="N18" s="42"/>
      <c r="O18" s="42"/>
      <c r="P18" s="42"/>
      <c r="Q18" s="42"/>
      <c r="R18" s="41">
        <v>13749.273424999999</v>
      </c>
      <c r="S18" s="32">
        <v>1.0000132529184902</v>
      </c>
      <c r="T18" s="23"/>
    </row>
    <row r="19" spans="1:20" s="8" customFormat="1" ht="13.8" x14ac:dyDescent="0.3">
      <c r="B19" s="10">
        <v>6</v>
      </c>
      <c r="C19" s="31" t="s">
        <v>22</v>
      </c>
      <c r="D19" s="41">
        <v>22.179551</v>
      </c>
      <c r="E19" s="43">
        <v>10.931941</v>
      </c>
      <c r="F19" s="43">
        <v>3.5176050000000001</v>
      </c>
      <c r="G19" s="43">
        <v>2.4192399999999998</v>
      </c>
      <c r="H19" s="43">
        <v>0.94138900000000003</v>
      </c>
      <c r="I19" s="43">
        <v>0.43797399999999997</v>
      </c>
      <c r="J19" s="43">
        <v>0.135323</v>
      </c>
      <c r="K19" s="41">
        <v>3.0636899999999998</v>
      </c>
      <c r="L19" s="41">
        <v>7.0418390000000004</v>
      </c>
      <c r="M19" s="41">
        <v>2.3548830000000001</v>
      </c>
      <c r="N19" s="41">
        <v>2.1034470000000001</v>
      </c>
      <c r="O19" s="41">
        <v>2.3693080000000002</v>
      </c>
      <c r="P19" s="41">
        <v>1.2256819999999999</v>
      </c>
      <c r="Q19" s="41">
        <v>0</v>
      </c>
      <c r="R19" s="41">
        <v>4.020702</v>
      </c>
      <c r="S19" s="63">
        <v>0.58363191303409212</v>
      </c>
    </row>
    <row r="20" spans="1:20" x14ac:dyDescent="0.3">
      <c r="B20" s="10">
        <v>7</v>
      </c>
      <c r="C20" s="33" t="s">
        <v>18</v>
      </c>
      <c r="D20" s="41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63">
        <v>0</v>
      </c>
    </row>
    <row r="21" spans="1:20" x14ac:dyDescent="0.3">
      <c r="B21" s="10">
        <v>8</v>
      </c>
      <c r="C21" s="33" t="s">
        <v>19</v>
      </c>
      <c r="D21" s="41">
        <v>22.179551</v>
      </c>
      <c r="E21" s="43">
        <v>10.931941</v>
      </c>
      <c r="F21" s="43">
        <v>3.5176050000000001</v>
      </c>
      <c r="G21" s="43">
        <v>2.4192399999999998</v>
      </c>
      <c r="H21" s="43">
        <v>0.94138900000000003</v>
      </c>
      <c r="I21" s="43">
        <v>0.43797399999999997</v>
      </c>
      <c r="J21" s="43">
        <v>0.135323</v>
      </c>
      <c r="K21" s="41">
        <v>3.0636899999999998</v>
      </c>
      <c r="L21" s="41">
        <v>7.0418390000000004</v>
      </c>
      <c r="M21" s="41">
        <v>2.3548830000000001</v>
      </c>
      <c r="N21" s="41">
        <v>2.1034470000000001</v>
      </c>
      <c r="O21" s="41">
        <v>2.3693080000000002</v>
      </c>
      <c r="P21" s="41">
        <v>1.2256819999999999</v>
      </c>
      <c r="Q21" s="41">
        <v>0</v>
      </c>
      <c r="R21" s="41">
        <v>4.020702</v>
      </c>
      <c r="S21" s="63">
        <v>0.58363191303409212</v>
      </c>
    </row>
    <row r="22" spans="1:20" s="8" customFormat="1" ht="13.8" x14ac:dyDescent="0.3">
      <c r="B22" s="10">
        <v>9</v>
      </c>
      <c r="C22" s="33" t="s">
        <v>20</v>
      </c>
      <c r="D22" s="41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63">
        <v>0</v>
      </c>
      <c r="T22" s="23"/>
    </row>
    <row r="23" spans="1:20" s="8" customFormat="1" ht="13.8" x14ac:dyDescent="0.3">
      <c r="B23" s="10">
        <v>10</v>
      </c>
      <c r="C23" s="34" t="s">
        <v>21</v>
      </c>
      <c r="D23" s="41">
        <v>18.383472000000001</v>
      </c>
      <c r="E23" s="43">
        <v>10.931941</v>
      </c>
      <c r="F23" s="43">
        <v>3.5176050000000001</v>
      </c>
      <c r="G23" s="43">
        <v>2.4192399999999998</v>
      </c>
      <c r="H23" s="43">
        <v>0.94138900000000003</v>
      </c>
      <c r="I23" s="43">
        <v>0.43797399999999997</v>
      </c>
      <c r="J23" s="43">
        <v>0.135323</v>
      </c>
      <c r="K23" s="42"/>
      <c r="L23" s="42"/>
      <c r="M23" s="42"/>
      <c r="N23" s="42"/>
      <c r="O23" s="42"/>
      <c r="P23" s="42"/>
      <c r="Q23" s="42"/>
      <c r="R23" s="41">
        <v>2.3466100000000001</v>
      </c>
      <c r="S23" s="63">
        <v>1</v>
      </c>
      <c r="T23" s="23"/>
    </row>
    <row r="24" spans="1:20" x14ac:dyDescent="0.3">
      <c r="D24" s="40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20" hidden="1" x14ac:dyDescent="0.3">
      <c r="K25" s="37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X25"/>
  <sheetViews>
    <sheetView zoomScaleNormal="100" workbookViewId="0"/>
  </sheetViews>
  <sheetFormatPr defaultColWidth="0" defaultRowHeight="15" customHeight="1" zeroHeight="1" x14ac:dyDescent="0.3"/>
  <cols>
    <col min="1" max="1" width="3.6640625" style="35" customWidth="1"/>
    <col min="2" max="2" width="3" style="35" bestFit="1" customWidth="1"/>
    <col min="3" max="3" width="84.44140625" style="35" bestFit="1" customWidth="1"/>
    <col min="4" max="19" width="16.6640625" style="35" customWidth="1"/>
    <col min="20" max="20" width="3.6640625" style="35" customWidth="1"/>
    <col min="21" max="16384" width="0" style="35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ht="14.4" x14ac:dyDescent="0.3">
      <c r="C8" s="9" t="s">
        <v>23</v>
      </c>
      <c r="D8" s="2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ht="14.4" x14ac:dyDescent="0.3">
      <c r="C9" s="9"/>
      <c r="D9" s="2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36</v>
      </c>
      <c r="Q10" s="10" t="s">
        <v>37</v>
      </c>
      <c r="R10" s="10" t="s">
        <v>38</v>
      </c>
      <c r="S10" s="10" t="s">
        <v>39</v>
      </c>
    </row>
    <row r="11" spans="1:24" s="8" customFormat="1" ht="24" customHeight="1" x14ac:dyDescent="0.3">
      <c r="C11" s="11" t="s">
        <v>40</v>
      </c>
      <c r="D11" s="75" t="s">
        <v>41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  <c r="T11" s="23"/>
    </row>
    <row r="12" spans="1:24" s="8" customFormat="1" ht="24" customHeight="1" x14ac:dyDescent="0.3">
      <c r="C12" s="12"/>
      <c r="D12" s="24"/>
      <c r="E12" s="78" t="s">
        <v>42</v>
      </c>
      <c r="F12" s="79"/>
      <c r="G12" s="79"/>
      <c r="H12" s="79"/>
      <c r="I12" s="79"/>
      <c r="J12" s="80"/>
      <c r="K12" s="78" t="s">
        <v>43</v>
      </c>
      <c r="L12" s="79"/>
      <c r="M12" s="79"/>
      <c r="N12" s="79"/>
      <c r="O12" s="79"/>
      <c r="P12" s="79"/>
      <c r="Q12" s="80"/>
      <c r="R12" s="75" t="s">
        <v>15</v>
      </c>
      <c r="S12" s="77"/>
      <c r="T12" s="23"/>
    </row>
    <row r="13" spans="1:24" s="8" customFormat="1" ht="43.65" customHeight="1" x14ac:dyDescent="0.3">
      <c r="C13" s="25"/>
      <c r="D13" s="26"/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6" t="s">
        <v>8</v>
      </c>
      <c r="L13" s="26" t="s">
        <v>9</v>
      </c>
      <c r="M13" s="26" t="s">
        <v>10</v>
      </c>
      <c r="N13" s="26" t="s">
        <v>11</v>
      </c>
      <c r="O13" s="26" t="s">
        <v>12</v>
      </c>
      <c r="P13" s="26" t="s">
        <v>13</v>
      </c>
      <c r="Q13" s="26" t="s">
        <v>14</v>
      </c>
      <c r="R13" s="28"/>
      <c r="S13" s="29" t="s">
        <v>44</v>
      </c>
      <c r="T13" s="23"/>
    </row>
    <row r="14" spans="1:24" s="8" customFormat="1" ht="13.8" x14ac:dyDescent="0.3">
      <c r="A14" s="30">
        <v>1000000</v>
      </c>
      <c r="B14" s="10">
        <v>1</v>
      </c>
      <c r="C14" s="31" t="s">
        <v>17</v>
      </c>
      <c r="D14" s="41">
        <v>26904.628052</v>
      </c>
      <c r="E14" s="41">
        <v>13857.398217</v>
      </c>
      <c r="F14" s="41">
        <v>10225.19167</v>
      </c>
      <c r="G14" s="41">
        <v>2367.2076109999998</v>
      </c>
      <c r="H14" s="41">
        <v>188.210984</v>
      </c>
      <c r="I14" s="41">
        <v>1.1108199999999999</v>
      </c>
      <c r="J14" s="41">
        <v>1.5201309999999999</v>
      </c>
      <c r="K14" s="41">
        <v>1671.450621</v>
      </c>
      <c r="L14" s="41">
        <v>1784.9640039999999</v>
      </c>
      <c r="M14" s="41">
        <v>3299.9852810000002</v>
      </c>
      <c r="N14" s="41">
        <v>3275.3678460000001</v>
      </c>
      <c r="O14" s="41">
        <v>1823.456758</v>
      </c>
      <c r="P14" s="41">
        <v>817.21932600000002</v>
      </c>
      <c r="Q14" s="41">
        <v>2.9791750000000001</v>
      </c>
      <c r="R14" s="41">
        <v>14229.205040999999</v>
      </c>
      <c r="S14" s="32">
        <v>0.98145782647450996</v>
      </c>
      <c r="T14" s="23"/>
    </row>
    <row r="15" spans="1:24" s="8" customFormat="1" ht="13.8" x14ac:dyDescent="0.3">
      <c r="A15" s="30"/>
      <c r="B15" s="10">
        <v>2</v>
      </c>
      <c r="C15" s="33" t="s">
        <v>18</v>
      </c>
      <c r="D15" s="41">
        <v>3564.4292249999999</v>
      </c>
      <c r="E15" s="41">
        <v>1309.576605</v>
      </c>
      <c r="F15" s="41">
        <v>1805.1866259999999</v>
      </c>
      <c r="G15" s="41">
        <v>215.60634300000001</v>
      </c>
      <c r="H15" s="41">
        <v>9.0199110000000005</v>
      </c>
      <c r="I15" s="41">
        <v>1.0000000000000001E-5</v>
      </c>
      <c r="J15" s="41">
        <v>1.5201309999999999</v>
      </c>
      <c r="K15" s="41">
        <v>76.726506999999998</v>
      </c>
      <c r="L15" s="41">
        <v>162.195592</v>
      </c>
      <c r="M15" s="41">
        <v>106.266201</v>
      </c>
      <c r="N15" s="41">
        <v>75.884760999999997</v>
      </c>
      <c r="O15" s="41">
        <v>35.911971000000001</v>
      </c>
      <c r="P15" s="41">
        <v>33.117263999999999</v>
      </c>
      <c r="Q15" s="41">
        <v>0.71281399999999995</v>
      </c>
      <c r="R15" s="41">
        <v>3073.6141149999999</v>
      </c>
      <c r="S15" s="32">
        <v>0.92727750666254338</v>
      </c>
      <c r="T15" s="23"/>
    </row>
    <row r="16" spans="1:24" s="8" customFormat="1" ht="13.8" x14ac:dyDescent="0.3">
      <c r="A16" s="30"/>
      <c r="B16" s="10">
        <v>3</v>
      </c>
      <c r="C16" s="33" t="s">
        <v>19</v>
      </c>
      <c r="D16" s="41">
        <v>23291.74726</v>
      </c>
      <c r="E16" s="41">
        <v>12529.955185000001</v>
      </c>
      <c r="F16" s="41">
        <v>8394.6603680000007</v>
      </c>
      <c r="G16" s="41">
        <v>2149.729104</v>
      </c>
      <c r="H16" s="41">
        <v>178.979591</v>
      </c>
      <c r="I16" s="41">
        <v>1.1108100000000001</v>
      </c>
      <c r="J16" s="41">
        <v>0</v>
      </c>
      <c r="K16" s="41">
        <v>1594.7241140000001</v>
      </c>
      <c r="L16" s="41">
        <v>1622.6418289999999</v>
      </c>
      <c r="M16" s="41">
        <v>3193.2777120000001</v>
      </c>
      <c r="N16" s="41">
        <v>3199.195678</v>
      </c>
      <c r="O16" s="41">
        <v>1787.281853</v>
      </c>
      <c r="P16" s="41">
        <v>783.44508900000005</v>
      </c>
      <c r="Q16" s="41">
        <v>2.2663609999999998</v>
      </c>
      <c r="R16" s="41">
        <v>11108.914623999999</v>
      </c>
      <c r="S16" s="32">
        <v>0.99666212836671808</v>
      </c>
      <c r="T16" s="23"/>
    </row>
    <row r="17" spans="1:20" s="8" customFormat="1" ht="13.8" x14ac:dyDescent="0.3">
      <c r="A17" s="30"/>
      <c r="B17" s="10">
        <v>4</v>
      </c>
      <c r="C17" s="33" t="s">
        <v>20</v>
      </c>
      <c r="D17" s="41">
        <v>48.451566999999997</v>
      </c>
      <c r="E17" s="41">
        <v>17.866427000000002</v>
      </c>
      <c r="F17" s="41">
        <v>25.344676</v>
      </c>
      <c r="G17" s="41">
        <v>1.8721639999999999</v>
      </c>
      <c r="H17" s="41">
        <v>0.211482</v>
      </c>
      <c r="I17" s="41">
        <v>0</v>
      </c>
      <c r="J17" s="41">
        <v>0</v>
      </c>
      <c r="K17" s="41">
        <v>0</v>
      </c>
      <c r="L17" s="41">
        <v>0.126583</v>
      </c>
      <c r="M17" s="41">
        <v>0.44136799999999998</v>
      </c>
      <c r="N17" s="41">
        <v>0.28740700000000002</v>
      </c>
      <c r="O17" s="41">
        <v>0.262934</v>
      </c>
      <c r="P17" s="41">
        <v>0.65697300000000003</v>
      </c>
      <c r="Q17" s="41">
        <v>0</v>
      </c>
      <c r="R17" s="41">
        <v>46.676302</v>
      </c>
      <c r="S17" s="32">
        <v>0.93059912929691813</v>
      </c>
      <c r="T17" s="23"/>
    </row>
    <row r="18" spans="1:20" s="8" customFormat="1" ht="13.8" x14ac:dyDescent="0.3">
      <c r="A18" s="30"/>
      <c r="B18" s="10">
        <v>5</v>
      </c>
      <c r="C18" s="34" t="s">
        <v>21</v>
      </c>
      <c r="D18" s="41">
        <v>26640.639433</v>
      </c>
      <c r="E18" s="41">
        <v>13857.398217</v>
      </c>
      <c r="F18" s="41">
        <v>10225.19167</v>
      </c>
      <c r="G18" s="41">
        <v>2367.2076109999998</v>
      </c>
      <c r="H18" s="41">
        <v>188.210984</v>
      </c>
      <c r="I18" s="41">
        <v>1.1108199999999999</v>
      </c>
      <c r="J18" s="41">
        <v>1.5201309999999999</v>
      </c>
      <c r="K18" s="42"/>
      <c r="L18" s="42"/>
      <c r="M18" s="42"/>
      <c r="N18" s="42"/>
      <c r="O18" s="42"/>
      <c r="P18" s="42"/>
      <c r="Q18" s="42"/>
      <c r="R18" s="41">
        <v>13965.712417999999</v>
      </c>
      <c r="S18" s="32">
        <v>0.99997509858504952</v>
      </c>
      <c r="T18" s="23"/>
    </row>
    <row r="19" spans="1:20" s="8" customFormat="1" ht="13.8" x14ac:dyDescent="0.3">
      <c r="B19" s="10">
        <v>6</v>
      </c>
      <c r="C19" s="31" t="s">
        <v>22</v>
      </c>
      <c r="D19" s="41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</row>
    <row r="20" spans="1:20" ht="14.4" x14ac:dyDescent="0.3">
      <c r="B20" s="10">
        <v>7</v>
      </c>
      <c r="C20" s="33" t="s">
        <v>18</v>
      </c>
      <c r="D20" s="41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</row>
    <row r="21" spans="1:20" ht="14.4" x14ac:dyDescent="0.3">
      <c r="B21" s="10">
        <v>8</v>
      </c>
      <c r="C21" s="33" t="s">
        <v>19</v>
      </c>
      <c r="D21" s="41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</row>
    <row r="22" spans="1:20" s="8" customFormat="1" ht="13.8" x14ac:dyDescent="0.3">
      <c r="B22" s="10">
        <v>9</v>
      </c>
      <c r="C22" s="33" t="s">
        <v>20</v>
      </c>
      <c r="D22" s="41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23"/>
    </row>
    <row r="23" spans="1:20" s="8" customFormat="1" ht="13.8" x14ac:dyDescent="0.3">
      <c r="B23" s="10">
        <v>10</v>
      </c>
      <c r="C23" s="34" t="s">
        <v>21</v>
      </c>
      <c r="D23" s="41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2"/>
      <c r="L23" s="42"/>
      <c r="M23" s="42"/>
      <c r="N23" s="42"/>
      <c r="O23" s="42"/>
      <c r="P23" s="42"/>
      <c r="Q23" s="42"/>
      <c r="R23" s="41">
        <v>0</v>
      </c>
      <c r="S23" s="41">
        <v>0</v>
      </c>
      <c r="T23" s="23"/>
    </row>
    <row r="24" spans="1:20" ht="14.4" x14ac:dyDescent="0.3"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20" ht="14.4" hidden="1" x14ac:dyDescent="0.3">
      <c r="K25" s="37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330bb030050c9e6178638355458484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3dfde9f5ca399df34d54bc0b3dbf10f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7476C8F-B61D-4C8A-9EBA-CC67E4077D07}"/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1471D5-CC2D-4085-BB26-EAB9433414A6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572bdb13-c576-4166-8827-65186753b8b5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2025-07-31T11:26:44Z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</Properties>
</file>